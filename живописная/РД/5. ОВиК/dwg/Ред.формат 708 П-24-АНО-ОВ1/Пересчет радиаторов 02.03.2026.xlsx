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Овчинников\Desktop\Accos rdas XA\Живописная\"/>
    </mc:Choice>
  </mc:AlternateContent>
  <xr:revisionPtr revIDLastSave="0" documentId="13_ncr:1_{ABAD8A95-6032-4B16-B10A-0E7407AC2C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Исходные данные" sheetId="2" r:id="rId1"/>
    <sheet name="Пересчет (рабочая)" sheetId="7" r:id="rId2"/>
    <sheet name="Ориентация" sheetId="3" state="hidden" r:id="rId3"/>
    <sheet name="Коэффициент_n" sheetId="4" state="hidden" r:id="rId4"/>
    <sheet name="Добавка_на_проемы" sheetId="5" state="hidden" r:id="rId5"/>
  </sheets>
  <definedNames>
    <definedName name="_xlnm._FilterDatabase" localSheetId="0" hidden="1">'Исходные данные'!#REF!</definedName>
    <definedName name="Коэффициент_n">Коэффициент_n!$C$3:$C$7</definedName>
    <definedName name="Ограждения_данные">'Исходные данные'!$C$10:$F$20</definedName>
    <definedName name="Ограждения_список">'Исходные данные'!$C$10:$C$20</definedName>
    <definedName name="Ориентация">Ориентация!$C$3:$C$11</definedName>
    <definedName name="Ориентация_добавки">Ориентация!$C$3:$E$11</definedName>
    <definedName name="Проемы_добавки">Добавка_на_проемы!$B$3:$C$16</definedName>
    <definedName name="Проемы_список">Добавка_на_проемы!$B$3:$B$16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3" i="7" l="1"/>
  <c r="Q34" i="7"/>
  <c r="Q35" i="7"/>
  <c r="Q36" i="7"/>
  <c r="Q37" i="7"/>
  <c r="Q38" i="7"/>
  <c r="Q39" i="7"/>
  <c r="Q40" i="7"/>
  <c r="Q41" i="7"/>
  <c r="Q42" i="7"/>
  <c r="Q32" i="7"/>
  <c r="Q14" i="7"/>
  <c r="Q11" i="7"/>
  <c r="Q12" i="7"/>
  <c r="Q13" i="7"/>
  <c r="Q10" i="7"/>
  <c r="Q25" i="7" l="1"/>
  <c r="Q31" i="7"/>
  <c r="Q26" i="7"/>
  <c r="Q27" i="7"/>
  <c r="Q28" i="7"/>
  <c r="Q29" i="7"/>
  <c r="Q30" i="7"/>
  <c r="Q15" i="7"/>
  <c r="Q16" i="7"/>
  <c r="Q17" i="7"/>
  <c r="Q18" i="7"/>
  <c r="Q19" i="7"/>
  <c r="Q20" i="7"/>
  <c r="Q21" i="7"/>
  <c r="Q22" i="7"/>
  <c r="Q23" i="7"/>
  <c r="Q24" i="7"/>
  <c r="Q48" i="7"/>
  <c r="X4" i="7" l="1"/>
  <c r="N24" i="7"/>
  <c r="M24" i="7"/>
  <c r="R43" i="7"/>
  <c r="O24" i="7" l="1"/>
  <c r="P24" i="7" s="1"/>
  <c r="S24" i="7" l="1"/>
  <c r="M29" i="7"/>
  <c r="N29" i="7"/>
  <c r="N4" i="7"/>
  <c r="M4" i="7"/>
  <c r="N23" i="7"/>
  <c r="M23" i="7"/>
  <c r="X9" i="7"/>
  <c r="X8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8" i="7"/>
  <c r="M28" i="7"/>
  <c r="N27" i="7"/>
  <c r="M27" i="7"/>
  <c r="N26" i="7"/>
  <c r="M26" i="7"/>
  <c r="N25" i="7"/>
  <c r="M25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X7" i="7"/>
  <c r="N7" i="7"/>
  <c r="M7" i="7"/>
  <c r="X6" i="7"/>
  <c r="N6" i="7"/>
  <c r="M6" i="7"/>
  <c r="X5" i="7"/>
  <c r="N5" i="7"/>
  <c r="M5" i="7"/>
  <c r="O4" i="7" l="1"/>
  <c r="P4" i="7"/>
  <c r="Q4" i="7" s="1"/>
  <c r="O23" i="7"/>
  <c r="P23" i="7" s="1"/>
  <c r="O6" i="7"/>
  <c r="P6" i="7" s="1"/>
  <c r="O8" i="7"/>
  <c r="P8" i="7" s="1"/>
  <c r="O9" i="7"/>
  <c r="P9" i="7" s="1"/>
  <c r="O10" i="7"/>
  <c r="P10" i="7" s="1"/>
  <c r="O11" i="7"/>
  <c r="P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 s="1"/>
  <c r="O18" i="7"/>
  <c r="P18" i="7" s="1"/>
  <c r="O19" i="7"/>
  <c r="P19" i="7" s="1"/>
  <c r="O20" i="7"/>
  <c r="P20" i="7" s="1"/>
  <c r="O22" i="7"/>
  <c r="P22" i="7" s="1"/>
  <c r="O25" i="7"/>
  <c r="P25" i="7" s="1"/>
  <c r="O26" i="7"/>
  <c r="P26" i="7" s="1"/>
  <c r="O27" i="7"/>
  <c r="P27" i="7" s="1"/>
  <c r="O28" i="7"/>
  <c r="P28" i="7" s="1"/>
  <c r="O29" i="7"/>
  <c r="O30" i="7"/>
  <c r="P30" i="7" s="1"/>
  <c r="O31" i="7"/>
  <c r="P31" i="7" s="1"/>
  <c r="O5" i="7"/>
  <c r="P5" i="7" s="1"/>
  <c r="O7" i="7"/>
  <c r="P7" i="7" s="1"/>
  <c r="O32" i="7"/>
  <c r="P32" i="7" s="1"/>
  <c r="O33" i="7"/>
  <c r="P33" i="7" s="1"/>
  <c r="O34" i="7"/>
  <c r="P34" i="7" s="1"/>
  <c r="O35" i="7"/>
  <c r="P35" i="7" s="1"/>
  <c r="O36" i="7"/>
  <c r="P36" i="7" s="1"/>
  <c r="O37" i="7"/>
  <c r="P37" i="7" s="1"/>
  <c r="O38" i="7"/>
  <c r="P38" i="7" s="1"/>
  <c r="O39" i="7"/>
  <c r="P39" i="7" s="1"/>
  <c r="O40" i="7"/>
  <c r="P40" i="7" s="1"/>
  <c r="O41" i="7"/>
  <c r="P41" i="7" s="1"/>
  <c r="O42" i="7"/>
  <c r="P42" i="7" s="1"/>
  <c r="X13" i="7"/>
  <c r="W16" i="7" s="1"/>
  <c r="W17" i="7" s="1"/>
  <c r="O21" i="7"/>
  <c r="P21" i="7" s="1"/>
  <c r="S40" i="7" l="1"/>
  <c r="S36" i="7"/>
  <c r="S42" i="7"/>
  <c r="S38" i="7"/>
  <c r="S34" i="7"/>
  <c r="S39" i="7"/>
  <c r="S37" i="7"/>
  <c r="S35" i="7"/>
  <c r="S33" i="7"/>
  <c r="Q9" i="7"/>
  <c r="S9" i="7" s="1"/>
  <c r="Q8" i="7"/>
  <c r="S8" i="7" s="1"/>
  <c r="Q7" i="7"/>
  <c r="S7" i="7" s="1"/>
  <c r="Q6" i="7"/>
  <c r="S6" i="7" s="1"/>
  <c r="Q5" i="7"/>
  <c r="S5" i="7" s="1"/>
  <c r="S28" i="7"/>
  <c r="S22" i="7"/>
  <c r="S21" i="7"/>
  <c r="S30" i="7"/>
  <c r="S26" i="7"/>
  <c r="S19" i="7"/>
  <c r="S17" i="7"/>
  <c r="S31" i="7"/>
  <c r="S27" i="7"/>
  <c r="S25" i="7"/>
  <c r="S20" i="7"/>
  <c r="S18" i="7"/>
  <c r="S16" i="7"/>
  <c r="S23" i="7"/>
  <c r="S41" i="7"/>
  <c r="S15" i="7"/>
  <c r="S14" i="7"/>
  <c r="S13" i="7"/>
  <c r="S12" i="7"/>
  <c r="S11" i="7"/>
  <c r="S10" i="7"/>
  <c r="S32" i="7"/>
  <c r="P29" i="7"/>
  <c r="S4" i="7"/>
  <c r="S29" i="7" l="1"/>
  <c r="S43" i="7" s="1"/>
  <c r="S44" i="7" s="1"/>
  <c r="O48" i="7" s="1"/>
  <c r="R48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panchik</author>
  </authors>
  <commentList>
    <comment ref="D5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04"/>
          </rPr>
          <t xml:space="preserve">Температура воздуха наиболее холодной пятидневки, </t>
        </r>
        <r>
          <rPr>
            <b/>
            <sz val="8"/>
            <color indexed="81"/>
            <rFont val="Arial"/>
            <family val="2"/>
            <charset val="204"/>
          </rPr>
          <t>º</t>
        </r>
        <r>
          <rPr>
            <b/>
            <sz val="8"/>
            <color indexed="81"/>
            <rFont val="Tahoma"/>
            <family val="2"/>
            <charset val="204"/>
          </rPr>
          <t>С, обеспеченностью 0,92</t>
        </r>
      </text>
    </comment>
  </commentList>
</comments>
</file>

<file path=xl/sharedStrings.xml><?xml version="1.0" encoding="utf-8"?>
<sst xmlns="http://schemas.openxmlformats.org/spreadsheetml/2006/main" count="282" uniqueCount="156">
  <si>
    <t>Исходные данные</t>
  </si>
  <si>
    <t>Наименование населенного пункта:</t>
  </si>
  <si>
    <t>Наружная температура:</t>
  </si>
  <si>
    <t>Высота здания:</t>
  </si>
  <si>
    <t>Список ограждающих конструкций</t>
  </si>
  <si>
    <t>Полное наименование</t>
  </si>
  <si>
    <t>Сокращенное наименование</t>
  </si>
  <si>
    <t>Сопротивление теплопередаче ограждения R, м²·ºС/Вт</t>
  </si>
  <si>
    <r>
      <t xml:space="preserve">Добавочные теплопотери  </t>
    </r>
    <r>
      <rPr>
        <b/>
        <sz val="10"/>
        <rFont val="Arial"/>
        <family val="2"/>
        <charset val="204"/>
      </rPr>
      <t>β
(только для проемов в стене)</t>
    </r>
  </si>
  <si>
    <t>Инфильтрация</t>
  </si>
  <si>
    <t>Наружная стена тип 1</t>
  </si>
  <si>
    <t>Нс1</t>
  </si>
  <si>
    <t>Нет</t>
  </si>
  <si>
    <t>Наружная стена тип 2</t>
  </si>
  <si>
    <t>Нс2</t>
  </si>
  <si>
    <t>Покрытие</t>
  </si>
  <si>
    <t>По1</t>
  </si>
  <si>
    <t>Покрытие барабана</t>
  </si>
  <si>
    <t>По2</t>
  </si>
  <si>
    <t>Окно</t>
  </si>
  <si>
    <t>Ок</t>
  </si>
  <si>
    <t>Дверь</t>
  </si>
  <si>
    <t>Дв</t>
  </si>
  <si>
    <t>Дверь наружная двойная</t>
  </si>
  <si>
    <t>Ворота</t>
  </si>
  <si>
    <t>Во</t>
  </si>
  <si>
    <t>Ворота наружные без тепловой завесы</t>
  </si>
  <si>
    <t>Пол на грунте 1 зона</t>
  </si>
  <si>
    <t>ПлI</t>
  </si>
  <si>
    <t>Пол на грунте 2 зона</t>
  </si>
  <si>
    <t>ПлII</t>
  </si>
  <si>
    <t>Пол на грунте 3 зона</t>
  </si>
  <si>
    <t>ПлIII</t>
  </si>
  <si>
    <t>Пол на грунте 4 зона</t>
  </si>
  <si>
    <t>ПлIV</t>
  </si>
  <si>
    <t>Ориентация</t>
  </si>
  <si>
    <t>С</t>
  </si>
  <si>
    <r>
      <t xml:space="preserve">Добавочные теплопотери  </t>
    </r>
    <r>
      <rPr>
        <sz val="10"/>
        <rFont val="Arial"/>
        <family val="2"/>
        <charset val="204"/>
      </rPr>
      <t>β</t>
    </r>
  </si>
  <si>
    <t>Добавочные теплопотери при 2-х и более стенах</t>
  </si>
  <si>
    <t>Север</t>
  </si>
  <si>
    <t>Северо-восток</t>
  </si>
  <si>
    <t>СВ</t>
  </si>
  <si>
    <t>Восток</t>
  </si>
  <si>
    <t>В</t>
  </si>
  <si>
    <t>Юго-восток</t>
  </si>
  <si>
    <t>ЮВ</t>
  </si>
  <si>
    <t>Юг</t>
  </si>
  <si>
    <t>Ю</t>
  </si>
  <si>
    <t>Юго-запад</t>
  </si>
  <si>
    <t>ЮЗ</t>
  </si>
  <si>
    <t>Запад</t>
  </si>
  <si>
    <t>З</t>
  </si>
  <si>
    <t>Северо-запад</t>
  </si>
  <si>
    <t>СЗ</t>
  </si>
  <si>
    <t>Ограждающие конструкции</t>
  </si>
  <si>
    <r>
      <t xml:space="preserve">Коэффициент </t>
    </r>
    <r>
      <rPr>
        <i/>
        <sz val="10"/>
        <rFont val="Arial Cyr"/>
        <charset val="204"/>
      </rPr>
      <t>n</t>
    </r>
  </si>
  <si>
    <t xml:space="preserve">Наружные стены и покрытия, зенитные фонари, перекрытия чердачные и над проездами; перекрытия над холодными (без ограждающих стенок) подпольями в Северной строительно-климатической зоне </t>
  </si>
  <si>
    <t>Перекрытия над холодными подвалами, сообщающимися с наружным воздухом; перекрытия чердачные (с кровлей из рулонных материалов); перекрытия над холодными (с ограждающими стенками) подпольями и холодными этажами в Северной строительно-климатической зоне</t>
  </si>
  <si>
    <t>Перекрытия над неотапливаемыми подвалами со световыми проемами в стенах</t>
  </si>
  <si>
    <t>Перекрытия над неотапливаемыми подвалами без световых проемов в стенах, расположенные выше уровня земли</t>
  </si>
  <si>
    <t>Перекрытия над неотапливаемыми техническими подпольями, расположенными ниже уровня земли</t>
  </si>
  <si>
    <t>Наименование ограждения (проема)</t>
  </si>
  <si>
    <t>Добавка</t>
  </si>
  <si>
    <t>Дверь наружная одинарная</t>
  </si>
  <si>
    <t>Дверь, ворота наружные летние, запасные</t>
  </si>
  <si>
    <t>Дверь наружная запасная двойная с тамбуром</t>
  </si>
  <si>
    <t>Дверь наружная двойная с тамбуром</t>
  </si>
  <si>
    <t>Дверь наружная в изолированное помещение</t>
  </si>
  <si>
    <t>Дверь наружная с тепловой завесой</t>
  </si>
  <si>
    <t>Дверь наружная тройная с двумя тамбурами</t>
  </si>
  <si>
    <t>Дверь балконная</t>
  </si>
  <si>
    <t>Дверь наружная для покупателей, персонала, приемочной без тепловой завесы</t>
  </si>
  <si>
    <t>Ворота наружные с тепловой завесой</t>
  </si>
  <si>
    <t>Ворота наружные с тамбуром без тепловой завесы</t>
  </si>
  <si>
    <t>Темп.режим.фактический</t>
  </si>
  <si>
    <t>Темп.режим.номинальный</t>
  </si>
  <si>
    <t>Tв</t>
  </si>
  <si>
    <t>∆Tф</t>
  </si>
  <si>
    <t>∆Tн</t>
  </si>
  <si>
    <t>Доб.коэф</t>
  </si>
  <si>
    <t>Темп.напора(факт)</t>
  </si>
  <si>
    <t>Темп.обратки(факт)</t>
  </si>
  <si>
    <t>Темп.напора(радиатора)</t>
  </si>
  <si>
    <t>Темп.обратки(радиатора)</t>
  </si>
  <si>
    <t>Qф</t>
  </si>
  <si>
    <t>n, ^1,3</t>
  </si>
  <si>
    <t>Факт.мощность</t>
  </si>
  <si>
    <t>Данный расчет подтверждает учтенный запас поверхности прибора в рамках 10-15%</t>
  </si>
  <si>
    <t xml:space="preserve">Оценка необходимого запаса поверхности радиатора
Произведем оценку необходимого запаса нагревательной поверхности радиатора, которая компенсирует возможное уменьшение расхода воды в радиатор. 
Из формул и с учетом того, что расход воды в радиатор может быть 0.7(0,714) от расчетного, получаем формулу для оценки запаса поверхности радиатора Z, который компенсирует уменьшение расхода воды в радиатор 
          A – 0.5
Z =   ------------
          A – 0.714
где
            t1 – tп 
 A =    ---------
            t1 – t2 
Параметры расчета.
•      для t1=85C, t2=60C, tп=20C получаем A=2,6 и Z=1.11, то есть увеличение поверхности радиатора на 11% компенсирует уменьшение расхода воды в радиатор на 30%;
Вывод: запас поверхности радиатора 10%-15% компенсирует возможное уменьшение расхода воды в радиатор при выборе положения органа предварительной настройки по правилу  «Сопротивление узла присоединения радиатора к системе при положении шпинделя регулирующего клапана “Максимально открыт” должно быть не менее половины сопротивления регулируемого участка, включающего этот узел».
</t>
  </si>
  <si>
    <t>ф20</t>
  </si>
  <si>
    <t>ф25</t>
  </si>
  <si>
    <t>ф32</t>
  </si>
  <si>
    <t>ф40</t>
  </si>
  <si>
    <t>Вт/м</t>
  </si>
  <si>
    <t>м.п</t>
  </si>
  <si>
    <t>Вт</t>
  </si>
  <si>
    <t>гкал/ч</t>
  </si>
  <si>
    <t>ф Трубопроводов</t>
  </si>
  <si>
    <t>Итог</t>
  </si>
  <si>
    <t>80/60</t>
  </si>
  <si>
    <t>Шт</t>
  </si>
  <si>
    <t>Мощность по паспорту</t>
  </si>
  <si>
    <t>Общее</t>
  </si>
  <si>
    <t>Расчетное</t>
  </si>
  <si>
    <t>ф50</t>
  </si>
  <si>
    <t>Марка</t>
  </si>
  <si>
    <t>Электросварной регистр</t>
  </si>
  <si>
    <t>FKO 33-200-1300</t>
  </si>
  <si>
    <t>FKO 33-200-1400</t>
  </si>
  <si>
    <t>FKO 33-200-1600</t>
  </si>
  <si>
    <t>FKO 33-200-1800</t>
  </si>
  <si>
    <t>Наименование</t>
  </si>
  <si>
    <t>Профильные компактные радиаторы</t>
  </si>
  <si>
    <t>PKO 11-505-1405</t>
  </si>
  <si>
    <t>Гладкие компактные радиаторы</t>
  </si>
  <si>
    <t>PKO 11-605-1405</t>
  </si>
  <si>
    <t>PKO 12-605-1405</t>
  </si>
  <si>
    <t>PKO 12-505-1205</t>
  </si>
  <si>
    <t>PKO 12-505-1405</t>
  </si>
  <si>
    <t>PKO 12-605-1205</t>
  </si>
  <si>
    <t>PKO 12-605-1805</t>
  </si>
  <si>
    <t>PKO 22-405-1405</t>
  </si>
  <si>
    <t>PKO 22-505-1405</t>
  </si>
  <si>
    <t>PKO 33-505-1405</t>
  </si>
  <si>
    <t>PHO 10-405-905</t>
  </si>
  <si>
    <t>PHO 10-405-1405</t>
  </si>
  <si>
    <t>PHO 20-505-805</t>
  </si>
  <si>
    <t>PHO 20-505-2005</t>
  </si>
  <si>
    <t>PHO 30-305-1605</t>
  </si>
  <si>
    <t>PHO 30-405-1405</t>
  </si>
  <si>
    <t>PHO 30-505-1405</t>
  </si>
  <si>
    <t>Декоративные трубчатые радиаторы</t>
  </si>
  <si>
    <t>Всего</t>
  </si>
  <si>
    <t>PKO 33-605-1205</t>
  </si>
  <si>
    <t>DN80-2р-1000</t>
  </si>
  <si>
    <t>DN80-2р-1200</t>
  </si>
  <si>
    <t>DN80-2р-1500</t>
  </si>
  <si>
    <t>DN80-2р-1600</t>
  </si>
  <si>
    <t>DN80-2р-1800</t>
  </si>
  <si>
    <t>DN80-2р-2000</t>
  </si>
  <si>
    <t>482632,14 Вт = 0,415 гКал/ч</t>
  </si>
  <si>
    <t>105/75</t>
  </si>
  <si>
    <t>EVRA DELTA RING H 300x35</t>
  </si>
  <si>
    <t>EVRA DELTA RING H 300x40</t>
  </si>
  <si>
    <t>EVRA DELTA RING H 400x35</t>
  </si>
  <si>
    <t>EVRA DELTA RING H 600x28</t>
  </si>
  <si>
    <t>EVRA DELTA RING H 600x30</t>
  </si>
  <si>
    <t>EVRA DELTA RING H 600x32</t>
  </si>
  <si>
    <t>EVRA DELTA RING H 700x27</t>
  </si>
  <si>
    <t>EVRA DELTA RING H 800x35</t>
  </si>
  <si>
    <t>EVRA DELTA RING H 800x40</t>
  </si>
  <si>
    <t>EVRA DELTA RING H 900x18</t>
  </si>
  <si>
    <t>EVRA DELTA RING H 900x30</t>
  </si>
  <si>
    <t>90/70</t>
  </si>
  <si>
    <t>+</t>
  </si>
  <si>
    <t>455915 Вт (радиаторы) + 26717,14 Вт (потери)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</si>
</sst>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1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sz val="10"/>
      <name val="Arial"/>
      <family val="2"/>
      <charset val="204"/>
    </font>
    <font>
      <b/>
      <sz val="8"/>
      <color indexed="81"/>
      <name val="Tahoma"/>
      <family val="2"/>
      <charset val="204"/>
    </font>
    <font>
      <b/>
      <sz val="10"/>
      <name val="Arial Cyr"/>
      <charset val="204"/>
    </font>
    <font>
      <b/>
      <sz val="10"/>
      <name val="Arial"/>
      <family val="2"/>
      <charset val="204"/>
    </font>
    <font>
      <b/>
      <sz val="8"/>
      <color indexed="81"/>
      <name val="Arial"/>
      <family val="2"/>
      <charset val="204"/>
    </font>
    <font>
      <u/>
      <sz val="10"/>
      <name val="Arial Cyr"/>
      <charset val="204"/>
    </font>
    <font>
      <b/>
      <u/>
      <sz val="12"/>
      <name val="Arial Cyr"/>
      <charset val="204"/>
    </font>
    <font>
      <i/>
      <sz val="10"/>
      <name val="Arial Cyr"/>
      <charset val="204"/>
    </font>
    <font>
      <sz val="1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textRotation="90" wrapText="1"/>
    </xf>
    <xf numFmtId="49" fontId="0" fillId="0" borderId="3" xfId="0" applyNumberFormat="1" applyBorder="1" applyAlignment="1">
      <alignment horizontal="left" vertical="center" inden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13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90" wrapText="1"/>
    </xf>
    <xf numFmtId="0" fontId="0" fillId="0" borderId="17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3" borderId="14" xfId="0" applyFont="1" applyFill="1" applyBorder="1" applyAlignment="1">
      <alignment horizontal="center" vertical="center" textRotation="90"/>
    </xf>
    <xf numFmtId="0" fontId="0" fillId="3" borderId="19" xfId="0" applyFill="1" applyBorder="1" applyAlignment="1">
      <alignment horizontal="left" vertical="center" indent="1"/>
    </xf>
    <xf numFmtId="0" fontId="0" fillId="3" borderId="20" xfId="0" applyFill="1" applyBorder="1" applyAlignment="1">
      <alignment horizontal="left" vertical="center" indent="1"/>
    </xf>
    <xf numFmtId="0" fontId="0" fillId="3" borderId="21" xfId="0" applyFill="1" applyBorder="1" applyAlignment="1">
      <alignment horizontal="left" vertical="center" indent="1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4" fontId="11" fillId="0" borderId="22" xfId="0" applyNumberFormat="1" applyFon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164" fontId="0" fillId="7" borderId="22" xfId="0" applyNumberForma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2" xfId="0" applyBorder="1"/>
    <xf numFmtId="0" fontId="0" fillId="5" borderId="30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0" xfId="0" applyNumberFormat="1"/>
    <xf numFmtId="166" fontId="0" fillId="0" borderId="22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5" borderId="31" xfId="0" applyNumberFormat="1" applyFill="1" applyBorder="1" applyAlignment="1">
      <alignment horizontal="center" vertical="center"/>
    </xf>
    <xf numFmtId="1" fontId="0" fillId="5" borderId="2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0</xdr:rowOff>
    </xdr:from>
    <xdr:to>
      <xdr:col>12</xdr:col>
      <xdr:colOff>171450</xdr:colOff>
      <xdr:row>31</xdr:row>
      <xdr:rowOff>19050</xdr:rowOff>
    </xdr:to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4B4BB891-56CA-4FF8-A81F-1A51C7CEBA9A}"/>
            </a:ext>
          </a:extLst>
        </xdr:cNvPr>
        <xdr:cNvSpPr txBox="1">
          <a:spLocks noChangeArrowheads="1"/>
        </xdr:cNvSpPr>
      </xdr:nvSpPr>
      <xdr:spPr bwMode="auto">
        <a:xfrm>
          <a:off x="7029450" y="161925"/>
          <a:ext cx="3714750" cy="7477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Инструкция.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sng" strike="noStrike" baseline="0">
              <a:solidFill>
                <a:srgbClr val="000000"/>
              </a:solidFill>
              <a:latin typeface="Arial Cyr"/>
              <a:cs typeface="Arial Cyr"/>
            </a:rPr>
            <a:t>Программа не умеет: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считать сопротивление стены (лучше используйте ТеРеМОК);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самостоятельно учитывать наличие 2-х и более наружных вертикальных стены (надо указать это в спец. столбце);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правильно считать покрытие, если у него указана ориентация;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считать теплопотери через внутренние ограждения;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считать стены высотой более 4 метров (есть поле для ручного ввода добавок).</a:t>
          </a: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sng" strike="noStrike" baseline="0">
              <a:solidFill>
                <a:srgbClr val="000000"/>
              </a:solidFill>
              <a:latin typeface="Arial Cyr"/>
              <a:cs typeface="Arial Cyr"/>
            </a:rPr>
            <a:t>Программа умеет: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расчет теплопотерь;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 автоматический выбор добавок на теплопотери.</a:t>
          </a: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sng" strike="noStrike" baseline="0">
              <a:solidFill>
                <a:srgbClr val="000000"/>
              </a:solidFill>
              <a:latin typeface="Arial Cyr"/>
              <a:cs typeface="Arial Cyr"/>
            </a:rPr>
            <a:t>Последовательность действий: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1. Заполняем таблицу ограждающих конструкцийна вкладке "Исходные данные". Заполняем графу "Сопротивление теплопередаче...". В графе "Добавочные теплопотери </a:t>
          </a:r>
          <a:r>
            <a:rPr lang="ru-RU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β </a:t>
          </a: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..." выбираем тип ограждения (только для дверей и ворот). В данной таблице можно удалят, добавлять строки, менять наименование ограждений. </a:t>
          </a:r>
          <a:r>
            <a:rPr lang="ru-RU" sz="1000" b="0" i="0" u="none" strike="noStrike" baseline="0">
              <a:solidFill>
                <a:srgbClr val="FF0000"/>
              </a:solidFill>
              <a:latin typeface="Arial Cyr"/>
              <a:cs typeface="Arial Cyr"/>
            </a:rPr>
            <a:t>Первую и последнюю строки таблицы ограждений можно редактировать, но не удалять.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2. На вкладке "Теплопотери" заполняем строки описанием ограждающих конструкций помещений. </a:t>
          </a:r>
          <a:r>
            <a:rPr lang="ru-RU" sz="1000" b="1" i="0" u="none" strike="noStrike" baseline="0">
              <a:solidFill>
                <a:srgbClr val="00FF00"/>
              </a:solidFill>
              <a:latin typeface="Arial Cyr"/>
              <a:cs typeface="Arial Cyr"/>
            </a:rPr>
            <a:t>Зеленые</a:t>
          </a: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 ячейки предназначены для редактирования, </a:t>
          </a:r>
          <a:r>
            <a:rPr lang="ru-RU" sz="1000" b="1" i="0" u="none" strike="noStrike" baseline="0">
              <a:solidFill>
                <a:srgbClr val="00CCFF"/>
              </a:solidFill>
              <a:latin typeface="Arial Cyr"/>
              <a:cs typeface="Arial Cyr"/>
            </a:rPr>
            <a:t>голубые</a:t>
          </a: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 ячейки - выбор значений из списка. </a:t>
          </a:r>
          <a:r>
            <a:rPr lang="ru-RU" sz="1000" b="1" i="0" u="none" strike="noStrike" baseline="0">
              <a:solidFill>
                <a:srgbClr val="FF9900"/>
              </a:solidFill>
              <a:latin typeface="Arial Cyr"/>
              <a:cs typeface="Arial Cyr"/>
            </a:rPr>
            <a:t>Оранжевые</a:t>
          </a: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 ячейки трогать не стоит.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3. Проемы, которые входят в состав ограждений, следует вставлять после "родительского" ограждения и их площадь следует вычитать из него.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4. Для указания, что помещение имеет два и более наружных </a:t>
          </a: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вертикальных </a:t>
          </a: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ограждения следует в 3-м столбце поставить любой знак, в противном случае поле следует оставить пустым.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5. Если ограждение является покрытием, то в столбце ограждения надо указать "Нет".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6. Добавление ограждений происходит простым копированием строк.</a:t>
          </a: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7. </a:t>
          </a:r>
          <a:r>
            <a:rPr lang="ru-RU" sz="1000" b="0" i="0" u="none" strike="noStrike" baseline="0">
              <a:solidFill>
                <a:srgbClr val="FF0000"/>
              </a:solidFill>
              <a:latin typeface="Arial Cyr"/>
              <a:cs typeface="Arial Cyr"/>
            </a:rPr>
            <a:t>При изменение сокращенных названий ограждений в "Списке ограждающих конструкций" следует перевыбрать название ограждения в таблице расчета теплопотерь.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sng" strike="noStrike" baseline="0">
              <a:solidFill>
                <a:srgbClr val="000000"/>
              </a:solidFill>
              <a:latin typeface="Arial Cyr"/>
              <a:cs typeface="Arial Cyr"/>
            </a:rPr>
            <a:t>Примечание: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Инфильтрация и расчет на врывание холодного воздуха будут добавлены позже.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2:F22"/>
  <sheetViews>
    <sheetView zoomScaleNormal="100" workbookViewId="0">
      <selection activeCell="E22" sqref="E22"/>
    </sheetView>
  </sheetViews>
  <sheetFormatPr defaultColWidth="9.140625" defaultRowHeight="12.75" x14ac:dyDescent="0.2"/>
  <cols>
    <col min="1" max="1" width="9.140625" style="3"/>
    <col min="2" max="2" width="25.140625" style="3" customWidth="1"/>
    <col min="3" max="3" width="11.42578125" style="3" customWidth="1"/>
    <col min="4" max="4" width="10.85546875" style="3" customWidth="1"/>
    <col min="5" max="5" width="38" style="3" customWidth="1"/>
    <col min="6" max="16384" width="9.140625" style="3"/>
  </cols>
  <sheetData>
    <row r="2" spans="2:6" ht="18.75" customHeight="1" x14ac:dyDescent="0.2">
      <c r="B2" s="7" t="s">
        <v>0</v>
      </c>
    </row>
    <row r="3" spans="2:6" ht="18.75" customHeight="1" x14ac:dyDescent="0.2"/>
    <row r="4" spans="2:6" ht="18.75" customHeight="1" x14ac:dyDescent="0.2">
      <c r="B4" s="87" t="s">
        <v>1</v>
      </c>
      <c r="C4" s="87"/>
      <c r="D4" s="38"/>
    </row>
    <row r="5" spans="2:6" ht="18.75" customHeight="1" x14ac:dyDescent="0.2">
      <c r="B5" s="87" t="s">
        <v>2</v>
      </c>
      <c r="C5" s="87"/>
      <c r="D5" s="38">
        <v>-26</v>
      </c>
    </row>
    <row r="6" spans="2:6" ht="18.75" customHeight="1" x14ac:dyDescent="0.2">
      <c r="B6" s="26" t="s">
        <v>3</v>
      </c>
      <c r="C6" s="26"/>
      <c r="D6" s="38">
        <v>10</v>
      </c>
    </row>
    <row r="7" spans="2:6" ht="18.75" customHeight="1" x14ac:dyDescent="0.2"/>
    <row r="8" spans="2:6" ht="18.75" customHeight="1" thickBot="1" x14ac:dyDescent="0.25">
      <c r="B8" s="4" t="s">
        <v>4</v>
      </c>
    </row>
    <row r="9" spans="2:6" ht="116.25" customHeight="1" thickBot="1" x14ac:dyDescent="0.25">
      <c r="B9" s="28" t="s">
        <v>5</v>
      </c>
      <c r="C9" s="27" t="s">
        <v>6</v>
      </c>
      <c r="D9" s="33" t="s">
        <v>7</v>
      </c>
      <c r="E9" s="29" t="s">
        <v>8</v>
      </c>
      <c r="F9" s="48" t="s">
        <v>9</v>
      </c>
    </row>
    <row r="10" spans="2:6" ht="18.75" customHeight="1" x14ac:dyDescent="0.2">
      <c r="B10" s="34" t="s">
        <v>10</v>
      </c>
      <c r="C10" s="32" t="s">
        <v>11</v>
      </c>
      <c r="D10" s="37">
        <v>3.65</v>
      </c>
      <c r="E10" s="45" t="s">
        <v>12</v>
      </c>
      <c r="F10" s="49"/>
    </row>
    <row r="11" spans="2:6" ht="18.75" customHeight="1" x14ac:dyDescent="0.2">
      <c r="B11" s="35" t="s">
        <v>13</v>
      </c>
      <c r="C11" s="20" t="s">
        <v>14</v>
      </c>
      <c r="D11" s="21">
        <v>2</v>
      </c>
      <c r="E11" s="46" t="s">
        <v>12</v>
      </c>
      <c r="F11" s="50"/>
    </row>
    <row r="12" spans="2:6" ht="18.75" customHeight="1" x14ac:dyDescent="0.2">
      <c r="B12" s="35" t="s">
        <v>15</v>
      </c>
      <c r="C12" s="20" t="s">
        <v>16</v>
      </c>
      <c r="D12" s="21">
        <v>4.2</v>
      </c>
      <c r="E12" s="46" t="s">
        <v>12</v>
      </c>
      <c r="F12" s="50"/>
    </row>
    <row r="13" spans="2:6" ht="18.75" customHeight="1" x14ac:dyDescent="0.2">
      <c r="B13" s="35" t="s">
        <v>17</v>
      </c>
      <c r="C13" s="20" t="s">
        <v>18</v>
      </c>
      <c r="D13" s="21">
        <v>3.8</v>
      </c>
      <c r="E13" s="46" t="s">
        <v>12</v>
      </c>
      <c r="F13" s="50"/>
    </row>
    <row r="14" spans="2:6" ht="18.75" customHeight="1" x14ac:dyDescent="0.2">
      <c r="B14" s="35" t="s">
        <v>19</v>
      </c>
      <c r="C14" s="20" t="s">
        <v>20</v>
      </c>
      <c r="D14" s="21">
        <v>0.54</v>
      </c>
      <c r="E14" s="46" t="s">
        <v>12</v>
      </c>
      <c r="F14" s="50"/>
    </row>
    <row r="15" spans="2:6" ht="18.75" customHeight="1" x14ac:dyDescent="0.2">
      <c r="B15" s="35" t="s">
        <v>21</v>
      </c>
      <c r="C15" s="20" t="s">
        <v>22</v>
      </c>
      <c r="D15" s="21">
        <v>0.8</v>
      </c>
      <c r="E15" s="46" t="s">
        <v>23</v>
      </c>
      <c r="F15" s="50"/>
    </row>
    <row r="16" spans="2:6" ht="18.75" customHeight="1" x14ac:dyDescent="0.2">
      <c r="B16" s="35" t="s">
        <v>24</v>
      </c>
      <c r="C16" s="20" t="s">
        <v>25</v>
      </c>
      <c r="D16" s="21">
        <v>1.25</v>
      </c>
      <c r="E16" s="46" t="s">
        <v>26</v>
      </c>
      <c r="F16" s="50"/>
    </row>
    <row r="17" spans="2:6" ht="18.75" customHeight="1" x14ac:dyDescent="0.2">
      <c r="B17" s="35" t="s">
        <v>27</v>
      </c>
      <c r="C17" s="20" t="s">
        <v>28</v>
      </c>
      <c r="D17" s="21">
        <v>2.1</v>
      </c>
      <c r="E17" s="46" t="s">
        <v>12</v>
      </c>
      <c r="F17" s="50"/>
    </row>
    <row r="18" spans="2:6" ht="18.75" customHeight="1" x14ac:dyDescent="0.2">
      <c r="B18" s="35" t="s">
        <v>29</v>
      </c>
      <c r="C18" s="20" t="s">
        <v>30</v>
      </c>
      <c r="D18" s="21">
        <v>4.3</v>
      </c>
      <c r="E18" s="46" t="s">
        <v>12</v>
      </c>
      <c r="F18" s="50"/>
    </row>
    <row r="19" spans="2:6" ht="18.75" customHeight="1" x14ac:dyDescent="0.2">
      <c r="B19" s="35" t="s">
        <v>31</v>
      </c>
      <c r="C19" s="20" t="s">
        <v>32</v>
      </c>
      <c r="D19" s="21">
        <v>8.6</v>
      </c>
      <c r="E19" s="46" t="s">
        <v>12</v>
      </c>
      <c r="F19" s="50"/>
    </row>
    <row r="20" spans="2:6" ht="18.75" customHeight="1" thickBot="1" x14ac:dyDescent="0.25">
      <c r="B20" s="36" t="s">
        <v>33</v>
      </c>
      <c r="C20" s="23" t="s">
        <v>34</v>
      </c>
      <c r="D20" s="24">
        <v>14.2</v>
      </c>
      <c r="E20" s="47" t="s">
        <v>12</v>
      </c>
      <c r="F20" s="51"/>
    </row>
    <row r="21" spans="2:6" ht="18.75" customHeight="1" x14ac:dyDescent="0.2">
      <c r="C21" s="1"/>
      <c r="D21" s="1"/>
      <c r="E21" s="1"/>
    </row>
    <row r="22" spans="2:6" ht="18.75" customHeight="1" x14ac:dyDescent="0.2">
      <c r="C22" s="1"/>
      <c r="D22" s="1"/>
      <c r="E22" s="1"/>
    </row>
  </sheetData>
  <mergeCells count="2">
    <mergeCell ref="B4:C4"/>
    <mergeCell ref="B5:C5"/>
  </mergeCells>
  <phoneticPr fontId="2" type="noConversion"/>
  <dataValidations disablePrompts="1" count="1">
    <dataValidation type="list" allowBlank="1" showInputMessage="1" showErrorMessage="1" sqref="E10:E20" xr:uid="{00000000-0002-0000-0000-000000000000}">
      <formula1>Проемы_список</formula1>
    </dataValidation>
  </dataValidations>
  <pageMargins left="0.75" right="0.75" top="1" bottom="1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620F-2BB9-4711-BC66-653888389D61}">
  <dimension ref="A1:Z77"/>
  <sheetViews>
    <sheetView tabSelected="1" zoomScale="70" zoomScaleNormal="70" workbookViewId="0">
      <selection activeCell="Z29" sqref="Z29"/>
    </sheetView>
  </sheetViews>
  <sheetFormatPr defaultRowHeight="12.75" x14ac:dyDescent="0.2"/>
  <cols>
    <col min="2" max="2" width="24.85546875" customWidth="1"/>
    <col min="3" max="3" width="30.140625" customWidth="1"/>
    <col min="4" max="4" width="14.5703125" customWidth="1"/>
    <col min="26" max="26" width="9.5703125" bestFit="1" customWidth="1"/>
  </cols>
  <sheetData>
    <row r="1" spans="1:26" s="1" customFormat="1" x14ac:dyDescent="0.2">
      <c r="D1" s="55"/>
      <c r="E1" s="55"/>
      <c r="F1" s="55"/>
      <c r="G1" s="55"/>
      <c r="H1" s="55"/>
      <c r="I1" s="55"/>
      <c r="J1" s="55"/>
      <c r="K1" s="55"/>
      <c r="L1" s="55"/>
      <c r="M1" s="64"/>
      <c r="N1" s="64"/>
      <c r="Q1" s="55"/>
    </row>
    <row r="2" spans="1:26" x14ac:dyDescent="0.2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6" ht="38.25" x14ac:dyDescent="0.2">
      <c r="A3" s="103" t="s">
        <v>111</v>
      </c>
      <c r="B3" s="104"/>
      <c r="C3" s="56" t="s">
        <v>105</v>
      </c>
      <c r="D3" s="56" t="s">
        <v>101</v>
      </c>
      <c r="E3" s="56" t="s">
        <v>80</v>
      </c>
      <c r="F3" s="56" t="s">
        <v>81</v>
      </c>
      <c r="G3" s="56" t="s">
        <v>79</v>
      </c>
      <c r="H3" s="56" t="s">
        <v>82</v>
      </c>
      <c r="I3" s="56" t="s">
        <v>83</v>
      </c>
      <c r="J3" s="56" t="s">
        <v>74</v>
      </c>
      <c r="K3" s="56" t="s">
        <v>75</v>
      </c>
      <c r="L3" s="56" t="s">
        <v>76</v>
      </c>
      <c r="M3" s="57" t="s">
        <v>77</v>
      </c>
      <c r="N3" s="57" t="s">
        <v>78</v>
      </c>
      <c r="O3" s="52" t="s">
        <v>84</v>
      </c>
      <c r="P3" s="52" t="s">
        <v>85</v>
      </c>
      <c r="Q3" s="56" t="s">
        <v>86</v>
      </c>
      <c r="R3" s="52" t="s">
        <v>100</v>
      </c>
      <c r="S3" s="52" t="s">
        <v>132</v>
      </c>
      <c r="U3" s="56" t="s">
        <v>97</v>
      </c>
      <c r="V3" s="52" t="s">
        <v>93</v>
      </c>
      <c r="W3" s="52" t="s">
        <v>94</v>
      </c>
      <c r="X3" s="54" t="s">
        <v>98</v>
      </c>
    </row>
    <row r="4" spans="1:26" x14ac:dyDescent="0.2">
      <c r="A4" s="88" t="s">
        <v>106</v>
      </c>
      <c r="B4" s="89"/>
      <c r="C4" s="65" t="s">
        <v>134</v>
      </c>
      <c r="D4" s="67">
        <v>585</v>
      </c>
      <c r="E4" s="59">
        <v>80</v>
      </c>
      <c r="F4" s="60">
        <v>60</v>
      </c>
      <c r="G4" s="52">
        <v>1.2</v>
      </c>
      <c r="H4" s="61">
        <v>105</v>
      </c>
      <c r="I4" s="62">
        <v>75</v>
      </c>
      <c r="J4" s="63" t="s">
        <v>99</v>
      </c>
      <c r="K4" s="63" t="s">
        <v>141</v>
      </c>
      <c r="L4" s="52">
        <v>16</v>
      </c>
      <c r="M4" s="53">
        <f>(((E4+F4)/G4))-L4</f>
        <v>100.66666666666667</v>
      </c>
      <c r="N4" s="53">
        <f>(((H4+I4))/G4)-L4</f>
        <v>134</v>
      </c>
      <c r="O4" s="58">
        <f>M4/N4</f>
        <v>0.75124378109452739</v>
      </c>
      <c r="P4" s="58">
        <f>O4^1.3</f>
        <v>0.68946965517384506</v>
      </c>
      <c r="Q4" s="85">
        <f>D4*P4*0.967</f>
        <v>390.0295365835683</v>
      </c>
      <c r="R4" s="52">
        <v>3</v>
      </c>
      <c r="S4" s="82">
        <f>R4*Q4</f>
        <v>1170.088609750705</v>
      </c>
      <c r="U4" s="81" t="s">
        <v>89</v>
      </c>
      <c r="V4" s="81">
        <v>7.06</v>
      </c>
      <c r="W4" s="81">
        <v>821</v>
      </c>
      <c r="X4" s="81">
        <f t="shared" ref="X4" si="0">W4*V4</f>
        <v>5796.2599999999993</v>
      </c>
      <c r="Z4" s="77"/>
    </row>
    <row r="5" spans="1:26" x14ac:dyDescent="0.2">
      <c r="A5" s="88" t="s">
        <v>106</v>
      </c>
      <c r="B5" s="89"/>
      <c r="C5" s="79" t="s">
        <v>135</v>
      </c>
      <c r="D5" s="67">
        <v>690</v>
      </c>
      <c r="E5" s="59">
        <v>80</v>
      </c>
      <c r="F5" s="60">
        <v>60</v>
      </c>
      <c r="G5" s="75">
        <v>1.2</v>
      </c>
      <c r="H5" s="61">
        <v>105</v>
      </c>
      <c r="I5" s="62">
        <v>75</v>
      </c>
      <c r="J5" s="63" t="s">
        <v>99</v>
      </c>
      <c r="K5" s="63" t="s">
        <v>141</v>
      </c>
      <c r="L5" s="81">
        <v>16</v>
      </c>
      <c r="M5" s="53">
        <f t="shared" ref="M5:M42" si="1">(((E5+F5)/G5))-L5</f>
        <v>100.66666666666667</v>
      </c>
      <c r="N5" s="53">
        <f t="shared" ref="N5:N42" si="2">(((H5+I5))/G5)-L5</f>
        <v>134</v>
      </c>
      <c r="O5" s="58">
        <f t="shared" ref="O5:O42" si="3">M5/N5</f>
        <v>0.75124378109452739</v>
      </c>
      <c r="P5" s="58">
        <f t="shared" ref="P5:P42" si="4">O5^1.3</f>
        <v>0.68946965517384506</v>
      </c>
      <c r="Q5" s="85">
        <f>D5*P5*0.967</f>
        <v>460.03483802164465</v>
      </c>
      <c r="R5" s="52">
        <v>10</v>
      </c>
      <c r="S5" s="82">
        <f t="shared" ref="S5:S41" si="5">R5*Q5</f>
        <v>4600.3483802164465</v>
      </c>
      <c r="U5" s="52" t="s">
        <v>89</v>
      </c>
      <c r="V5" s="52">
        <v>8.98</v>
      </c>
      <c r="W5" s="52">
        <v>1018</v>
      </c>
      <c r="X5" s="52">
        <f t="shared" ref="X5:X9" si="6">W5*V5</f>
        <v>9141.6400000000012</v>
      </c>
      <c r="Z5" s="77"/>
    </row>
    <row r="6" spans="1:26" x14ac:dyDescent="0.2">
      <c r="A6" s="88" t="s">
        <v>106</v>
      </c>
      <c r="B6" s="89"/>
      <c r="C6" s="79" t="s">
        <v>136</v>
      </c>
      <c r="D6" s="67">
        <v>855</v>
      </c>
      <c r="E6" s="59">
        <v>80</v>
      </c>
      <c r="F6" s="60">
        <v>60</v>
      </c>
      <c r="G6" s="75">
        <v>1.2</v>
      </c>
      <c r="H6" s="61">
        <v>105</v>
      </c>
      <c r="I6" s="62">
        <v>75</v>
      </c>
      <c r="J6" s="63" t="s">
        <v>99</v>
      </c>
      <c r="K6" s="63" t="s">
        <v>141</v>
      </c>
      <c r="L6" s="81">
        <v>16</v>
      </c>
      <c r="M6" s="53">
        <f t="shared" si="1"/>
        <v>100.66666666666667</v>
      </c>
      <c r="N6" s="53">
        <f t="shared" si="2"/>
        <v>134</v>
      </c>
      <c r="O6" s="58">
        <f t="shared" si="3"/>
        <v>0.75124378109452739</v>
      </c>
      <c r="P6" s="58">
        <f t="shared" si="4"/>
        <v>0.68946965517384506</v>
      </c>
      <c r="Q6" s="85">
        <f>D6*P6*0.967</f>
        <v>570.04316885290746</v>
      </c>
      <c r="R6" s="52">
        <v>19</v>
      </c>
      <c r="S6" s="82">
        <f t="shared" si="5"/>
        <v>10830.820208205241</v>
      </c>
      <c r="U6" s="52" t="s">
        <v>90</v>
      </c>
      <c r="V6" s="52">
        <v>10.220000000000001</v>
      </c>
      <c r="W6" s="52">
        <v>186</v>
      </c>
      <c r="X6" s="52">
        <f t="shared" si="6"/>
        <v>1900.92</v>
      </c>
      <c r="Z6" s="77"/>
    </row>
    <row r="7" spans="1:26" x14ac:dyDescent="0.2">
      <c r="A7" s="88" t="s">
        <v>106</v>
      </c>
      <c r="B7" s="89"/>
      <c r="C7" s="79" t="s">
        <v>137</v>
      </c>
      <c r="D7" s="67">
        <v>915</v>
      </c>
      <c r="E7" s="59">
        <v>80</v>
      </c>
      <c r="F7" s="60">
        <v>60</v>
      </c>
      <c r="G7" s="75">
        <v>1.2</v>
      </c>
      <c r="H7" s="61">
        <v>105</v>
      </c>
      <c r="I7" s="62">
        <v>75</v>
      </c>
      <c r="J7" s="63" t="s">
        <v>99</v>
      </c>
      <c r="K7" s="63" t="s">
        <v>141</v>
      </c>
      <c r="L7" s="81">
        <v>16</v>
      </c>
      <c r="M7" s="53">
        <f t="shared" si="1"/>
        <v>100.66666666666667</v>
      </c>
      <c r="N7" s="53">
        <f t="shared" si="2"/>
        <v>134</v>
      </c>
      <c r="O7" s="58">
        <f t="shared" si="3"/>
        <v>0.75124378109452739</v>
      </c>
      <c r="P7" s="58">
        <f t="shared" si="4"/>
        <v>0.68946965517384506</v>
      </c>
      <c r="Q7" s="85">
        <f>D7*P7*0.967</f>
        <v>610.04619824609392</v>
      </c>
      <c r="R7" s="52">
        <v>11</v>
      </c>
      <c r="S7" s="82">
        <f t="shared" si="5"/>
        <v>6710.5081807070328</v>
      </c>
      <c r="U7" s="52" t="s">
        <v>91</v>
      </c>
      <c r="V7" s="52">
        <v>12.29</v>
      </c>
      <c r="W7" s="52">
        <v>268</v>
      </c>
      <c r="X7" s="52">
        <f t="shared" si="6"/>
        <v>3293.72</v>
      </c>
      <c r="Z7" s="77"/>
    </row>
    <row r="8" spans="1:26" x14ac:dyDescent="0.2">
      <c r="A8" s="88" t="s">
        <v>106</v>
      </c>
      <c r="B8" s="89"/>
      <c r="C8" s="79" t="s">
        <v>138</v>
      </c>
      <c r="D8" s="67">
        <v>1035</v>
      </c>
      <c r="E8" s="59">
        <v>80</v>
      </c>
      <c r="F8" s="60">
        <v>60</v>
      </c>
      <c r="G8" s="75">
        <v>1.2</v>
      </c>
      <c r="H8" s="61">
        <v>105</v>
      </c>
      <c r="I8" s="62">
        <v>75</v>
      </c>
      <c r="J8" s="63" t="s">
        <v>99</v>
      </c>
      <c r="K8" s="63" t="s">
        <v>141</v>
      </c>
      <c r="L8" s="81">
        <v>16</v>
      </c>
      <c r="M8" s="53">
        <f t="shared" si="1"/>
        <v>100.66666666666667</v>
      </c>
      <c r="N8" s="53">
        <f t="shared" si="2"/>
        <v>134</v>
      </c>
      <c r="O8" s="58">
        <f t="shared" si="3"/>
        <v>0.75124378109452739</v>
      </c>
      <c r="P8" s="58">
        <f t="shared" si="4"/>
        <v>0.68946965517384506</v>
      </c>
      <c r="Q8" s="85">
        <f>D8*P8*0.967</f>
        <v>690.05225703246697</v>
      </c>
      <c r="R8" s="52">
        <v>10</v>
      </c>
      <c r="S8" s="82">
        <f t="shared" si="5"/>
        <v>6900.5225703246697</v>
      </c>
      <c r="U8" s="52" t="s">
        <v>92</v>
      </c>
      <c r="V8" s="52">
        <v>14.22</v>
      </c>
      <c r="W8" s="52">
        <v>250</v>
      </c>
      <c r="X8" s="52">
        <f t="shared" si="6"/>
        <v>3555</v>
      </c>
      <c r="Z8" s="77"/>
    </row>
    <row r="9" spans="1:26" x14ac:dyDescent="0.2">
      <c r="A9" s="88" t="s">
        <v>106</v>
      </c>
      <c r="B9" s="89"/>
      <c r="C9" s="79" t="s">
        <v>139</v>
      </c>
      <c r="D9" s="67">
        <v>1140</v>
      </c>
      <c r="E9" s="59">
        <v>80</v>
      </c>
      <c r="F9" s="60">
        <v>60</v>
      </c>
      <c r="G9" s="75">
        <v>1.2</v>
      </c>
      <c r="H9" s="61">
        <v>105</v>
      </c>
      <c r="I9" s="62">
        <v>75</v>
      </c>
      <c r="J9" s="63" t="s">
        <v>99</v>
      </c>
      <c r="K9" s="63" t="s">
        <v>141</v>
      </c>
      <c r="L9" s="81">
        <v>16</v>
      </c>
      <c r="M9" s="53">
        <f t="shared" si="1"/>
        <v>100.66666666666667</v>
      </c>
      <c r="N9" s="53">
        <f t="shared" si="2"/>
        <v>134</v>
      </c>
      <c r="O9" s="58">
        <f t="shared" si="3"/>
        <v>0.75124378109452739</v>
      </c>
      <c r="P9" s="58">
        <f t="shared" si="4"/>
        <v>0.68946965517384506</v>
      </c>
      <c r="Q9" s="85">
        <f>D9*P9*0.967</f>
        <v>760.0575584705432</v>
      </c>
      <c r="R9" s="52">
        <v>7</v>
      </c>
      <c r="S9" s="82">
        <f t="shared" si="5"/>
        <v>5320.4029092938026</v>
      </c>
      <c r="U9" s="52" t="s">
        <v>104</v>
      </c>
      <c r="V9" s="52">
        <v>21.64</v>
      </c>
      <c r="W9" s="52">
        <v>140</v>
      </c>
      <c r="X9" s="52">
        <f t="shared" si="6"/>
        <v>3029.6</v>
      </c>
      <c r="Z9" s="77"/>
    </row>
    <row r="10" spans="1:26" x14ac:dyDescent="0.2">
      <c r="A10" s="88" t="s">
        <v>112</v>
      </c>
      <c r="B10" s="89"/>
      <c r="C10" s="79" t="s">
        <v>107</v>
      </c>
      <c r="D10" s="67">
        <v>1758</v>
      </c>
      <c r="E10" s="59">
        <v>80</v>
      </c>
      <c r="F10" s="60">
        <v>60</v>
      </c>
      <c r="G10" s="81">
        <v>1.2</v>
      </c>
      <c r="H10" s="61">
        <v>90</v>
      </c>
      <c r="I10" s="62">
        <v>70</v>
      </c>
      <c r="J10" s="63" t="s">
        <v>99</v>
      </c>
      <c r="K10" s="63" t="s">
        <v>153</v>
      </c>
      <c r="L10" s="81">
        <v>20</v>
      </c>
      <c r="M10" s="53">
        <f t="shared" si="1"/>
        <v>96.666666666666671</v>
      </c>
      <c r="N10" s="53">
        <f t="shared" si="2"/>
        <v>113.33333333333334</v>
      </c>
      <c r="O10" s="58">
        <f t="shared" si="3"/>
        <v>0.8529411764705882</v>
      </c>
      <c r="P10" s="58">
        <f t="shared" si="4"/>
        <v>0.8131951974252265</v>
      </c>
      <c r="Q10" s="85">
        <f>D10*P10*0.96</f>
        <v>1372.4132707906062</v>
      </c>
      <c r="R10" s="52">
        <v>2</v>
      </c>
      <c r="S10" s="82">
        <f t="shared" si="5"/>
        <v>2744.8265415812125</v>
      </c>
      <c r="U10" s="52"/>
      <c r="V10" s="52"/>
      <c r="W10" s="52"/>
      <c r="X10" s="52"/>
      <c r="Z10" s="77"/>
    </row>
    <row r="11" spans="1:26" x14ac:dyDescent="0.2">
      <c r="A11" s="88" t="s">
        <v>112</v>
      </c>
      <c r="B11" s="89"/>
      <c r="C11" s="79" t="s">
        <v>108</v>
      </c>
      <c r="D11" s="67">
        <v>1893</v>
      </c>
      <c r="E11" s="59">
        <v>80</v>
      </c>
      <c r="F11" s="60">
        <v>60</v>
      </c>
      <c r="G11" s="81">
        <v>1.2</v>
      </c>
      <c r="H11" s="61">
        <v>90</v>
      </c>
      <c r="I11" s="62">
        <v>70</v>
      </c>
      <c r="J11" s="63" t="s">
        <v>99</v>
      </c>
      <c r="K11" s="63" t="s">
        <v>153</v>
      </c>
      <c r="L11" s="81">
        <v>20</v>
      </c>
      <c r="M11" s="53">
        <f t="shared" si="1"/>
        <v>96.666666666666671</v>
      </c>
      <c r="N11" s="53">
        <f t="shared" si="2"/>
        <v>113.33333333333334</v>
      </c>
      <c r="O11" s="58">
        <f t="shared" si="3"/>
        <v>0.8529411764705882</v>
      </c>
      <c r="P11" s="58">
        <f t="shared" si="4"/>
        <v>0.8131951974252265</v>
      </c>
      <c r="Q11" s="85">
        <f t="shared" ref="Q11:Q14" si="7">D11*P11*0.96</f>
        <v>1477.8033683769154</v>
      </c>
      <c r="R11" s="52">
        <v>8</v>
      </c>
      <c r="S11" s="82">
        <f t="shared" si="5"/>
        <v>11822.426947015323</v>
      </c>
      <c r="U11" s="52"/>
      <c r="V11" s="52"/>
      <c r="W11" s="52"/>
      <c r="X11" s="52"/>
      <c r="Z11" s="77"/>
    </row>
    <row r="12" spans="1:26" x14ac:dyDescent="0.2">
      <c r="A12" s="88" t="s">
        <v>112</v>
      </c>
      <c r="B12" s="89"/>
      <c r="C12" s="79" t="s">
        <v>109</v>
      </c>
      <c r="D12" s="67">
        <v>2163</v>
      </c>
      <c r="E12" s="59">
        <v>80</v>
      </c>
      <c r="F12" s="60">
        <v>60</v>
      </c>
      <c r="G12" s="81">
        <v>1.2</v>
      </c>
      <c r="H12" s="61">
        <v>90</v>
      </c>
      <c r="I12" s="62">
        <v>70</v>
      </c>
      <c r="J12" s="63" t="s">
        <v>99</v>
      </c>
      <c r="K12" s="63" t="s">
        <v>153</v>
      </c>
      <c r="L12" s="81">
        <v>20</v>
      </c>
      <c r="M12" s="53">
        <f t="shared" si="1"/>
        <v>96.666666666666671</v>
      </c>
      <c r="N12" s="53">
        <f t="shared" si="2"/>
        <v>113.33333333333334</v>
      </c>
      <c r="O12" s="58">
        <f t="shared" si="3"/>
        <v>0.8529411764705882</v>
      </c>
      <c r="P12" s="58">
        <f t="shared" si="4"/>
        <v>0.8131951974252265</v>
      </c>
      <c r="Q12" s="85">
        <f t="shared" si="7"/>
        <v>1688.5835635495343</v>
      </c>
      <c r="R12" s="52">
        <v>11</v>
      </c>
      <c r="S12" s="82">
        <f t="shared" si="5"/>
        <v>18574.419199044878</v>
      </c>
      <c r="U12" s="52"/>
      <c r="V12" s="76"/>
      <c r="W12" s="52"/>
      <c r="X12" s="52"/>
      <c r="Z12" s="77"/>
    </row>
    <row r="13" spans="1:26" x14ac:dyDescent="0.2">
      <c r="A13" s="88" t="s">
        <v>112</v>
      </c>
      <c r="B13" s="89"/>
      <c r="C13" s="79" t="s">
        <v>110</v>
      </c>
      <c r="D13" s="67">
        <v>2434</v>
      </c>
      <c r="E13" s="59">
        <v>80</v>
      </c>
      <c r="F13" s="60">
        <v>60</v>
      </c>
      <c r="G13" s="81">
        <v>1.2</v>
      </c>
      <c r="H13" s="61">
        <v>90</v>
      </c>
      <c r="I13" s="62">
        <v>70</v>
      </c>
      <c r="J13" s="63" t="s">
        <v>99</v>
      </c>
      <c r="K13" s="63" t="s">
        <v>153</v>
      </c>
      <c r="L13" s="81">
        <v>20</v>
      </c>
      <c r="M13" s="53">
        <f t="shared" si="1"/>
        <v>96.666666666666671</v>
      </c>
      <c r="N13" s="53">
        <f t="shared" si="2"/>
        <v>113.33333333333334</v>
      </c>
      <c r="O13" s="58">
        <f t="shared" si="3"/>
        <v>0.8529411764705882</v>
      </c>
      <c r="P13" s="58">
        <f t="shared" si="4"/>
        <v>0.8131951974252265</v>
      </c>
      <c r="Q13" s="85">
        <f t="shared" si="7"/>
        <v>1900.1444261116812</v>
      </c>
      <c r="R13" s="52">
        <v>12</v>
      </c>
      <c r="S13" s="82">
        <f t="shared" si="5"/>
        <v>22801.733113340175</v>
      </c>
      <c r="U13" s="1"/>
      <c r="V13" s="1"/>
      <c r="W13" s="1"/>
      <c r="X13" s="78">
        <f>SUM(X4:X12)</f>
        <v>26717.14</v>
      </c>
      <c r="Z13" s="77"/>
    </row>
    <row r="14" spans="1:26" x14ac:dyDescent="0.2">
      <c r="A14" s="88" t="s">
        <v>114</v>
      </c>
      <c r="B14" s="89"/>
      <c r="C14" s="79" t="s">
        <v>113</v>
      </c>
      <c r="D14" s="67">
        <v>1406</v>
      </c>
      <c r="E14" s="59">
        <v>80</v>
      </c>
      <c r="F14" s="60">
        <v>60</v>
      </c>
      <c r="G14" s="81">
        <v>1.2</v>
      </c>
      <c r="H14" s="61">
        <v>90</v>
      </c>
      <c r="I14" s="62">
        <v>70</v>
      </c>
      <c r="J14" s="63" t="s">
        <v>99</v>
      </c>
      <c r="K14" s="63" t="s">
        <v>153</v>
      </c>
      <c r="L14" s="81">
        <v>20</v>
      </c>
      <c r="M14" s="53">
        <f t="shared" si="1"/>
        <v>96.666666666666671</v>
      </c>
      <c r="N14" s="53">
        <f t="shared" si="2"/>
        <v>113.33333333333334</v>
      </c>
      <c r="O14" s="58">
        <f t="shared" si="3"/>
        <v>0.8529411764705882</v>
      </c>
      <c r="P14" s="58">
        <f t="shared" si="4"/>
        <v>0.8131951974252265</v>
      </c>
      <c r="Q14" s="85">
        <f t="shared" ref="Q14:Q31" si="8">D14*P14*0.995</f>
        <v>1137.6356853419693</v>
      </c>
      <c r="R14" s="52">
        <v>1</v>
      </c>
      <c r="S14" s="82">
        <f t="shared" si="5"/>
        <v>1137.6356853419693</v>
      </c>
      <c r="X14" s="1"/>
      <c r="Z14" s="77"/>
    </row>
    <row r="15" spans="1:26" x14ac:dyDescent="0.2">
      <c r="A15" s="88" t="s">
        <v>114</v>
      </c>
      <c r="B15" s="89"/>
      <c r="C15" s="79" t="s">
        <v>115</v>
      </c>
      <c r="D15" s="67">
        <v>1635</v>
      </c>
      <c r="E15" s="59">
        <v>80</v>
      </c>
      <c r="F15" s="60">
        <v>60</v>
      </c>
      <c r="G15" s="81">
        <v>1.2</v>
      </c>
      <c r="H15" s="61">
        <v>90</v>
      </c>
      <c r="I15" s="62">
        <v>70</v>
      </c>
      <c r="J15" s="63" t="s">
        <v>99</v>
      </c>
      <c r="K15" s="63" t="s">
        <v>153</v>
      </c>
      <c r="L15" s="81">
        <v>20</v>
      </c>
      <c r="M15" s="53">
        <f t="shared" si="1"/>
        <v>96.666666666666671</v>
      </c>
      <c r="N15" s="53">
        <f t="shared" si="2"/>
        <v>113.33333333333334</v>
      </c>
      <c r="O15" s="58">
        <f t="shared" si="3"/>
        <v>0.8529411764705882</v>
      </c>
      <c r="P15" s="58">
        <f t="shared" si="4"/>
        <v>0.8131951974252265</v>
      </c>
      <c r="Q15" s="85">
        <f t="shared" si="8"/>
        <v>1322.9262770512942</v>
      </c>
      <c r="R15" s="52">
        <v>4</v>
      </c>
      <c r="S15" s="82">
        <f t="shared" si="5"/>
        <v>5291.7051082051767</v>
      </c>
      <c r="X15" s="1"/>
      <c r="Z15" s="77"/>
    </row>
    <row r="16" spans="1:26" x14ac:dyDescent="0.2">
      <c r="A16" s="88" t="s">
        <v>114</v>
      </c>
      <c r="B16" s="89"/>
      <c r="C16" s="79" t="s">
        <v>117</v>
      </c>
      <c r="D16" s="67">
        <v>1584</v>
      </c>
      <c r="E16" s="59">
        <v>80</v>
      </c>
      <c r="F16" s="60">
        <v>60</v>
      </c>
      <c r="G16" s="81">
        <v>1.2</v>
      </c>
      <c r="H16" s="61">
        <v>90</v>
      </c>
      <c r="I16" s="62">
        <v>70</v>
      </c>
      <c r="J16" s="63" t="s">
        <v>99</v>
      </c>
      <c r="K16" s="63" t="s">
        <v>153</v>
      </c>
      <c r="L16" s="81">
        <v>20</v>
      </c>
      <c r="M16" s="53">
        <f t="shared" si="1"/>
        <v>96.666666666666671</v>
      </c>
      <c r="N16" s="53">
        <f t="shared" si="2"/>
        <v>113.33333333333334</v>
      </c>
      <c r="O16" s="58">
        <f t="shared" si="3"/>
        <v>0.8529411764705882</v>
      </c>
      <c r="P16" s="58">
        <f t="shared" si="4"/>
        <v>0.8131951974252265</v>
      </c>
      <c r="Q16" s="85">
        <f t="shared" si="8"/>
        <v>1281.660686757951</v>
      </c>
      <c r="R16" s="52">
        <v>3</v>
      </c>
      <c r="S16" s="82">
        <f t="shared" si="5"/>
        <v>3844.9820602738528</v>
      </c>
      <c r="U16" s="1"/>
      <c r="V16" s="68"/>
      <c r="W16" s="84">
        <f>X13</f>
        <v>26717.14</v>
      </c>
      <c r="X16" s="69"/>
      <c r="Z16" s="77"/>
    </row>
    <row r="17" spans="1:26" x14ac:dyDescent="0.2">
      <c r="A17" s="88" t="s">
        <v>114</v>
      </c>
      <c r="B17" s="89"/>
      <c r="C17" s="79" t="s">
        <v>118</v>
      </c>
      <c r="D17" s="67">
        <v>1848</v>
      </c>
      <c r="E17" s="59">
        <v>80</v>
      </c>
      <c r="F17" s="60">
        <v>60</v>
      </c>
      <c r="G17" s="81">
        <v>1.2</v>
      </c>
      <c r="H17" s="61">
        <v>90</v>
      </c>
      <c r="I17" s="62">
        <v>70</v>
      </c>
      <c r="J17" s="63" t="s">
        <v>99</v>
      </c>
      <c r="K17" s="63" t="s">
        <v>153</v>
      </c>
      <c r="L17" s="81">
        <v>20</v>
      </c>
      <c r="M17" s="53">
        <f t="shared" si="1"/>
        <v>96.666666666666671</v>
      </c>
      <c r="N17" s="53">
        <f t="shared" si="2"/>
        <v>113.33333333333334</v>
      </c>
      <c r="O17" s="58">
        <f t="shared" si="3"/>
        <v>0.8529411764705882</v>
      </c>
      <c r="P17" s="58">
        <f t="shared" si="4"/>
        <v>0.8131951974252265</v>
      </c>
      <c r="Q17" s="85">
        <f t="shared" si="8"/>
        <v>1495.2708012176095</v>
      </c>
      <c r="R17" s="52">
        <v>71</v>
      </c>
      <c r="S17" s="82">
        <f t="shared" si="5"/>
        <v>106164.22688645027</v>
      </c>
      <c r="U17" s="1"/>
      <c r="V17" s="70"/>
      <c r="W17" s="71">
        <f>W16/1163000</f>
        <v>2.2972605331040414E-2</v>
      </c>
      <c r="X17" s="71" t="s">
        <v>96</v>
      </c>
      <c r="Z17" s="77"/>
    </row>
    <row r="18" spans="1:26" x14ac:dyDescent="0.2">
      <c r="A18" s="88" t="s">
        <v>114</v>
      </c>
      <c r="B18" s="89"/>
      <c r="C18" s="79" t="s">
        <v>119</v>
      </c>
      <c r="D18" s="67">
        <v>1843</v>
      </c>
      <c r="E18" s="59">
        <v>80</v>
      </c>
      <c r="F18" s="60">
        <v>60</v>
      </c>
      <c r="G18" s="81">
        <v>1.2</v>
      </c>
      <c r="H18" s="61">
        <v>90</v>
      </c>
      <c r="I18" s="62">
        <v>70</v>
      </c>
      <c r="J18" s="63" t="s">
        <v>99</v>
      </c>
      <c r="K18" s="63" t="s">
        <v>153</v>
      </c>
      <c r="L18" s="81">
        <v>20</v>
      </c>
      <c r="M18" s="53">
        <f t="shared" si="1"/>
        <v>96.666666666666671</v>
      </c>
      <c r="N18" s="53">
        <f t="shared" si="2"/>
        <v>113.33333333333334</v>
      </c>
      <c r="O18" s="58">
        <f t="shared" si="3"/>
        <v>0.8529411764705882</v>
      </c>
      <c r="P18" s="58">
        <f t="shared" si="4"/>
        <v>0.8131951974252265</v>
      </c>
      <c r="Q18" s="85">
        <f t="shared" si="8"/>
        <v>1491.2251551104189</v>
      </c>
      <c r="R18" s="52">
        <v>2</v>
      </c>
      <c r="S18" s="82">
        <f t="shared" si="5"/>
        <v>2982.4503102208378</v>
      </c>
      <c r="U18" s="1"/>
      <c r="V18" s="1"/>
      <c r="W18" s="1"/>
      <c r="X18" s="1"/>
      <c r="Z18" s="77"/>
    </row>
    <row r="19" spans="1:26" x14ac:dyDescent="0.2">
      <c r="A19" s="88" t="s">
        <v>114</v>
      </c>
      <c r="B19" s="89"/>
      <c r="C19" s="79" t="s">
        <v>116</v>
      </c>
      <c r="D19" s="67">
        <v>2150</v>
      </c>
      <c r="E19" s="59">
        <v>80</v>
      </c>
      <c r="F19" s="60">
        <v>60</v>
      </c>
      <c r="G19" s="81">
        <v>1.2</v>
      </c>
      <c r="H19" s="61">
        <v>90</v>
      </c>
      <c r="I19" s="62">
        <v>70</v>
      </c>
      <c r="J19" s="63" t="s">
        <v>99</v>
      </c>
      <c r="K19" s="63" t="s">
        <v>153</v>
      </c>
      <c r="L19" s="81">
        <v>20</v>
      </c>
      <c r="M19" s="53">
        <f t="shared" si="1"/>
        <v>96.666666666666671</v>
      </c>
      <c r="N19" s="53">
        <f t="shared" si="2"/>
        <v>113.33333333333334</v>
      </c>
      <c r="O19" s="58">
        <f t="shared" si="3"/>
        <v>0.8529411764705882</v>
      </c>
      <c r="P19" s="58">
        <f t="shared" si="4"/>
        <v>0.8131951974252265</v>
      </c>
      <c r="Q19" s="85">
        <f t="shared" si="8"/>
        <v>1739.6278260919159</v>
      </c>
      <c r="R19" s="52">
        <v>26</v>
      </c>
      <c r="S19" s="82">
        <f t="shared" si="5"/>
        <v>45230.323478389815</v>
      </c>
      <c r="U19" s="1"/>
      <c r="V19" s="1"/>
      <c r="W19" s="1"/>
      <c r="X19" s="1"/>
      <c r="Z19" s="77"/>
    </row>
    <row r="20" spans="1:26" x14ac:dyDescent="0.2">
      <c r="A20" s="88" t="s">
        <v>114</v>
      </c>
      <c r="B20" s="89"/>
      <c r="C20" s="79" t="s">
        <v>120</v>
      </c>
      <c r="D20" s="67">
        <v>2765</v>
      </c>
      <c r="E20" s="59">
        <v>80</v>
      </c>
      <c r="F20" s="60">
        <v>60</v>
      </c>
      <c r="G20" s="81">
        <v>1.2</v>
      </c>
      <c r="H20" s="61">
        <v>90</v>
      </c>
      <c r="I20" s="62">
        <v>70</v>
      </c>
      <c r="J20" s="63" t="s">
        <v>99</v>
      </c>
      <c r="K20" s="63" t="s">
        <v>153</v>
      </c>
      <c r="L20" s="81">
        <v>20</v>
      </c>
      <c r="M20" s="53">
        <f t="shared" si="1"/>
        <v>96.666666666666671</v>
      </c>
      <c r="N20" s="53">
        <f t="shared" si="2"/>
        <v>113.33333333333334</v>
      </c>
      <c r="O20" s="58">
        <f t="shared" si="3"/>
        <v>0.8529411764705882</v>
      </c>
      <c r="P20" s="58">
        <f t="shared" si="4"/>
        <v>0.8131951974252265</v>
      </c>
      <c r="Q20" s="85">
        <f t="shared" si="8"/>
        <v>2237.2422972763475</v>
      </c>
      <c r="R20" s="52">
        <v>1</v>
      </c>
      <c r="S20" s="82">
        <f t="shared" si="5"/>
        <v>2237.2422972763475</v>
      </c>
      <c r="X20" s="1"/>
      <c r="Z20" s="77"/>
    </row>
    <row r="21" spans="1:26" x14ac:dyDescent="0.2">
      <c r="A21" s="88" t="s">
        <v>114</v>
      </c>
      <c r="B21" s="89"/>
      <c r="C21" s="79" t="s">
        <v>121</v>
      </c>
      <c r="D21" s="67">
        <v>2106</v>
      </c>
      <c r="E21" s="59">
        <v>80</v>
      </c>
      <c r="F21" s="60">
        <v>60</v>
      </c>
      <c r="G21" s="81">
        <v>1.2</v>
      </c>
      <c r="H21" s="61">
        <v>90</v>
      </c>
      <c r="I21" s="62">
        <v>70</v>
      </c>
      <c r="J21" s="63" t="s">
        <v>99</v>
      </c>
      <c r="K21" s="63" t="s">
        <v>153</v>
      </c>
      <c r="L21" s="81">
        <v>20</v>
      </c>
      <c r="M21" s="53">
        <f t="shared" si="1"/>
        <v>96.666666666666671</v>
      </c>
      <c r="N21" s="53">
        <f t="shared" si="2"/>
        <v>113.33333333333334</v>
      </c>
      <c r="O21" s="58">
        <f t="shared" si="3"/>
        <v>0.8529411764705882</v>
      </c>
      <c r="P21" s="58">
        <f t="shared" si="4"/>
        <v>0.8131951974252265</v>
      </c>
      <c r="Q21" s="85">
        <f t="shared" si="8"/>
        <v>1704.0261403486395</v>
      </c>
      <c r="R21" s="52">
        <v>1</v>
      </c>
      <c r="S21" s="82">
        <f t="shared" si="5"/>
        <v>1704.0261403486395</v>
      </c>
      <c r="Z21" s="77"/>
    </row>
    <row r="22" spans="1:26" x14ac:dyDescent="0.2">
      <c r="A22" s="88" t="s">
        <v>114</v>
      </c>
      <c r="B22" s="89"/>
      <c r="C22" s="79" t="s">
        <v>122</v>
      </c>
      <c r="D22" s="67">
        <v>2528</v>
      </c>
      <c r="E22" s="59">
        <v>80</v>
      </c>
      <c r="F22" s="60">
        <v>60</v>
      </c>
      <c r="G22" s="81">
        <v>1.2</v>
      </c>
      <c r="H22" s="61">
        <v>90</v>
      </c>
      <c r="I22" s="62">
        <v>70</v>
      </c>
      <c r="J22" s="63" t="s">
        <v>99</v>
      </c>
      <c r="K22" s="63" t="s">
        <v>153</v>
      </c>
      <c r="L22" s="81">
        <v>20</v>
      </c>
      <c r="M22" s="53">
        <f t="shared" si="1"/>
        <v>96.666666666666671</v>
      </c>
      <c r="N22" s="53">
        <f t="shared" si="2"/>
        <v>113.33333333333334</v>
      </c>
      <c r="O22" s="58">
        <f t="shared" si="3"/>
        <v>0.8529411764705882</v>
      </c>
      <c r="P22" s="58">
        <f t="shared" si="4"/>
        <v>0.8131951974252265</v>
      </c>
      <c r="Q22" s="85">
        <f t="shared" si="8"/>
        <v>2045.4786717955178</v>
      </c>
      <c r="R22" s="52">
        <v>13</v>
      </c>
      <c r="S22" s="82">
        <f t="shared" si="5"/>
        <v>26591.222733341732</v>
      </c>
      <c r="T22" s="1"/>
      <c r="U22" s="1"/>
      <c r="Z22" s="77"/>
    </row>
    <row r="23" spans="1:26" x14ac:dyDescent="0.2">
      <c r="A23" s="88" t="s">
        <v>114</v>
      </c>
      <c r="B23" s="89"/>
      <c r="C23" s="79" t="s">
        <v>123</v>
      </c>
      <c r="D23" s="67">
        <v>3720</v>
      </c>
      <c r="E23" s="59">
        <v>80</v>
      </c>
      <c r="F23" s="60">
        <v>60</v>
      </c>
      <c r="G23" s="81">
        <v>1.2</v>
      </c>
      <c r="H23" s="61">
        <v>90</v>
      </c>
      <c r="I23" s="62">
        <v>70</v>
      </c>
      <c r="J23" s="63" t="s">
        <v>99</v>
      </c>
      <c r="K23" s="63" t="s">
        <v>153</v>
      </c>
      <c r="L23" s="81">
        <v>20</v>
      </c>
      <c r="M23" s="53">
        <f t="shared" ref="M23" si="9">(((E23+F23)/G23))-L23</f>
        <v>96.666666666666671</v>
      </c>
      <c r="N23" s="53">
        <f t="shared" ref="N23" si="10">(((H23+I23))/G23)-L23</f>
        <v>113.33333333333334</v>
      </c>
      <c r="O23" s="58">
        <f t="shared" ref="O23" si="11">M23/N23</f>
        <v>0.8529411764705882</v>
      </c>
      <c r="P23" s="58">
        <f t="shared" ref="P23" si="12">O23^1.3</f>
        <v>0.8131951974252265</v>
      </c>
      <c r="Q23" s="85">
        <f t="shared" si="8"/>
        <v>3009.9607037497331</v>
      </c>
      <c r="R23" s="73">
        <v>29</v>
      </c>
      <c r="S23" s="82">
        <f t="shared" ref="S23" si="13">R23*Q23</f>
        <v>87288.860408742257</v>
      </c>
      <c r="T23" s="72"/>
      <c r="U23" s="72"/>
      <c r="Z23" s="77"/>
    </row>
    <row r="24" spans="1:26" x14ac:dyDescent="0.2">
      <c r="A24" s="88" t="s">
        <v>114</v>
      </c>
      <c r="B24" s="89"/>
      <c r="C24" s="79" t="s">
        <v>133</v>
      </c>
      <c r="D24" s="67">
        <v>3697</v>
      </c>
      <c r="E24" s="59">
        <v>80</v>
      </c>
      <c r="F24" s="60">
        <v>60</v>
      </c>
      <c r="G24" s="81">
        <v>1.2</v>
      </c>
      <c r="H24" s="61">
        <v>90</v>
      </c>
      <c r="I24" s="62">
        <v>70</v>
      </c>
      <c r="J24" s="63" t="s">
        <v>99</v>
      </c>
      <c r="K24" s="63" t="s">
        <v>153</v>
      </c>
      <c r="L24" s="81">
        <v>20</v>
      </c>
      <c r="M24" s="53">
        <f t="shared" ref="M24" si="14">(((E24+F24)/G24))-L24</f>
        <v>96.666666666666671</v>
      </c>
      <c r="N24" s="53">
        <f t="shared" ref="N24" si="15">(((H24+I24))/G24)-L24</f>
        <v>113.33333333333334</v>
      </c>
      <c r="O24" s="58">
        <f t="shared" ref="O24" si="16">M24/N24</f>
        <v>0.8529411764705882</v>
      </c>
      <c r="P24" s="58">
        <f t="shared" ref="P24" si="17">O24^1.3</f>
        <v>0.8131951974252265</v>
      </c>
      <c r="Q24" s="85">
        <f t="shared" si="8"/>
        <v>2991.350731656657</v>
      </c>
      <c r="R24" s="81">
        <v>2</v>
      </c>
      <c r="S24" s="82">
        <f t="shared" ref="S24" si="18">R24*Q24</f>
        <v>5982.701463313314</v>
      </c>
      <c r="T24" s="80"/>
      <c r="U24" s="80"/>
      <c r="Z24" s="77"/>
    </row>
    <row r="25" spans="1:26" x14ac:dyDescent="0.2">
      <c r="A25" s="88" t="s">
        <v>114</v>
      </c>
      <c r="B25" s="89"/>
      <c r="C25" s="79" t="s">
        <v>124</v>
      </c>
      <c r="D25" s="67">
        <v>449</v>
      </c>
      <c r="E25" s="59">
        <v>80</v>
      </c>
      <c r="F25" s="60">
        <v>60</v>
      </c>
      <c r="G25" s="81">
        <v>1.2</v>
      </c>
      <c r="H25" s="61">
        <v>90</v>
      </c>
      <c r="I25" s="62">
        <v>70</v>
      </c>
      <c r="J25" s="63" t="s">
        <v>99</v>
      </c>
      <c r="K25" s="63" t="s">
        <v>153</v>
      </c>
      <c r="L25" s="81">
        <v>20</v>
      </c>
      <c r="M25" s="53">
        <f t="shared" si="1"/>
        <v>96.666666666666671</v>
      </c>
      <c r="N25" s="53">
        <f t="shared" si="2"/>
        <v>113.33333333333334</v>
      </c>
      <c r="O25" s="58">
        <f t="shared" si="3"/>
        <v>0.8529411764705882</v>
      </c>
      <c r="P25" s="58">
        <f t="shared" si="4"/>
        <v>0.8131951974252265</v>
      </c>
      <c r="Q25" s="85">
        <f>D25*P25*0.92</f>
        <v>335.91467215241255</v>
      </c>
      <c r="R25" s="52">
        <v>1</v>
      </c>
      <c r="S25" s="82">
        <f t="shared" si="5"/>
        <v>335.91467215241255</v>
      </c>
      <c r="T25" s="1"/>
      <c r="Z25" s="77"/>
    </row>
    <row r="26" spans="1:26" x14ac:dyDescent="0.2">
      <c r="A26" s="88" t="s">
        <v>114</v>
      </c>
      <c r="B26" s="89"/>
      <c r="C26" s="79" t="s">
        <v>125</v>
      </c>
      <c r="D26" s="67">
        <v>699</v>
      </c>
      <c r="E26" s="59">
        <v>80</v>
      </c>
      <c r="F26" s="60">
        <v>60</v>
      </c>
      <c r="G26" s="81">
        <v>1.2</v>
      </c>
      <c r="H26" s="61">
        <v>90</v>
      </c>
      <c r="I26" s="62">
        <v>70</v>
      </c>
      <c r="J26" s="63" t="s">
        <v>99</v>
      </c>
      <c r="K26" s="63" t="s">
        <v>153</v>
      </c>
      <c r="L26" s="81">
        <v>20</v>
      </c>
      <c r="M26" s="53">
        <f t="shared" si="1"/>
        <v>96.666666666666671</v>
      </c>
      <c r="N26" s="53">
        <f t="shared" si="2"/>
        <v>113.33333333333334</v>
      </c>
      <c r="O26" s="58">
        <f t="shared" si="3"/>
        <v>0.8529411764705882</v>
      </c>
      <c r="P26" s="58">
        <f t="shared" si="4"/>
        <v>0.8131951974252265</v>
      </c>
      <c r="Q26" s="85">
        <f t="shared" ref="Q26:Q31" si="19">D26*P26*0.92</f>
        <v>522.94956756021463</v>
      </c>
      <c r="R26" s="52">
        <v>1</v>
      </c>
      <c r="S26" s="82">
        <f t="shared" si="5"/>
        <v>522.94956756021463</v>
      </c>
      <c r="T26" s="1"/>
      <c r="U26" s="1"/>
      <c r="Z26" s="77"/>
    </row>
    <row r="27" spans="1:26" x14ac:dyDescent="0.2">
      <c r="A27" s="88" t="s">
        <v>114</v>
      </c>
      <c r="B27" s="89"/>
      <c r="C27" s="79" t="s">
        <v>126</v>
      </c>
      <c r="D27" s="67">
        <v>1177</v>
      </c>
      <c r="E27" s="59">
        <v>80</v>
      </c>
      <c r="F27" s="60">
        <v>60</v>
      </c>
      <c r="G27" s="81">
        <v>1.2</v>
      </c>
      <c r="H27" s="61">
        <v>90</v>
      </c>
      <c r="I27" s="62">
        <v>70</v>
      </c>
      <c r="J27" s="63" t="s">
        <v>99</v>
      </c>
      <c r="K27" s="63" t="s">
        <v>153</v>
      </c>
      <c r="L27" s="81">
        <v>20</v>
      </c>
      <c r="M27" s="53">
        <f t="shared" si="1"/>
        <v>96.666666666666671</v>
      </c>
      <c r="N27" s="53">
        <f t="shared" si="2"/>
        <v>113.33333333333334</v>
      </c>
      <c r="O27" s="58">
        <f t="shared" si="3"/>
        <v>0.8529411764705882</v>
      </c>
      <c r="P27" s="58">
        <f t="shared" si="4"/>
        <v>0.8131951974252265</v>
      </c>
      <c r="Q27" s="85">
        <f t="shared" si="19"/>
        <v>880.56028757993226</v>
      </c>
      <c r="R27" s="52">
        <v>1</v>
      </c>
      <c r="S27" s="82">
        <f t="shared" si="5"/>
        <v>880.56028757993226</v>
      </c>
      <c r="T27" s="1"/>
      <c r="U27" s="1"/>
      <c r="Z27" s="77"/>
    </row>
    <row r="28" spans="1:26" x14ac:dyDescent="0.2">
      <c r="A28" s="88" t="s">
        <v>114</v>
      </c>
      <c r="B28" s="89"/>
      <c r="C28" s="79" t="s">
        <v>127</v>
      </c>
      <c r="D28" s="67">
        <v>2084</v>
      </c>
      <c r="E28" s="59">
        <v>80</v>
      </c>
      <c r="F28" s="60">
        <v>60</v>
      </c>
      <c r="G28" s="81">
        <v>1.2</v>
      </c>
      <c r="H28" s="61">
        <v>90</v>
      </c>
      <c r="I28" s="62">
        <v>70</v>
      </c>
      <c r="J28" s="63" t="s">
        <v>99</v>
      </c>
      <c r="K28" s="63" t="s">
        <v>153</v>
      </c>
      <c r="L28" s="81">
        <v>20</v>
      </c>
      <c r="M28" s="53">
        <f t="shared" si="1"/>
        <v>96.666666666666671</v>
      </c>
      <c r="N28" s="53">
        <f t="shared" si="2"/>
        <v>113.33333333333334</v>
      </c>
      <c r="O28" s="58">
        <f t="shared" si="3"/>
        <v>0.8529411764705882</v>
      </c>
      <c r="P28" s="58">
        <f t="shared" si="4"/>
        <v>0.8131951974252265</v>
      </c>
      <c r="Q28" s="85">
        <f t="shared" si="19"/>
        <v>1559.1228881194384</v>
      </c>
      <c r="R28" s="52">
        <v>1</v>
      </c>
      <c r="S28" s="82">
        <f t="shared" si="5"/>
        <v>1559.1228881194384</v>
      </c>
      <c r="T28" s="1"/>
      <c r="U28" s="1"/>
      <c r="Z28" s="77"/>
    </row>
    <row r="29" spans="1:26" x14ac:dyDescent="0.2">
      <c r="A29" s="88" t="s">
        <v>114</v>
      </c>
      <c r="B29" s="89"/>
      <c r="C29" s="79" t="s">
        <v>128</v>
      </c>
      <c r="D29" s="67">
        <v>1597</v>
      </c>
      <c r="E29" s="59">
        <v>80</v>
      </c>
      <c r="F29" s="60">
        <v>60</v>
      </c>
      <c r="G29" s="81">
        <v>1.2</v>
      </c>
      <c r="H29" s="61">
        <v>90</v>
      </c>
      <c r="I29" s="62">
        <v>70</v>
      </c>
      <c r="J29" s="63" t="s">
        <v>99</v>
      </c>
      <c r="K29" s="63" t="s">
        <v>153</v>
      </c>
      <c r="L29" s="81">
        <v>20</v>
      </c>
      <c r="M29" s="53">
        <f>(((E29+F29)/G29))-L29</f>
        <v>96.666666666666671</v>
      </c>
      <c r="N29" s="53">
        <f>(((H29+I29))/G29)-L29</f>
        <v>113.33333333333334</v>
      </c>
      <c r="O29" s="58">
        <f t="shared" si="3"/>
        <v>0.8529411764705882</v>
      </c>
      <c r="P29" s="58">
        <f>O29^1.3</f>
        <v>0.8131951974252265</v>
      </c>
      <c r="Q29" s="85">
        <f t="shared" si="19"/>
        <v>1194.7789118650398</v>
      </c>
      <c r="R29" s="52">
        <v>2</v>
      </c>
      <c r="S29" s="82">
        <f>R29*Q29</f>
        <v>2389.5578237300797</v>
      </c>
      <c r="T29" s="1"/>
      <c r="U29" s="1"/>
      <c r="Z29" s="77"/>
    </row>
    <row r="30" spans="1:26" x14ac:dyDescent="0.2">
      <c r="A30" s="88" t="s">
        <v>114</v>
      </c>
      <c r="B30" s="89"/>
      <c r="C30" s="79" t="s">
        <v>129</v>
      </c>
      <c r="D30" s="67">
        <v>1728</v>
      </c>
      <c r="E30" s="59">
        <v>80</v>
      </c>
      <c r="F30" s="60">
        <v>60</v>
      </c>
      <c r="G30" s="81">
        <v>1.2</v>
      </c>
      <c r="H30" s="61">
        <v>90</v>
      </c>
      <c r="I30" s="62">
        <v>70</v>
      </c>
      <c r="J30" s="63" t="s">
        <v>99</v>
      </c>
      <c r="K30" s="63" t="s">
        <v>153</v>
      </c>
      <c r="L30" s="81">
        <v>20</v>
      </c>
      <c r="M30" s="53">
        <f t="shared" si="1"/>
        <v>96.666666666666671</v>
      </c>
      <c r="N30" s="53">
        <f t="shared" si="2"/>
        <v>113.33333333333334</v>
      </c>
      <c r="O30" s="58">
        <f t="shared" si="3"/>
        <v>0.8529411764705882</v>
      </c>
      <c r="P30" s="58">
        <f t="shared" si="4"/>
        <v>0.8131951974252265</v>
      </c>
      <c r="Q30" s="85">
        <f t="shared" si="19"/>
        <v>1292.785197058728</v>
      </c>
      <c r="R30" s="52">
        <v>2</v>
      </c>
      <c r="S30" s="82">
        <f t="shared" si="5"/>
        <v>2585.5703941174561</v>
      </c>
      <c r="T30" s="1"/>
      <c r="U30" s="1"/>
      <c r="Z30" s="77"/>
    </row>
    <row r="31" spans="1:26" x14ac:dyDescent="0.2">
      <c r="A31" s="88" t="s">
        <v>114</v>
      </c>
      <c r="B31" s="89"/>
      <c r="C31" s="79" t="s">
        <v>130</v>
      </c>
      <c r="D31" s="67">
        <v>2059</v>
      </c>
      <c r="E31" s="59">
        <v>80</v>
      </c>
      <c r="F31" s="60">
        <v>60</v>
      </c>
      <c r="G31" s="81">
        <v>1.2</v>
      </c>
      <c r="H31" s="61">
        <v>90</v>
      </c>
      <c r="I31" s="62">
        <v>70</v>
      </c>
      <c r="J31" s="63" t="s">
        <v>99</v>
      </c>
      <c r="K31" s="63" t="s">
        <v>153</v>
      </c>
      <c r="L31" s="81">
        <v>20</v>
      </c>
      <c r="M31" s="53">
        <f t="shared" si="1"/>
        <v>96.666666666666671</v>
      </c>
      <c r="N31" s="53">
        <f t="shared" si="2"/>
        <v>113.33333333333334</v>
      </c>
      <c r="O31" s="58">
        <f t="shared" si="3"/>
        <v>0.8529411764705882</v>
      </c>
      <c r="P31" s="58">
        <f t="shared" si="4"/>
        <v>0.8131951974252265</v>
      </c>
      <c r="Q31" s="85">
        <f t="shared" si="19"/>
        <v>1540.419398578658</v>
      </c>
      <c r="R31" s="52">
        <v>3</v>
      </c>
      <c r="S31" s="82">
        <f t="shared" si="5"/>
        <v>4621.2581957359744</v>
      </c>
      <c r="T31" s="1"/>
      <c r="U31" s="1"/>
      <c r="Z31" s="77"/>
    </row>
    <row r="32" spans="1:26" x14ac:dyDescent="0.2">
      <c r="A32" s="88" t="s">
        <v>131</v>
      </c>
      <c r="B32" s="89"/>
      <c r="C32" s="65" t="s">
        <v>142</v>
      </c>
      <c r="D32" s="67">
        <v>1344</v>
      </c>
      <c r="E32" s="59">
        <v>80</v>
      </c>
      <c r="F32" s="60">
        <v>60</v>
      </c>
      <c r="G32" s="75">
        <v>1.2</v>
      </c>
      <c r="H32" s="61">
        <v>105</v>
      </c>
      <c r="I32" s="62">
        <v>75</v>
      </c>
      <c r="J32" s="63" t="s">
        <v>99</v>
      </c>
      <c r="K32" s="63" t="s">
        <v>141</v>
      </c>
      <c r="L32" s="81">
        <v>20</v>
      </c>
      <c r="M32" s="53">
        <f t="shared" si="1"/>
        <v>96.666666666666671</v>
      </c>
      <c r="N32" s="53">
        <f t="shared" si="2"/>
        <v>130</v>
      </c>
      <c r="O32" s="58">
        <f t="shared" si="3"/>
        <v>0.74358974358974361</v>
      </c>
      <c r="P32" s="58">
        <f>O32^1.3</f>
        <v>0.68035159634731746</v>
      </c>
      <c r="Q32" s="85">
        <f>D32*P32*0.99</f>
        <v>905.24862003588669</v>
      </c>
      <c r="R32" s="52">
        <v>1</v>
      </c>
      <c r="S32" s="82">
        <f t="shared" si="5"/>
        <v>905.24862003588669</v>
      </c>
      <c r="T32" s="1"/>
      <c r="U32" s="1"/>
      <c r="Z32" s="77"/>
    </row>
    <row r="33" spans="1:26" x14ac:dyDescent="0.2">
      <c r="A33" s="88" t="s">
        <v>131</v>
      </c>
      <c r="B33" s="89"/>
      <c r="C33" s="79" t="s">
        <v>143</v>
      </c>
      <c r="D33" s="67">
        <v>1536</v>
      </c>
      <c r="E33" s="59">
        <v>80</v>
      </c>
      <c r="F33" s="60">
        <v>60</v>
      </c>
      <c r="G33" s="75">
        <v>1.2</v>
      </c>
      <c r="H33" s="61">
        <v>105</v>
      </c>
      <c r="I33" s="62">
        <v>75</v>
      </c>
      <c r="J33" s="63" t="s">
        <v>99</v>
      </c>
      <c r="K33" s="63" t="s">
        <v>141</v>
      </c>
      <c r="L33" s="81">
        <v>20</v>
      </c>
      <c r="M33" s="53">
        <f t="shared" si="1"/>
        <v>96.666666666666671</v>
      </c>
      <c r="N33" s="53">
        <f t="shared" si="2"/>
        <v>130</v>
      </c>
      <c r="O33" s="58">
        <f t="shared" si="3"/>
        <v>0.74358974358974361</v>
      </c>
      <c r="P33" s="58">
        <f t="shared" si="4"/>
        <v>0.68035159634731746</v>
      </c>
      <c r="Q33" s="85">
        <f t="shared" ref="Q33:Q42" si="20">D33*P33*0.99</f>
        <v>1034.5698514695848</v>
      </c>
      <c r="R33" s="52">
        <v>2</v>
      </c>
      <c r="S33" s="82">
        <f t="shared" si="5"/>
        <v>2069.1397029391696</v>
      </c>
      <c r="T33" s="1"/>
      <c r="U33" s="1"/>
      <c r="Z33" s="77"/>
    </row>
    <row r="34" spans="1:26" x14ac:dyDescent="0.2">
      <c r="A34" s="88" t="s">
        <v>131</v>
      </c>
      <c r="B34" s="89"/>
      <c r="C34" s="79" t="s">
        <v>144</v>
      </c>
      <c r="D34" s="67">
        <v>1792</v>
      </c>
      <c r="E34" s="59">
        <v>80</v>
      </c>
      <c r="F34" s="60">
        <v>60</v>
      </c>
      <c r="G34" s="75">
        <v>1.2</v>
      </c>
      <c r="H34" s="61">
        <v>105</v>
      </c>
      <c r="I34" s="62">
        <v>75</v>
      </c>
      <c r="J34" s="63" t="s">
        <v>99</v>
      </c>
      <c r="K34" s="63" t="s">
        <v>141</v>
      </c>
      <c r="L34" s="81">
        <v>20</v>
      </c>
      <c r="M34" s="53">
        <f t="shared" si="1"/>
        <v>96.666666666666671</v>
      </c>
      <c r="N34" s="53">
        <f t="shared" si="2"/>
        <v>130</v>
      </c>
      <c r="O34" s="58">
        <f t="shared" si="3"/>
        <v>0.74358974358974361</v>
      </c>
      <c r="P34" s="58">
        <f t="shared" si="4"/>
        <v>0.68035159634731746</v>
      </c>
      <c r="Q34" s="85">
        <f t="shared" si="20"/>
        <v>1206.9981600478491</v>
      </c>
      <c r="R34" s="52">
        <v>1</v>
      </c>
      <c r="S34" s="82">
        <f t="shared" si="5"/>
        <v>1206.9981600478491</v>
      </c>
      <c r="T34" s="1"/>
      <c r="U34" s="1"/>
      <c r="Z34" s="77"/>
    </row>
    <row r="35" spans="1:26" x14ac:dyDescent="0.2">
      <c r="A35" s="88" t="s">
        <v>131</v>
      </c>
      <c r="B35" s="89"/>
      <c r="C35" s="79" t="s">
        <v>145</v>
      </c>
      <c r="D35" s="67">
        <v>2150</v>
      </c>
      <c r="E35" s="59">
        <v>80</v>
      </c>
      <c r="F35" s="60">
        <v>60</v>
      </c>
      <c r="G35" s="75">
        <v>1.2</v>
      </c>
      <c r="H35" s="61">
        <v>105</v>
      </c>
      <c r="I35" s="62">
        <v>75</v>
      </c>
      <c r="J35" s="63" t="s">
        <v>99</v>
      </c>
      <c r="K35" s="63" t="s">
        <v>141</v>
      </c>
      <c r="L35" s="81">
        <v>20</v>
      </c>
      <c r="M35" s="53">
        <f t="shared" si="1"/>
        <v>96.666666666666671</v>
      </c>
      <c r="N35" s="53">
        <f t="shared" si="2"/>
        <v>130</v>
      </c>
      <c r="O35" s="58">
        <f t="shared" si="3"/>
        <v>0.74358974358974361</v>
      </c>
      <c r="P35" s="58">
        <f t="shared" si="4"/>
        <v>0.68035159634731746</v>
      </c>
      <c r="Q35" s="85">
        <f t="shared" si="20"/>
        <v>1448.1283728252652</v>
      </c>
      <c r="R35" s="52">
        <v>3</v>
      </c>
      <c r="S35" s="82">
        <f t="shared" si="5"/>
        <v>4344.385118475795</v>
      </c>
      <c r="T35" s="1"/>
      <c r="U35" s="1"/>
      <c r="Z35" s="77"/>
    </row>
    <row r="36" spans="1:26" x14ac:dyDescent="0.2">
      <c r="A36" s="88" t="s">
        <v>131</v>
      </c>
      <c r="B36" s="89"/>
      <c r="C36" s="79" t="s">
        <v>146</v>
      </c>
      <c r="D36" s="67">
        <v>2304</v>
      </c>
      <c r="E36" s="59">
        <v>80</v>
      </c>
      <c r="F36" s="60">
        <v>60</v>
      </c>
      <c r="G36" s="75">
        <v>1.2</v>
      </c>
      <c r="H36" s="61">
        <v>105</v>
      </c>
      <c r="I36" s="62">
        <v>75</v>
      </c>
      <c r="J36" s="63" t="s">
        <v>99</v>
      </c>
      <c r="K36" s="63" t="s">
        <v>141</v>
      </c>
      <c r="L36" s="81">
        <v>20</v>
      </c>
      <c r="M36" s="53">
        <f t="shared" si="1"/>
        <v>96.666666666666671</v>
      </c>
      <c r="N36" s="53">
        <f t="shared" si="2"/>
        <v>130</v>
      </c>
      <c r="O36" s="58">
        <f t="shared" si="3"/>
        <v>0.74358974358974361</v>
      </c>
      <c r="P36" s="58">
        <f t="shared" si="4"/>
        <v>0.68035159634731746</v>
      </c>
      <c r="Q36" s="85">
        <f t="shared" si="20"/>
        <v>1551.8547772043771</v>
      </c>
      <c r="R36" s="52">
        <v>13</v>
      </c>
      <c r="S36" s="82">
        <f t="shared" si="5"/>
        <v>20174.112103656902</v>
      </c>
      <c r="T36" s="1"/>
      <c r="U36" s="1"/>
      <c r="Z36" s="77"/>
    </row>
    <row r="37" spans="1:26" x14ac:dyDescent="0.2">
      <c r="A37" s="88" t="s">
        <v>131</v>
      </c>
      <c r="B37" s="89"/>
      <c r="C37" s="79" t="s">
        <v>147</v>
      </c>
      <c r="D37" s="67">
        <v>2458</v>
      </c>
      <c r="E37" s="59">
        <v>80</v>
      </c>
      <c r="F37" s="60">
        <v>60</v>
      </c>
      <c r="G37" s="75">
        <v>1.2</v>
      </c>
      <c r="H37" s="61">
        <v>105</v>
      </c>
      <c r="I37" s="62">
        <v>75</v>
      </c>
      <c r="J37" s="63" t="s">
        <v>99</v>
      </c>
      <c r="K37" s="63" t="s">
        <v>141</v>
      </c>
      <c r="L37" s="81">
        <v>20</v>
      </c>
      <c r="M37" s="53">
        <f t="shared" si="1"/>
        <v>96.666666666666671</v>
      </c>
      <c r="N37" s="53">
        <f t="shared" si="2"/>
        <v>130</v>
      </c>
      <c r="O37" s="58">
        <f t="shared" si="3"/>
        <v>0.74358974358974361</v>
      </c>
      <c r="P37" s="58">
        <f t="shared" si="4"/>
        <v>0.68035159634731746</v>
      </c>
      <c r="Q37" s="85">
        <f t="shared" si="20"/>
        <v>1655.5811815834893</v>
      </c>
      <c r="R37" s="52">
        <v>4</v>
      </c>
      <c r="S37" s="82">
        <f t="shared" si="5"/>
        <v>6622.3247263339572</v>
      </c>
      <c r="T37" s="1"/>
      <c r="U37" s="1"/>
      <c r="Z37" s="77"/>
    </row>
    <row r="38" spans="1:26" x14ac:dyDescent="0.2">
      <c r="A38" s="88" t="s">
        <v>131</v>
      </c>
      <c r="B38" s="89"/>
      <c r="C38" s="79" t="s">
        <v>148</v>
      </c>
      <c r="D38" s="67">
        <v>2419</v>
      </c>
      <c r="E38" s="59">
        <v>80</v>
      </c>
      <c r="F38" s="60">
        <v>60</v>
      </c>
      <c r="G38" s="75">
        <v>1.2</v>
      </c>
      <c r="H38" s="61">
        <v>105</v>
      </c>
      <c r="I38" s="62">
        <v>75</v>
      </c>
      <c r="J38" s="63" t="s">
        <v>99</v>
      </c>
      <c r="K38" s="63" t="s">
        <v>141</v>
      </c>
      <c r="L38" s="81">
        <v>20</v>
      </c>
      <c r="M38" s="53">
        <f t="shared" si="1"/>
        <v>96.666666666666671</v>
      </c>
      <c r="N38" s="53">
        <f t="shared" si="2"/>
        <v>130</v>
      </c>
      <c r="O38" s="58">
        <f t="shared" si="3"/>
        <v>0.74358974358974361</v>
      </c>
      <c r="P38" s="58">
        <f t="shared" si="4"/>
        <v>0.68035159634731746</v>
      </c>
      <c r="Q38" s="85">
        <f t="shared" si="20"/>
        <v>1629.3128064485193</v>
      </c>
      <c r="R38" s="52">
        <v>1</v>
      </c>
      <c r="S38" s="82">
        <f t="shared" si="5"/>
        <v>1629.3128064485193</v>
      </c>
      <c r="T38" s="1"/>
      <c r="U38" s="1"/>
      <c r="Z38" s="77"/>
    </row>
    <row r="39" spans="1:26" x14ac:dyDescent="0.2">
      <c r="A39" s="88" t="s">
        <v>131</v>
      </c>
      <c r="B39" s="89"/>
      <c r="C39" s="79" t="s">
        <v>149</v>
      </c>
      <c r="D39" s="67">
        <v>3584</v>
      </c>
      <c r="E39" s="59">
        <v>80</v>
      </c>
      <c r="F39" s="60">
        <v>60</v>
      </c>
      <c r="G39" s="75">
        <v>1.2</v>
      </c>
      <c r="H39" s="61">
        <v>105</v>
      </c>
      <c r="I39" s="62">
        <v>75</v>
      </c>
      <c r="J39" s="63" t="s">
        <v>99</v>
      </c>
      <c r="K39" s="63" t="s">
        <v>141</v>
      </c>
      <c r="L39" s="81">
        <v>20</v>
      </c>
      <c r="M39" s="53">
        <f t="shared" si="1"/>
        <v>96.666666666666671</v>
      </c>
      <c r="N39" s="53">
        <f t="shared" si="2"/>
        <v>130</v>
      </c>
      <c r="O39" s="58">
        <f t="shared" si="3"/>
        <v>0.74358974358974361</v>
      </c>
      <c r="P39" s="58">
        <f t="shared" si="4"/>
        <v>0.68035159634731746</v>
      </c>
      <c r="Q39" s="85">
        <f t="shared" si="20"/>
        <v>2413.9963200956981</v>
      </c>
      <c r="R39" s="52">
        <v>2</v>
      </c>
      <c r="S39" s="82">
        <f t="shared" si="5"/>
        <v>4827.9926401913963</v>
      </c>
      <c r="T39" s="1"/>
      <c r="U39" s="1"/>
      <c r="Z39" s="77"/>
    </row>
    <row r="40" spans="1:26" x14ac:dyDescent="0.2">
      <c r="A40" s="88" t="s">
        <v>131</v>
      </c>
      <c r="B40" s="89"/>
      <c r="C40" s="79" t="s">
        <v>150</v>
      </c>
      <c r="D40" s="67">
        <v>4096</v>
      </c>
      <c r="E40" s="59">
        <v>80</v>
      </c>
      <c r="F40" s="60">
        <v>60</v>
      </c>
      <c r="G40" s="75">
        <v>1.2</v>
      </c>
      <c r="H40" s="61">
        <v>105</v>
      </c>
      <c r="I40" s="62">
        <v>75</v>
      </c>
      <c r="J40" s="63" t="s">
        <v>99</v>
      </c>
      <c r="K40" s="63" t="s">
        <v>141</v>
      </c>
      <c r="L40" s="81">
        <v>20</v>
      </c>
      <c r="M40" s="53">
        <f t="shared" si="1"/>
        <v>96.666666666666671</v>
      </c>
      <c r="N40" s="53">
        <f t="shared" si="2"/>
        <v>130</v>
      </c>
      <c r="O40" s="58">
        <f t="shared" si="3"/>
        <v>0.74358974358974361</v>
      </c>
      <c r="P40" s="58">
        <f t="shared" si="4"/>
        <v>0.68035159634731746</v>
      </c>
      <c r="Q40" s="85">
        <f t="shared" si="20"/>
        <v>2758.8529372522262</v>
      </c>
      <c r="R40" s="52">
        <v>2</v>
      </c>
      <c r="S40" s="82">
        <f t="shared" si="5"/>
        <v>5517.7058745044524</v>
      </c>
      <c r="T40" s="1"/>
      <c r="U40" s="1"/>
      <c r="Z40" s="77"/>
    </row>
    <row r="41" spans="1:26" x14ac:dyDescent="0.2">
      <c r="A41" s="88" t="s">
        <v>131</v>
      </c>
      <c r="B41" s="89"/>
      <c r="C41" s="79" t="s">
        <v>151</v>
      </c>
      <c r="D41" s="67">
        <v>2074</v>
      </c>
      <c r="E41" s="59">
        <v>80</v>
      </c>
      <c r="F41" s="60">
        <v>60</v>
      </c>
      <c r="G41" s="75">
        <v>1.2</v>
      </c>
      <c r="H41" s="61">
        <v>105</v>
      </c>
      <c r="I41" s="62">
        <v>75</v>
      </c>
      <c r="J41" s="63" t="s">
        <v>99</v>
      </c>
      <c r="K41" s="63" t="s">
        <v>141</v>
      </c>
      <c r="L41" s="81">
        <v>20</v>
      </c>
      <c r="M41" s="53">
        <f t="shared" si="1"/>
        <v>96.666666666666671</v>
      </c>
      <c r="N41" s="53">
        <f t="shared" si="2"/>
        <v>130</v>
      </c>
      <c r="O41" s="58">
        <f t="shared" si="3"/>
        <v>0.74358974358974361</v>
      </c>
      <c r="P41" s="58">
        <f t="shared" si="4"/>
        <v>0.68035159634731746</v>
      </c>
      <c r="Q41" s="85">
        <f t="shared" si="20"/>
        <v>1396.938718716093</v>
      </c>
      <c r="R41" s="52">
        <v>1</v>
      </c>
      <c r="S41" s="82">
        <f t="shared" si="5"/>
        <v>1396.938718716093</v>
      </c>
      <c r="T41" s="1"/>
      <c r="U41" s="1"/>
      <c r="Z41" s="77"/>
    </row>
    <row r="42" spans="1:26" x14ac:dyDescent="0.2">
      <c r="A42" s="88" t="s">
        <v>131</v>
      </c>
      <c r="B42" s="89"/>
      <c r="C42" s="79" t="s">
        <v>152</v>
      </c>
      <c r="D42" s="67">
        <v>3456</v>
      </c>
      <c r="E42" s="59">
        <v>80</v>
      </c>
      <c r="F42" s="60">
        <v>60</v>
      </c>
      <c r="G42" s="75">
        <v>1.2</v>
      </c>
      <c r="H42" s="61">
        <v>105</v>
      </c>
      <c r="I42" s="62">
        <v>75</v>
      </c>
      <c r="J42" s="63" t="s">
        <v>99</v>
      </c>
      <c r="K42" s="63" t="s">
        <v>141</v>
      </c>
      <c r="L42" s="81">
        <v>20</v>
      </c>
      <c r="M42" s="53">
        <f t="shared" si="1"/>
        <v>96.666666666666671</v>
      </c>
      <c r="N42" s="53">
        <f t="shared" si="2"/>
        <v>130</v>
      </c>
      <c r="O42" s="58">
        <f t="shared" si="3"/>
        <v>0.74358974358974361</v>
      </c>
      <c r="P42" s="58">
        <f t="shared" si="4"/>
        <v>0.68035159634731746</v>
      </c>
      <c r="Q42" s="85">
        <f t="shared" si="20"/>
        <v>2327.7821658065659</v>
      </c>
      <c r="R42" s="52">
        <v>6</v>
      </c>
      <c r="S42" s="82">
        <f>R42*Q42</f>
        <v>13966.692994839395</v>
      </c>
      <c r="T42" s="1"/>
      <c r="U42" s="1"/>
      <c r="Z42" s="77"/>
    </row>
    <row r="43" spans="1:26" x14ac:dyDescent="0.2">
      <c r="A43" s="97"/>
      <c r="B43" s="97"/>
      <c r="C43" s="1"/>
      <c r="D43" s="1"/>
      <c r="E43" s="1"/>
      <c r="F43" s="1"/>
      <c r="G43" s="1"/>
      <c r="H43" s="2"/>
      <c r="I43" s="2"/>
      <c r="J43" s="1"/>
      <c r="K43" s="1"/>
      <c r="L43" s="1"/>
      <c r="M43" s="2"/>
      <c r="N43" s="2"/>
      <c r="O43" s="66"/>
      <c r="P43" s="66"/>
      <c r="Q43" s="1" t="s">
        <v>132</v>
      </c>
      <c r="R43" s="1">
        <f>SUM(R4:R42)</f>
        <v>293</v>
      </c>
      <c r="S43" s="83">
        <f>SUM(S4:S42)</f>
        <v>455487.25852656871</v>
      </c>
      <c r="T43" s="86" t="s">
        <v>95</v>
      </c>
      <c r="Z43" s="77"/>
    </row>
    <row r="44" spans="1:26" x14ac:dyDescent="0.2">
      <c r="A44" s="97"/>
      <c r="B44" s="97"/>
      <c r="C44" s="1"/>
      <c r="D44" s="1"/>
      <c r="E44" s="1"/>
      <c r="F44" s="1"/>
      <c r="G44" s="1"/>
      <c r="H44" s="2"/>
      <c r="I44" s="2"/>
      <c r="J44" s="1"/>
      <c r="K44" s="1"/>
      <c r="L44" s="1"/>
      <c r="M44" s="2"/>
      <c r="N44" s="2"/>
      <c r="O44" s="66"/>
      <c r="P44" s="66"/>
      <c r="Q44" s="1"/>
      <c r="S44" s="71">
        <f>S43/1163000</f>
        <v>0.39164854559464207</v>
      </c>
      <c r="T44" s="86" t="s">
        <v>96</v>
      </c>
    </row>
    <row r="45" spans="1:26" x14ac:dyDescent="0.2">
      <c r="A45" s="97"/>
      <c r="B45" s="97"/>
      <c r="C45" s="1"/>
      <c r="D45" s="1"/>
      <c r="E45" s="1"/>
      <c r="F45" s="1"/>
      <c r="G45" s="1"/>
      <c r="H45" s="2"/>
      <c r="I45" s="2"/>
      <c r="J45" s="1"/>
      <c r="K45" s="1"/>
      <c r="L45" s="1"/>
      <c r="M45" s="2"/>
      <c r="N45" s="2"/>
      <c r="O45" s="66"/>
      <c r="P45" s="66"/>
      <c r="Q45" s="1"/>
      <c r="S45" s="1"/>
      <c r="T45" s="1"/>
    </row>
    <row r="46" spans="1:26" x14ac:dyDescent="0.2">
      <c r="A46" s="97"/>
      <c r="B46" s="97"/>
      <c r="C46" s="1"/>
      <c r="D46" s="1"/>
      <c r="E46" s="1"/>
      <c r="F46" s="1"/>
      <c r="G46" s="1"/>
      <c r="H46" s="2"/>
      <c r="I46" s="2"/>
      <c r="J46" s="1"/>
      <c r="K46" s="1"/>
      <c r="L46" s="1"/>
      <c r="M46" s="2"/>
      <c r="N46" s="2"/>
      <c r="O46" s="66"/>
      <c r="P46" s="66"/>
      <c r="Q46" s="1"/>
      <c r="R46" s="1"/>
      <c r="S46" s="1"/>
    </row>
    <row r="47" spans="1:26" x14ac:dyDescent="0.2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1"/>
      <c r="M47" s="1"/>
      <c r="N47" s="1"/>
      <c r="O47" s="1"/>
      <c r="P47" s="1"/>
      <c r="Q47" s="1"/>
      <c r="R47" s="1"/>
      <c r="S47" s="1"/>
    </row>
    <row r="48" spans="1:26" x14ac:dyDescent="0.2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1"/>
      <c r="M48" s="1"/>
      <c r="N48" s="1"/>
      <c r="O48" s="74">
        <f>S44</f>
        <v>0.39164854559464207</v>
      </c>
      <c r="P48" s="74" t="s">
        <v>154</v>
      </c>
      <c r="Q48" s="74">
        <f>W17</f>
        <v>2.2972605331040414E-2</v>
      </c>
      <c r="R48" s="74">
        <f>O48+Q48</f>
        <v>0.41462115092568247</v>
      </c>
      <c r="S48" s="74"/>
    </row>
    <row r="49" spans="1:19" x14ac:dyDescent="0.2">
      <c r="A49" s="1"/>
      <c r="B49" s="1"/>
      <c r="C49" s="1"/>
      <c r="D49" s="102" t="s">
        <v>87</v>
      </c>
      <c r="E49" s="102"/>
      <c r="F49" s="102"/>
      <c r="G49" s="102"/>
      <c r="H49" s="102"/>
      <c r="I49" s="102"/>
      <c r="J49" s="2"/>
      <c r="K49" s="2"/>
      <c r="L49" s="1" t="s">
        <v>102</v>
      </c>
      <c r="M49" s="1"/>
      <c r="N49" s="1"/>
      <c r="O49" s="90" t="s">
        <v>140</v>
      </c>
      <c r="P49" s="90"/>
      <c r="Q49" s="90"/>
      <c r="R49" s="90"/>
      <c r="S49" s="90"/>
    </row>
    <row r="50" spans="1:19" x14ac:dyDescent="0.2">
      <c r="A50" s="1"/>
      <c r="B50" s="1"/>
      <c r="C50" s="1"/>
      <c r="D50" s="102"/>
      <c r="E50" s="102"/>
      <c r="F50" s="102"/>
      <c r="G50" s="102"/>
      <c r="H50" s="102"/>
      <c r="I50" s="102"/>
      <c r="J50" s="2"/>
      <c r="K50" s="2"/>
      <c r="L50" s="1" t="s">
        <v>103</v>
      </c>
      <c r="M50" s="1"/>
      <c r="N50" s="1"/>
      <c r="O50" s="91" t="s">
        <v>155</v>
      </c>
      <c r="P50" s="91"/>
      <c r="Q50" s="91"/>
      <c r="R50" s="91"/>
      <c r="S50" s="91"/>
    </row>
    <row r="51" spans="1:19" ht="13.5" thickBot="1" x14ac:dyDescent="0.25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 s="1"/>
      <c r="B52" s="92" t="s">
        <v>88</v>
      </c>
      <c r="C52" s="93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5"/>
    </row>
    <row r="53" spans="1:19" x14ac:dyDescent="0.2">
      <c r="A53" s="1"/>
      <c r="B53" s="96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8"/>
    </row>
    <row r="54" spans="1:19" x14ac:dyDescent="0.2">
      <c r="A54" s="1"/>
      <c r="B54" s="96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8"/>
    </row>
    <row r="55" spans="1:19" x14ac:dyDescent="0.2">
      <c r="A55" s="1"/>
      <c r="B55" s="96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8"/>
    </row>
    <row r="56" spans="1:19" x14ac:dyDescent="0.2">
      <c r="A56" s="1"/>
      <c r="B56" s="96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8"/>
    </row>
    <row r="57" spans="1:19" x14ac:dyDescent="0.2">
      <c r="A57" s="1"/>
      <c r="B57" s="96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8"/>
    </row>
    <row r="58" spans="1:19" x14ac:dyDescent="0.2">
      <c r="A58" s="1"/>
      <c r="B58" s="96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8"/>
    </row>
    <row r="59" spans="1:19" x14ac:dyDescent="0.2">
      <c r="A59" s="1"/>
      <c r="B59" s="96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8"/>
    </row>
    <row r="60" spans="1:19" x14ac:dyDescent="0.2">
      <c r="A60" s="1"/>
      <c r="B60" s="96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8"/>
    </row>
    <row r="61" spans="1:19" x14ac:dyDescent="0.2">
      <c r="A61" s="1"/>
      <c r="B61" s="96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8"/>
    </row>
    <row r="62" spans="1:19" x14ac:dyDescent="0.2">
      <c r="A62" s="1"/>
      <c r="B62" s="96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8"/>
    </row>
    <row r="63" spans="1:19" x14ac:dyDescent="0.2">
      <c r="A63" s="1"/>
      <c r="B63" s="96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8"/>
    </row>
    <row r="64" spans="1:19" x14ac:dyDescent="0.2">
      <c r="A64" s="1"/>
      <c r="B64" s="96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8"/>
    </row>
    <row r="65" spans="1:19" x14ac:dyDescent="0.2">
      <c r="A65" s="1"/>
      <c r="B65" s="96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8"/>
    </row>
    <row r="66" spans="1:19" x14ac:dyDescent="0.2">
      <c r="A66" s="1"/>
      <c r="B66" s="96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8"/>
    </row>
    <row r="67" spans="1:19" x14ac:dyDescent="0.2">
      <c r="A67" s="1"/>
      <c r="B67" s="96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8"/>
    </row>
    <row r="68" spans="1:19" x14ac:dyDescent="0.2">
      <c r="A68" s="1"/>
      <c r="B68" s="96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8"/>
    </row>
    <row r="69" spans="1:19" x14ac:dyDescent="0.2">
      <c r="A69" s="1"/>
      <c r="B69" s="96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8"/>
    </row>
    <row r="70" spans="1:19" x14ac:dyDescent="0.2">
      <c r="A70" s="1"/>
      <c r="B70" s="96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8"/>
    </row>
    <row r="71" spans="1:19" x14ac:dyDescent="0.2">
      <c r="A71" s="1"/>
      <c r="B71" s="96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8"/>
    </row>
    <row r="72" spans="1:19" x14ac:dyDescent="0.2">
      <c r="A72" s="1"/>
      <c r="B72" s="96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8"/>
    </row>
    <row r="73" spans="1:19" x14ac:dyDescent="0.2">
      <c r="A73" s="1"/>
      <c r="B73" s="96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8"/>
    </row>
    <row r="74" spans="1:19" x14ac:dyDescent="0.2">
      <c r="A74" s="1"/>
      <c r="B74" s="96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8"/>
    </row>
    <row r="75" spans="1:19" x14ac:dyDescent="0.2">
      <c r="A75" s="1"/>
      <c r="B75" s="96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8"/>
    </row>
    <row r="76" spans="1:19" x14ac:dyDescent="0.2">
      <c r="A76" s="1"/>
      <c r="B76" s="96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8"/>
    </row>
    <row r="77" spans="1:19" ht="13.5" thickBot="1" x14ac:dyDescent="0.25">
      <c r="A77" s="1"/>
      <c r="B77" s="99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1"/>
    </row>
  </sheetData>
  <mergeCells count="48"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8:B28"/>
    <mergeCell ref="A15:B15"/>
    <mergeCell ref="A16:B16"/>
    <mergeCell ref="A17:B17"/>
    <mergeCell ref="A18:B18"/>
    <mergeCell ref="A19:B19"/>
    <mergeCell ref="A20:B20"/>
    <mergeCell ref="A21:B21"/>
    <mergeCell ref="A22:B22"/>
    <mergeCell ref="A25:B25"/>
    <mergeCell ref="A26:B26"/>
    <mergeCell ref="A27:B27"/>
    <mergeCell ref="A23:B23"/>
    <mergeCell ref="A24:B24"/>
    <mergeCell ref="A40:B40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  <mergeCell ref="A42:B42"/>
    <mergeCell ref="O49:S49"/>
    <mergeCell ref="O50:S50"/>
    <mergeCell ref="B52:S77"/>
    <mergeCell ref="A43:B43"/>
    <mergeCell ref="A44:B44"/>
    <mergeCell ref="A45:B45"/>
    <mergeCell ref="A46:B46"/>
    <mergeCell ref="D49:I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B1:E11"/>
  <sheetViews>
    <sheetView workbookViewId="0">
      <selection activeCell="D17" sqref="D17"/>
    </sheetView>
  </sheetViews>
  <sheetFormatPr defaultRowHeight="12.75" x14ac:dyDescent="0.2"/>
  <cols>
    <col min="1" max="1" width="2.85546875" customWidth="1"/>
    <col min="2" max="2" width="25.140625" customWidth="1"/>
    <col min="3" max="3" width="11.42578125" customWidth="1"/>
    <col min="4" max="5" width="10.85546875" customWidth="1"/>
  </cols>
  <sheetData>
    <row r="1" spans="2:5" ht="15" customHeight="1" thickBot="1" x14ac:dyDescent="0.25"/>
    <row r="2" spans="2:5" ht="105" customHeight="1" thickBot="1" x14ac:dyDescent="0.25">
      <c r="B2" s="6" t="s">
        <v>35</v>
      </c>
      <c r="C2" s="5" t="s">
        <v>6</v>
      </c>
      <c r="D2" s="18" t="s">
        <v>37</v>
      </c>
      <c r="E2" s="5" t="s">
        <v>38</v>
      </c>
    </row>
    <row r="3" spans="2:5" ht="18.75" customHeight="1" x14ac:dyDescent="0.2">
      <c r="B3" s="25"/>
      <c r="C3" s="30" t="s">
        <v>12</v>
      </c>
      <c r="D3" s="31">
        <v>0</v>
      </c>
      <c r="E3" s="30">
        <v>0</v>
      </c>
    </row>
    <row r="4" spans="2:5" ht="18.75" customHeight="1" x14ac:dyDescent="0.2">
      <c r="B4" s="19" t="s">
        <v>39</v>
      </c>
      <c r="C4" s="20" t="s">
        <v>36</v>
      </c>
      <c r="D4" s="21">
        <v>0.1</v>
      </c>
      <c r="E4" s="20">
        <v>0.05</v>
      </c>
    </row>
    <row r="5" spans="2:5" ht="18.75" customHeight="1" x14ac:dyDescent="0.2">
      <c r="B5" s="19" t="s">
        <v>40</v>
      </c>
      <c r="C5" s="20" t="s">
        <v>41</v>
      </c>
      <c r="D5" s="21">
        <v>0.1</v>
      </c>
      <c r="E5" s="20">
        <v>0.05</v>
      </c>
    </row>
    <row r="6" spans="2:5" ht="18.75" customHeight="1" x14ac:dyDescent="0.2">
      <c r="B6" s="19" t="s">
        <v>42</v>
      </c>
      <c r="C6" s="20" t="s">
        <v>43</v>
      </c>
      <c r="D6" s="21">
        <v>0.1</v>
      </c>
      <c r="E6" s="20">
        <v>0.05</v>
      </c>
    </row>
    <row r="7" spans="2:5" ht="18.75" customHeight="1" x14ac:dyDescent="0.2">
      <c r="B7" s="19" t="s">
        <v>44</v>
      </c>
      <c r="C7" s="20" t="s">
        <v>45</v>
      </c>
      <c r="D7" s="21">
        <v>0.05</v>
      </c>
      <c r="E7" s="20">
        <v>0.1</v>
      </c>
    </row>
    <row r="8" spans="2:5" ht="18.75" customHeight="1" x14ac:dyDescent="0.2">
      <c r="B8" s="19" t="s">
        <v>46</v>
      </c>
      <c r="C8" s="20" t="s">
        <v>47</v>
      </c>
      <c r="D8" s="21">
        <v>0</v>
      </c>
      <c r="E8" s="20">
        <v>0.1</v>
      </c>
    </row>
    <row r="9" spans="2:5" ht="18.75" customHeight="1" x14ac:dyDescent="0.2">
      <c r="B9" s="19" t="s">
        <v>48</v>
      </c>
      <c r="C9" s="20" t="s">
        <v>49</v>
      </c>
      <c r="D9" s="21">
        <v>0</v>
      </c>
      <c r="E9" s="20">
        <v>0.1</v>
      </c>
    </row>
    <row r="10" spans="2:5" ht="18.75" customHeight="1" x14ac:dyDescent="0.2">
      <c r="B10" s="19" t="s">
        <v>50</v>
      </c>
      <c r="C10" s="20" t="s">
        <v>51</v>
      </c>
      <c r="D10" s="21">
        <v>0.05</v>
      </c>
      <c r="E10" s="20">
        <v>0.1</v>
      </c>
    </row>
    <row r="11" spans="2:5" ht="18.75" customHeight="1" thickBot="1" x14ac:dyDescent="0.25">
      <c r="B11" s="22" t="s">
        <v>52</v>
      </c>
      <c r="C11" s="23" t="s">
        <v>53</v>
      </c>
      <c r="D11" s="24">
        <v>0.1</v>
      </c>
      <c r="E11" s="23">
        <v>0.05</v>
      </c>
    </row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B1:C9"/>
  <sheetViews>
    <sheetView workbookViewId="0">
      <selection activeCell="C3" sqref="C3:C7"/>
    </sheetView>
  </sheetViews>
  <sheetFormatPr defaultRowHeight="12.75" x14ac:dyDescent="0.2"/>
  <cols>
    <col min="1" max="1" width="2.85546875" customWidth="1"/>
    <col min="2" max="2" width="64.85546875" customWidth="1"/>
    <col min="3" max="3" width="14.42578125" bestFit="1" customWidth="1"/>
  </cols>
  <sheetData>
    <row r="1" spans="2:3" ht="15" customHeight="1" thickBot="1" x14ac:dyDescent="0.25"/>
    <row r="2" spans="2:3" ht="22.5" customHeight="1" thickBot="1" x14ac:dyDescent="0.25">
      <c r="B2" s="16" t="s">
        <v>54</v>
      </c>
      <c r="C2" s="17" t="s">
        <v>55</v>
      </c>
    </row>
    <row r="3" spans="2:3" ht="54" customHeight="1" x14ac:dyDescent="0.2">
      <c r="B3" s="14" t="s">
        <v>56</v>
      </c>
      <c r="C3" s="15">
        <v>1</v>
      </c>
    </row>
    <row r="4" spans="2:3" ht="54" customHeight="1" x14ac:dyDescent="0.2">
      <c r="B4" s="10" t="s">
        <v>57</v>
      </c>
      <c r="C4" s="12">
        <v>0.9</v>
      </c>
    </row>
    <row r="5" spans="2:3" ht="54" customHeight="1" x14ac:dyDescent="0.2">
      <c r="B5" s="9" t="s">
        <v>58</v>
      </c>
      <c r="C5" s="12">
        <v>0.75</v>
      </c>
    </row>
    <row r="6" spans="2:3" ht="54" customHeight="1" x14ac:dyDescent="0.2">
      <c r="B6" s="9" t="s">
        <v>59</v>
      </c>
      <c r="C6" s="12">
        <v>0.6</v>
      </c>
    </row>
    <row r="7" spans="2:3" ht="54" customHeight="1" thickBot="1" x14ac:dyDescent="0.25">
      <c r="B7" s="11" t="s">
        <v>60</v>
      </c>
      <c r="C7" s="13">
        <v>0.4</v>
      </c>
    </row>
    <row r="8" spans="2:3" x14ac:dyDescent="0.2">
      <c r="B8" s="8"/>
    </row>
    <row r="9" spans="2:3" x14ac:dyDescent="0.2">
      <c r="B9" s="8"/>
    </row>
  </sheetData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B1:D16"/>
  <sheetViews>
    <sheetView workbookViewId="0">
      <selection activeCell="D15" sqref="D15"/>
    </sheetView>
  </sheetViews>
  <sheetFormatPr defaultRowHeight="12.75" x14ac:dyDescent="0.2"/>
  <cols>
    <col min="1" max="1" width="2.7109375" customWidth="1"/>
    <col min="2" max="2" width="72.140625" bestFit="1" customWidth="1"/>
  </cols>
  <sheetData>
    <row r="1" spans="2:4" ht="14.25" customHeight="1" thickBot="1" x14ac:dyDescent="0.25"/>
    <row r="2" spans="2:4" ht="26.25" customHeight="1" thickBot="1" x14ac:dyDescent="0.25">
      <c r="B2" s="39" t="s">
        <v>61</v>
      </c>
      <c r="C2" s="41" t="s">
        <v>62</v>
      </c>
    </row>
    <row r="3" spans="2:4" ht="21" customHeight="1" x14ac:dyDescent="0.2">
      <c r="B3" s="45" t="s">
        <v>12</v>
      </c>
      <c r="C3" s="32">
        <v>0</v>
      </c>
    </row>
    <row r="4" spans="2:4" ht="18.75" customHeight="1" x14ac:dyDescent="0.2">
      <c r="B4" s="42" t="s">
        <v>63</v>
      </c>
      <c r="C4" s="40">
        <v>0.22</v>
      </c>
    </row>
    <row r="5" spans="2:4" ht="18.75" customHeight="1" x14ac:dyDescent="0.2">
      <c r="B5" s="43" t="s">
        <v>64</v>
      </c>
      <c r="C5" s="20">
        <v>0</v>
      </c>
    </row>
    <row r="6" spans="2:4" ht="18.75" customHeight="1" x14ac:dyDescent="0.2">
      <c r="B6" s="43" t="s">
        <v>65</v>
      </c>
      <c r="C6" s="20">
        <v>0</v>
      </c>
    </row>
    <row r="7" spans="2:4" ht="18.75" customHeight="1" x14ac:dyDescent="0.2">
      <c r="B7" s="43" t="s">
        <v>23</v>
      </c>
      <c r="C7" s="20">
        <v>0.34</v>
      </c>
    </row>
    <row r="8" spans="2:4" ht="18.75" customHeight="1" x14ac:dyDescent="0.2">
      <c r="B8" s="43" t="s">
        <v>66</v>
      </c>
      <c r="C8" s="20">
        <v>0.27</v>
      </c>
    </row>
    <row r="9" spans="2:4" ht="18.75" customHeight="1" x14ac:dyDescent="0.2">
      <c r="B9" s="43" t="s">
        <v>67</v>
      </c>
      <c r="C9" s="20">
        <v>0</v>
      </c>
    </row>
    <row r="10" spans="2:4" ht="18.75" customHeight="1" x14ac:dyDescent="0.2">
      <c r="B10" s="43" t="s">
        <v>68</v>
      </c>
      <c r="C10" s="20">
        <v>0</v>
      </c>
    </row>
    <row r="11" spans="2:4" ht="18.75" customHeight="1" x14ac:dyDescent="0.2">
      <c r="B11" s="43" t="s">
        <v>69</v>
      </c>
      <c r="C11" s="20">
        <v>0.2</v>
      </c>
    </row>
    <row r="12" spans="2:4" ht="18.75" customHeight="1" x14ac:dyDescent="0.2">
      <c r="B12" s="43" t="s">
        <v>70</v>
      </c>
      <c r="C12" s="20">
        <v>0</v>
      </c>
    </row>
    <row r="13" spans="2:4" ht="18.75" customHeight="1" x14ac:dyDescent="0.2">
      <c r="B13" s="43" t="s">
        <v>71</v>
      </c>
      <c r="C13" s="20">
        <v>5</v>
      </c>
      <c r="D13">
        <v>1</v>
      </c>
    </row>
    <row r="14" spans="2:4" ht="18.75" customHeight="1" x14ac:dyDescent="0.2">
      <c r="B14" s="43" t="s">
        <v>26</v>
      </c>
      <c r="C14" s="20">
        <v>3</v>
      </c>
      <c r="D14">
        <v>1</v>
      </c>
    </row>
    <row r="15" spans="2:4" ht="18.75" customHeight="1" x14ac:dyDescent="0.2">
      <c r="B15" s="43" t="s">
        <v>72</v>
      </c>
      <c r="C15" s="20">
        <v>0</v>
      </c>
    </row>
    <row r="16" spans="2:4" ht="18.75" customHeight="1" thickBot="1" x14ac:dyDescent="0.25">
      <c r="B16" s="44" t="s">
        <v>73</v>
      </c>
      <c r="C16" s="23">
        <v>1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7</vt:i4>
      </vt:variant>
    </vt:vector>
  </HeadingPairs>
  <TitlesOfParts>
    <vt:vector size="12" baseType="lpstr">
      <vt:lpstr>Исходные данные</vt:lpstr>
      <vt:lpstr>Пересчет (рабочая)</vt:lpstr>
      <vt:lpstr>Ориентация</vt:lpstr>
      <vt:lpstr>Коэффициент_n</vt:lpstr>
      <vt:lpstr>Добавка_на_проемы</vt:lpstr>
      <vt:lpstr>Коэффициент_n</vt:lpstr>
      <vt:lpstr>Ограждения_данные</vt:lpstr>
      <vt:lpstr>Ограждения_список</vt:lpstr>
      <vt:lpstr>Ориентация</vt:lpstr>
      <vt:lpstr>Ориентация_добавки</vt:lpstr>
      <vt:lpstr>Проемы_добавки</vt:lpstr>
      <vt:lpstr>Проемы_список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Расчет теплопотерь</dc:title>
  <dc:subject>Отопление</dc:subject>
  <dc:creator>BuTeK</dc:creator>
  <cp:keywords>отопление теплопотери</cp:keywords>
  <dc:description>Расчет теплопотерь ведется в соответствии с Приложениями 9 и 10 СНиП 2.04.05-91.</dc:description>
  <cp:lastModifiedBy>Овчинников</cp:lastModifiedBy>
  <cp:revision/>
  <cp:lastPrinted>2024-09-27T12:29:17Z</cp:lastPrinted>
  <dcterms:created xsi:type="dcterms:W3CDTF">2022-04-15T14:33:29Z</dcterms:created>
  <dcterms:modified xsi:type="dcterms:W3CDTF">2026-03-03T07:43:23Z</dcterms:modified>
  <cp:category/>
  <cp:contentStatus/>
</cp:coreProperties>
</file>