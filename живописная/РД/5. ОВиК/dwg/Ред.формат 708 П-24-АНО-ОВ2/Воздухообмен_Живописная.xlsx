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ublic\ПРОЕКТЫ\Текущие проекты\Школы\Живописная, д 32 (ГБОУ Шккола №1210)\05_Проект\ОВиК\ОВ2(вентиляция)\Расчет воздухообмена\"/>
    </mc:Choice>
  </mc:AlternateContent>
  <xr:revisionPtr revIDLastSave="0" documentId="13_ncr:1_{DA6826E4-175B-4585-B48D-E609C49CE21E}" xr6:coauthVersionLast="47" xr6:coauthVersionMax="47" xr10:uidLastSave="{00000000-0000-0000-0000-000000000000}"/>
  <bookViews>
    <workbookView xWindow="-28920" yWindow="-120" windowWidth="29040" windowHeight="15720" xr2:uid="{394E4BCF-D7F1-4BFD-94F9-A41FC7B9E2C2}"/>
  </bookViews>
  <sheets>
    <sheet name="Лист1" sheetId="1" r:id="rId1"/>
  </sheets>
  <definedNames>
    <definedName name="_xlnm._FilterDatabase" localSheetId="0" hidden="1">Лист1!$P$1:$P$319</definedName>
  </definedNames>
  <calcPr calcId="191029" iterateCount="10000" iterateDelta="1.0000000000000001E-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3" i="1" l="1"/>
  <c r="L22" i="1"/>
  <c r="O14" i="1"/>
  <c r="L187" i="1"/>
  <c r="I143" i="1"/>
  <c r="L159" i="1"/>
  <c r="K159" i="1"/>
  <c r="I188" i="1"/>
  <c r="O74" i="1"/>
  <c r="P179" i="1"/>
  <c r="L176" i="1"/>
  <c r="P135" i="1"/>
  <c r="P114" i="1"/>
  <c r="L56" i="1"/>
  <c r="L57" i="1"/>
  <c r="L58" i="1"/>
  <c r="L60" i="1"/>
  <c r="P176" i="1"/>
  <c r="P146" i="1"/>
  <c r="P65" i="1"/>
  <c r="O65" i="1"/>
  <c r="P87" i="1"/>
  <c r="P145" i="1" l="1"/>
  <c r="P151" i="1"/>
  <c r="P183" i="1"/>
  <c r="P141" i="1"/>
  <c r="P138" i="1"/>
  <c r="P126" i="1"/>
  <c r="P125" i="1"/>
  <c r="P120" i="1"/>
  <c r="P118" i="1"/>
  <c r="P116" i="1"/>
  <c r="P108" i="1"/>
  <c r="P95" i="1"/>
  <c r="P97" i="1"/>
  <c r="P89" i="1"/>
  <c r="P90" i="1"/>
  <c r="P91" i="1"/>
  <c r="P82" i="1"/>
  <c r="P83" i="1"/>
  <c r="P68" i="1"/>
  <c r="P61" i="1"/>
  <c r="P49" i="1"/>
  <c r="P45" i="1"/>
  <c r="P44" i="1"/>
  <c r="P37" i="1"/>
  <c r="P36" i="1"/>
  <c r="P35" i="1"/>
  <c r="P12" i="1"/>
  <c r="P7" i="1"/>
  <c r="O87" i="1"/>
  <c r="O80" i="1"/>
  <c r="O11" i="1"/>
  <c r="O179" i="1"/>
  <c r="O134" i="1"/>
  <c r="O133" i="1"/>
  <c r="O132" i="1"/>
  <c r="O95" i="1"/>
  <c r="O93" i="1"/>
  <c r="O158" i="1"/>
  <c r="O151" i="1"/>
  <c r="O124" i="1"/>
  <c r="O123" i="1"/>
  <c r="O61" i="1"/>
  <c r="O157" i="1"/>
  <c r="O156" i="1"/>
  <c r="O155" i="1"/>
  <c r="O154" i="1"/>
  <c r="O140" i="1"/>
  <c r="O122" i="1"/>
  <c r="O121" i="1"/>
  <c r="O120" i="1"/>
  <c r="O59" i="1"/>
  <c r="O176" i="1"/>
  <c r="O147" i="1"/>
  <c r="O146" i="1"/>
  <c r="O115" i="1"/>
  <c r="O114" i="1"/>
  <c r="O113" i="1"/>
  <c r="O35" i="1"/>
  <c r="O34" i="1"/>
  <c r="O171" i="1"/>
  <c r="O153" i="1"/>
  <c r="O148" i="1"/>
  <c r="O145" i="1"/>
  <c r="O159" i="1"/>
  <c r="O118" i="1"/>
  <c r="O117" i="1"/>
  <c r="O116" i="1"/>
  <c r="O107" i="1"/>
  <c r="O106" i="1"/>
  <c r="O105" i="1"/>
  <c r="O104" i="1"/>
  <c r="O42" i="1"/>
  <c r="O41" i="1"/>
  <c r="O39" i="1"/>
  <c r="O37" i="1"/>
  <c r="L59" i="1"/>
  <c r="I59" i="1"/>
  <c r="P149" i="1" l="1"/>
  <c r="P140" i="1"/>
  <c r="P122" i="1"/>
  <c r="P154" i="1" s="1"/>
  <c r="P117" i="1"/>
  <c r="P121" i="1"/>
  <c r="P158" i="1"/>
  <c r="P136" i="1"/>
  <c r="P142" i="1"/>
  <c r="P181" i="1"/>
  <c r="P184" i="1" s="1"/>
  <c r="P127" i="1"/>
  <c r="P168" i="1" s="1"/>
  <c r="P109" i="1"/>
  <c r="P110" i="1"/>
  <c r="K55" i="1"/>
  <c r="P106" i="1" l="1"/>
  <c r="P113" i="1"/>
  <c r="P115" i="1" s="1"/>
  <c r="K183" i="1"/>
  <c r="I183" i="1"/>
  <c r="L182" i="1"/>
  <c r="K179" i="1"/>
  <c r="I179" i="1"/>
  <c r="I158" i="1"/>
  <c r="K158" i="1" s="1"/>
  <c r="L158" i="1" s="1"/>
  <c r="I157" i="1"/>
  <c r="K157" i="1" s="1"/>
  <c r="L157" i="1" s="1"/>
  <c r="I156" i="1"/>
  <c r="K155" i="1"/>
  <c r="L155" i="1" s="1"/>
  <c r="I155" i="1"/>
  <c r="I154" i="1"/>
  <c r="I153" i="1"/>
  <c r="K153" i="1" s="1"/>
  <c r="I151" i="1"/>
  <c r="I146" i="1"/>
  <c r="K146" i="1" s="1"/>
  <c r="I145" i="1"/>
  <c r="K140" i="1"/>
  <c r="L140" i="1" s="1"/>
  <c r="I140" i="1"/>
  <c r="K137" i="1"/>
  <c r="L137" i="1" s="1"/>
  <c r="I137" i="1"/>
  <c r="K129" i="1"/>
  <c r="I129" i="1"/>
  <c r="L126" i="1"/>
  <c r="I123" i="1"/>
  <c r="I122" i="1"/>
  <c r="K121" i="1"/>
  <c r="L121" i="1" s="1"/>
  <c r="I121" i="1"/>
  <c r="I120" i="1"/>
  <c r="I118" i="1"/>
  <c r="I117" i="1"/>
  <c r="I116" i="1"/>
  <c r="I115" i="1"/>
  <c r="K115" i="1" s="1"/>
  <c r="L115" i="1" s="1"/>
  <c r="I114" i="1"/>
  <c r="K114" i="1" s="1"/>
  <c r="L114" i="1" s="1"/>
  <c r="I113" i="1"/>
  <c r="L108" i="1"/>
  <c r="I106" i="1"/>
  <c r="K106" i="1" s="1"/>
  <c r="L106" i="1" s="1"/>
  <c r="I105" i="1"/>
  <c r="I104" i="1"/>
  <c r="K104" i="1" s="1"/>
  <c r="K99" i="1"/>
  <c r="K98" i="1"/>
  <c r="I98" i="1"/>
  <c r="L87" i="1"/>
  <c r="L153" i="1" l="1"/>
  <c r="L99" i="1"/>
  <c r="L129" i="1"/>
  <c r="L179" i="1"/>
  <c r="K105" i="1"/>
  <c r="L98" i="1"/>
  <c r="L104" i="1"/>
  <c r="K123" i="1"/>
  <c r="K151" i="1"/>
  <c r="L151" i="1" s="1"/>
  <c r="K154" i="1"/>
  <c r="L183" i="1"/>
  <c r="L146" i="1"/>
  <c r="K120" i="1"/>
  <c r="L120" i="1" s="1"/>
  <c r="K116" i="1"/>
  <c r="K113" i="1"/>
  <c r="L113" i="1" s="1"/>
  <c r="K156" i="1"/>
  <c r="L156" i="1" s="1"/>
  <c r="K145" i="1"/>
  <c r="K122" i="1"/>
  <c r="K118" i="1"/>
  <c r="K117" i="1"/>
  <c r="L117" i="1" s="1"/>
  <c r="L123" i="1" l="1"/>
  <c r="L105" i="1"/>
  <c r="L154" i="1"/>
  <c r="L122" i="1"/>
  <c r="L116" i="1"/>
  <c r="L118" i="1"/>
  <c r="L145" i="1"/>
  <c r="K79" i="1"/>
  <c r="I79" i="1"/>
  <c r="K67" i="1"/>
  <c r="K65" i="1"/>
  <c r="L65" i="1" s="1"/>
  <c r="I65" i="1"/>
  <c r="L63" i="1"/>
  <c r="I61" i="1"/>
  <c r="L67" i="1" l="1"/>
  <c r="L79" i="1"/>
  <c r="K61" i="1"/>
  <c r="L61" i="1" l="1"/>
  <c r="I48" i="1"/>
  <c r="I41" i="1"/>
  <c r="I39" i="1"/>
  <c r="F11" i="1"/>
  <c r="F142" i="1"/>
  <c r="I9" i="1"/>
  <c r="K39" i="1" l="1"/>
  <c r="L41" i="1"/>
  <c r="K48" i="1"/>
  <c r="N142" i="1"/>
  <c r="L48" i="1" l="1"/>
  <c r="L39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8" i="1"/>
  <c r="F169" i="1"/>
  <c r="F170" i="1"/>
  <c r="F171" i="1"/>
  <c r="F176" i="1"/>
  <c r="F179" i="1"/>
  <c r="F180" i="1"/>
  <c r="K180" i="1" s="1"/>
  <c r="F181" i="1"/>
  <c r="F182" i="1"/>
  <c r="N182" i="1" s="1"/>
  <c r="F183" i="1"/>
  <c r="F184" i="1"/>
  <c r="F185" i="1"/>
  <c r="F186" i="1"/>
  <c r="F187" i="1"/>
  <c r="L180" i="1" l="1"/>
  <c r="N180" i="1" s="1"/>
  <c r="L171" i="1"/>
  <c r="M183" i="1"/>
  <c r="N183" i="1"/>
  <c r="M179" i="1"/>
  <c r="N179" i="1"/>
  <c r="M155" i="1"/>
  <c r="N155" i="1"/>
  <c r="M156" i="1"/>
  <c r="N156" i="1"/>
  <c r="N151" i="1"/>
  <c r="M151" i="1"/>
  <c r="M154" i="1"/>
  <c r="N154" i="1"/>
  <c r="N146" i="1"/>
  <c r="M146" i="1"/>
  <c r="N153" i="1"/>
  <c r="M153" i="1"/>
  <c r="M158" i="1"/>
  <c r="N158" i="1"/>
  <c r="M157" i="1"/>
  <c r="N157" i="1"/>
  <c r="M145" i="1"/>
  <c r="N145" i="1"/>
  <c r="N149" i="1"/>
  <c r="N184" i="1"/>
  <c r="M176" i="1"/>
  <c r="N176" i="1"/>
  <c r="N168" i="1"/>
  <c r="N150" i="1"/>
  <c r="N181" i="1"/>
  <c r="M171" i="1"/>
  <c r="M159" i="1"/>
  <c r="Z62" i="1"/>
  <c r="Z61" i="1"/>
  <c r="Z17" i="1"/>
  <c r="Z15" i="1"/>
  <c r="Z14" i="1"/>
  <c r="AB23" i="1"/>
  <c r="AB22" i="1"/>
  <c r="AB19" i="1"/>
  <c r="AB18" i="1"/>
  <c r="AB17" i="1"/>
  <c r="AB16" i="1"/>
  <c r="AB15" i="1"/>
  <c r="AB14" i="1"/>
  <c r="AB13" i="1"/>
  <c r="AB12" i="1"/>
  <c r="Z27" i="1"/>
  <c r="BJ34" i="1"/>
  <c r="BL34" i="1" s="1"/>
  <c r="BJ33" i="1"/>
  <c r="BL33" i="1" s="1"/>
  <c r="BJ32" i="1"/>
  <c r="BL32" i="1" s="1"/>
  <c r="BJ45" i="1"/>
  <c r="BL45" i="1" s="1"/>
  <c r="BF45" i="1"/>
  <c r="BJ39" i="1"/>
  <c r="BL39" i="1" s="1"/>
  <c r="BF39" i="1"/>
  <c r="BH38" i="1"/>
  <c r="BF38" i="1"/>
  <c r="BH37" i="1"/>
  <c r="BF37" i="1"/>
  <c r="BH36" i="1"/>
  <c r="BF36" i="1"/>
  <c r="BH34" i="1"/>
  <c r="BF34" i="1"/>
  <c r="BF33" i="1"/>
  <c r="BF32" i="1"/>
  <c r="Z30" i="1"/>
  <c r="Z18" i="1"/>
  <c r="I37" i="1"/>
  <c r="I36" i="1"/>
  <c r="I35" i="1"/>
  <c r="F92" i="1"/>
  <c r="F68" i="1"/>
  <c r="F67" i="1"/>
  <c r="N67" i="1" s="1"/>
  <c r="F66" i="1"/>
  <c r="Z43" i="1"/>
  <c r="F65" i="1"/>
  <c r="F64" i="1"/>
  <c r="F63" i="1"/>
  <c r="N63" i="1" s="1"/>
  <c r="F62" i="1"/>
  <c r="F61" i="1"/>
  <c r="F59" i="1"/>
  <c r="F55" i="1"/>
  <c r="F48" i="1"/>
  <c r="F28" i="1"/>
  <c r="F27" i="1"/>
  <c r="L27" i="1" s="1"/>
  <c r="N27" i="1" s="1"/>
  <c r="F26" i="1"/>
  <c r="F25" i="1"/>
  <c r="F17" i="1"/>
  <c r="F16" i="1"/>
  <c r="I16" i="1" s="1"/>
  <c r="F8" i="1"/>
  <c r="AC109" i="1"/>
  <c r="L188" i="1" l="1"/>
  <c r="K36" i="1"/>
  <c r="N171" i="1"/>
  <c r="M55" i="1"/>
  <c r="N55" i="1"/>
  <c r="J10" i="1"/>
  <c r="K35" i="1"/>
  <c r="K37" i="1"/>
  <c r="N159" i="1"/>
  <c r="M61" i="1"/>
  <c r="N61" i="1"/>
  <c r="N65" i="1"/>
  <c r="M65" i="1"/>
  <c r="M48" i="1"/>
  <c r="N48" i="1"/>
  <c r="M16" i="1"/>
  <c r="Z38" i="1"/>
  <c r="Z37" i="1"/>
  <c r="BJ37" i="1"/>
  <c r="BL37" i="1" s="1"/>
  <c r="BJ38" i="1"/>
  <c r="BL38" i="1" s="1"/>
  <c r="BJ36" i="1"/>
  <c r="BL36" i="1" s="1"/>
  <c r="N68" i="1"/>
  <c r="M27" i="1"/>
  <c r="AL112" i="1"/>
  <c r="AK112" i="1"/>
  <c r="AI112" i="1"/>
  <c r="AH112" i="1"/>
  <c r="AG112" i="1"/>
  <c r="AF112" i="1"/>
  <c r="AB48" i="1"/>
  <c r="AB47" i="1"/>
  <c r="AB36" i="1"/>
  <c r="AB35" i="1"/>
  <c r="AB34" i="1"/>
  <c r="AB31" i="1"/>
  <c r="AB30" i="1"/>
  <c r="AB29" i="1"/>
  <c r="AB28" i="1"/>
  <c r="AB27" i="1"/>
  <c r="AB26" i="1"/>
  <c r="AB21" i="1"/>
  <c r="BL27" i="1"/>
  <c r="BL26" i="1"/>
  <c r="BL24" i="1"/>
  <c r="BH22" i="1"/>
  <c r="BH21" i="1"/>
  <c r="BH20" i="1"/>
  <c r="BH19" i="1"/>
  <c r="BH18" i="1"/>
  <c r="BH17" i="1"/>
  <c r="BH16" i="1"/>
  <c r="BH15" i="1"/>
  <c r="BH14" i="1"/>
  <c r="BH13" i="1"/>
  <c r="BH12" i="1"/>
  <c r="BH28" i="1"/>
  <c r="BF28" i="1"/>
  <c r="BF27" i="1"/>
  <c r="BF26" i="1"/>
  <c r="BF24" i="1"/>
  <c r="BF22" i="1"/>
  <c r="BF21" i="1"/>
  <c r="BF20" i="1"/>
  <c r="BF19" i="1"/>
  <c r="BF18" i="1"/>
  <c r="BF17" i="1"/>
  <c r="BF16" i="1"/>
  <c r="BF13" i="1"/>
  <c r="BF14" i="1"/>
  <c r="BF12" i="1"/>
  <c r="AD131" i="1"/>
  <c r="U131" i="1"/>
  <c r="AD117" i="1"/>
  <c r="Z53" i="1" l="1"/>
  <c r="M62" i="1"/>
  <c r="L62" i="1"/>
  <c r="Z59" i="1"/>
  <c r="BJ21" i="1"/>
  <c r="BL21" i="1" s="1"/>
  <c r="BJ22" i="1"/>
  <c r="BL22" i="1" s="1"/>
  <c r="BJ16" i="1"/>
  <c r="BL16" i="1" s="1"/>
  <c r="BJ18" i="1"/>
  <c r="BL18" i="1" s="1"/>
  <c r="BJ19" i="1"/>
  <c r="BL19" i="1" s="1"/>
  <c r="BJ20" i="1"/>
  <c r="BL20" i="1" s="1"/>
  <c r="BJ13" i="1"/>
  <c r="BL13" i="1" s="1"/>
  <c r="BJ14" i="1"/>
  <c r="BL14" i="1" s="1"/>
  <c r="AB122" i="1"/>
  <c r="AC122" i="1" s="1"/>
  <c r="BJ17" i="1"/>
  <c r="BL17" i="1" s="1"/>
  <c r="BJ28" i="1"/>
  <c r="BL28" i="1" s="1"/>
  <c r="BL29" i="1" s="1"/>
  <c r="BJ12" i="1"/>
  <c r="BL12" i="1" s="1"/>
  <c r="Z54" i="1"/>
  <c r="AB127" i="1"/>
  <c r="AC127" i="1" s="1"/>
  <c r="AB118" i="1"/>
  <c r="AC118" i="1" s="1"/>
  <c r="AB114" i="1"/>
  <c r="AC114" i="1" s="1"/>
  <c r="AB120" i="1"/>
  <c r="AC120" i="1" s="1"/>
  <c r="AB125" i="1"/>
  <c r="AC125" i="1" s="1"/>
  <c r="AB119" i="1"/>
  <c r="AC119" i="1" s="1"/>
  <c r="AB129" i="1"/>
  <c r="AC129" i="1" s="1"/>
  <c r="AB128" i="1"/>
  <c r="AC128" i="1" s="1"/>
  <c r="AB130" i="1"/>
  <c r="AC130" i="1" s="1"/>
  <c r="AC131" i="1" s="1"/>
  <c r="AB115" i="1"/>
  <c r="AC115" i="1" s="1"/>
  <c r="AB116" i="1"/>
  <c r="AC116" i="1" s="1"/>
  <c r="AB123" i="1"/>
  <c r="AC123" i="1" s="1"/>
  <c r="AB121" i="1"/>
  <c r="AC121" i="1" s="1"/>
  <c r="N62" i="1" l="1"/>
  <c r="BL23" i="1"/>
  <c r="BL15" i="1"/>
  <c r="AC117" i="1"/>
  <c r="Z26" i="1" l="1"/>
  <c r="Z44" i="1"/>
  <c r="Z42" i="1"/>
  <c r="L110" i="1"/>
  <c r="L37" i="1"/>
  <c r="Z22" i="1"/>
  <c r="Z28" i="1"/>
  <c r="Z23" i="1"/>
  <c r="Z34" i="1" l="1"/>
  <c r="L94" i="1"/>
  <c r="L127" i="1"/>
  <c r="L36" i="1"/>
  <c r="L35" i="1"/>
  <c r="F105" i="1"/>
  <c r="F106" i="1"/>
  <c r="F107" i="1"/>
  <c r="F108" i="1"/>
  <c r="N108" i="1" s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M124" i="1" s="1"/>
  <c r="F125" i="1"/>
  <c r="F126" i="1"/>
  <c r="N126" i="1" s="1"/>
  <c r="F127" i="1"/>
  <c r="F128" i="1"/>
  <c r="F129" i="1"/>
  <c r="F130" i="1"/>
  <c r="F131" i="1"/>
  <c r="F132" i="1"/>
  <c r="F133" i="1"/>
  <c r="F134" i="1"/>
  <c r="F135" i="1"/>
  <c r="N135" i="1" s="1"/>
  <c r="F136" i="1"/>
  <c r="F137" i="1"/>
  <c r="F138" i="1"/>
  <c r="K138" i="1" s="1"/>
  <c r="F139" i="1"/>
  <c r="F140" i="1"/>
  <c r="F141" i="1"/>
  <c r="N141" i="1" s="1"/>
  <c r="F104" i="1"/>
  <c r="F33" i="1"/>
  <c r="F34" i="1"/>
  <c r="F35" i="1"/>
  <c r="F36" i="1"/>
  <c r="F37" i="1"/>
  <c r="N37" i="1" s="1"/>
  <c r="F39" i="1"/>
  <c r="F41" i="1"/>
  <c r="F42" i="1"/>
  <c r="F43" i="1"/>
  <c r="F44" i="1"/>
  <c r="F45" i="1"/>
  <c r="F46" i="1"/>
  <c r="F47" i="1"/>
  <c r="K47" i="1" s="1"/>
  <c r="F49" i="1"/>
  <c r="F50" i="1"/>
  <c r="K50" i="1" s="1"/>
  <c r="F51" i="1"/>
  <c r="F52" i="1"/>
  <c r="K52" i="1" s="1"/>
  <c r="F53" i="1"/>
  <c r="F54" i="1"/>
  <c r="K54" i="1" s="1"/>
  <c r="F69" i="1"/>
  <c r="F74" i="1"/>
  <c r="F75" i="1"/>
  <c r="F79" i="1"/>
  <c r="F80" i="1"/>
  <c r="F84" i="1"/>
  <c r="F85" i="1"/>
  <c r="F86" i="1"/>
  <c r="F87" i="1"/>
  <c r="F98" i="1"/>
  <c r="F93" i="1"/>
  <c r="F101" i="1"/>
  <c r="F94" i="1"/>
  <c r="F95" i="1"/>
  <c r="F96" i="1"/>
  <c r="F97" i="1"/>
  <c r="F99" i="1"/>
  <c r="N99" i="1" s="1"/>
  <c r="F100" i="1"/>
  <c r="K100" i="1" s="1"/>
  <c r="F32" i="1"/>
  <c r="M7" i="1"/>
  <c r="Z46" i="1"/>
  <c r="F5" i="1"/>
  <c r="F6" i="1"/>
  <c r="F13" i="1"/>
  <c r="F14" i="1"/>
  <c r="F9" i="1"/>
  <c r="F7" i="1"/>
  <c r="K7" i="1" s="1"/>
  <c r="F15" i="1"/>
  <c r="F18" i="1"/>
  <c r="F19" i="1"/>
  <c r="I19" i="1" s="1"/>
  <c r="F20" i="1"/>
  <c r="F21" i="1"/>
  <c r="F22" i="1"/>
  <c r="F23" i="1"/>
  <c r="F24" i="1"/>
  <c r="F29" i="1"/>
  <c r="F4" i="1"/>
  <c r="I30" i="1" l="1"/>
  <c r="L7" i="1"/>
  <c r="L52" i="1"/>
  <c r="N52" i="1" s="1"/>
  <c r="L50" i="1"/>
  <c r="N50" i="1" s="1"/>
  <c r="L54" i="1"/>
  <c r="N54" i="1" s="1"/>
  <c r="L131" i="1"/>
  <c r="N131" i="1" s="1"/>
  <c r="L138" i="1"/>
  <c r="M122" i="1"/>
  <c r="N122" i="1"/>
  <c r="L133" i="1"/>
  <c r="M120" i="1"/>
  <c r="N120" i="1"/>
  <c r="N106" i="1"/>
  <c r="M106" i="1"/>
  <c r="N98" i="1"/>
  <c r="M98" i="1"/>
  <c r="N104" i="1"/>
  <c r="M104" i="1"/>
  <c r="N129" i="1"/>
  <c r="M129" i="1"/>
  <c r="M117" i="1"/>
  <c r="N117" i="1"/>
  <c r="M105" i="1"/>
  <c r="N105" i="1"/>
  <c r="M116" i="1"/>
  <c r="N116" i="1"/>
  <c r="N121" i="1"/>
  <c r="M121" i="1"/>
  <c r="K95" i="1"/>
  <c r="L95" i="1" s="1"/>
  <c r="N95" i="1" s="1"/>
  <c r="I95" i="1"/>
  <c r="M95" i="1" s="1"/>
  <c r="M115" i="1"/>
  <c r="N115" i="1"/>
  <c r="M87" i="1"/>
  <c r="N87" i="1"/>
  <c r="N114" i="1"/>
  <c r="M114" i="1"/>
  <c r="L100" i="1"/>
  <c r="N100" i="1" s="1"/>
  <c r="I99" i="1"/>
  <c r="M118" i="1"/>
  <c r="N118" i="1"/>
  <c r="M140" i="1"/>
  <c r="N140" i="1"/>
  <c r="M137" i="1"/>
  <c r="N137" i="1"/>
  <c r="M113" i="1"/>
  <c r="N113" i="1"/>
  <c r="N123" i="1"/>
  <c r="M123" i="1"/>
  <c r="L134" i="1"/>
  <c r="M134" i="1"/>
  <c r="K93" i="1"/>
  <c r="I93" i="1"/>
  <c r="M79" i="1"/>
  <c r="N79" i="1"/>
  <c r="M80" i="1"/>
  <c r="K80" i="1"/>
  <c r="L80" i="1" s="1"/>
  <c r="M39" i="1"/>
  <c r="N39" i="1"/>
  <c r="Z16" i="1"/>
  <c r="Z12" i="1"/>
  <c r="Z41" i="1"/>
  <c r="Z49" i="1"/>
  <c r="Z29" i="1"/>
  <c r="M19" i="1"/>
  <c r="M9" i="1"/>
  <c r="Z39" i="1"/>
  <c r="N96" i="1"/>
  <c r="N109" i="1"/>
  <c r="N110" i="1"/>
  <c r="N94" i="1"/>
  <c r="N127" i="1"/>
  <c r="N125" i="1"/>
  <c r="N44" i="1"/>
  <c r="N35" i="1"/>
  <c r="M35" i="1"/>
  <c r="M36" i="1"/>
  <c r="N36" i="1"/>
  <c r="M37" i="1"/>
  <c r="K9" i="1"/>
  <c r="N7" i="1" l="1"/>
  <c r="N138" i="1"/>
  <c r="L143" i="1"/>
  <c r="I102" i="1"/>
  <c r="M93" i="1"/>
  <c r="Z47" i="1"/>
  <c r="M99" i="1"/>
  <c r="L93" i="1"/>
  <c r="N93" i="1" s="1"/>
  <c r="M133" i="1"/>
  <c r="Z48" i="1"/>
  <c r="N80" i="1"/>
  <c r="Z52" i="1"/>
  <c r="Z31" i="1"/>
  <c r="Z33" i="1"/>
  <c r="Z19" i="1"/>
  <c r="N9" i="1"/>
  <c r="L9" i="1"/>
  <c r="L30" i="1" s="1"/>
  <c r="L102" i="1" l="1"/>
  <c r="Z35" i="1"/>
  <c r="Z24" i="1"/>
  <c r="Z36" i="1"/>
  <c r="Z13" i="1"/>
  <c r="Z21" i="1"/>
  <c r="P155" i="1" l="1"/>
  <c r="P156" i="1"/>
  <c r="P157" i="1"/>
</calcChain>
</file>

<file path=xl/sharedStrings.xml><?xml version="1.0" encoding="utf-8"?>
<sst xmlns="http://schemas.openxmlformats.org/spreadsheetml/2006/main" count="3009" uniqueCount="418">
  <si>
    <t>Внутр. объем помещ.</t>
  </si>
  <si>
    <t>Поз.
на плане</t>
  </si>
  <si>
    <t>Высота
H, м</t>
  </si>
  <si>
    <t>приток</t>
  </si>
  <si>
    <t>вытяжка</t>
  </si>
  <si>
    <t>Площадь 
помещ.,
S, м2</t>
  </si>
  <si>
    <t>Объем вытяжного воздуха, м3/ч</t>
  </si>
  <si>
    <t>Объем приточного воздуха, м3/ч</t>
  </si>
  <si>
    <t>Обозначение</t>
  </si>
  <si>
    <t>-</t>
  </si>
  <si>
    <t>Коридор</t>
  </si>
  <si>
    <t>Туалет мужской</t>
  </si>
  <si>
    <t>Душевая</t>
  </si>
  <si>
    <t>ПУИ</t>
  </si>
  <si>
    <t>Венткамера</t>
  </si>
  <si>
    <t>Электрощитовая</t>
  </si>
  <si>
    <t>Серверная</t>
  </si>
  <si>
    <t>Наименование помещений</t>
  </si>
  <si>
    <t>Административный кабинет</t>
  </si>
  <si>
    <t>П1</t>
  </si>
  <si>
    <t>В1</t>
  </si>
  <si>
    <t>В6</t>
  </si>
  <si>
    <t>В5</t>
  </si>
  <si>
    <t>В14</t>
  </si>
  <si>
    <t>П2</t>
  </si>
  <si>
    <t>В2</t>
  </si>
  <si>
    <t>В9</t>
  </si>
  <si>
    <t>В8</t>
  </si>
  <si>
    <t>П3</t>
  </si>
  <si>
    <t>В16</t>
  </si>
  <si>
    <t>П5</t>
  </si>
  <si>
    <t>В3</t>
  </si>
  <si>
    <t>П4</t>
  </si>
  <si>
    <t>В4</t>
  </si>
  <si>
    <t>Примечание</t>
  </si>
  <si>
    <t>Наименование обслуживаемого помещения</t>
  </si>
  <si>
    <t>Тип установки</t>
  </si>
  <si>
    <t>Вентилятор</t>
  </si>
  <si>
    <t>Шумоглушитель</t>
  </si>
  <si>
    <t>Регулирующая заслонка</t>
  </si>
  <si>
    <t xml:space="preserve">Фильтр </t>
  </si>
  <si>
    <t>L, м3/ч</t>
  </si>
  <si>
    <t>Тип</t>
  </si>
  <si>
    <t>N, кВт</t>
  </si>
  <si>
    <t>n, об/мин</t>
  </si>
  <si>
    <t>∆Р, Па</t>
  </si>
  <si>
    <t>Кол.</t>
  </si>
  <si>
    <t>В10</t>
  </si>
  <si>
    <t>П6</t>
  </si>
  <si>
    <t>В11</t>
  </si>
  <si>
    <t>В12</t>
  </si>
  <si>
    <t>В13</t>
  </si>
  <si>
    <t>Pсети, Па</t>
  </si>
  <si>
    <t>Pстат, Па</t>
  </si>
  <si>
    <t>Кол. сис- тем</t>
  </si>
  <si>
    <t>Об. сист.</t>
  </si>
  <si>
    <t>№ п/п</t>
  </si>
  <si>
    <t>кВт</t>
  </si>
  <si>
    <t>пит-е, В</t>
  </si>
  <si>
    <t>Tвн, ⁰C</t>
  </si>
  <si>
    <t>от T/%</t>
  </si>
  <si>
    <t>до T/%</t>
  </si>
  <si>
    <t>Высокотехнологичное трансформируемое образовательное пространство</t>
  </si>
  <si>
    <t>Уникальный лабораторно-исследовательский комплекс</t>
  </si>
  <si>
    <t>Многофункциональный информационный библиотечный центр</t>
  </si>
  <si>
    <t>МПП с функцией актового зала</t>
  </si>
  <si>
    <t>Пищеблок</t>
  </si>
  <si>
    <t>Медблок</t>
  </si>
  <si>
    <t>Универсальный спортивный зал</t>
  </si>
  <si>
    <t>Гимнастический зал</t>
  </si>
  <si>
    <t>Раздевалки</t>
  </si>
  <si>
    <t>П7</t>
  </si>
  <si>
    <t>П8</t>
  </si>
  <si>
    <t>П10</t>
  </si>
  <si>
    <t>П11</t>
  </si>
  <si>
    <t>Обеденный зал</t>
  </si>
  <si>
    <t>Учебные классы, кабинеты (левая часть)</t>
  </si>
  <si>
    <t>П12</t>
  </si>
  <si>
    <t>П13</t>
  </si>
  <si>
    <t>Техпомещения (подвал)</t>
  </si>
  <si>
    <t>Санузлы</t>
  </si>
  <si>
    <t>Кладовые</t>
  </si>
  <si>
    <t>Tн, ⁰C</t>
  </si>
  <si>
    <t>В17</t>
  </si>
  <si>
    <t>В18</t>
  </si>
  <si>
    <t>В19</t>
  </si>
  <si>
    <t>В20</t>
  </si>
  <si>
    <t>В21</t>
  </si>
  <si>
    <t>В22</t>
  </si>
  <si>
    <t>В23</t>
  </si>
  <si>
    <t>компенсация</t>
  </si>
  <si>
    <t>Коридоры</t>
  </si>
  <si>
    <t>ДУ2</t>
  </si>
  <si>
    <t>ПД2</t>
  </si>
  <si>
    <t>Актовый зал</t>
  </si>
  <si>
    <t>ПД3</t>
  </si>
  <si>
    <t>ПД4</t>
  </si>
  <si>
    <t>ПД5</t>
  </si>
  <si>
    <t>подвал</t>
  </si>
  <si>
    <t>Категория ПБ</t>
  </si>
  <si>
    <t>Тенологическая лестница</t>
  </si>
  <si>
    <t>Тамбур-шлюз</t>
  </si>
  <si>
    <t>Зона загрузки</t>
  </si>
  <si>
    <t>Лестничная клетка (типа Л1)</t>
  </si>
  <si>
    <t>Загрузочный цех</t>
  </si>
  <si>
    <t>50 м3/ч/ун; 25 м3/ч/ум</t>
  </si>
  <si>
    <t>Требуемая кратность</t>
  </si>
  <si>
    <t>Фактическая кратность</t>
  </si>
  <si>
    <t>мест.отсос</t>
  </si>
  <si>
    <t>итог</t>
  </si>
  <si>
    <t>1 этаж</t>
  </si>
  <si>
    <t>2 этаж</t>
  </si>
  <si>
    <t>Кабинет русского языка и литературы</t>
  </si>
  <si>
    <t>Лаборантская кабинета химии</t>
  </si>
  <si>
    <t>Туалет женский</t>
  </si>
  <si>
    <t>Санузел для МГН на 1-м этаже</t>
  </si>
  <si>
    <t>Административный кабинет (начальная школа)</t>
  </si>
  <si>
    <t>Гардероб для обучающихся (начальная школа)</t>
  </si>
  <si>
    <t>Гардеробная комната (для учителей)</t>
  </si>
  <si>
    <t>Тамбур</t>
  </si>
  <si>
    <t>Раздевалка мужская</t>
  </si>
  <si>
    <t>Комната охраны с диспетчерским пунктом</t>
  </si>
  <si>
    <t>3 этаж</t>
  </si>
  <si>
    <t>Кабинет математики</t>
  </si>
  <si>
    <t>Снарядная</t>
  </si>
  <si>
    <t>Санузел персонала</t>
  </si>
  <si>
    <t>Технический центр</t>
  </si>
  <si>
    <t>Комната инструктора</t>
  </si>
  <si>
    <t>Административный кабинет (основная и старшая школа)</t>
  </si>
  <si>
    <t>Кабинет географии</t>
  </si>
  <si>
    <t>Туалет инструктора</t>
  </si>
  <si>
    <t>20 м3/ч/чел</t>
  </si>
  <si>
    <t>шкаф демонстрационный</t>
  </si>
  <si>
    <t>60 м3/ч/чел</t>
  </si>
  <si>
    <t>25 м3/ч/ум</t>
  </si>
  <si>
    <t>80 м3/ч/чел</t>
  </si>
  <si>
    <t>40 м3/ч/чел</t>
  </si>
  <si>
    <t xml:space="preserve"> 25 м3/ч/ум</t>
  </si>
  <si>
    <t>пищеблок</t>
  </si>
  <si>
    <t>В24</t>
  </si>
  <si>
    <t>Мощность, N,кВт</t>
  </si>
  <si>
    <t>Размеры оборудования</t>
  </si>
  <si>
    <t>Гидр. Диаметр, D,м</t>
  </si>
  <si>
    <t>Доля явн. Тепловыделений</t>
  </si>
  <si>
    <t>Qk, Вт</t>
  </si>
  <si>
    <t>Lкi, м3/с</t>
  </si>
  <si>
    <t>Lo, м3/ч</t>
  </si>
  <si>
    <t>Длина</t>
  </si>
  <si>
    <t>Ширина</t>
  </si>
  <si>
    <t>Высота</t>
  </si>
  <si>
    <t>Кя, Вт/кВт</t>
  </si>
  <si>
    <t>Мармит для первых блюд</t>
  </si>
  <si>
    <t>Тепловая витрина подогреваемая (настольная)</t>
  </si>
  <si>
    <t>В15 1</t>
  </si>
  <si>
    <t>Пароконвектомат с электронно-механическим управлением (с подставкой)</t>
  </si>
  <si>
    <t>Гриль электрический (настольный)</t>
  </si>
  <si>
    <t>В15 2</t>
  </si>
  <si>
    <t>Котел варочный Abat КПЭМ-400-Т</t>
  </si>
  <si>
    <t>Фритюрница электрическая настольная 2-х секционная</t>
  </si>
  <si>
    <t>В15 3</t>
  </si>
  <si>
    <t>Плита электрическая 4-х конфорочная с духовым шкафом</t>
  </si>
  <si>
    <t>В15 4</t>
  </si>
  <si>
    <t>Пароконвектомат (печь конвекционная электрическая серии ХВС)</t>
  </si>
  <si>
    <t>Шкаф тепловой расстоечный (с пароувлажнением)</t>
  </si>
  <si>
    <t>??</t>
  </si>
  <si>
    <t>мойка</t>
  </si>
  <si>
    <t>Посудомоечная машина купольная</t>
  </si>
  <si>
    <t>П35</t>
  </si>
  <si>
    <t>П35.1</t>
  </si>
  <si>
    <t>П36</t>
  </si>
  <si>
    <t>пом</t>
  </si>
  <si>
    <t>зонт</t>
  </si>
  <si>
    <t>обор-е</t>
  </si>
  <si>
    <t>П10.1</t>
  </si>
  <si>
    <t>П9.1</t>
  </si>
  <si>
    <t>П57</t>
  </si>
  <si>
    <t>П57.1</t>
  </si>
  <si>
    <t>П57.2</t>
  </si>
  <si>
    <t>пмм</t>
  </si>
  <si>
    <t>МВО-1,2МСВ-0,8П</t>
  </si>
  <si>
    <t>П47</t>
  </si>
  <si>
    <t>Пароконвентомат</t>
  </si>
  <si>
    <t>Плита электрическая 4-х конфорочная с жарочным шкафом</t>
  </si>
  <si>
    <t>ЗВВ-900</t>
  </si>
  <si>
    <t>МВО-1,5МСВ-0,8П</t>
  </si>
  <si>
    <t>Зонты пищеблока</t>
  </si>
  <si>
    <t>В27</t>
  </si>
  <si>
    <t>В28</t>
  </si>
  <si>
    <t>В29</t>
  </si>
  <si>
    <t>В31</t>
  </si>
  <si>
    <t>Зонт</t>
  </si>
  <si>
    <t>В32</t>
  </si>
  <si>
    <t>В33</t>
  </si>
  <si>
    <t>ДУ1.1</t>
  </si>
  <si>
    <t>ДУ1.2</t>
  </si>
  <si>
    <t>ДУ1.3</t>
  </si>
  <si>
    <t>ДУ1.4</t>
  </si>
  <si>
    <t>ПД1.1</t>
  </si>
  <si>
    <t>ПД1.2</t>
  </si>
  <si>
    <t>ДУ3.1</t>
  </si>
  <si>
    <t>ДУ3.2</t>
  </si>
  <si>
    <t>ДУ4.1</t>
  </si>
  <si>
    <t>ДУ4.2</t>
  </si>
  <si>
    <t>ДУ5.1</t>
  </si>
  <si>
    <t>ДУ5.2</t>
  </si>
  <si>
    <t>KNK 315/6</t>
  </si>
  <si>
    <t>KCH 315</t>
  </si>
  <si>
    <t>EU4+EU7+EU9+H14</t>
  </si>
  <si>
    <t>ВОЗДУШНО-ТЕПЛОВЫЕ ЗАВЕСЫ</t>
  </si>
  <si>
    <t>ПРИТОЧНЫЕ УСТАНОВКИ</t>
  </si>
  <si>
    <t>У5</t>
  </si>
  <si>
    <t>У6</t>
  </si>
  <si>
    <t>У7</t>
  </si>
  <si>
    <t>У8</t>
  </si>
  <si>
    <t>У9</t>
  </si>
  <si>
    <t>Завеса с электронагревом</t>
  </si>
  <si>
    <t>Производитель</t>
  </si>
  <si>
    <t>Тепломаш</t>
  </si>
  <si>
    <t>У1, У2</t>
  </si>
  <si>
    <t>У3, У4</t>
  </si>
  <si>
    <t>117 Вестибюль</t>
  </si>
  <si>
    <t>148 Тамбур</t>
  </si>
  <si>
    <t>119 Лестничная клетка</t>
  </si>
  <si>
    <t>120 Лестничная клетка</t>
  </si>
  <si>
    <t>122 Коридор</t>
  </si>
  <si>
    <t>132 Обеденный зал</t>
  </si>
  <si>
    <t>140 Гимнастический зал</t>
  </si>
  <si>
    <t>Воздухонагреватель 1 подогрев</t>
  </si>
  <si>
    <t>Тепл-ль</t>
  </si>
  <si>
    <t>LITENED</t>
  </si>
  <si>
    <t>NED</t>
  </si>
  <si>
    <t>вода 95/70</t>
  </si>
  <si>
    <t>EU4+EU7</t>
  </si>
  <si>
    <t>20+20</t>
  </si>
  <si>
    <t>KNK 160/6</t>
  </si>
  <si>
    <t>15+15</t>
  </si>
  <si>
    <t>KCH 160</t>
  </si>
  <si>
    <t>KCH 100</t>
  </si>
  <si>
    <t>5+5</t>
  </si>
  <si>
    <t xml:space="preserve">Канальная </t>
  </si>
  <si>
    <t>10+10</t>
  </si>
  <si>
    <t>KNK 200/6</t>
  </si>
  <si>
    <t>KCH 200</t>
  </si>
  <si>
    <t>KNK 100/6</t>
  </si>
  <si>
    <t>90+600</t>
  </si>
  <si>
    <t>NKD</t>
  </si>
  <si>
    <t>CHR</t>
  </si>
  <si>
    <t>40+200</t>
  </si>
  <si>
    <t>50+200</t>
  </si>
  <si>
    <t>60+225</t>
  </si>
  <si>
    <t>10+10+50+50</t>
  </si>
  <si>
    <t>70+225</t>
  </si>
  <si>
    <t>ВЫТЯЖНЫЕ УСТАНОВКИ</t>
  </si>
  <si>
    <t>К1</t>
  </si>
  <si>
    <t>К2</t>
  </si>
  <si>
    <t>К3</t>
  </si>
  <si>
    <t>К4</t>
  </si>
  <si>
    <t>К5</t>
  </si>
  <si>
    <t>К10</t>
  </si>
  <si>
    <t>К11</t>
  </si>
  <si>
    <t>К12</t>
  </si>
  <si>
    <t>К13</t>
  </si>
  <si>
    <t>К15</t>
  </si>
  <si>
    <t>К16</t>
  </si>
  <si>
    <t>Кабинет с рабочим пространством для учителей (начальная школа)</t>
  </si>
  <si>
    <t>Кабинет врач</t>
  </si>
  <si>
    <t>Мультизональная</t>
  </si>
  <si>
    <t>Сплит 100% резерв (+зимний комплект)</t>
  </si>
  <si>
    <t>Мульти-сплит</t>
  </si>
  <si>
    <t>Сплит</t>
  </si>
  <si>
    <t>Haier</t>
  </si>
  <si>
    <t>К6,К6р</t>
  </si>
  <si>
    <t>К7,К7р</t>
  </si>
  <si>
    <t>К8,К8р</t>
  </si>
  <si>
    <t>К9,К9р</t>
  </si>
  <si>
    <t>Крышный</t>
  </si>
  <si>
    <t>Осевой</t>
  </si>
  <si>
    <t>ПД7</t>
  </si>
  <si>
    <t>ПД6</t>
  </si>
  <si>
    <t>Тамбур шлюз</t>
  </si>
  <si>
    <t>Лифтовая шахта пищеблока (верхняя зона)</t>
  </si>
  <si>
    <t>Лифтовая шахта пищеблока (нижняя зона)</t>
  </si>
  <si>
    <t>Лестничная клетка</t>
  </si>
  <si>
    <t>ПД8</t>
  </si>
  <si>
    <t>ПД9</t>
  </si>
  <si>
    <t>ПД10</t>
  </si>
  <si>
    <t>ПРОТИВОДЫМНАЯ ВЕНТИЛЯЦИЯ</t>
  </si>
  <si>
    <t>КОНДИЦИОНИРОВАНИЕ</t>
  </si>
  <si>
    <t>Водомерный узел</t>
  </si>
  <si>
    <t>Лаборантская кабинета биологии и ОБЗР</t>
  </si>
  <si>
    <t>Кабинет ОБЗР</t>
  </si>
  <si>
    <t>Рекреация</t>
  </si>
  <si>
    <t>ИТП</t>
  </si>
  <si>
    <t>П40</t>
  </si>
  <si>
    <t>П41</t>
  </si>
  <si>
    <t>П43</t>
  </si>
  <si>
    <t>П44</t>
  </si>
  <si>
    <t>П48</t>
  </si>
  <si>
    <t>П51</t>
  </si>
  <si>
    <t>П52</t>
  </si>
  <si>
    <t>П61</t>
  </si>
  <si>
    <t>П62</t>
  </si>
  <si>
    <t>П58</t>
  </si>
  <si>
    <t>П14</t>
  </si>
  <si>
    <t>П16</t>
  </si>
  <si>
    <t>МВО-1,3МС-1,0П</t>
  </si>
  <si>
    <t>МВО-1,7МСВ-0,7В</t>
  </si>
  <si>
    <t>МВО-1,5МСВ-0,7П</t>
  </si>
  <si>
    <t>МВО-1,2МСВ-0,7П</t>
  </si>
  <si>
    <t>В30</t>
  </si>
  <si>
    <t>Итог вытяжного объема по этажу:</t>
  </si>
  <si>
    <t>Итог приточного объема по этажу:</t>
  </si>
  <si>
    <t>Помещение для временного хранения пищевых отходов</t>
  </si>
  <si>
    <t>Помещение для хранения уборочного инвентаря(Пищеблок)</t>
  </si>
  <si>
    <t>Коридор с местом установки холодильного оборудования</t>
  </si>
  <si>
    <t>Кладовая и моечная оборотной тары</t>
  </si>
  <si>
    <t>Помещенеие персонала(включая душевую и сан.узел)</t>
  </si>
  <si>
    <t>Техническое подполье для прокладки технических коммуникаций</t>
  </si>
  <si>
    <t>Д</t>
  </si>
  <si>
    <t>Коридор с зоной ожидания для посетителей</t>
  </si>
  <si>
    <t>Учебный кабинет(2-4 классы)</t>
  </si>
  <si>
    <t>Учебный кабинет(1класс)</t>
  </si>
  <si>
    <t>Рекреация(начальная школа)</t>
  </si>
  <si>
    <t>Санузел для мальчиков начаьной школы</t>
  </si>
  <si>
    <t>Санузел для девочек начальной школы</t>
  </si>
  <si>
    <t>Кабинет с рабочим пространством для учителей (тип 1)</t>
  </si>
  <si>
    <t>Гардероб для обучабщихся(основая и старшая школа)</t>
  </si>
  <si>
    <t>Учебный кабинет для изучения естествознания: химия</t>
  </si>
  <si>
    <t>Процедурный (прививочный кабинет)</t>
  </si>
  <si>
    <t>Помещение дез.растворов и уборочного инвентаря, предназначенных для помещений медицинского назначения</t>
  </si>
  <si>
    <t>Саузел медблока</t>
  </si>
  <si>
    <t>Кабинет врача (длиной не менее 5,5м)</t>
  </si>
  <si>
    <t>Санузел для девочек с комнатой личной гигиены основной и старшей школы</t>
  </si>
  <si>
    <t>Санузел для мальчиков основной и старшей школы</t>
  </si>
  <si>
    <t>Моечная для столовой посуды*</t>
  </si>
  <si>
    <t>Коридор пищеблока</t>
  </si>
  <si>
    <t>Помещение подготовки блюд к реализации и участком мойки кухонной посуды</t>
  </si>
  <si>
    <t>Универсальное помещение с возможностью организации гимнастического зала (хореография)</t>
  </si>
  <si>
    <t>Многофункциональный информационный библиотечный центр с зонами индивидуальных и групповых занятий, медиатеки, центра детский инициатив</t>
  </si>
  <si>
    <t>Многофункциональный информационный библиотечный центр (хранения (закрытиый фонд) и выдача книг)</t>
  </si>
  <si>
    <t>Деборкадер пищеблока</t>
  </si>
  <si>
    <t>*</t>
  </si>
  <si>
    <t>Учебный кабинет (2-4 классы)</t>
  </si>
  <si>
    <t>Рекреация (начальная школа)</t>
  </si>
  <si>
    <t>Санузел для мальчиков начальной школы</t>
  </si>
  <si>
    <t>Кабинет иностранного языка с трансформируемой перегородкой(начальная школа)</t>
  </si>
  <si>
    <t>Кабинет для индивидуальных занятий, в т.ч с учителем-логопедом</t>
  </si>
  <si>
    <t>Кабинет иностранного языка с трансформируемой перегородкой</t>
  </si>
  <si>
    <t>Учебный кабинет изучения естествознания: биология Тип 1</t>
  </si>
  <si>
    <t>Рекреация (старшая школа)</t>
  </si>
  <si>
    <t>Раздевалка женская</t>
  </si>
  <si>
    <t>Многофункциональное пространство ( с эстрадой в уровне пола)</t>
  </si>
  <si>
    <t>Кладовая инвентаря</t>
  </si>
  <si>
    <t>Кабинет для индивидуальных занятий, в т.ч с учителем-психологом</t>
  </si>
  <si>
    <t>Учебный кабинет иностранного языка с возможностью деления трансформируемой перегородкой на два помещения</t>
  </si>
  <si>
    <t>Учебный кабинет для изучения естествознания: физика</t>
  </si>
  <si>
    <t>Лаборантская кабинета физики</t>
  </si>
  <si>
    <t>Кабинет физики (универсальный)</t>
  </si>
  <si>
    <t>Кабинет истории Тип1</t>
  </si>
  <si>
    <t>Кабинет информатики и информационных технологий с возможностью деления трансформируемой перегородкой на два помещения</t>
  </si>
  <si>
    <t>Технология материальная Тип 2</t>
  </si>
  <si>
    <t>Технология материальная Тип 1</t>
  </si>
  <si>
    <t>Санузел</t>
  </si>
  <si>
    <t>Помещение хранения уборочного инвентарся и приготовления дезинфецирующих растворов</t>
  </si>
  <si>
    <t>75м3/ч/душ; 50м3/ч/ун; 25м3/ч/ум</t>
  </si>
  <si>
    <t>Баланс</t>
  </si>
  <si>
    <t>Ествественное проветривание через продыхи в фасаде здания</t>
  </si>
  <si>
    <t>СП 60 7.10.24</t>
  </si>
  <si>
    <t>СП 41</t>
  </si>
  <si>
    <t>Компенсация</t>
  </si>
  <si>
    <t>30 учеников, 1 учитель</t>
  </si>
  <si>
    <t>8 человек</t>
  </si>
  <si>
    <t>Отдельная система</t>
  </si>
  <si>
    <t>кл.ч."В"</t>
  </si>
  <si>
    <t>отдельная система</t>
  </si>
  <si>
    <t>С/У</t>
  </si>
  <si>
    <t>С473</t>
  </si>
  <si>
    <t>С162</t>
  </si>
  <si>
    <t>С615, С604</t>
  </si>
  <si>
    <t>С606, С604</t>
  </si>
  <si>
    <t>Станок</t>
  </si>
  <si>
    <t>Плита</t>
  </si>
  <si>
    <t>плита</t>
  </si>
  <si>
    <t>ВЕ1</t>
  </si>
  <si>
    <t>ВЕ2</t>
  </si>
  <si>
    <t>ВЕ3</t>
  </si>
  <si>
    <t>В15</t>
  </si>
  <si>
    <t>В25</t>
  </si>
  <si>
    <t>П9</t>
  </si>
  <si>
    <t>В26</t>
  </si>
  <si>
    <t>ВЕ4</t>
  </si>
  <si>
    <t>ВЕ5</t>
  </si>
  <si>
    <t>Лазер</t>
  </si>
  <si>
    <t>Принтер 3Д</t>
  </si>
  <si>
    <t>нет</t>
  </si>
  <si>
    <t>МО1</t>
  </si>
  <si>
    <t>МО2</t>
  </si>
  <si>
    <t>МО3</t>
  </si>
  <si>
    <t>Пр1</t>
  </si>
  <si>
    <t>Вр1</t>
  </si>
  <si>
    <t>ВЕ(ТХ)2</t>
  </si>
  <si>
    <t>ВЕ(ТХ)3</t>
  </si>
  <si>
    <t>ВЕ(ТХ)4</t>
  </si>
  <si>
    <t>ВЕ7</t>
  </si>
  <si>
    <t>ВЕ8</t>
  </si>
  <si>
    <t>ВЕ9</t>
  </si>
  <si>
    <t>ВЕ6</t>
  </si>
  <si>
    <t>ВШ1</t>
  </si>
  <si>
    <t>ВШ2</t>
  </si>
  <si>
    <t>МО(В4)</t>
  </si>
  <si>
    <t>МО4</t>
  </si>
  <si>
    <t>В29, В29р</t>
  </si>
  <si>
    <t>Пр3</t>
  </si>
  <si>
    <t>Вр3</t>
  </si>
  <si>
    <t>Пр2</t>
  </si>
  <si>
    <t>Вр2</t>
  </si>
  <si>
    <t>Отдельная приточно -вытяжная</t>
  </si>
  <si>
    <t>В7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</si>
</sst>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GOST 2.304 type A"/>
      <family val="2"/>
      <charset val="204"/>
    </font>
    <font>
      <sz val="10"/>
      <name val="GOST 2.304 type A"/>
      <family val="2"/>
      <charset val="204"/>
    </font>
    <font>
      <sz val="10"/>
      <color rgb="FF000000"/>
      <name val="GOST 2.304 type A"/>
      <family val="2"/>
      <charset val="204"/>
    </font>
    <font>
      <sz val="11"/>
      <color theme="1"/>
      <name val="Calibri"/>
      <family val="2"/>
      <scheme val="minor"/>
    </font>
    <font>
      <sz val="10"/>
      <color rgb="FFFF0000"/>
      <name val="GOST 2.304 type A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85">
    <xf numFmtId="0" fontId="0" fillId="0" borderId="0" xfId="0"/>
    <xf numFmtId="0" fontId="2" fillId="0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Fill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6" fillId="0" borderId="1" xfId="0" applyFont="1" applyBorder="1" applyAlignment="1">
      <alignment horizontal="center" vertical="center" wrapText="1"/>
    </xf>
    <xf numFmtId="0" fontId="2" fillId="34" borderId="0" xfId="0" applyFont="1" applyFill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2" fillId="0" borderId="0" xfId="0" applyFont="1" applyFill="1" applyAlignment="1">
      <alignment horizontal="center"/>
    </xf>
    <xf numFmtId="0" fontId="2" fillId="34" borderId="0" xfId="0" applyFont="1" applyFill="1"/>
    <xf numFmtId="0" fontId="2" fillId="0" borderId="0" xfId="0" applyFont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7" borderId="1" xfId="0" applyFont="1" applyFill="1" applyBorder="1" applyAlignment="1">
      <alignment horizontal="center" vertical="center" wrapText="1"/>
    </xf>
    <xf numFmtId="0" fontId="3" fillId="3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36" borderId="12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2" fontId="2" fillId="0" borderId="5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2" fontId="2" fillId="0" borderId="5" xfId="0" applyNumberFormat="1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/>
    </xf>
    <xf numFmtId="2" fontId="2" fillId="0" borderId="5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 wrapText="1"/>
    </xf>
    <xf numFmtId="1" fontId="3" fillId="0" borderId="16" xfId="0" applyNumberFormat="1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2">
    <cellStyle name="Обычный" xfId="0" builtinId="0"/>
    <cellStyle name="Обычный 2" xfId="1" xr:uid="{C656F3F8-4C88-4598-8F0E-126068FCA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317"/>
  <sheetViews>
    <sheetView tabSelected="1" topLeftCell="A18" workbookViewId="0">
      <selection activeCell="CC146" sqref="BW15:CC146"/>
    </sheetView>
  </sheetViews>
  <sheetFormatPr defaultRowHeight="12.75" x14ac:dyDescent="0.2"/>
  <cols>
    <col min="1" max="1" width="5.85546875" style="75" customWidth="1"/>
    <col min="2" max="2" width="37" style="10" customWidth="1"/>
    <col min="3" max="3" width="5.5703125" style="75" customWidth="1"/>
    <col min="4" max="5" width="6.7109375" style="75" customWidth="1"/>
    <col min="6" max="6" width="6.42578125" style="75" customWidth="1"/>
    <col min="7" max="7" width="13.85546875" style="75" customWidth="1"/>
    <col min="8" max="8" width="26.42578125" style="75" customWidth="1"/>
    <col min="9" max="14" width="12.85546875" style="75" customWidth="1"/>
    <col min="15" max="16" width="9.140625" style="75" customWidth="1"/>
    <col min="17" max="17" width="19.42578125" style="11" customWidth="1"/>
    <col min="18" max="18" width="9.140625" style="1" customWidth="1"/>
    <col min="19" max="19" width="0" style="1" hidden="1" customWidth="1"/>
    <col min="20" max="20" width="5.28515625" style="5" hidden="1" customWidth="1"/>
    <col min="21" max="21" width="6.140625" style="5" hidden="1" customWidth="1"/>
    <col min="22" max="22" width="4.140625" style="5" hidden="1" customWidth="1"/>
    <col min="23" max="23" width="52.42578125" style="5" hidden="1" customWidth="1"/>
    <col min="24" max="24" width="12.7109375" style="5" hidden="1" customWidth="1"/>
    <col min="25" max="25" width="12.7109375" style="26" hidden="1" customWidth="1"/>
    <col min="26" max="26" width="8.7109375" style="5" hidden="1" customWidth="1"/>
    <col min="27" max="34" width="5.7109375" style="5" hidden="1" customWidth="1"/>
    <col min="35" max="37" width="5.7109375" style="26" hidden="1" customWidth="1"/>
    <col min="38" max="38" width="5.7109375" style="5" hidden="1" customWidth="1"/>
    <col min="39" max="39" width="8.7109375" style="5" hidden="1" customWidth="1"/>
    <col min="40" max="41" width="5.7109375" style="5" hidden="1" customWidth="1"/>
    <col min="42" max="42" width="6.7109375" style="5" hidden="1" customWidth="1"/>
    <col min="43" max="44" width="5.7109375" style="5" hidden="1" customWidth="1"/>
    <col min="45" max="45" width="12.7109375" style="5" hidden="1" customWidth="1"/>
    <col min="46" max="46" width="5.7109375" style="5" hidden="1" customWidth="1"/>
    <col min="47" max="47" width="15.7109375" style="5" hidden="1" customWidth="1"/>
    <col min="48" max="50" width="0" style="1" hidden="1" customWidth="1"/>
    <col min="51" max="51" width="13.5703125" style="1" hidden="1" customWidth="1"/>
    <col min="52" max="52" width="0" style="1" hidden="1" customWidth="1"/>
    <col min="53" max="53" width="12.5703125" style="1" hidden="1" customWidth="1"/>
    <col min="54" max="74" width="0" style="1" hidden="1" customWidth="1"/>
    <col min="75" max="75" width="14.85546875" style="1" customWidth="1"/>
    <col min="76" max="76" width="10.5703125" style="1" customWidth="1"/>
    <col min="77" max="77" width="15.7109375" style="1" customWidth="1"/>
    <col min="78" max="78" width="15.28515625" style="1" customWidth="1"/>
    <col min="79" max="79" width="12" style="1" customWidth="1"/>
    <col min="80" max="80" width="10.85546875" style="1" customWidth="1"/>
    <col min="81" max="16384" width="9.140625" style="1"/>
  </cols>
  <sheetData>
    <row r="1" spans="1:81" ht="47.25" customHeight="1" x14ac:dyDescent="0.2">
      <c r="A1" s="114" t="s">
        <v>1</v>
      </c>
      <c r="B1" s="114" t="s">
        <v>17</v>
      </c>
      <c r="C1" s="114" t="s">
        <v>99</v>
      </c>
      <c r="D1" s="138" t="s">
        <v>2</v>
      </c>
      <c r="E1" s="114" t="s">
        <v>5</v>
      </c>
      <c r="F1" s="114" t="s">
        <v>0</v>
      </c>
      <c r="G1" s="116" t="s">
        <v>106</v>
      </c>
      <c r="H1" s="117"/>
      <c r="I1" s="114" t="s">
        <v>7</v>
      </c>
      <c r="J1" s="142" t="s">
        <v>6</v>
      </c>
      <c r="K1" s="143"/>
      <c r="L1" s="144"/>
      <c r="M1" s="116" t="s">
        <v>107</v>
      </c>
      <c r="N1" s="117"/>
      <c r="O1" s="116" t="s">
        <v>8</v>
      </c>
      <c r="P1" s="117"/>
      <c r="Q1" s="114" t="s">
        <v>34</v>
      </c>
      <c r="R1" s="20"/>
      <c r="T1" s="130" t="s">
        <v>56</v>
      </c>
      <c r="U1" s="125" t="s">
        <v>55</v>
      </c>
      <c r="V1" s="125" t="s">
        <v>54</v>
      </c>
      <c r="W1" s="125" t="s">
        <v>35</v>
      </c>
      <c r="X1" s="123" t="s">
        <v>36</v>
      </c>
      <c r="Y1" s="121" t="s">
        <v>216</v>
      </c>
      <c r="Z1" s="118" t="s">
        <v>37</v>
      </c>
      <c r="AA1" s="119"/>
      <c r="AB1" s="119"/>
      <c r="AC1" s="119"/>
      <c r="AD1" s="119"/>
      <c r="AE1" s="120"/>
      <c r="AF1" s="118" t="s">
        <v>227</v>
      </c>
      <c r="AG1" s="119"/>
      <c r="AH1" s="119"/>
      <c r="AI1" s="119"/>
      <c r="AJ1" s="119"/>
      <c r="AK1" s="119"/>
      <c r="AL1" s="120"/>
      <c r="AM1" s="118" t="s">
        <v>38</v>
      </c>
      <c r="AN1" s="119"/>
      <c r="AO1" s="120"/>
      <c r="AP1" s="118" t="s">
        <v>39</v>
      </c>
      <c r="AQ1" s="119"/>
      <c r="AR1" s="120"/>
      <c r="AS1" s="132" t="s">
        <v>40</v>
      </c>
      <c r="AT1" s="133"/>
      <c r="AU1" s="134"/>
      <c r="BA1" s="14"/>
      <c r="BB1" s="2" t="s">
        <v>140</v>
      </c>
      <c r="BC1" s="2" t="s">
        <v>141</v>
      </c>
      <c r="BD1" s="2"/>
      <c r="BE1" s="2"/>
      <c r="BF1" s="2" t="s">
        <v>142</v>
      </c>
      <c r="BG1" s="2" t="s">
        <v>143</v>
      </c>
      <c r="BH1" s="2" t="s">
        <v>144</v>
      </c>
      <c r="BI1" s="14"/>
      <c r="BJ1" s="2" t="s">
        <v>145</v>
      </c>
      <c r="BK1" s="2"/>
      <c r="BL1" s="2" t="s">
        <v>146</v>
      </c>
      <c r="BM1" s="15"/>
      <c r="BN1" s="15"/>
      <c r="BO1" s="15"/>
      <c r="BP1" s="14"/>
      <c r="BQ1" s="14"/>
      <c r="BR1" s="14"/>
    </row>
    <row r="2" spans="1:81" ht="14.25" customHeight="1" x14ac:dyDescent="0.2">
      <c r="A2" s="115"/>
      <c r="B2" s="115"/>
      <c r="C2" s="115"/>
      <c r="D2" s="138"/>
      <c r="E2" s="115"/>
      <c r="F2" s="115"/>
      <c r="G2" s="103" t="s">
        <v>3</v>
      </c>
      <c r="H2" s="103" t="s">
        <v>4</v>
      </c>
      <c r="I2" s="115"/>
      <c r="J2" s="100" t="s">
        <v>108</v>
      </c>
      <c r="K2" s="100" t="s">
        <v>4</v>
      </c>
      <c r="L2" s="100" t="s">
        <v>109</v>
      </c>
      <c r="M2" s="104" t="s">
        <v>3</v>
      </c>
      <c r="N2" s="104" t="s">
        <v>4</v>
      </c>
      <c r="O2" s="104" t="s">
        <v>3</v>
      </c>
      <c r="P2" s="104" t="s">
        <v>4</v>
      </c>
      <c r="Q2" s="115"/>
      <c r="R2" s="95"/>
      <c r="T2" s="131"/>
      <c r="U2" s="126"/>
      <c r="V2" s="126"/>
      <c r="W2" s="126"/>
      <c r="X2" s="124"/>
      <c r="Y2" s="122"/>
      <c r="Z2" s="28" t="s">
        <v>41</v>
      </c>
      <c r="AA2" s="28" t="s">
        <v>52</v>
      </c>
      <c r="AB2" s="89" t="s">
        <v>53</v>
      </c>
      <c r="AC2" s="89" t="s">
        <v>43</v>
      </c>
      <c r="AD2" s="89" t="s">
        <v>58</v>
      </c>
      <c r="AE2" s="90" t="s">
        <v>44</v>
      </c>
      <c r="AF2" s="29" t="s">
        <v>45</v>
      </c>
      <c r="AG2" s="89" t="s">
        <v>82</v>
      </c>
      <c r="AH2" s="89" t="s">
        <v>59</v>
      </c>
      <c r="AI2" s="89" t="s">
        <v>60</v>
      </c>
      <c r="AJ2" s="89" t="s">
        <v>61</v>
      </c>
      <c r="AK2" s="89" t="s">
        <v>57</v>
      </c>
      <c r="AL2" s="89" t="s">
        <v>228</v>
      </c>
      <c r="AM2" s="88" t="s">
        <v>42</v>
      </c>
      <c r="AN2" s="89" t="s">
        <v>46</v>
      </c>
      <c r="AO2" s="30" t="s">
        <v>45</v>
      </c>
      <c r="AP2" s="88" t="s">
        <v>42</v>
      </c>
      <c r="AQ2" s="89" t="s">
        <v>46</v>
      </c>
      <c r="AR2" s="90" t="s">
        <v>45</v>
      </c>
      <c r="AS2" s="29" t="s">
        <v>42</v>
      </c>
      <c r="AT2" s="89" t="s">
        <v>46</v>
      </c>
      <c r="AU2" s="31" t="s">
        <v>45</v>
      </c>
      <c r="BA2" s="14"/>
      <c r="BB2" s="2"/>
      <c r="BC2" s="2" t="s">
        <v>147</v>
      </c>
      <c r="BD2" s="2" t="s">
        <v>148</v>
      </c>
      <c r="BE2" s="2" t="s">
        <v>149</v>
      </c>
      <c r="BF2" s="2"/>
      <c r="BG2" s="2" t="s">
        <v>150</v>
      </c>
      <c r="BH2" s="2"/>
      <c r="BI2" s="2"/>
      <c r="BJ2" s="2"/>
      <c r="BK2" s="2"/>
      <c r="BL2" s="2"/>
      <c r="BM2" s="15"/>
      <c r="BN2" s="15"/>
      <c r="BO2" s="15"/>
      <c r="BP2" s="14"/>
      <c r="BQ2" s="14"/>
      <c r="BR2" s="14"/>
    </row>
    <row r="3" spans="1:81" ht="9.9499999999999993" customHeight="1" x14ac:dyDescent="0.2">
      <c r="A3" s="139" t="s">
        <v>98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96"/>
      <c r="T3" s="127" t="s">
        <v>208</v>
      </c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9"/>
      <c r="BA3" s="14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15"/>
      <c r="BN3" s="15"/>
      <c r="BO3" s="15"/>
      <c r="BP3" s="14"/>
      <c r="BQ3" s="14"/>
      <c r="BR3" s="14"/>
    </row>
    <row r="4" spans="1:81" ht="9.9499999999999993" customHeight="1" x14ac:dyDescent="0.2">
      <c r="A4" s="101">
        <v>1</v>
      </c>
      <c r="B4" s="93" t="s">
        <v>100</v>
      </c>
      <c r="C4" s="101"/>
      <c r="D4" s="105">
        <v>2.8</v>
      </c>
      <c r="E4" s="105">
        <v>13.07</v>
      </c>
      <c r="F4" s="104">
        <f t="shared" ref="F4:F9" si="0">ROUND(D4*E4,2)</f>
        <v>36.6</v>
      </c>
      <c r="G4" s="8" t="s">
        <v>9</v>
      </c>
      <c r="H4" s="8" t="s">
        <v>9</v>
      </c>
      <c r="I4" s="8" t="s">
        <v>9</v>
      </c>
      <c r="J4" s="8" t="s">
        <v>9</v>
      </c>
      <c r="K4" s="8" t="s">
        <v>9</v>
      </c>
      <c r="L4" s="8" t="s">
        <v>9</v>
      </c>
      <c r="M4" s="8" t="s">
        <v>9</v>
      </c>
      <c r="N4" s="8" t="s">
        <v>9</v>
      </c>
      <c r="O4" s="8" t="s">
        <v>9</v>
      </c>
      <c r="P4" s="8" t="s">
        <v>9</v>
      </c>
      <c r="Q4" s="8"/>
      <c r="R4" s="96"/>
      <c r="T4" s="87">
        <v>1</v>
      </c>
      <c r="U4" s="87" t="s">
        <v>218</v>
      </c>
      <c r="V4" s="87">
        <v>2</v>
      </c>
      <c r="W4" s="33" t="s">
        <v>220</v>
      </c>
      <c r="X4" s="87" t="s">
        <v>215</v>
      </c>
      <c r="Y4" s="87" t="s">
        <v>217</v>
      </c>
      <c r="Z4" s="87">
        <v>1600</v>
      </c>
      <c r="AA4" s="87" t="s">
        <v>9</v>
      </c>
      <c r="AB4" s="87" t="s">
        <v>9</v>
      </c>
      <c r="AC4" s="87">
        <v>0.24</v>
      </c>
      <c r="AD4" s="87">
        <v>380</v>
      </c>
      <c r="AE4" s="87" t="s">
        <v>9</v>
      </c>
      <c r="AF4" s="87" t="s">
        <v>9</v>
      </c>
      <c r="AG4" s="87" t="s">
        <v>9</v>
      </c>
      <c r="AH4" s="87" t="s">
        <v>9</v>
      </c>
      <c r="AI4" s="87" t="s">
        <v>9</v>
      </c>
      <c r="AJ4" s="87" t="s">
        <v>9</v>
      </c>
      <c r="AK4" s="34">
        <v>9</v>
      </c>
      <c r="AL4" s="87" t="s">
        <v>9</v>
      </c>
      <c r="AM4" s="87" t="s">
        <v>9</v>
      </c>
      <c r="AN4" s="87" t="s">
        <v>9</v>
      </c>
      <c r="AO4" s="87" t="s">
        <v>9</v>
      </c>
      <c r="AP4" s="87" t="s">
        <v>9</v>
      </c>
      <c r="AQ4" s="87" t="s">
        <v>9</v>
      </c>
      <c r="AR4" s="87" t="s">
        <v>9</v>
      </c>
      <c r="AS4" s="87" t="s">
        <v>9</v>
      </c>
      <c r="AT4" s="87" t="s">
        <v>9</v>
      </c>
      <c r="AU4" s="87" t="s">
        <v>9</v>
      </c>
      <c r="BA4" s="14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15"/>
      <c r="BN4" s="15"/>
      <c r="BO4" s="15"/>
      <c r="BP4" s="14"/>
      <c r="BQ4" s="14"/>
      <c r="BR4" s="14"/>
    </row>
    <row r="5" spans="1:81" ht="9.9499999999999993" customHeight="1" x14ac:dyDescent="0.2">
      <c r="A5" s="101">
        <v>2</v>
      </c>
      <c r="B5" s="93" t="s">
        <v>101</v>
      </c>
      <c r="C5" s="101"/>
      <c r="D5" s="105">
        <v>2.8</v>
      </c>
      <c r="E5" s="105">
        <v>2.93</v>
      </c>
      <c r="F5" s="104">
        <f t="shared" si="0"/>
        <v>8.1999999999999993</v>
      </c>
      <c r="G5" s="8" t="s">
        <v>9</v>
      </c>
      <c r="H5" s="8" t="s">
        <v>9</v>
      </c>
      <c r="I5" s="8" t="s">
        <v>9</v>
      </c>
      <c r="J5" s="8" t="s">
        <v>9</v>
      </c>
      <c r="K5" s="8" t="s">
        <v>9</v>
      </c>
      <c r="L5" s="8" t="s">
        <v>9</v>
      </c>
      <c r="M5" s="8" t="s">
        <v>9</v>
      </c>
      <c r="N5" s="8" t="s">
        <v>9</v>
      </c>
      <c r="O5" s="8" t="s">
        <v>9</v>
      </c>
      <c r="P5" s="8" t="s">
        <v>9</v>
      </c>
      <c r="Q5" s="8"/>
      <c r="R5" s="96"/>
      <c r="T5" s="87">
        <v>2</v>
      </c>
      <c r="U5" s="87" t="s">
        <v>219</v>
      </c>
      <c r="V5" s="87">
        <v>2</v>
      </c>
      <c r="W5" s="33" t="s">
        <v>221</v>
      </c>
      <c r="X5" s="87" t="s">
        <v>215</v>
      </c>
      <c r="Y5" s="87" t="s">
        <v>217</v>
      </c>
      <c r="Z5" s="87">
        <v>1600</v>
      </c>
      <c r="AA5" s="87" t="s">
        <v>9</v>
      </c>
      <c r="AB5" s="87" t="s">
        <v>9</v>
      </c>
      <c r="AC5" s="87">
        <v>0.24</v>
      </c>
      <c r="AD5" s="87">
        <v>380</v>
      </c>
      <c r="AE5" s="87" t="s">
        <v>9</v>
      </c>
      <c r="AF5" s="87" t="s">
        <v>9</v>
      </c>
      <c r="AG5" s="87" t="s">
        <v>9</v>
      </c>
      <c r="AH5" s="87" t="s">
        <v>9</v>
      </c>
      <c r="AI5" s="87" t="s">
        <v>9</v>
      </c>
      <c r="AJ5" s="87" t="s">
        <v>9</v>
      </c>
      <c r="AK5" s="34">
        <v>9</v>
      </c>
      <c r="AL5" s="87" t="s">
        <v>9</v>
      </c>
      <c r="AM5" s="87" t="s">
        <v>9</v>
      </c>
      <c r="AN5" s="87" t="s">
        <v>9</v>
      </c>
      <c r="AO5" s="87" t="s">
        <v>9</v>
      </c>
      <c r="AP5" s="87" t="s">
        <v>9</v>
      </c>
      <c r="AQ5" s="87" t="s">
        <v>9</v>
      </c>
      <c r="AR5" s="87" t="s">
        <v>9</v>
      </c>
      <c r="AS5" s="87" t="s">
        <v>9</v>
      </c>
      <c r="AT5" s="87" t="s">
        <v>9</v>
      </c>
      <c r="AU5" s="87" t="s">
        <v>9</v>
      </c>
      <c r="BA5" s="14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15"/>
      <c r="BN5" s="15"/>
      <c r="BO5" s="15"/>
      <c r="BP5" s="14"/>
      <c r="BQ5" s="14"/>
      <c r="BR5" s="14"/>
    </row>
    <row r="6" spans="1:81" ht="9.9499999999999993" customHeight="1" x14ac:dyDescent="0.2">
      <c r="A6" s="101">
        <v>3</v>
      </c>
      <c r="B6" s="93" t="s">
        <v>312</v>
      </c>
      <c r="C6" s="101"/>
      <c r="D6" s="105">
        <v>2.8</v>
      </c>
      <c r="E6" s="105">
        <v>3.33</v>
      </c>
      <c r="F6" s="104">
        <f t="shared" si="0"/>
        <v>9.32</v>
      </c>
      <c r="G6" s="8" t="s">
        <v>9</v>
      </c>
      <c r="H6" s="8">
        <v>5</v>
      </c>
      <c r="I6" s="8" t="s">
        <v>9</v>
      </c>
      <c r="J6" s="8" t="s">
        <v>9</v>
      </c>
      <c r="K6" s="8">
        <v>50</v>
      </c>
      <c r="L6" s="8">
        <v>50</v>
      </c>
      <c r="M6" s="8" t="s">
        <v>9</v>
      </c>
      <c r="N6" s="8">
        <v>5</v>
      </c>
      <c r="O6" s="8" t="s">
        <v>9</v>
      </c>
      <c r="P6" s="8" t="s">
        <v>20</v>
      </c>
      <c r="Q6" s="8" t="s">
        <v>13</v>
      </c>
      <c r="R6" s="96"/>
      <c r="T6" s="87">
        <v>3</v>
      </c>
      <c r="U6" s="87" t="s">
        <v>210</v>
      </c>
      <c r="V6" s="87">
        <v>1</v>
      </c>
      <c r="W6" s="33" t="s">
        <v>222</v>
      </c>
      <c r="X6" s="87" t="s">
        <v>215</v>
      </c>
      <c r="Y6" s="87" t="s">
        <v>217</v>
      </c>
      <c r="Z6" s="87">
        <v>1600</v>
      </c>
      <c r="AA6" s="87" t="s">
        <v>9</v>
      </c>
      <c r="AB6" s="87" t="s">
        <v>9</v>
      </c>
      <c r="AC6" s="87">
        <v>0.24</v>
      </c>
      <c r="AD6" s="87">
        <v>380</v>
      </c>
      <c r="AE6" s="87" t="s">
        <v>9</v>
      </c>
      <c r="AF6" s="87" t="s">
        <v>9</v>
      </c>
      <c r="AG6" s="87" t="s">
        <v>9</v>
      </c>
      <c r="AH6" s="87" t="s">
        <v>9</v>
      </c>
      <c r="AI6" s="87" t="s">
        <v>9</v>
      </c>
      <c r="AJ6" s="87" t="s">
        <v>9</v>
      </c>
      <c r="AK6" s="34">
        <v>9</v>
      </c>
      <c r="AL6" s="87" t="s">
        <v>9</v>
      </c>
      <c r="AM6" s="87" t="s">
        <v>9</v>
      </c>
      <c r="AN6" s="87" t="s">
        <v>9</v>
      </c>
      <c r="AO6" s="87" t="s">
        <v>9</v>
      </c>
      <c r="AP6" s="87" t="s">
        <v>9</v>
      </c>
      <c r="AQ6" s="87" t="s">
        <v>9</v>
      </c>
      <c r="AR6" s="87" t="s">
        <v>9</v>
      </c>
      <c r="AS6" s="87" t="s">
        <v>9</v>
      </c>
      <c r="AT6" s="87" t="s">
        <v>9</v>
      </c>
      <c r="AU6" s="87" t="s">
        <v>9</v>
      </c>
      <c r="BA6" s="14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15"/>
      <c r="BN6" s="15"/>
      <c r="BO6" s="15"/>
      <c r="BP6" s="14"/>
      <c r="BQ6" s="14"/>
      <c r="BR6" s="14"/>
    </row>
    <row r="7" spans="1:81" ht="9.9499999999999993" customHeight="1" x14ac:dyDescent="0.2">
      <c r="A7" s="101">
        <v>4</v>
      </c>
      <c r="B7" s="93" t="s">
        <v>313</v>
      </c>
      <c r="C7" s="101"/>
      <c r="D7" s="105">
        <v>2.8</v>
      </c>
      <c r="E7" s="105">
        <v>3.37</v>
      </c>
      <c r="F7" s="104">
        <f t="shared" si="0"/>
        <v>9.44</v>
      </c>
      <c r="G7" s="8" t="s">
        <v>9</v>
      </c>
      <c r="H7" s="101">
        <v>5</v>
      </c>
      <c r="I7" s="8" t="s">
        <v>9</v>
      </c>
      <c r="J7" s="8" t="s">
        <v>9</v>
      </c>
      <c r="K7" s="104">
        <f>_xlfn.CEILING.MATH(H7*F7,5)</f>
        <v>50</v>
      </c>
      <c r="L7" s="104">
        <f>K7</f>
        <v>50</v>
      </c>
      <c r="M7" s="104" t="str">
        <f>I7</f>
        <v>-</v>
      </c>
      <c r="N7" s="104">
        <f>ROUNDUP(L7/F7,2)</f>
        <v>5.3</v>
      </c>
      <c r="O7" s="8" t="s">
        <v>9</v>
      </c>
      <c r="P7" s="101" t="str">
        <f>P6</f>
        <v>В1</v>
      </c>
      <c r="Q7" s="101" t="s">
        <v>13</v>
      </c>
      <c r="R7" s="96"/>
      <c r="T7" s="87">
        <v>4</v>
      </c>
      <c r="U7" s="87" t="s">
        <v>211</v>
      </c>
      <c r="V7" s="87">
        <v>1</v>
      </c>
      <c r="W7" s="33" t="s">
        <v>223</v>
      </c>
      <c r="X7" s="87" t="s">
        <v>215</v>
      </c>
      <c r="Y7" s="87" t="s">
        <v>217</v>
      </c>
      <c r="Z7" s="87">
        <v>1600</v>
      </c>
      <c r="AA7" s="87" t="s">
        <v>9</v>
      </c>
      <c r="AB7" s="87" t="s">
        <v>9</v>
      </c>
      <c r="AC7" s="87">
        <v>0.24</v>
      </c>
      <c r="AD7" s="87">
        <v>380</v>
      </c>
      <c r="AE7" s="87" t="s">
        <v>9</v>
      </c>
      <c r="AF7" s="87" t="s">
        <v>9</v>
      </c>
      <c r="AG7" s="87" t="s">
        <v>9</v>
      </c>
      <c r="AH7" s="87" t="s">
        <v>9</v>
      </c>
      <c r="AI7" s="87" t="s">
        <v>9</v>
      </c>
      <c r="AJ7" s="87" t="s">
        <v>9</v>
      </c>
      <c r="AK7" s="34">
        <v>9</v>
      </c>
      <c r="AL7" s="87" t="s">
        <v>9</v>
      </c>
      <c r="AM7" s="87" t="s">
        <v>9</v>
      </c>
      <c r="AN7" s="87" t="s">
        <v>9</v>
      </c>
      <c r="AO7" s="87" t="s">
        <v>9</v>
      </c>
      <c r="AP7" s="87" t="s">
        <v>9</v>
      </c>
      <c r="AQ7" s="87" t="s">
        <v>9</v>
      </c>
      <c r="AR7" s="87" t="s">
        <v>9</v>
      </c>
      <c r="AS7" s="87" t="s">
        <v>9</v>
      </c>
      <c r="AT7" s="87" t="s">
        <v>9</v>
      </c>
      <c r="AU7" s="87" t="s">
        <v>9</v>
      </c>
      <c r="BA7" s="14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15"/>
      <c r="BN7" s="15"/>
      <c r="BO7" s="15"/>
      <c r="BP7" s="14"/>
      <c r="BQ7" s="14"/>
      <c r="BR7" s="14"/>
    </row>
    <row r="8" spans="1:81" ht="9.9499999999999993" customHeight="1" x14ac:dyDescent="0.2">
      <c r="A8" s="101">
        <v>5</v>
      </c>
      <c r="B8" s="93" t="s">
        <v>314</v>
      </c>
      <c r="C8" s="101"/>
      <c r="D8" s="105">
        <v>2.8</v>
      </c>
      <c r="E8" s="105">
        <v>14.58</v>
      </c>
      <c r="F8" s="104">
        <f t="shared" si="0"/>
        <v>40.82</v>
      </c>
      <c r="G8" s="8" t="s">
        <v>9</v>
      </c>
      <c r="H8" s="101">
        <v>1.5</v>
      </c>
      <c r="I8" s="8">
        <v>100</v>
      </c>
      <c r="J8" s="8" t="s">
        <v>9</v>
      </c>
      <c r="K8" s="104" t="s">
        <v>9</v>
      </c>
      <c r="L8" s="104" t="s">
        <v>9</v>
      </c>
      <c r="M8" s="104" t="s">
        <v>9</v>
      </c>
      <c r="N8" s="104">
        <v>2</v>
      </c>
      <c r="O8" s="8" t="s">
        <v>19</v>
      </c>
      <c r="P8" s="101" t="s">
        <v>9</v>
      </c>
      <c r="Q8" s="101" t="s">
        <v>9</v>
      </c>
      <c r="R8" s="96"/>
      <c r="T8" s="87">
        <v>5</v>
      </c>
      <c r="U8" s="87" t="s">
        <v>212</v>
      </c>
      <c r="V8" s="87">
        <v>1</v>
      </c>
      <c r="W8" s="33" t="s">
        <v>224</v>
      </c>
      <c r="X8" s="87" t="s">
        <v>215</v>
      </c>
      <c r="Y8" s="87" t="s">
        <v>217</v>
      </c>
      <c r="Z8" s="87">
        <v>1600</v>
      </c>
      <c r="AA8" s="87" t="s">
        <v>9</v>
      </c>
      <c r="AB8" s="87" t="s">
        <v>9</v>
      </c>
      <c r="AC8" s="87">
        <v>0.24</v>
      </c>
      <c r="AD8" s="87">
        <v>380</v>
      </c>
      <c r="AE8" s="87" t="s">
        <v>9</v>
      </c>
      <c r="AF8" s="87" t="s">
        <v>9</v>
      </c>
      <c r="AG8" s="87" t="s">
        <v>9</v>
      </c>
      <c r="AH8" s="87" t="s">
        <v>9</v>
      </c>
      <c r="AI8" s="87" t="s">
        <v>9</v>
      </c>
      <c r="AJ8" s="87" t="s">
        <v>9</v>
      </c>
      <c r="AK8" s="34">
        <v>9</v>
      </c>
      <c r="AL8" s="87" t="s">
        <v>9</v>
      </c>
      <c r="AM8" s="87" t="s">
        <v>9</v>
      </c>
      <c r="AN8" s="87" t="s">
        <v>9</v>
      </c>
      <c r="AO8" s="87" t="s">
        <v>9</v>
      </c>
      <c r="AP8" s="87" t="s">
        <v>9</v>
      </c>
      <c r="AQ8" s="87" t="s">
        <v>9</v>
      </c>
      <c r="AR8" s="87" t="s">
        <v>9</v>
      </c>
      <c r="AS8" s="87" t="s">
        <v>9</v>
      </c>
      <c r="AT8" s="87" t="s">
        <v>9</v>
      </c>
      <c r="AU8" s="87" t="s">
        <v>9</v>
      </c>
      <c r="BA8" s="14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15"/>
      <c r="BN8" s="15"/>
      <c r="BO8" s="15"/>
      <c r="BP8" s="14"/>
      <c r="BQ8" s="14"/>
      <c r="BR8" s="14"/>
    </row>
    <row r="9" spans="1:81" ht="9.9499999999999993" customHeight="1" x14ac:dyDescent="0.2">
      <c r="A9" s="99">
        <v>6</v>
      </c>
      <c r="B9" s="106" t="s">
        <v>315</v>
      </c>
      <c r="C9" s="99"/>
      <c r="D9" s="107">
        <v>2.8</v>
      </c>
      <c r="E9" s="107">
        <v>3.48</v>
      </c>
      <c r="F9" s="103">
        <f t="shared" si="0"/>
        <v>9.74</v>
      </c>
      <c r="G9" s="101">
        <v>4</v>
      </c>
      <c r="H9" s="101">
        <v>6</v>
      </c>
      <c r="I9" s="104">
        <f>755+160</f>
        <v>915</v>
      </c>
      <c r="J9" s="104" t="s">
        <v>9</v>
      </c>
      <c r="K9" s="104">
        <f>_xlfn.CEILING.MATH(H9*F9,5)</f>
        <v>60</v>
      </c>
      <c r="L9" s="104">
        <f>K9+J10</f>
        <v>755</v>
      </c>
      <c r="M9" s="104">
        <f>ROUNDUP(I9/F9,2)</f>
        <v>93.95</v>
      </c>
      <c r="N9" s="104">
        <f>ROUNDUP(K9/F9,2)</f>
        <v>6.17</v>
      </c>
      <c r="O9" s="101" t="s">
        <v>19</v>
      </c>
      <c r="P9" s="101" t="s">
        <v>31</v>
      </c>
      <c r="Q9" s="101" t="s">
        <v>138</v>
      </c>
      <c r="R9" s="96"/>
      <c r="T9" s="87">
        <v>6</v>
      </c>
      <c r="U9" s="87" t="s">
        <v>213</v>
      </c>
      <c r="V9" s="87">
        <v>1</v>
      </c>
      <c r="W9" s="33" t="s">
        <v>225</v>
      </c>
      <c r="X9" s="87" t="s">
        <v>215</v>
      </c>
      <c r="Y9" s="87" t="s">
        <v>217</v>
      </c>
      <c r="Z9" s="87">
        <v>1600</v>
      </c>
      <c r="AA9" s="87" t="s">
        <v>9</v>
      </c>
      <c r="AB9" s="87" t="s">
        <v>9</v>
      </c>
      <c r="AC9" s="87">
        <v>0.24</v>
      </c>
      <c r="AD9" s="87">
        <v>380</v>
      </c>
      <c r="AE9" s="87" t="s">
        <v>9</v>
      </c>
      <c r="AF9" s="87" t="s">
        <v>9</v>
      </c>
      <c r="AG9" s="87" t="s">
        <v>9</v>
      </c>
      <c r="AH9" s="87" t="s">
        <v>9</v>
      </c>
      <c r="AI9" s="87" t="s">
        <v>9</v>
      </c>
      <c r="AJ9" s="87" t="s">
        <v>9</v>
      </c>
      <c r="AK9" s="34">
        <v>9</v>
      </c>
      <c r="AL9" s="87" t="s">
        <v>9</v>
      </c>
      <c r="AM9" s="87" t="s">
        <v>9</v>
      </c>
      <c r="AN9" s="87" t="s">
        <v>9</v>
      </c>
      <c r="AO9" s="87" t="s">
        <v>9</v>
      </c>
      <c r="AP9" s="87" t="s">
        <v>9</v>
      </c>
      <c r="AQ9" s="87" t="s">
        <v>9</v>
      </c>
      <c r="AR9" s="87" t="s">
        <v>9</v>
      </c>
      <c r="AS9" s="87" t="s">
        <v>9</v>
      </c>
      <c r="AT9" s="87" t="s">
        <v>9</v>
      </c>
      <c r="AU9" s="87" t="s">
        <v>9</v>
      </c>
      <c r="BA9" s="14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15"/>
      <c r="BN9" s="15"/>
      <c r="BO9" s="15"/>
      <c r="BP9" s="14"/>
      <c r="BQ9" s="14"/>
      <c r="BR9" s="14"/>
    </row>
    <row r="10" spans="1:81" ht="9.9499999999999993" customHeight="1" x14ac:dyDescent="0.2">
      <c r="A10" s="101"/>
      <c r="B10" s="4"/>
      <c r="C10" s="101"/>
      <c r="D10" s="105"/>
      <c r="E10" s="105"/>
      <c r="F10" s="104"/>
      <c r="G10" s="101"/>
      <c r="H10" s="101"/>
      <c r="I10" s="104"/>
      <c r="J10" s="104">
        <f>BL45</f>
        <v>695</v>
      </c>
      <c r="K10" s="104"/>
      <c r="L10" s="104"/>
      <c r="M10" s="104">
        <v>6</v>
      </c>
      <c r="N10" s="104" t="s">
        <v>9</v>
      </c>
      <c r="O10" s="8" t="s">
        <v>9</v>
      </c>
      <c r="P10" s="101" t="s">
        <v>33</v>
      </c>
      <c r="Q10" s="104" t="s">
        <v>184</v>
      </c>
      <c r="R10" s="98" t="s">
        <v>409</v>
      </c>
      <c r="T10" s="87">
        <v>7</v>
      </c>
      <c r="U10" s="87" t="s">
        <v>214</v>
      </c>
      <c r="V10" s="87">
        <v>1</v>
      </c>
      <c r="W10" s="35" t="s">
        <v>226</v>
      </c>
      <c r="X10" s="87" t="s">
        <v>215</v>
      </c>
      <c r="Y10" s="87" t="s">
        <v>217</v>
      </c>
      <c r="Z10" s="87">
        <v>1600</v>
      </c>
      <c r="AA10" s="87" t="s">
        <v>9</v>
      </c>
      <c r="AB10" s="87" t="s">
        <v>9</v>
      </c>
      <c r="AC10" s="87">
        <v>0.24</v>
      </c>
      <c r="AD10" s="87">
        <v>380</v>
      </c>
      <c r="AE10" s="87" t="s">
        <v>9</v>
      </c>
      <c r="AF10" s="87" t="s">
        <v>9</v>
      </c>
      <c r="AG10" s="87" t="s">
        <v>9</v>
      </c>
      <c r="AH10" s="87" t="s">
        <v>9</v>
      </c>
      <c r="AI10" s="87" t="s">
        <v>9</v>
      </c>
      <c r="AJ10" s="87" t="s">
        <v>9</v>
      </c>
      <c r="AK10" s="34">
        <v>9</v>
      </c>
      <c r="AL10" s="87" t="s">
        <v>9</v>
      </c>
      <c r="AM10" s="87" t="s">
        <v>9</v>
      </c>
      <c r="AN10" s="87" t="s">
        <v>9</v>
      </c>
      <c r="AO10" s="87" t="s">
        <v>9</v>
      </c>
      <c r="AP10" s="87" t="s">
        <v>9</v>
      </c>
      <c r="AQ10" s="87" t="s">
        <v>9</v>
      </c>
      <c r="AR10" s="87" t="s">
        <v>9</v>
      </c>
      <c r="AS10" s="87" t="s">
        <v>9</v>
      </c>
      <c r="AT10" s="87" t="s">
        <v>9</v>
      </c>
      <c r="AU10" s="87" t="s">
        <v>9</v>
      </c>
      <c r="BA10" s="14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15"/>
      <c r="BN10" s="15"/>
      <c r="BO10" s="15"/>
      <c r="BP10" s="14"/>
      <c r="BQ10" s="14"/>
      <c r="BR10" s="14"/>
    </row>
    <row r="11" spans="1:81" ht="26.25" customHeight="1" x14ac:dyDescent="0.2">
      <c r="A11" s="100">
        <v>7</v>
      </c>
      <c r="B11" s="108" t="s">
        <v>316</v>
      </c>
      <c r="C11" s="100"/>
      <c r="D11" s="109">
        <v>2.8</v>
      </c>
      <c r="E11" s="109">
        <v>8.66</v>
      </c>
      <c r="F11" s="103">
        <f>ROUND(D11*E11,2)</f>
        <v>24.25</v>
      </c>
      <c r="G11" s="103" t="s">
        <v>365</v>
      </c>
      <c r="H11" s="103" t="s">
        <v>365</v>
      </c>
      <c r="I11" s="104">
        <v>150</v>
      </c>
      <c r="J11" s="104" t="s">
        <v>9</v>
      </c>
      <c r="K11" s="104" t="s">
        <v>9</v>
      </c>
      <c r="L11" s="104" t="s">
        <v>9</v>
      </c>
      <c r="M11" s="104" t="s">
        <v>9</v>
      </c>
      <c r="N11" s="104" t="s">
        <v>9</v>
      </c>
      <c r="O11" s="8" t="str">
        <f>O9</f>
        <v>П1</v>
      </c>
      <c r="P11" s="101" t="s">
        <v>9</v>
      </c>
      <c r="Q11" s="101" t="s">
        <v>365</v>
      </c>
      <c r="R11" s="96"/>
      <c r="T11" s="127" t="s">
        <v>209</v>
      </c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9"/>
      <c r="BA11" s="14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15"/>
      <c r="BN11" s="15"/>
      <c r="BO11" s="15"/>
      <c r="BP11" s="14"/>
      <c r="BQ11" s="14"/>
      <c r="BR11" s="14"/>
    </row>
    <row r="12" spans="1:81" ht="30" customHeight="1" x14ac:dyDescent="0.2">
      <c r="A12" s="100"/>
      <c r="B12" s="108"/>
      <c r="C12" s="100"/>
      <c r="D12" s="109"/>
      <c r="E12" s="109"/>
      <c r="F12" s="103"/>
      <c r="G12" s="103" t="s">
        <v>365</v>
      </c>
      <c r="H12" s="8">
        <v>150</v>
      </c>
      <c r="I12" s="104"/>
      <c r="J12" s="104"/>
      <c r="K12" s="104">
        <v>150</v>
      </c>
      <c r="L12" s="104">
        <v>150</v>
      </c>
      <c r="M12" s="104" t="s">
        <v>9</v>
      </c>
      <c r="N12" s="104">
        <v>6</v>
      </c>
      <c r="O12" s="8" t="s">
        <v>9</v>
      </c>
      <c r="P12" s="101" t="str">
        <f>P9</f>
        <v>В3</v>
      </c>
      <c r="Q12" s="8" t="s">
        <v>364</v>
      </c>
      <c r="R12" s="97"/>
      <c r="T12" s="6">
        <v>1</v>
      </c>
      <c r="U12" s="36" t="s">
        <v>19</v>
      </c>
      <c r="V12" s="6">
        <v>1</v>
      </c>
      <c r="W12" s="6" t="s">
        <v>76</v>
      </c>
      <c r="X12" s="6" t="s">
        <v>229</v>
      </c>
      <c r="Y12" s="6" t="s">
        <v>230</v>
      </c>
      <c r="Z12" s="86" t="e">
        <f>I19+I32+I33+I34+I35+I53+I66+I96+I109+I110+I111+I112+I113+I128+I129+I137+I151+I152+I153+I181+I118</f>
        <v>#VALUE!</v>
      </c>
      <c r="AA12" s="6">
        <v>700</v>
      </c>
      <c r="AB12" s="6">
        <f>AA12+AF12+AO12+90+600+AR12</f>
        <v>1495</v>
      </c>
      <c r="AC12" s="6">
        <v>4</v>
      </c>
      <c r="AD12" s="6">
        <v>380</v>
      </c>
      <c r="AE12" s="6">
        <v>2850</v>
      </c>
      <c r="AF12" s="6">
        <v>50</v>
      </c>
      <c r="AG12" s="6">
        <v>-26</v>
      </c>
      <c r="AH12" s="6">
        <v>20</v>
      </c>
      <c r="AI12" s="6">
        <v>80</v>
      </c>
      <c r="AJ12" s="6">
        <v>2</v>
      </c>
      <c r="AK12" s="6">
        <v>111.3</v>
      </c>
      <c r="AL12" s="6" t="s">
        <v>231</v>
      </c>
      <c r="AM12" s="6" t="s">
        <v>245</v>
      </c>
      <c r="AN12" s="6">
        <v>1</v>
      </c>
      <c r="AO12" s="6">
        <v>50</v>
      </c>
      <c r="AP12" s="6" t="s">
        <v>246</v>
      </c>
      <c r="AQ12" s="6">
        <v>1</v>
      </c>
      <c r="AR12" s="6">
        <v>5</v>
      </c>
      <c r="AS12" s="6" t="s">
        <v>232</v>
      </c>
      <c r="AT12" s="6">
        <v>2</v>
      </c>
      <c r="AU12" s="37" t="s">
        <v>244</v>
      </c>
      <c r="BA12" s="135" t="s">
        <v>86</v>
      </c>
      <c r="BB12" s="2">
        <v>7.5</v>
      </c>
      <c r="BC12" s="2">
        <v>1.4</v>
      </c>
      <c r="BD12" s="2">
        <v>0.82</v>
      </c>
      <c r="BE12" s="2">
        <v>1.7350000000000001</v>
      </c>
      <c r="BF12" s="2">
        <f>_xlfn.CEILING.MATH((2*BC12*BD12/(BC12+BD12)),0.001)</f>
        <v>1.0349999999999999</v>
      </c>
      <c r="BG12" s="2">
        <v>125</v>
      </c>
      <c r="BH12" s="2">
        <f t="shared" ref="BH12:BH22" si="1">BB12*BG12*0.5*0.6</f>
        <v>281.25</v>
      </c>
      <c r="BI12" s="16"/>
      <c r="BJ12" s="2">
        <f>_xlfn.CEILING.MATH(0.005*(BH12^(1/3))*((0.85+1.7*BF12)^(5/3))*(850*0.63/920),0.0001)</f>
        <v>9.4399999999999998E-2</v>
      </c>
      <c r="BK12" s="2"/>
      <c r="BL12" s="2">
        <f>_xlfn.CEILING.MATH(BJ12*3600*1.25/0.85,5)</f>
        <v>500</v>
      </c>
      <c r="BM12" s="15">
        <v>500</v>
      </c>
      <c r="BN12" s="15"/>
      <c r="BO12" s="15">
        <v>450</v>
      </c>
      <c r="BP12" s="12" t="s">
        <v>151</v>
      </c>
      <c r="BQ12" s="12"/>
      <c r="BR12" s="14"/>
    </row>
    <row r="13" spans="1:81" ht="9.9499999999999993" customHeight="1" x14ac:dyDescent="0.2">
      <c r="A13" s="101">
        <v>9</v>
      </c>
      <c r="B13" s="93" t="s">
        <v>104</v>
      </c>
      <c r="C13" s="101"/>
      <c r="D13" s="105">
        <v>2.8</v>
      </c>
      <c r="E13" s="105">
        <v>4.3600000000000003</v>
      </c>
      <c r="F13" s="104">
        <f t="shared" ref="F13:F29" si="2">ROUND(D13*E13,2)</f>
        <v>12.21</v>
      </c>
      <c r="G13" s="103" t="s">
        <v>9</v>
      </c>
      <c r="H13" s="103" t="s">
        <v>9</v>
      </c>
      <c r="I13" s="104" t="s">
        <v>9</v>
      </c>
      <c r="J13" s="104" t="s">
        <v>9</v>
      </c>
      <c r="K13" s="104" t="s">
        <v>9</v>
      </c>
      <c r="L13" s="104" t="s">
        <v>9</v>
      </c>
      <c r="M13" s="104" t="s">
        <v>9</v>
      </c>
      <c r="N13" s="104" t="s">
        <v>9</v>
      </c>
      <c r="O13" s="8" t="s">
        <v>9</v>
      </c>
      <c r="P13" s="101" t="s">
        <v>9</v>
      </c>
      <c r="Q13" s="101"/>
      <c r="T13" s="6">
        <v>2</v>
      </c>
      <c r="U13" s="38" t="s">
        <v>24</v>
      </c>
      <c r="V13" s="6">
        <v>1</v>
      </c>
      <c r="W13" s="6" t="s">
        <v>76</v>
      </c>
      <c r="X13" s="6" t="s">
        <v>229</v>
      </c>
      <c r="Y13" s="6" t="s">
        <v>230</v>
      </c>
      <c r="Z13" s="73" t="e">
        <f>I36+I37+I39+I50+I63+I67+I114+I115+I116+I117+I125+I126+I127+I136+I158+I159+I168+I169+I170+I171+I176</f>
        <v>#VALUE!</v>
      </c>
      <c r="AA13" s="6">
        <v>450</v>
      </c>
      <c r="AB13" s="6">
        <f>AA13+AF13+AO13+90+600+AR13</f>
        <v>1245</v>
      </c>
      <c r="AC13" s="6">
        <v>4</v>
      </c>
      <c r="AD13" s="6">
        <v>380</v>
      </c>
      <c r="AE13" s="6">
        <v>2850</v>
      </c>
      <c r="AF13" s="6">
        <v>50</v>
      </c>
      <c r="AG13" s="6">
        <v>-26</v>
      </c>
      <c r="AH13" s="6">
        <v>20</v>
      </c>
      <c r="AI13" s="6">
        <v>80</v>
      </c>
      <c r="AJ13" s="6">
        <v>2</v>
      </c>
      <c r="AK13" s="6">
        <v>110.7</v>
      </c>
      <c r="AL13" s="6" t="s">
        <v>231</v>
      </c>
      <c r="AM13" s="6" t="s">
        <v>245</v>
      </c>
      <c r="AN13" s="6">
        <v>1</v>
      </c>
      <c r="AO13" s="6">
        <v>50</v>
      </c>
      <c r="AP13" s="6" t="s">
        <v>246</v>
      </c>
      <c r="AQ13" s="6">
        <v>1</v>
      </c>
      <c r="AR13" s="6">
        <v>5</v>
      </c>
      <c r="AS13" s="6" t="s">
        <v>232</v>
      </c>
      <c r="AT13" s="6">
        <v>2</v>
      </c>
      <c r="AU13" s="37" t="s">
        <v>244</v>
      </c>
      <c r="BA13" s="135"/>
      <c r="BB13" s="2">
        <v>6.75</v>
      </c>
      <c r="BC13" s="2">
        <v>1.8</v>
      </c>
      <c r="BD13" s="2">
        <v>0.82</v>
      </c>
      <c r="BE13" s="2">
        <v>0.88500000000000001</v>
      </c>
      <c r="BF13" s="2">
        <f t="shared" ref="BF13:BF28" si="3">_xlfn.CEILING.MATH((2*BC13*BD13/(BC13+BD13)),0.001)</f>
        <v>1.127</v>
      </c>
      <c r="BG13" s="2">
        <v>125</v>
      </c>
      <c r="BH13" s="2">
        <f t="shared" si="1"/>
        <v>253.125</v>
      </c>
      <c r="BI13" s="16"/>
      <c r="BJ13" s="2">
        <f>_xlfn.CEILING.MATH(0.005*(BH13^(1/3))*((0.85+1.7*BF13)^(5/3))*(850*0.63/920),0.0001)</f>
        <v>0.1004</v>
      </c>
      <c r="BK13" s="2"/>
      <c r="BL13" s="2">
        <f t="shared" ref="BL13:BL28" si="4">_xlfn.CEILING.MATH(BJ13*3600*1.25/0.85,5)</f>
        <v>535</v>
      </c>
      <c r="BM13" s="15">
        <v>1050</v>
      </c>
      <c r="BN13" s="15"/>
      <c r="BO13" s="15">
        <v>945</v>
      </c>
      <c r="BP13" s="12" t="s">
        <v>151</v>
      </c>
      <c r="BQ13" s="12"/>
      <c r="BR13" s="14"/>
    </row>
    <row r="14" spans="1:81" ht="9.9499999999999993" customHeight="1" x14ac:dyDescent="0.2">
      <c r="A14" s="101">
        <v>10</v>
      </c>
      <c r="B14" s="93" t="s">
        <v>10</v>
      </c>
      <c r="C14" s="101"/>
      <c r="D14" s="105">
        <v>2.8</v>
      </c>
      <c r="E14" s="105">
        <v>6.71</v>
      </c>
      <c r="F14" s="104">
        <f t="shared" si="2"/>
        <v>18.79</v>
      </c>
      <c r="G14" s="8" t="s">
        <v>9</v>
      </c>
      <c r="H14" s="8" t="s">
        <v>9</v>
      </c>
      <c r="I14" s="104">
        <v>60</v>
      </c>
      <c r="J14" s="104" t="s">
        <v>9</v>
      </c>
      <c r="K14" s="8" t="s">
        <v>9</v>
      </c>
      <c r="L14" s="104" t="s">
        <v>9</v>
      </c>
      <c r="M14" s="104" t="s">
        <v>9</v>
      </c>
      <c r="N14" s="104" t="s">
        <v>9</v>
      </c>
      <c r="O14" s="8" t="str">
        <f>O9</f>
        <v>П1</v>
      </c>
      <c r="P14" s="101" t="s">
        <v>9</v>
      </c>
      <c r="Q14" s="101"/>
      <c r="T14" s="6">
        <v>13</v>
      </c>
      <c r="U14" s="39" t="s">
        <v>28</v>
      </c>
      <c r="V14" s="6">
        <v>1</v>
      </c>
      <c r="W14" s="6" t="s">
        <v>62</v>
      </c>
      <c r="X14" s="6" t="s">
        <v>229</v>
      </c>
      <c r="Y14" s="6" t="s">
        <v>230</v>
      </c>
      <c r="Z14" s="73" t="e">
        <f>I179+I180</f>
        <v>#VALUE!</v>
      </c>
      <c r="AA14" s="6">
        <v>450</v>
      </c>
      <c r="AB14" s="6">
        <f>AA14+AF14+AO14+40+200+AR14</f>
        <v>777</v>
      </c>
      <c r="AC14" s="6">
        <v>1.1000000000000001</v>
      </c>
      <c r="AD14" s="6">
        <v>380</v>
      </c>
      <c r="AE14" s="6">
        <v>2850</v>
      </c>
      <c r="AF14" s="6">
        <v>50</v>
      </c>
      <c r="AG14" s="6">
        <v>-26</v>
      </c>
      <c r="AH14" s="6">
        <v>20</v>
      </c>
      <c r="AI14" s="6">
        <v>80</v>
      </c>
      <c r="AJ14" s="6">
        <v>2</v>
      </c>
      <c r="AK14" s="6">
        <v>28.382000000000001</v>
      </c>
      <c r="AL14" s="6" t="s">
        <v>231</v>
      </c>
      <c r="AM14" s="6" t="s">
        <v>245</v>
      </c>
      <c r="AN14" s="6">
        <v>1</v>
      </c>
      <c r="AO14" s="6">
        <v>35</v>
      </c>
      <c r="AP14" s="6" t="s">
        <v>246</v>
      </c>
      <c r="AQ14" s="6">
        <v>1</v>
      </c>
      <c r="AR14" s="6">
        <v>2</v>
      </c>
      <c r="AS14" s="6" t="s">
        <v>232</v>
      </c>
      <c r="AT14" s="6">
        <v>2</v>
      </c>
      <c r="AU14" s="37" t="s">
        <v>247</v>
      </c>
      <c r="BA14" s="135"/>
      <c r="BB14" s="2">
        <v>2.98</v>
      </c>
      <c r="BC14" s="2">
        <v>1.49</v>
      </c>
      <c r="BD14" s="2">
        <v>0.66</v>
      </c>
      <c r="BE14" s="2">
        <v>0.64</v>
      </c>
      <c r="BF14" s="2">
        <f t="shared" si="3"/>
        <v>0.91500000000000004</v>
      </c>
      <c r="BG14" s="2">
        <v>125</v>
      </c>
      <c r="BH14" s="2">
        <f t="shared" si="1"/>
        <v>111.75</v>
      </c>
      <c r="BI14" s="16"/>
      <c r="BJ14" s="2">
        <f>_xlfn.CEILING.MATH(0.005*(BH14^(1/3))*((0.85+1.7*BF14)^(5/3))*(850*0.63/920),0.0001)</f>
        <v>6.0600000000000001E-2</v>
      </c>
      <c r="BK14" s="2"/>
      <c r="BL14" s="2">
        <f t="shared" si="4"/>
        <v>325</v>
      </c>
      <c r="BM14" s="15">
        <v>550</v>
      </c>
      <c r="BN14" s="15"/>
      <c r="BO14" s="15">
        <v>495</v>
      </c>
      <c r="BP14" s="12" t="s">
        <v>152</v>
      </c>
      <c r="BQ14" s="12"/>
      <c r="BR14" s="14"/>
    </row>
    <row r="15" spans="1:81" ht="9.9499999999999993" customHeight="1" x14ac:dyDescent="0.2">
      <c r="A15" s="101">
        <v>11</v>
      </c>
      <c r="B15" s="93" t="s">
        <v>317</v>
      </c>
      <c r="C15" s="101"/>
      <c r="D15" s="105">
        <v>1.85</v>
      </c>
      <c r="E15" s="105">
        <v>192.28</v>
      </c>
      <c r="F15" s="104">
        <f t="shared" si="2"/>
        <v>355.72</v>
      </c>
      <c r="G15" s="8" t="s">
        <v>9</v>
      </c>
      <c r="H15" s="8" t="s">
        <v>9</v>
      </c>
      <c r="I15" s="8" t="s">
        <v>9</v>
      </c>
      <c r="J15" s="8" t="s">
        <v>9</v>
      </c>
      <c r="K15" s="8" t="s">
        <v>9</v>
      </c>
      <c r="L15" s="8" t="s">
        <v>9</v>
      </c>
      <c r="M15" s="8" t="s">
        <v>9</v>
      </c>
      <c r="N15" s="8" t="s">
        <v>9</v>
      </c>
      <c r="O15" s="8" t="s">
        <v>9</v>
      </c>
      <c r="P15" s="8" t="s">
        <v>9</v>
      </c>
      <c r="Q15" s="8" t="s">
        <v>366</v>
      </c>
      <c r="T15" s="6">
        <v>13</v>
      </c>
      <c r="U15" s="40" t="s">
        <v>32</v>
      </c>
      <c r="V15" s="6">
        <v>1</v>
      </c>
      <c r="W15" s="6" t="s">
        <v>63</v>
      </c>
      <c r="X15" s="6" t="s">
        <v>229</v>
      </c>
      <c r="Y15" s="6" t="s">
        <v>230</v>
      </c>
      <c r="Z15" s="73">
        <f>I154</f>
        <v>620</v>
      </c>
      <c r="AA15" s="6">
        <v>300</v>
      </c>
      <c r="AB15" s="6">
        <f>AA15+AF15+AO15+50+200+AR15</f>
        <v>622</v>
      </c>
      <c r="AC15" s="6">
        <v>1.5</v>
      </c>
      <c r="AD15" s="6">
        <v>380</v>
      </c>
      <c r="AE15" s="6">
        <v>2850</v>
      </c>
      <c r="AF15" s="6">
        <v>50</v>
      </c>
      <c r="AG15" s="6">
        <v>-26</v>
      </c>
      <c r="AH15" s="6">
        <v>20</v>
      </c>
      <c r="AI15" s="6">
        <v>80</v>
      </c>
      <c r="AJ15" s="6">
        <v>2</v>
      </c>
      <c r="AK15" s="6">
        <v>40.482999999999997</v>
      </c>
      <c r="AL15" s="6" t="s">
        <v>231</v>
      </c>
      <c r="AM15" s="6" t="s">
        <v>245</v>
      </c>
      <c r="AN15" s="6">
        <v>1</v>
      </c>
      <c r="AO15" s="6">
        <v>20</v>
      </c>
      <c r="AP15" s="6" t="s">
        <v>246</v>
      </c>
      <c r="AQ15" s="6">
        <v>1</v>
      </c>
      <c r="AR15" s="6">
        <v>2</v>
      </c>
      <c r="AS15" s="6" t="s">
        <v>232</v>
      </c>
      <c r="AT15" s="6">
        <v>2</v>
      </c>
      <c r="AU15" s="6" t="s">
        <v>248</v>
      </c>
      <c r="BA15" s="14"/>
      <c r="BB15" s="2"/>
      <c r="BC15" s="2"/>
      <c r="BD15" s="2"/>
      <c r="BE15" s="2"/>
      <c r="BF15" s="2"/>
      <c r="BG15" s="2"/>
      <c r="BH15" s="2">
        <f t="shared" si="1"/>
        <v>0</v>
      </c>
      <c r="BI15" s="16"/>
      <c r="BJ15" s="2"/>
      <c r="BK15" s="14"/>
      <c r="BL15" s="15">
        <f>SUM(BL12:BL14)</f>
        <v>1360</v>
      </c>
      <c r="BM15" s="15">
        <v>2100</v>
      </c>
      <c r="BN15" s="15"/>
      <c r="BO15" s="15">
        <v>1890</v>
      </c>
      <c r="BP15" s="13"/>
      <c r="BQ15" s="13"/>
      <c r="BR15" s="14"/>
      <c r="BW15" s="76"/>
      <c r="BX15" s="76"/>
      <c r="BY15" s="76"/>
      <c r="BZ15" s="76"/>
      <c r="CA15" s="76"/>
      <c r="CB15" s="76"/>
      <c r="CC15" s="76"/>
    </row>
    <row r="16" spans="1:81" ht="9.9499999999999993" customHeight="1" x14ac:dyDescent="0.2">
      <c r="A16" s="101">
        <v>12</v>
      </c>
      <c r="B16" s="93" t="s">
        <v>14</v>
      </c>
      <c r="C16" s="101" t="s">
        <v>33</v>
      </c>
      <c r="D16" s="105">
        <v>2.5</v>
      </c>
      <c r="E16" s="105">
        <v>87.16</v>
      </c>
      <c r="F16" s="104">
        <f t="shared" si="2"/>
        <v>217.9</v>
      </c>
      <c r="G16" s="8">
        <v>2</v>
      </c>
      <c r="H16" s="8" t="s">
        <v>9</v>
      </c>
      <c r="I16" s="70">
        <f>_xlfn.CEILING.MATH(G16*F16,5)</f>
        <v>440</v>
      </c>
      <c r="J16" s="104" t="s">
        <v>9</v>
      </c>
      <c r="K16" s="8" t="s">
        <v>9</v>
      </c>
      <c r="L16" s="8">
        <v>550</v>
      </c>
      <c r="M16" s="104">
        <f>ROUNDUP(I16/F16,2)</f>
        <v>2.0199999999999996</v>
      </c>
      <c r="N16" s="8" t="s">
        <v>9</v>
      </c>
      <c r="O16" s="6" t="s">
        <v>388</v>
      </c>
      <c r="P16" s="8" t="s">
        <v>22</v>
      </c>
      <c r="Q16" s="8" t="s">
        <v>367</v>
      </c>
      <c r="T16" s="6">
        <v>5</v>
      </c>
      <c r="U16" s="41" t="s">
        <v>30</v>
      </c>
      <c r="V16" s="6">
        <v>1</v>
      </c>
      <c r="W16" s="6" t="s">
        <v>64</v>
      </c>
      <c r="X16" s="6" t="s">
        <v>229</v>
      </c>
      <c r="Y16" s="6" t="s">
        <v>230</v>
      </c>
      <c r="Z16" s="73" t="e">
        <f>I86+I16</f>
        <v>#VALUE!</v>
      </c>
      <c r="AA16" s="6">
        <v>350</v>
      </c>
      <c r="AB16" s="6">
        <f>AA16+AF16+AO16+40+200+AR16</f>
        <v>677</v>
      </c>
      <c r="AC16" s="6">
        <v>1.1000000000000001</v>
      </c>
      <c r="AD16" s="6">
        <v>380</v>
      </c>
      <c r="AE16" s="6">
        <v>2850</v>
      </c>
      <c r="AF16" s="6">
        <v>50</v>
      </c>
      <c r="AG16" s="6">
        <v>-26</v>
      </c>
      <c r="AH16" s="6">
        <v>20</v>
      </c>
      <c r="AI16" s="6">
        <v>80</v>
      </c>
      <c r="AJ16" s="6">
        <v>2</v>
      </c>
      <c r="AK16" s="6">
        <v>26.960999999999999</v>
      </c>
      <c r="AL16" s="6" t="s">
        <v>231</v>
      </c>
      <c r="AM16" s="6" t="s">
        <v>245</v>
      </c>
      <c r="AN16" s="6">
        <v>1</v>
      </c>
      <c r="AO16" s="6">
        <v>35</v>
      </c>
      <c r="AP16" s="6" t="s">
        <v>246</v>
      </c>
      <c r="AQ16" s="6">
        <v>1</v>
      </c>
      <c r="AR16" s="6">
        <v>2</v>
      </c>
      <c r="AS16" s="6" t="s">
        <v>232</v>
      </c>
      <c r="AT16" s="6">
        <v>2</v>
      </c>
      <c r="AU16" s="37" t="s">
        <v>247</v>
      </c>
      <c r="BA16" s="135" t="s">
        <v>153</v>
      </c>
      <c r="BB16" s="2">
        <v>14.5</v>
      </c>
      <c r="BC16" s="2">
        <v>0.81200000000000006</v>
      </c>
      <c r="BD16" s="2">
        <v>0.72499999999999998</v>
      </c>
      <c r="BE16" s="2">
        <v>1.145</v>
      </c>
      <c r="BF16" s="2">
        <f t="shared" si="3"/>
        <v>0.76700000000000002</v>
      </c>
      <c r="BG16" s="2">
        <v>120</v>
      </c>
      <c r="BH16" s="2">
        <f t="shared" si="1"/>
        <v>522</v>
      </c>
      <c r="BI16" s="16"/>
      <c r="BJ16" s="2">
        <f t="shared" ref="BJ16:BJ22" si="5">_xlfn.CEILING.MATH(0.005*(BH16^(1/3))*((0.85+1.7*BF16)^(5/3))*(850*0.63/920),0.0001)</f>
        <v>8.4200000000000011E-2</v>
      </c>
      <c r="BK16" s="2"/>
      <c r="BL16" s="2">
        <f t="shared" si="4"/>
        <v>450</v>
      </c>
      <c r="BM16" s="17">
        <v>470</v>
      </c>
      <c r="BN16" s="17"/>
      <c r="BO16" s="15"/>
      <c r="BP16" s="12" t="s">
        <v>154</v>
      </c>
      <c r="BQ16" s="12"/>
      <c r="BR16" s="14"/>
      <c r="BW16" s="176"/>
      <c r="BX16" s="176"/>
      <c r="BY16" s="176"/>
      <c r="BZ16" s="176"/>
      <c r="CA16" s="176"/>
      <c r="CB16" s="76"/>
      <c r="CC16" s="76"/>
    </row>
    <row r="17" spans="1:81" ht="9.9499999999999993" customHeight="1" x14ac:dyDescent="0.2">
      <c r="A17" s="101">
        <v>13</v>
      </c>
      <c r="B17" s="93" t="s">
        <v>317</v>
      </c>
      <c r="C17" s="101"/>
      <c r="D17" s="105">
        <v>1.6</v>
      </c>
      <c r="E17" s="105">
        <v>50.47</v>
      </c>
      <c r="F17" s="104">
        <f t="shared" si="2"/>
        <v>80.75</v>
      </c>
      <c r="G17" s="8" t="s">
        <v>9</v>
      </c>
      <c r="H17" s="8" t="s">
        <v>9</v>
      </c>
      <c r="I17" s="8" t="s">
        <v>9</v>
      </c>
      <c r="J17" s="8" t="s">
        <v>9</v>
      </c>
      <c r="K17" s="8" t="s">
        <v>9</v>
      </c>
      <c r="L17" s="8" t="s">
        <v>9</v>
      </c>
      <c r="M17" s="8" t="s">
        <v>9</v>
      </c>
      <c r="N17" s="8" t="s">
        <v>9</v>
      </c>
      <c r="O17" s="8" t="s">
        <v>9</v>
      </c>
      <c r="P17" s="8" t="s">
        <v>9</v>
      </c>
      <c r="Q17" s="8" t="s">
        <v>366</v>
      </c>
      <c r="T17" s="6">
        <v>6</v>
      </c>
      <c r="U17" s="42" t="s">
        <v>48</v>
      </c>
      <c r="V17" s="6">
        <v>1</v>
      </c>
      <c r="W17" s="6" t="s">
        <v>65</v>
      </c>
      <c r="X17" s="6" t="s">
        <v>229</v>
      </c>
      <c r="Y17" s="6" t="s">
        <v>230</v>
      </c>
      <c r="Z17" s="73">
        <f>I106</f>
        <v>620</v>
      </c>
      <c r="AA17" s="6">
        <v>400</v>
      </c>
      <c r="AB17" s="6">
        <f>AA17+AF17+AO17+90+600+AR17</f>
        <v>1195</v>
      </c>
      <c r="AC17" s="6">
        <v>4</v>
      </c>
      <c r="AD17" s="6">
        <v>380</v>
      </c>
      <c r="AE17" s="6">
        <v>2850</v>
      </c>
      <c r="AF17" s="6">
        <v>50</v>
      </c>
      <c r="AG17" s="6">
        <v>-26</v>
      </c>
      <c r="AH17" s="6">
        <v>20</v>
      </c>
      <c r="AI17" s="6">
        <v>80</v>
      </c>
      <c r="AJ17" s="6">
        <v>2</v>
      </c>
      <c r="AK17" s="6">
        <v>111.9</v>
      </c>
      <c r="AL17" s="6" t="s">
        <v>231</v>
      </c>
      <c r="AM17" s="6" t="s">
        <v>245</v>
      </c>
      <c r="AN17" s="6">
        <v>1</v>
      </c>
      <c r="AO17" s="6">
        <v>50</v>
      </c>
      <c r="AP17" s="6" t="s">
        <v>246</v>
      </c>
      <c r="AQ17" s="6">
        <v>1</v>
      </c>
      <c r="AR17" s="6">
        <v>5</v>
      </c>
      <c r="AS17" s="6" t="s">
        <v>232</v>
      </c>
      <c r="AT17" s="6">
        <v>2</v>
      </c>
      <c r="AU17" s="37" t="s">
        <v>244</v>
      </c>
      <c r="BA17" s="135"/>
      <c r="BB17" s="2">
        <v>3.3</v>
      </c>
      <c r="BC17" s="2">
        <v>0.56499999999999995</v>
      </c>
      <c r="BD17" s="2">
        <v>0.4</v>
      </c>
      <c r="BE17" s="2">
        <v>0.58499999999999996</v>
      </c>
      <c r="BF17" s="2">
        <f t="shared" si="3"/>
        <v>0.46900000000000003</v>
      </c>
      <c r="BG17" s="2">
        <v>700</v>
      </c>
      <c r="BH17" s="2">
        <f t="shared" si="1"/>
        <v>693</v>
      </c>
      <c r="BI17" s="16"/>
      <c r="BJ17" s="2">
        <f t="shared" si="5"/>
        <v>5.9200000000000003E-2</v>
      </c>
      <c r="BK17" s="2"/>
      <c r="BL17" s="2">
        <f t="shared" si="4"/>
        <v>315</v>
      </c>
      <c r="BM17" s="17">
        <v>350</v>
      </c>
      <c r="BN17" s="17">
        <v>340</v>
      </c>
      <c r="BO17" s="15">
        <v>338.1</v>
      </c>
      <c r="BP17" s="12" t="s">
        <v>155</v>
      </c>
      <c r="BQ17" s="12"/>
      <c r="BR17" s="14"/>
      <c r="BW17" s="177"/>
      <c r="BX17" s="177"/>
      <c r="BY17" s="177"/>
      <c r="BZ17" s="177"/>
      <c r="CA17" s="177"/>
      <c r="CB17" s="76"/>
      <c r="CC17" s="76"/>
    </row>
    <row r="18" spans="1:81" ht="9.9499999999999993" customHeight="1" x14ac:dyDescent="0.2">
      <c r="A18" s="101">
        <v>14</v>
      </c>
      <c r="B18" s="93" t="s">
        <v>102</v>
      </c>
      <c r="C18" s="101"/>
      <c r="D18" s="105">
        <v>2.8</v>
      </c>
      <c r="E18" s="105">
        <v>24.8</v>
      </c>
      <c r="F18" s="104">
        <f t="shared" si="2"/>
        <v>69.44</v>
      </c>
      <c r="G18" s="101" t="s">
        <v>9</v>
      </c>
      <c r="H18" s="101" t="s">
        <v>9</v>
      </c>
      <c r="I18" s="8" t="s">
        <v>9</v>
      </c>
      <c r="J18" s="8" t="s">
        <v>9</v>
      </c>
      <c r="K18" s="8" t="s">
        <v>9</v>
      </c>
      <c r="L18" s="8" t="s">
        <v>9</v>
      </c>
      <c r="M18" s="8" t="s">
        <v>9</v>
      </c>
      <c r="N18" s="8" t="s">
        <v>9</v>
      </c>
      <c r="O18" s="8" t="s">
        <v>9</v>
      </c>
      <c r="P18" s="8" t="s">
        <v>9</v>
      </c>
      <c r="Q18" s="101" t="s">
        <v>9</v>
      </c>
      <c r="T18" s="6">
        <v>7</v>
      </c>
      <c r="U18" s="43" t="s">
        <v>71</v>
      </c>
      <c r="V18" s="6">
        <v>1</v>
      </c>
      <c r="W18" s="6" t="s">
        <v>75</v>
      </c>
      <c r="X18" s="6" t="s">
        <v>229</v>
      </c>
      <c r="Y18" s="6" t="s">
        <v>230</v>
      </c>
      <c r="Z18" s="73" t="str">
        <f>I68</f>
        <v>-</v>
      </c>
      <c r="AA18" s="6">
        <v>550</v>
      </c>
      <c r="AB18" s="6">
        <f>AA18+AF18+AO18+50+200+AR18</f>
        <v>882</v>
      </c>
      <c r="AC18" s="6">
        <v>2.2000000000000002</v>
      </c>
      <c r="AD18" s="6">
        <v>380</v>
      </c>
      <c r="AE18" s="6">
        <v>2850</v>
      </c>
      <c r="AF18" s="6">
        <v>50</v>
      </c>
      <c r="AG18" s="6">
        <v>-26</v>
      </c>
      <c r="AH18" s="6">
        <v>20</v>
      </c>
      <c r="AI18" s="6">
        <v>80</v>
      </c>
      <c r="AJ18" s="6">
        <v>2</v>
      </c>
      <c r="AK18" s="6">
        <v>53.807000000000002</v>
      </c>
      <c r="AL18" s="6" t="s">
        <v>231</v>
      </c>
      <c r="AM18" s="6" t="s">
        <v>245</v>
      </c>
      <c r="AN18" s="6">
        <v>1</v>
      </c>
      <c r="AO18" s="6">
        <v>30</v>
      </c>
      <c r="AP18" s="6" t="s">
        <v>246</v>
      </c>
      <c r="AQ18" s="6">
        <v>1</v>
      </c>
      <c r="AR18" s="6">
        <v>2</v>
      </c>
      <c r="AS18" s="6" t="s">
        <v>232</v>
      </c>
      <c r="AT18" s="6">
        <v>2</v>
      </c>
      <c r="AU18" s="37" t="s">
        <v>248</v>
      </c>
      <c r="BA18" s="135" t="s">
        <v>156</v>
      </c>
      <c r="BB18" s="2">
        <v>36.200000000000003</v>
      </c>
      <c r="BC18" s="2">
        <v>1.1599999999999999</v>
      </c>
      <c r="BD18" s="2">
        <v>1.1599999999999999</v>
      </c>
      <c r="BE18" s="2">
        <v>1.446</v>
      </c>
      <c r="BF18" s="2">
        <f t="shared" si="3"/>
        <v>1.1599999999999999</v>
      </c>
      <c r="BG18" s="2">
        <v>35</v>
      </c>
      <c r="BH18" s="2">
        <f t="shared" si="1"/>
        <v>380.09999999999997</v>
      </c>
      <c r="BI18" s="16"/>
      <c r="BJ18" s="2">
        <f t="shared" si="5"/>
        <v>0.11890000000000001</v>
      </c>
      <c r="BK18" s="2"/>
      <c r="BL18" s="2">
        <f t="shared" si="4"/>
        <v>630</v>
      </c>
      <c r="BM18" s="17">
        <v>690</v>
      </c>
      <c r="BN18" s="17">
        <v>670</v>
      </c>
      <c r="BO18" s="15">
        <v>666.54</v>
      </c>
      <c r="BP18" s="12" t="s">
        <v>157</v>
      </c>
      <c r="BQ18" s="12"/>
      <c r="BR18" s="14"/>
      <c r="BW18" s="176"/>
      <c r="BX18" s="176"/>
      <c r="BY18" s="176"/>
      <c r="BZ18" s="176"/>
      <c r="CA18" s="176"/>
      <c r="CB18" s="76"/>
      <c r="CC18" s="76"/>
    </row>
    <row r="19" spans="1:81" ht="9.9499999999999993" customHeight="1" x14ac:dyDescent="0.2">
      <c r="A19" s="101">
        <v>15</v>
      </c>
      <c r="B19" s="93" t="s">
        <v>14</v>
      </c>
      <c r="C19" s="101" t="s">
        <v>318</v>
      </c>
      <c r="D19" s="105">
        <v>3</v>
      </c>
      <c r="E19" s="105">
        <v>109.11</v>
      </c>
      <c r="F19" s="104">
        <f t="shared" si="2"/>
        <v>327.33</v>
      </c>
      <c r="G19" s="8">
        <v>2</v>
      </c>
      <c r="H19" s="8" t="s">
        <v>9</v>
      </c>
      <c r="I19" s="70">
        <f>_xlfn.CEILING.MATH(G19*F19,5)</f>
        <v>655</v>
      </c>
      <c r="J19" s="104" t="s">
        <v>9</v>
      </c>
      <c r="K19" s="8" t="s">
        <v>9</v>
      </c>
      <c r="L19" s="8">
        <v>765</v>
      </c>
      <c r="M19" s="104">
        <f>ROUNDUP(I19/F19,2)</f>
        <v>2.0099999999999998</v>
      </c>
      <c r="N19" s="8" t="s">
        <v>9</v>
      </c>
      <c r="O19" s="101" t="s">
        <v>28</v>
      </c>
      <c r="P19" s="8" t="s">
        <v>21</v>
      </c>
      <c r="Q19" s="8" t="s">
        <v>367</v>
      </c>
      <c r="T19" s="6">
        <v>8</v>
      </c>
      <c r="U19" s="44" t="s">
        <v>72</v>
      </c>
      <c r="V19" s="6">
        <v>1</v>
      </c>
      <c r="W19" s="6" t="s">
        <v>66</v>
      </c>
      <c r="X19" s="6" t="s">
        <v>229</v>
      </c>
      <c r="Y19" s="6" t="s">
        <v>230</v>
      </c>
      <c r="Z19" s="6" t="e">
        <f>I9+I75+I69</f>
        <v>#VALUE!</v>
      </c>
      <c r="AA19" s="6">
        <v>700</v>
      </c>
      <c r="AB19" s="6">
        <f>AA19+AF19+AO19+60+225+AR19</f>
        <v>1077</v>
      </c>
      <c r="AC19" s="6">
        <v>4</v>
      </c>
      <c r="AD19" s="6">
        <v>380</v>
      </c>
      <c r="AE19" s="6">
        <v>2850</v>
      </c>
      <c r="AF19" s="6">
        <v>50</v>
      </c>
      <c r="AG19" s="6">
        <v>-26</v>
      </c>
      <c r="AH19" s="6">
        <v>20</v>
      </c>
      <c r="AI19" s="6">
        <v>80</v>
      </c>
      <c r="AJ19" s="6">
        <v>2</v>
      </c>
      <c r="AK19" s="6">
        <v>85.917000000000002</v>
      </c>
      <c r="AL19" s="6" t="s">
        <v>231</v>
      </c>
      <c r="AM19" s="6" t="s">
        <v>245</v>
      </c>
      <c r="AN19" s="6">
        <v>1</v>
      </c>
      <c r="AO19" s="6">
        <v>40</v>
      </c>
      <c r="AP19" s="6" t="s">
        <v>246</v>
      </c>
      <c r="AQ19" s="6">
        <v>1</v>
      </c>
      <c r="AR19" s="6">
        <v>2</v>
      </c>
      <c r="AS19" s="6" t="s">
        <v>232</v>
      </c>
      <c r="AT19" s="6">
        <v>2</v>
      </c>
      <c r="AU19" s="37" t="s">
        <v>249</v>
      </c>
      <c r="BA19" s="135"/>
      <c r="BB19" s="2">
        <v>2.5</v>
      </c>
      <c r="BC19" s="2">
        <v>0.69</v>
      </c>
      <c r="BD19" s="2">
        <v>0.54500000000000004</v>
      </c>
      <c r="BE19" s="2">
        <v>0.26</v>
      </c>
      <c r="BF19" s="2">
        <f t="shared" si="3"/>
        <v>0.60899999999999999</v>
      </c>
      <c r="BG19" s="2">
        <v>90</v>
      </c>
      <c r="BH19" s="2">
        <f t="shared" si="1"/>
        <v>67.5</v>
      </c>
      <c r="BI19" s="16"/>
      <c r="BJ19" s="2">
        <f t="shared" si="5"/>
        <v>3.4099999999999998E-2</v>
      </c>
      <c r="BK19" s="2"/>
      <c r="BL19" s="2">
        <f t="shared" si="4"/>
        <v>185</v>
      </c>
      <c r="BM19" s="17">
        <v>200</v>
      </c>
      <c r="BN19" s="17">
        <v>190</v>
      </c>
      <c r="BO19" s="15">
        <v>193.2</v>
      </c>
      <c r="BP19" s="12" t="s">
        <v>158</v>
      </c>
      <c r="BQ19" s="12"/>
      <c r="BR19" s="14"/>
      <c r="BW19" s="176"/>
      <c r="BX19" s="176"/>
      <c r="BY19" s="176"/>
      <c r="BZ19" s="176"/>
      <c r="CA19" s="176"/>
      <c r="CB19" s="76"/>
      <c r="CC19" s="76"/>
    </row>
    <row r="20" spans="1:81" ht="9.9499999999999993" customHeight="1" x14ac:dyDescent="0.2">
      <c r="A20" s="101">
        <v>16</v>
      </c>
      <c r="B20" s="93" t="s">
        <v>103</v>
      </c>
      <c r="C20" s="101"/>
      <c r="D20" s="105">
        <v>3</v>
      </c>
      <c r="E20" s="105">
        <v>27.08</v>
      </c>
      <c r="F20" s="104">
        <f t="shared" si="2"/>
        <v>81.239999999999995</v>
      </c>
      <c r="G20" s="8" t="s">
        <v>9</v>
      </c>
      <c r="H20" s="8" t="s">
        <v>9</v>
      </c>
      <c r="I20" s="8" t="s">
        <v>9</v>
      </c>
      <c r="J20" s="8" t="s">
        <v>9</v>
      </c>
      <c r="K20" s="8" t="s">
        <v>9</v>
      </c>
      <c r="L20" s="8" t="s">
        <v>9</v>
      </c>
      <c r="M20" s="8" t="s">
        <v>9</v>
      </c>
      <c r="N20" s="8" t="s">
        <v>9</v>
      </c>
      <c r="O20" s="8" t="s">
        <v>9</v>
      </c>
      <c r="P20" s="8" t="s">
        <v>9</v>
      </c>
      <c r="Q20" s="8" t="s">
        <v>9</v>
      </c>
      <c r="T20" s="6"/>
      <c r="U20" s="6"/>
      <c r="V20" s="6">
        <v>1</v>
      </c>
      <c r="W20" s="6" t="s">
        <v>66</v>
      </c>
      <c r="X20" s="6" t="s">
        <v>229</v>
      </c>
      <c r="Y20" s="6" t="s">
        <v>230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37"/>
      <c r="BA20" s="14" t="s">
        <v>159</v>
      </c>
      <c r="BB20" s="2">
        <v>16.600000000000001</v>
      </c>
      <c r="BC20" s="2">
        <v>1.05</v>
      </c>
      <c r="BD20" s="2">
        <v>0.85</v>
      </c>
      <c r="BE20" s="2">
        <v>0.86</v>
      </c>
      <c r="BF20" s="2">
        <f t="shared" si="3"/>
        <v>0.94000000000000006</v>
      </c>
      <c r="BG20" s="2">
        <v>200</v>
      </c>
      <c r="BH20" s="2">
        <f t="shared" si="1"/>
        <v>996.00000000000011</v>
      </c>
      <c r="BI20" s="16"/>
      <c r="BJ20" s="2">
        <f t="shared" si="5"/>
        <v>0.1293</v>
      </c>
      <c r="BK20" s="2"/>
      <c r="BL20" s="2">
        <f t="shared" si="4"/>
        <v>685</v>
      </c>
      <c r="BM20" s="18">
        <v>3000</v>
      </c>
      <c r="BN20" s="19">
        <v>2900</v>
      </c>
      <c r="BO20" s="15">
        <v>2898</v>
      </c>
      <c r="BP20" s="12" t="s">
        <v>160</v>
      </c>
      <c r="BQ20" s="12"/>
      <c r="BR20" s="14"/>
      <c r="BW20" s="176"/>
      <c r="BX20" s="176"/>
      <c r="BY20" s="176"/>
      <c r="BZ20" s="176"/>
      <c r="CA20" s="176"/>
      <c r="CB20" s="76"/>
      <c r="CC20" s="76"/>
    </row>
    <row r="21" spans="1:81" ht="9.9499999999999993" customHeight="1" x14ac:dyDescent="0.2">
      <c r="A21" s="101">
        <v>17</v>
      </c>
      <c r="B21" s="93" t="s">
        <v>317</v>
      </c>
      <c r="C21" s="101"/>
      <c r="D21" s="105">
        <v>2</v>
      </c>
      <c r="E21" s="105">
        <v>570.99</v>
      </c>
      <c r="F21" s="104">
        <f t="shared" si="2"/>
        <v>1141.98</v>
      </c>
      <c r="G21" s="8" t="s">
        <v>9</v>
      </c>
      <c r="H21" s="8" t="s">
        <v>9</v>
      </c>
      <c r="I21" s="8" t="s">
        <v>9</v>
      </c>
      <c r="J21" s="8" t="s">
        <v>9</v>
      </c>
      <c r="K21" s="8" t="s">
        <v>9</v>
      </c>
      <c r="L21" s="8" t="s">
        <v>9</v>
      </c>
      <c r="M21" s="8" t="s">
        <v>9</v>
      </c>
      <c r="N21" s="8" t="s">
        <v>9</v>
      </c>
      <c r="O21" s="8" t="s">
        <v>9</v>
      </c>
      <c r="P21" s="8" t="s">
        <v>9</v>
      </c>
      <c r="Q21" s="8" t="s">
        <v>366</v>
      </c>
      <c r="T21" s="6">
        <v>10</v>
      </c>
      <c r="U21" s="45" t="s">
        <v>73</v>
      </c>
      <c r="V21" s="6">
        <v>1</v>
      </c>
      <c r="W21" s="6" t="s">
        <v>67</v>
      </c>
      <c r="X21" s="6" t="s">
        <v>229</v>
      </c>
      <c r="Y21" s="6" t="s">
        <v>230</v>
      </c>
      <c r="Z21" s="73" t="e">
        <f>I41+I42+I43</f>
        <v>#VALUE!</v>
      </c>
      <c r="AA21" s="6">
        <v>350</v>
      </c>
      <c r="AB21" s="6">
        <f>AA21+AF21+AO21+10+10+50+50+AR21</f>
        <v>554</v>
      </c>
      <c r="AC21" s="6">
        <v>0.55000000000000004</v>
      </c>
      <c r="AD21" s="6">
        <v>380</v>
      </c>
      <c r="AE21" s="6">
        <v>2850</v>
      </c>
      <c r="AF21" s="6">
        <v>30</v>
      </c>
      <c r="AG21" s="6">
        <v>-26</v>
      </c>
      <c r="AH21" s="6">
        <v>20</v>
      </c>
      <c r="AI21" s="6">
        <v>80</v>
      </c>
      <c r="AJ21" s="6">
        <v>2</v>
      </c>
      <c r="AK21" s="6">
        <v>80.62</v>
      </c>
      <c r="AL21" s="6" t="s">
        <v>231</v>
      </c>
      <c r="AM21" s="6" t="s">
        <v>245</v>
      </c>
      <c r="AN21" s="6">
        <v>1</v>
      </c>
      <c r="AO21" s="6">
        <v>50</v>
      </c>
      <c r="AP21" s="6" t="s">
        <v>246</v>
      </c>
      <c r="AQ21" s="6">
        <v>1</v>
      </c>
      <c r="AR21" s="6">
        <v>4</v>
      </c>
      <c r="AS21" s="6" t="s">
        <v>207</v>
      </c>
      <c r="AT21" s="6">
        <v>4</v>
      </c>
      <c r="AU21" s="6" t="s">
        <v>250</v>
      </c>
      <c r="BA21" s="135" t="s">
        <v>161</v>
      </c>
      <c r="BB21" s="2">
        <v>15.2</v>
      </c>
      <c r="BC21" s="2">
        <v>0.86</v>
      </c>
      <c r="BD21" s="2">
        <v>0.88200000000000001</v>
      </c>
      <c r="BE21" s="2">
        <v>1.2170000000000001</v>
      </c>
      <c r="BF21" s="2">
        <f t="shared" si="3"/>
        <v>0.871</v>
      </c>
      <c r="BG21" s="2">
        <v>120</v>
      </c>
      <c r="BH21" s="2">
        <f t="shared" si="1"/>
        <v>547.19999999999993</v>
      </c>
      <c r="BI21" s="16"/>
      <c r="BJ21" s="2">
        <f t="shared" si="5"/>
        <v>9.7600000000000006E-2</v>
      </c>
      <c r="BK21" s="2"/>
      <c r="BL21" s="2">
        <f t="shared" si="4"/>
        <v>520</v>
      </c>
      <c r="BM21" s="17">
        <v>1150</v>
      </c>
      <c r="BN21" s="17">
        <v>1114</v>
      </c>
      <c r="BO21" s="15">
        <v>1110.9000000000001</v>
      </c>
      <c r="BP21" s="12" t="s">
        <v>162</v>
      </c>
      <c r="BQ21" s="12"/>
      <c r="BR21" s="14"/>
      <c r="BW21" s="176"/>
      <c r="BX21" s="176"/>
      <c r="BY21" s="176"/>
      <c r="BZ21" s="176"/>
      <c r="CA21" s="176"/>
      <c r="CB21" s="76"/>
      <c r="CC21" s="76"/>
    </row>
    <row r="22" spans="1:81" ht="9.9499999999999993" customHeight="1" x14ac:dyDescent="0.2">
      <c r="A22" s="101">
        <v>18</v>
      </c>
      <c r="B22" s="93" t="s">
        <v>288</v>
      </c>
      <c r="C22" s="101" t="s">
        <v>318</v>
      </c>
      <c r="D22" s="105">
        <v>2.5</v>
      </c>
      <c r="E22" s="105">
        <v>54.19</v>
      </c>
      <c r="F22" s="104">
        <f t="shared" si="2"/>
        <v>135.47999999999999</v>
      </c>
      <c r="G22" s="8" t="s">
        <v>9</v>
      </c>
      <c r="H22" s="8" t="s">
        <v>9</v>
      </c>
      <c r="I22" s="8">
        <v>320</v>
      </c>
      <c r="J22" s="8" t="s">
        <v>9</v>
      </c>
      <c r="K22" s="8">
        <v>320</v>
      </c>
      <c r="L22" s="8">
        <f>K22</f>
        <v>320</v>
      </c>
      <c r="M22" s="8" t="s">
        <v>9</v>
      </c>
      <c r="N22" s="8">
        <v>2.1</v>
      </c>
      <c r="O22" s="8" t="s">
        <v>414</v>
      </c>
      <c r="P22" s="8" t="s">
        <v>415</v>
      </c>
      <c r="Q22" s="8" t="s">
        <v>416</v>
      </c>
      <c r="T22" s="6">
        <v>11</v>
      </c>
      <c r="U22" s="46" t="s">
        <v>74</v>
      </c>
      <c r="V22" s="6">
        <v>1</v>
      </c>
      <c r="W22" s="6" t="s">
        <v>68</v>
      </c>
      <c r="X22" s="6" t="s">
        <v>229</v>
      </c>
      <c r="Y22" s="6" t="s">
        <v>230</v>
      </c>
      <c r="Z22" s="73" t="e">
        <f>I104+I150</f>
        <v>#VALUE!</v>
      </c>
      <c r="AA22" s="6">
        <v>500</v>
      </c>
      <c r="AB22" s="6">
        <f>AA22+AF22+AO22+50+200+AR22</f>
        <v>822</v>
      </c>
      <c r="AC22" s="6">
        <v>1.5</v>
      </c>
      <c r="AD22" s="6">
        <v>380</v>
      </c>
      <c r="AE22" s="6">
        <v>2850</v>
      </c>
      <c r="AF22" s="6">
        <v>50</v>
      </c>
      <c r="AG22" s="6">
        <v>-26</v>
      </c>
      <c r="AH22" s="6">
        <v>20</v>
      </c>
      <c r="AI22" s="6">
        <v>80</v>
      </c>
      <c r="AJ22" s="6">
        <v>2</v>
      </c>
      <c r="AK22" s="6">
        <v>40.482999999999997</v>
      </c>
      <c r="AL22" s="6" t="s">
        <v>231</v>
      </c>
      <c r="AM22" s="6" t="s">
        <v>245</v>
      </c>
      <c r="AN22" s="6">
        <v>1</v>
      </c>
      <c r="AO22" s="6">
        <v>20</v>
      </c>
      <c r="AP22" s="6" t="s">
        <v>246</v>
      </c>
      <c r="AQ22" s="6">
        <v>1</v>
      </c>
      <c r="AR22" s="6">
        <v>2</v>
      </c>
      <c r="AS22" s="6" t="s">
        <v>232</v>
      </c>
      <c r="AT22" s="6">
        <v>2</v>
      </c>
      <c r="AU22" s="6" t="s">
        <v>248</v>
      </c>
      <c r="BA22" s="135"/>
      <c r="BB22" s="2">
        <v>2.4</v>
      </c>
      <c r="BC22" s="2">
        <v>0.86199999999999999</v>
      </c>
      <c r="BD22" s="2">
        <v>0.89</v>
      </c>
      <c r="BE22" s="2">
        <v>0.84499999999999997</v>
      </c>
      <c r="BF22" s="2">
        <f t="shared" si="3"/>
        <v>0.876</v>
      </c>
      <c r="BG22" s="2">
        <v>350</v>
      </c>
      <c r="BH22" s="2">
        <f t="shared" si="1"/>
        <v>252</v>
      </c>
      <c r="BI22" s="16"/>
      <c r="BJ22" s="2">
        <f t="shared" si="5"/>
        <v>7.5800000000000006E-2</v>
      </c>
      <c r="BK22" s="2"/>
      <c r="BL22" s="2">
        <f t="shared" si="4"/>
        <v>405</v>
      </c>
      <c r="BM22" s="17">
        <v>900</v>
      </c>
      <c r="BN22" s="17">
        <v>870</v>
      </c>
      <c r="BO22" s="15">
        <v>869.4</v>
      </c>
      <c r="BP22" s="12" t="s">
        <v>163</v>
      </c>
      <c r="BQ22" s="12"/>
      <c r="BR22" s="14"/>
      <c r="BW22" s="176"/>
      <c r="BX22" s="176"/>
      <c r="BY22" s="176"/>
      <c r="BZ22" s="176"/>
      <c r="CA22" s="176"/>
      <c r="CB22" s="76"/>
      <c r="CC22" s="76"/>
    </row>
    <row r="23" spans="1:81" ht="9.9499999999999993" customHeight="1" x14ac:dyDescent="0.2">
      <c r="A23" s="101">
        <v>19</v>
      </c>
      <c r="B23" s="93" t="s">
        <v>317</v>
      </c>
      <c r="C23" s="101"/>
      <c r="D23" s="105">
        <v>1.7</v>
      </c>
      <c r="E23" s="105">
        <v>100.91</v>
      </c>
      <c r="F23" s="104">
        <f t="shared" si="2"/>
        <v>171.55</v>
      </c>
      <c r="G23" s="8" t="s">
        <v>9</v>
      </c>
      <c r="H23" s="8" t="s">
        <v>9</v>
      </c>
      <c r="I23" s="8" t="s">
        <v>9</v>
      </c>
      <c r="J23" s="8" t="s">
        <v>9</v>
      </c>
      <c r="K23" s="8" t="s">
        <v>9</v>
      </c>
      <c r="L23" s="8" t="s">
        <v>9</v>
      </c>
      <c r="M23" s="8" t="s">
        <v>9</v>
      </c>
      <c r="N23" s="8" t="s">
        <v>9</v>
      </c>
      <c r="O23" s="8" t="s">
        <v>9</v>
      </c>
      <c r="P23" s="8" t="s">
        <v>9</v>
      </c>
      <c r="Q23" s="8" t="s">
        <v>366</v>
      </c>
      <c r="T23" s="6">
        <v>12</v>
      </c>
      <c r="U23" s="47" t="s">
        <v>77</v>
      </c>
      <c r="V23" s="6">
        <v>1</v>
      </c>
      <c r="W23" s="6" t="s">
        <v>69</v>
      </c>
      <c r="X23" s="6" t="s">
        <v>229</v>
      </c>
      <c r="Y23" s="6" t="s">
        <v>230</v>
      </c>
      <c r="Z23" s="6">
        <f>I80</f>
        <v>3300</v>
      </c>
      <c r="AA23" s="6">
        <v>500</v>
      </c>
      <c r="AB23" s="6">
        <f>AA23+AF23+AO23+70+225+AR23</f>
        <v>917</v>
      </c>
      <c r="AC23" s="6">
        <v>2</v>
      </c>
      <c r="AD23" s="6">
        <v>380</v>
      </c>
      <c r="AE23" s="6">
        <v>2850</v>
      </c>
      <c r="AF23" s="6">
        <v>50</v>
      </c>
      <c r="AG23" s="6">
        <v>-26</v>
      </c>
      <c r="AH23" s="6">
        <v>20</v>
      </c>
      <c r="AI23" s="6">
        <v>80</v>
      </c>
      <c r="AJ23" s="6">
        <v>2</v>
      </c>
      <c r="AK23" s="6">
        <v>33.524000000000001</v>
      </c>
      <c r="AL23" s="6" t="s">
        <v>231</v>
      </c>
      <c r="AM23" s="6" t="s">
        <v>245</v>
      </c>
      <c r="AN23" s="6">
        <v>1</v>
      </c>
      <c r="AO23" s="6">
        <v>70</v>
      </c>
      <c r="AP23" s="6" t="s">
        <v>246</v>
      </c>
      <c r="AQ23" s="6">
        <v>1</v>
      </c>
      <c r="AR23" s="6">
        <v>2</v>
      </c>
      <c r="AS23" s="6" t="s">
        <v>232</v>
      </c>
      <c r="AT23" s="6">
        <v>2</v>
      </c>
      <c r="AU23" s="6" t="s">
        <v>251</v>
      </c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>
        <v>5104</v>
      </c>
      <c r="BL23" s="15">
        <f>SUM(BL16:BL22)</f>
        <v>3190</v>
      </c>
      <c r="BM23" s="15">
        <v>6760</v>
      </c>
      <c r="BN23" s="15">
        <v>6084</v>
      </c>
      <c r="BO23" s="15">
        <v>6084</v>
      </c>
      <c r="BP23" s="13"/>
      <c r="BQ23" s="13"/>
      <c r="BR23" s="14"/>
      <c r="BW23" s="176"/>
      <c r="BX23" s="176"/>
      <c r="BY23" s="176"/>
      <c r="BZ23" s="176"/>
      <c r="CA23" s="176"/>
      <c r="CB23" s="76"/>
      <c r="CC23" s="76"/>
    </row>
    <row r="24" spans="1:81" ht="9.9499999999999993" customHeight="1" x14ac:dyDescent="0.2">
      <c r="A24" s="101">
        <v>20</v>
      </c>
      <c r="B24" s="93" t="s">
        <v>10</v>
      </c>
      <c r="C24" s="101"/>
      <c r="D24" s="105">
        <v>2.5499999999999998</v>
      </c>
      <c r="E24" s="105">
        <v>11.09</v>
      </c>
      <c r="F24" s="104">
        <f t="shared" si="2"/>
        <v>28.28</v>
      </c>
      <c r="G24" s="8" t="s">
        <v>9</v>
      </c>
      <c r="H24" s="8" t="s">
        <v>9</v>
      </c>
      <c r="I24" s="8" t="s">
        <v>9</v>
      </c>
      <c r="J24" s="8" t="s">
        <v>9</v>
      </c>
      <c r="K24" s="8" t="s">
        <v>9</v>
      </c>
      <c r="L24" s="8" t="s">
        <v>9</v>
      </c>
      <c r="M24" s="8" t="s">
        <v>9</v>
      </c>
      <c r="N24" s="8" t="s">
        <v>9</v>
      </c>
      <c r="O24" s="8" t="s">
        <v>9</v>
      </c>
      <c r="P24" s="8" t="s">
        <v>9</v>
      </c>
      <c r="Q24" s="8" t="s">
        <v>365</v>
      </c>
      <c r="T24" s="6">
        <v>13</v>
      </c>
      <c r="U24" s="48" t="s">
        <v>78</v>
      </c>
      <c r="V24" s="6">
        <v>1</v>
      </c>
      <c r="W24" s="6" t="s">
        <v>70</v>
      </c>
      <c r="X24" s="6" t="s">
        <v>239</v>
      </c>
      <c r="Y24" s="6" t="s">
        <v>230</v>
      </c>
      <c r="Z24" s="6" t="e">
        <f>I58+I64+I95+I121+I124+I139+I147+I148</f>
        <v>#VALUE!</v>
      </c>
      <c r="AA24" s="6">
        <v>400</v>
      </c>
      <c r="AB24" s="6">
        <v>225</v>
      </c>
      <c r="AC24" s="6">
        <v>0.29499999999999998</v>
      </c>
      <c r="AD24" s="6">
        <v>220</v>
      </c>
      <c r="AE24" s="6">
        <v>2500</v>
      </c>
      <c r="AF24" s="6">
        <v>50</v>
      </c>
      <c r="AG24" s="6">
        <v>-26</v>
      </c>
      <c r="AH24" s="6">
        <v>20</v>
      </c>
      <c r="AI24" s="6">
        <v>80</v>
      </c>
      <c r="AJ24" s="6">
        <v>2</v>
      </c>
      <c r="AK24" s="6">
        <v>15.6</v>
      </c>
      <c r="AL24" s="6" t="s">
        <v>231</v>
      </c>
      <c r="AM24" s="6" t="s">
        <v>205</v>
      </c>
      <c r="AN24" s="6">
        <v>1</v>
      </c>
      <c r="AO24" s="6">
        <v>15</v>
      </c>
      <c r="AP24" s="6" t="s">
        <v>206</v>
      </c>
      <c r="AQ24" s="6">
        <v>1</v>
      </c>
      <c r="AR24" s="6">
        <v>8</v>
      </c>
      <c r="AS24" s="6" t="s">
        <v>232</v>
      </c>
      <c r="AT24" s="6">
        <v>2</v>
      </c>
      <c r="AU24" s="37" t="s">
        <v>233</v>
      </c>
      <c r="BA24" s="14" t="s">
        <v>29</v>
      </c>
      <c r="BB24" s="2"/>
      <c r="BC24" s="2">
        <v>0.69</v>
      </c>
      <c r="BD24" s="2">
        <v>0.54500000000000004</v>
      </c>
      <c r="BE24" s="2">
        <v>0.26</v>
      </c>
      <c r="BF24" s="2">
        <f t="shared" si="3"/>
        <v>0.60899999999999999</v>
      </c>
      <c r="BG24" s="2"/>
      <c r="BH24" s="2">
        <v>0</v>
      </c>
      <c r="BI24" s="16"/>
      <c r="BJ24" s="2">
        <v>0</v>
      </c>
      <c r="BK24" s="2"/>
      <c r="BL24" s="2">
        <f t="shared" si="4"/>
        <v>0</v>
      </c>
      <c r="BM24" s="15" t="s">
        <v>164</v>
      </c>
      <c r="BN24" s="15"/>
      <c r="BO24" s="15"/>
      <c r="BP24" s="13" t="s">
        <v>165</v>
      </c>
      <c r="BQ24" s="13"/>
      <c r="BR24" s="14"/>
      <c r="BW24" s="176"/>
      <c r="BX24" s="176"/>
      <c r="BY24" s="176"/>
      <c r="BZ24" s="176"/>
      <c r="CA24" s="176"/>
      <c r="CB24" s="76"/>
      <c r="CC24" s="76"/>
    </row>
    <row r="25" spans="1:81" ht="9.9499999999999993" customHeight="1" x14ac:dyDescent="0.2">
      <c r="A25" s="101">
        <v>21</v>
      </c>
      <c r="B25" s="93" t="s">
        <v>317</v>
      </c>
      <c r="C25" s="101"/>
      <c r="D25" s="105">
        <v>1.85</v>
      </c>
      <c r="E25" s="105">
        <v>10.65</v>
      </c>
      <c r="F25" s="104">
        <f t="shared" si="2"/>
        <v>19.7</v>
      </c>
      <c r="G25" s="8" t="s">
        <v>9</v>
      </c>
      <c r="H25" s="8" t="s">
        <v>9</v>
      </c>
      <c r="I25" s="8" t="s">
        <v>9</v>
      </c>
      <c r="J25" s="8" t="s">
        <v>9</v>
      </c>
      <c r="K25" s="8" t="s">
        <v>9</v>
      </c>
      <c r="L25" s="8" t="s">
        <v>9</v>
      </c>
      <c r="M25" s="8" t="s">
        <v>9</v>
      </c>
      <c r="N25" s="8" t="s">
        <v>9</v>
      </c>
      <c r="O25" s="8" t="s">
        <v>9</v>
      </c>
      <c r="P25" s="8" t="s">
        <v>9</v>
      </c>
      <c r="Q25" s="8" t="s">
        <v>366</v>
      </c>
      <c r="T25" s="136" t="s">
        <v>252</v>
      </c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BA25" s="14"/>
      <c r="BB25" s="25"/>
      <c r="BC25" s="25"/>
      <c r="BD25" s="25"/>
      <c r="BE25" s="25"/>
      <c r="BF25" s="25"/>
      <c r="BG25" s="25"/>
      <c r="BH25" s="25"/>
      <c r="BI25" s="16"/>
      <c r="BJ25" s="25"/>
      <c r="BK25" s="25"/>
      <c r="BL25" s="25"/>
      <c r="BM25" s="15"/>
      <c r="BN25" s="15"/>
      <c r="BO25" s="15"/>
      <c r="BP25" s="13"/>
      <c r="BQ25" s="13"/>
      <c r="BR25" s="14"/>
      <c r="BW25" s="176"/>
      <c r="BX25" s="176"/>
      <c r="BY25" s="176"/>
      <c r="BZ25" s="176"/>
      <c r="CA25" s="176"/>
      <c r="CB25" s="76"/>
      <c r="CC25" s="76"/>
    </row>
    <row r="26" spans="1:81" ht="9.9499999999999993" customHeight="1" x14ac:dyDescent="0.2">
      <c r="A26" s="101">
        <v>22</v>
      </c>
      <c r="B26" s="93" t="s">
        <v>317</v>
      </c>
      <c r="C26" s="101"/>
      <c r="D26" s="105">
        <v>2.15</v>
      </c>
      <c r="E26" s="105">
        <v>50.35</v>
      </c>
      <c r="F26" s="104">
        <f t="shared" si="2"/>
        <v>108.25</v>
      </c>
      <c r="G26" s="8" t="s">
        <v>9</v>
      </c>
      <c r="H26" s="8" t="s">
        <v>9</v>
      </c>
      <c r="I26" s="8" t="s">
        <v>9</v>
      </c>
      <c r="J26" s="8" t="s">
        <v>9</v>
      </c>
      <c r="K26" s="8" t="s">
        <v>9</v>
      </c>
      <c r="L26" s="8" t="s">
        <v>9</v>
      </c>
      <c r="M26" s="8" t="s">
        <v>9</v>
      </c>
      <c r="N26" s="8" t="s">
        <v>9</v>
      </c>
      <c r="O26" s="8" t="s">
        <v>9</v>
      </c>
      <c r="P26" s="8" t="s">
        <v>9</v>
      </c>
      <c r="Q26" s="8" t="s">
        <v>366</v>
      </c>
      <c r="T26" s="6">
        <v>3</v>
      </c>
      <c r="U26" s="49" t="s">
        <v>20</v>
      </c>
      <c r="V26" s="6">
        <v>1</v>
      </c>
      <c r="W26" s="6" t="s">
        <v>62</v>
      </c>
      <c r="X26" s="6" t="s">
        <v>229</v>
      </c>
      <c r="Y26" s="6" t="s">
        <v>230</v>
      </c>
      <c r="Z26" s="6">
        <f>L179+L180</f>
        <v>160</v>
      </c>
      <c r="AA26" s="6">
        <v>200</v>
      </c>
      <c r="AB26" s="6">
        <f t="shared" ref="AB26:AB31" si="6">AA26+AO26+AR26</f>
        <v>237</v>
      </c>
      <c r="AC26" s="6">
        <v>1.1000000000000001</v>
      </c>
      <c r="AD26" s="6">
        <v>380</v>
      </c>
      <c r="AE26" s="6">
        <v>2850</v>
      </c>
      <c r="AF26" s="32" t="s">
        <v>9</v>
      </c>
      <c r="AG26" s="32" t="s">
        <v>9</v>
      </c>
      <c r="AH26" s="32" t="s">
        <v>9</v>
      </c>
      <c r="AI26" s="32" t="s">
        <v>9</v>
      </c>
      <c r="AJ26" s="32" t="s">
        <v>9</v>
      </c>
      <c r="AK26" s="32" t="s">
        <v>9</v>
      </c>
      <c r="AL26" s="32" t="s">
        <v>9</v>
      </c>
      <c r="AM26" s="6" t="s">
        <v>245</v>
      </c>
      <c r="AN26" s="6">
        <v>1</v>
      </c>
      <c r="AO26" s="6">
        <v>35</v>
      </c>
      <c r="AP26" s="6" t="s">
        <v>246</v>
      </c>
      <c r="AQ26" s="6">
        <v>1</v>
      </c>
      <c r="AR26" s="6">
        <v>2</v>
      </c>
      <c r="AS26" s="32" t="s">
        <v>9</v>
      </c>
      <c r="AT26" s="32" t="s">
        <v>9</v>
      </c>
      <c r="AU26" s="32" t="s">
        <v>9</v>
      </c>
      <c r="BA26" s="14" t="s">
        <v>29</v>
      </c>
      <c r="BB26" s="2"/>
      <c r="BC26" s="2">
        <v>0.69</v>
      </c>
      <c r="BD26" s="2">
        <v>0.54500000000000004</v>
      </c>
      <c r="BE26" s="2">
        <v>0.26</v>
      </c>
      <c r="BF26" s="2">
        <f t="shared" si="3"/>
        <v>0.60899999999999999</v>
      </c>
      <c r="BG26" s="2"/>
      <c r="BH26" s="2">
        <v>0</v>
      </c>
      <c r="BI26" s="16"/>
      <c r="BJ26" s="2">
        <v>0</v>
      </c>
      <c r="BK26" s="2"/>
      <c r="BL26" s="2">
        <f t="shared" si="4"/>
        <v>0</v>
      </c>
      <c r="BM26" s="15" t="s">
        <v>164</v>
      </c>
      <c r="BN26" s="15"/>
      <c r="BO26" s="15"/>
      <c r="BP26" s="13" t="s">
        <v>165</v>
      </c>
      <c r="BQ26" s="13"/>
      <c r="BR26" s="14"/>
      <c r="BW26" s="176"/>
      <c r="BX26" s="176"/>
      <c r="BY26" s="176"/>
      <c r="BZ26" s="176"/>
      <c r="CA26" s="176"/>
      <c r="CB26" s="76"/>
      <c r="CC26" s="76"/>
    </row>
    <row r="27" spans="1:81" ht="9.9499999999999993" customHeight="1" x14ac:dyDescent="0.2">
      <c r="A27" s="101">
        <v>23</v>
      </c>
      <c r="B27" s="93" t="s">
        <v>292</v>
      </c>
      <c r="C27" s="101" t="s">
        <v>33</v>
      </c>
      <c r="D27" s="105">
        <v>2.5499999999999998</v>
      </c>
      <c r="E27" s="105">
        <v>62.26</v>
      </c>
      <c r="F27" s="104">
        <f t="shared" si="2"/>
        <v>158.76</v>
      </c>
      <c r="G27" s="103">
        <v>1</v>
      </c>
      <c r="H27" s="103">
        <v>1</v>
      </c>
      <c r="I27" s="104">
        <v>320</v>
      </c>
      <c r="J27" s="8" t="s">
        <v>9</v>
      </c>
      <c r="K27" s="104">
        <v>320</v>
      </c>
      <c r="L27" s="104">
        <f>K27</f>
        <v>320</v>
      </c>
      <c r="M27" s="104">
        <f>I27</f>
        <v>320</v>
      </c>
      <c r="N27" s="104">
        <f>ROUNDUP(L27/F27,2)</f>
        <v>2.0199999999999996</v>
      </c>
      <c r="O27" s="8" t="s">
        <v>398</v>
      </c>
      <c r="P27" s="101" t="s">
        <v>399</v>
      </c>
      <c r="Q27" s="101" t="s">
        <v>368</v>
      </c>
      <c r="T27" s="6">
        <v>11</v>
      </c>
      <c r="U27" s="50" t="s">
        <v>25</v>
      </c>
      <c r="V27" s="6">
        <v>1</v>
      </c>
      <c r="W27" s="6" t="s">
        <v>63</v>
      </c>
      <c r="X27" s="6" t="s">
        <v>229</v>
      </c>
      <c r="Y27" s="6" t="s">
        <v>230</v>
      </c>
      <c r="Z27" s="6">
        <f>L154</f>
        <v>620</v>
      </c>
      <c r="AA27" s="6">
        <v>250</v>
      </c>
      <c r="AB27" s="6">
        <f t="shared" si="6"/>
        <v>272</v>
      </c>
      <c r="AC27" s="6">
        <v>1.5</v>
      </c>
      <c r="AD27" s="6">
        <v>380</v>
      </c>
      <c r="AE27" s="6">
        <v>2850</v>
      </c>
      <c r="AF27" s="32" t="s">
        <v>9</v>
      </c>
      <c r="AG27" s="32" t="s">
        <v>9</v>
      </c>
      <c r="AH27" s="32" t="s">
        <v>9</v>
      </c>
      <c r="AI27" s="32" t="s">
        <v>9</v>
      </c>
      <c r="AJ27" s="32" t="s">
        <v>9</v>
      </c>
      <c r="AK27" s="32" t="s">
        <v>9</v>
      </c>
      <c r="AL27" s="32" t="s">
        <v>9</v>
      </c>
      <c r="AM27" s="6" t="s">
        <v>245</v>
      </c>
      <c r="AN27" s="6">
        <v>1</v>
      </c>
      <c r="AO27" s="6">
        <v>20</v>
      </c>
      <c r="AP27" s="6" t="s">
        <v>246</v>
      </c>
      <c r="AQ27" s="6">
        <v>1</v>
      </c>
      <c r="AR27" s="6">
        <v>2</v>
      </c>
      <c r="AS27" s="32" t="s">
        <v>9</v>
      </c>
      <c r="AT27" s="32" t="s">
        <v>9</v>
      </c>
      <c r="AU27" s="32" t="s">
        <v>9</v>
      </c>
      <c r="BA27" s="14" t="s">
        <v>84</v>
      </c>
      <c r="BB27" s="2"/>
      <c r="BC27" s="2">
        <v>0.69</v>
      </c>
      <c r="BD27" s="2">
        <v>0.54500000000000004</v>
      </c>
      <c r="BE27" s="2">
        <v>0.26</v>
      </c>
      <c r="BF27" s="2">
        <f t="shared" si="3"/>
        <v>0.60899999999999999</v>
      </c>
      <c r="BG27" s="2"/>
      <c r="BH27" s="2">
        <v>0</v>
      </c>
      <c r="BI27" s="16"/>
      <c r="BJ27" s="2">
        <v>0</v>
      </c>
      <c r="BK27" s="2"/>
      <c r="BL27" s="2">
        <f t="shared" si="4"/>
        <v>0</v>
      </c>
      <c r="BM27" s="15" t="s">
        <v>164</v>
      </c>
      <c r="BN27" s="15"/>
      <c r="BO27" s="15"/>
      <c r="BP27" s="13" t="s">
        <v>165</v>
      </c>
      <c r="BQ27" s="13"/>
      <c r="BR27" s="14"/>
      <c r="BW27" s="176"/>
      <c r="BX27" s="176"/>
      <c r="BY27" s="176"/>
      <c r="BZ27" s="176"/>
      <c r="CA27" s="176"/>
      <c r="CB27" s="76"/>
      <c r="CC27" s="76"/>
    </row>
    <row r="28" spans="1:81" ht="9.9499999999999993" customHeight="1" x14ac:dyDescent="0.2">
      <c r="A28" s="101">
        <v>24</v>
      </c>
      <c r="B28" s="93" t="s">
        <v>317</v>
      </c>
      <c r="C28" s="101"/>
      <c r="D28" s="105">
        <v>1.85</v>
      </c>
      <c r="E28" s="105">
        <v>175.89</v>
      </c>
      <c r="F28" s="104">
        <f t="shared" si="2"/>
        <v>325.39999999999998</v>
      </c>
      <c r="G28" s="8" t="s">
        <v>9</v>
      </c>
      <c r="H28" s="8" t="s">
        <v>9</v>
      </c>
      <c r="I28" s="8" t="s">
        <v>9</v>
      </c>
      <c r="J28" s="8" t="s">
        <v>9</v>
      </c>
      <c r="K28" s="8" t="s">
        <v>9</v>
      </c>
      <c r="L28" s="8" t="s">
        <v>9</v>
      </c>
      <c r="M28" s="8" t="s">
        <v>9</v>
      </c>
      <c r="N28" s="8" t="s">
        <v>9</v>
      </c>
      <c r="O28" s="8" t="s">
        <v>9</v>
      </c>
      <c r="P28" s="8" t="s">
        <v>9</v>
      </c>
      <c r="Q28" s="8" t="s">
        <v>366</v>
      </c>
      <c r="T28" s="6">
        <v>3</v>
      </c>
      <c r="U28" s="51" t="s">
        <v>31</v>
      </c>
      <c r="V28" s="6">
        <v>1</v>
      </c>
      <c r="W28" s="6" t="s">
        <v>64</v>
      </c>
      <c r="X28" s="6" t="s">
        <v>229</v>
      </c>
      <c r="Y28" s="6" t="s">
        <v>230</v>
      </c>
      <c r="Z28" s="6" t="str">
        <f>L86</f>
        <v>-</v>
      </c>
      <c r="AA28" s="6">
        <v>300</v>
      </c>
      <c r="AB28" s="6">
        <f t="shared" si="6"/>
        <v>337</v>
      </c>
      <c r="AC28" s="6">
        <v>1.1000000000000001</v>
      </c>
      <c r="AD28" s="6">
        <v>380</v>
      </c>
      <c r="AE28" s="6">
        <v>2850</v>
      </c>
      <c r="AF28" s="32" t="s">
        <v>9</v>
      </c>
      <c r="AG28" s="32" t="s">
        <v>9</v>
      </c>
      <c r="AH28" s="32" t="s">
        <v>9</v>
      </c>
      <c r="AI28" s="32" t="s">
        <v>9</v>
      </c>
      <c r="AJ28" s="32" t="s">
        <v>9</v>
      </c>
      <c r="AK28" s="32" t="s">
        <v>9</v>
      </c>
      <c r="AL28" s="32" t="s">
        <v>9</v>
      </c>
      <c r="AM28" s="6" t="s">
        <v>245</v>
      </c>
      <c r="AN28" s="6">
        <v>1</v>
      </c>
      <c r="AO28" s="6">
        <v>35</v>
      </c>
      <c r="AP28" s="6" t="s">
        <v>246</v>
      </c>
      <c r="AQ28" s="6">
        <v>1</v>
      </c>
      <c r="AR28" s="6">
        <v>2</v>
      </c>
      <c r="AS28" s="32" t="s">
        <v>9</v>
      </c>
      <c r="AT28" s="32" t="s">
        <v>9</v>
      </c>
      <c r="AU28" s="32" t="s">
        <v>9</v>
      </c>
      <c r="BA28" s="14" t="s">
        <v>84</v>
      </c>
      <c r="BB28" s="2">
        <v>12.1</v>
      </c>
      <c r="BC28" s="2">
        <v>0.74</v>
      </c>
      <c r="BD28" s="2">
        <v>0.82</v>
      </c>
      <c r="BE28" s="2">
        <v>1.52</v>
      </c>
      <c r="BF28" s="2">
        <f t="shared" si="3"/>
        <v>0.77800000000000002</v>
      </c>
      <c r="BG28" s="2">
        <v>50</v>
      </c>
      <c r="BH28" s="2">
        <f>BB28*BG28*0.5*0.6</f>
        <v>181.5</v>
      </c>
      <c r="BI28" s="16"/>
      <c r="BJ28" s="2">
        <f>_xlfn.CEILING.MATH(0.005*(BH28^(1/3))*((0.85+1.7*BF28)^(5/3))*(850*0.63/920),0.0001)</f>
        <v>6.0100000000000001E-2</v>
      </c>
      <c r="BK28" s="2"/>
      <c r="BL28" s="2">
        <f t="shared" si="4"/>
        <v>320</v>
      </c>
      <c r="BM28" s="15">
        <v>350</v>
      </c>
      <c r="BN28" s="15"/>
      <c r="BO28" s="15"/>
      <c r="BP28" s="12" t="s">
        <v>166</v>
      </c>
      <c r="BQ28" s="12"/>
      <c r="BR28" s="14"/>
      <c r="BW28" s="176"/>
      <c r="BX28" s="176"/>
      <c r="BY28" s="176"/>
      <c r="BZ28" s="176"/>
      <c r="CA28" s="176"/>
      <c r="CB28" s="76"/>
      <c r="CC28" s="76"/>
    </row>
    <row r="29" spans="1:81" ht="9.9499999999999993" customHeight="1" x14ac:dyDescent="0.2">
      <c r="A29" s="101">
        <v>25</v>
      </c>
      <c r="B29" s="93" t="s">
        <v>317</v>
      </c>
      <c r="C29" s="101"/>
      <c r="D29" s="105">
        <v>1.7</v>
      </c>
      <c r="E29" s="105">
        <v>38.71</v>
      </c>
      <c r="F29" s="104">
        <f t="shared" si="2"/>
        <v>65.81</v>
      </c>
      <c r="G29" s="8" t="s">
        <v>9</v>
      </c>
      <c r="H29" s="8" t="s">
        <v>9</v>
      </c>
      <c r="I29" s="8" t="s">
        <v>9</v>
      </c>
      <c r="J29" s="8" t="s">
        <v>9</v>
      </c>
      <c r="K29" s="8" t="s">
        <v>9</v>
      </c>
      <c r="L29" s="8" t="s">
        <v>9</v>
      </c>
      <c r="M29" s="8" t="s">
        <v>9</v>
      </c>
      <c r="N29" s="8" t="s">
        <v>9</v>
      </c>
      <c r="O29" s="8" t="s">
        <v>9</v>
      </c>
      <c r="P29" s="8" t="s">
        <v>9</v>
      </c>
      <c r="Q29" s="8" t="s">
        <v>366</v>
      </c>
      <c r="T29" s="6">
        <v>4</v>
      </c>
      <c r="U29" s="52" t="s">
        <v>33</v>
      </c>
      <c r="V29" s="6">
        <v>1</v>
      </c>
      <c r="W29" s="6" t="s">
        <v>65</v>
      </c>
      <c r="X29" s="6" t="s">
        <v>229</v>
      </c>
      <c r="Y29" s="6" t="s">
        <v>230</v>
      </c>
      <c r="Z29" s="6" t="e">
        <f>L106+L107</f>
        <v>#VALUE!</v>
      </c>
      <c r="AA29" s="6">
        <v>300</v>
      </c>
      <c r="AB29" s="6">
        <f t="shared" si="6"/>
        <v>355</v>
      </c>
      <c r="AC29" s="6">
        <v>4</v>
      </c>
      <c r="AD29" s="6">
        <v>380</v>
      </c>
      <c r="AE29" s="6">
        <v>2850</v>
      </c>
      <c r="AF29" s="32" t="s">
        <v>9</v>
      </c>
      <c r="AG29" s="32" t="s">
        <v>9</v>
      </c>
      <c r="AH29" s="32" t="s">
        <v>9</v>
      </c>
      <c r="AI29" s="32" t="s">
        <v>9</v>
      </c>
      <c r="AJ29" s="32" t="s">
        <v>9</v>
      </c>
      <c r="AK29" s="32" t="s">
        <v>9</v>
      </c>
      <c r="AL29" s="32" t="s">
        <v>9</v>
      </c>
      <c r="AM29" s="6" t="s">
        <v>245</v>
      </c>
      <c r="AN29" s="6">
        <v>1</v>
      </c>
      <c r="AO29" s="6">
        <v>50</v>
      </c>
      <c r="AP29" s="6" t="s">
        <v>246</v>
      </c>
      <c r="AQ29" s="6">
        <v>1</v>
      </c>
      <c r="AR29" s="6">
        <v>5</v>
      </c>
      <c r="AS29" s="32" t="s">
        <v>9</v>
      </c>
      <c r="AT29" s="32" t="s">
        <v>9</v>
      </c>
      <c r="AU29" s="32" t="s">
        <v>9</v>
      </c>
      <c r="BA29" s="14"/>
      <c r="BB29" s="14">
        <v>169.83</v>
      </c>
      <c r="BC29" s="14"/>
      <c r="BD29" s="14"/>
      <c r="BE29" s="14"/>
      <c r="BF29" s="14"/>
      <c r="BG29" s="14"/>
      <c r="BH29" s="14"/>
      <c r="BI29" s="14"/>
      <c r="BJ29" s="14"/>
      <c r="BK29" s="14"/>
      <c r="BL29" s="15">
        <f>SUM(BL28)</f>
        <v>320</v>
      </c>
      <c r="BM29" s="15">
        <v>350</v>
      </c>
      <c r="BN29" s="15"/>
      <c r="BO29" s="15">
        <v>315</v>
      </c>
      <c r="BP29" s="14"/>
      <c r="BQ29" s="14"/>
      <c r="BR29" s="14"/>
      <c r="BW29" s="176"/>
      <c r="BX29" s="176"/>
      <c r="BY29" s="176"/>
      <c r="BZ29" s="176"/>
      <c r="CA29" s="176"/>
      <c r="CB29" s="76"/>
      <c r="CC29" s="76"/>
    </row>
    <row r="30" spans="1:81" ht="9.9499999999999993" customHeight="1" thickBot="1" x14ac:dyDescent="0.25">
      <c r="A30" s="138"/>
      <c r="B30" s="138"/>
      <c r="C30" s="138"/>
      <c r="D30" s="138"/>
      <c r="E30" s="138"/>
      <c r="F30" s="138"/>
      <c r="G30" s="138"/>
      <c r="H30" s="102" t="s">
        <v>311</v>
      </c>
      <c r="I30" s="8">
        <f>SUM(I4:I29)</f>
        <v>2960</v>
      </c>
      <c r="J30" s="153" t="s">
        <v>310</v>
      </c>
      <c r="K30" s="153"/>
      <c r="L30" s="8">
        <f>SUM(L4:L29)</f>
        <v>2960</v>
      </c>
      <c r="M30" s="154"/>
      <c r="N30" s="155"/>
      <c r="O30" s="155"/>
      <c r="P30" s="155"/>
      <c r="Q30" s="156"/>
      <c r="T30" s="6">
        <v>5</v>
      </c>
      <c r="U30" s="53" t="s">
        <v>22</v>
      </c>
      <c r="V30" s="6">
        <v>1</v>
      </c>
      <c r="W30" s="6" t="s">
        <v>75</v>
      </c>
      <c r="X30" s="6" t="s">
        <v>229</v>
      </c>
      <c r="Y30" s="6" t="s">
        <v>230</v>
      </c>
      <c r="Z30" s="6">
        <f>L68</f>
        <v>150</v>
      </c>
      <c r="AA30" s="6">
        <v>250</v>
      </c>
      <c r="AB30" s="6">
        <f t="shared" si="6"/>
        <v>282</v>
      </c>
      <c r="AC30" s="6">
        <v>2.2000000000000002</v>
      </c>
      <c r="AD30" s="6">
        <v>380</v>
      </c>
      <c r="AE30" s="6">
        <v>2850</v>
      </c>
      <c r="AF30" s="32" t="s">
        <v>9</v>
      </c>
      <c r="AG30" s="32" t="s">
        <v>9</v>
      </c>
      <c r="AH30" s="32" t="s">
        <v>9</v>
      </c>
      <c r="AI30" s="32" t="s">
        <v>9</v>
      </c>
      <c r="AJ30" s="32" t="s">
        <v>9</v>
      </c>
      <c r="AK30" s="32" t="s">
        <v>9</v>
      </c>
      <c r="AL30" s="32" t="s">
        <v>9</v>
      </c>
      <c r="AM30" s="6" t="s">
        <v>245</v>
      </c>
      <c r="AN30" s="6">
        <v>1</v>
      </c>
      <c r="AO30" s="6">
        <v>30</v>
      </c>
      <c r="AP30" s="6" t="s">
        <v>246</v>
      </c>
      <c r="AQ30" s="6">
        <v>1</v>
      </c>
      <c r="AR30" s="6">
        <v>2</v>
      </c>
      <c r="AS30" s="32" t="s">
        <v>9</v>
      </c>
      <c r="AT30" s="32" t="s">
        <v>9</v>
      </c>
      <c r="AU30" s="32" t="s">
        <v>9</v>
      </c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W30" s="176"/>
      <c r="BX30" s="176"/>
      <c r="BY30" s="176"/>
      <c r="BZ30" s="176"/>
      <c r="CA30" s="176"/>
      <c r="CB30" s="76"/>
      <c r="CC30" s="76"/>
    </row>
    <row r="31" spans="1:81" ht="9.9499999999999993" customHeight="1" thickTop="1" x14ac:dyDescent="0.2">
      <c r="A31" s="139" t="s">
        <v>110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1"/>
      <c r="T31" s="6">
        <v>6</v>
      </c>
      <c r="U31" s="54" t="s">
        <v>21</v>
      </c>
      <c r="V31" s="6">
        <v>1</v>
      </c>
      <c r="W31" s="6" t="s">
        <v>66</v>
      </c>
      <c r="X31" s="6" t="s">
        <v>229</v>
      </c>
      <c r="Y31" s="6" t="s">
        <v>230</v>
      </c>
      <c r="Z31" s="6" t="e">
        <f>K9+L13+K69+K75</f>
        <v>#VALUE!</v>
      </c>
      <c r="AA31" s="6">
        <v>200</v>
      </c>
      <c r="AB31" s="6">
        <f t="shared" si="6"/>
        <v>237</v>
      </c>
      <c r="AC31" s="6">
        <v>1.1000000000000001</v>
      </c>
      <c r="AD31" s="6">
        <v>380</v>
      </c>
      <c r="AE31" s="6">
        <v>2850</v>
      </c>
      <c r="AF31" s="32" t="s">
        <v>9</v>
      </c>
      <c r="AG31" s="32" t="s">
        <v>9</v>
      </c>
      <c r="AH31" s="32" t="s">
        <v>9</v>
      </c>
      <c r="AI31" s="32" t="s">
        <v>9</v>
      </c>
      <c r="AJ31" s="32" t="s">
        <v>9</v>
      </c>
      <c r="AK31" s="32" t="s">
        <v>9</v>
      </c>
      <c r="AL31" s="32" t="s">
        <v>9</v>
      </c>
      <c r="AM31" s="6" t="s">
        <v>245</v>
      </c>
      <c r="AN31" s="6">
        <v>1</v>
      </c>
      <c r="AO31" s="6">
        <v>35</v>
      </c>
      <c r="AP31" s="6" t="s">
        <v>246</v>
      </c>
      <c r="AQ31" s="6">
        <v>1</v>
      </c>
      <c r="AR31" s="6">
        <v>2</v>
      </c>
      <c r="AS31" s="32" t="s">
        <v>9</v>
      </c>
      <c r="AT31" s="32" t="s">
        <v>9</v>
      </c>
      <c r="AU31" s="32" t="s">
        <v>9</v>
      </c>
      <c r="AW31" s="15" t="s">
        <v>170</v>
      </c>
      <c r="AX31" s="15" t="s">
        <v>172</v>
      </c>
      <c r="AY31" s="15"/>
      <c r="AZ31" s="15" t="s">
        <v>171</v>
      </c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W31" s="176"/>
      <c r="BX31" s="176"/>
      <c r="BY31" s="176"/>
      <c r="BZ31" s="176"/>
      <c r="CA31" s="176"/>
      <c r="CB31" s="76"/>
      <c r="CC31" s="76"/>
    </row>
    <row r="32" spans="1:81" ht="9.9499999999999993" customHeight="1" x14ac:dyDescent="0.2">
      <c r="A32" s="101">
        <v>101</v>
      </c>
      <c r="B32" s="93" t="s">
        <v>119</v>
      </c>
      <c r="C32" s="101"/>
      <c r="D32" s="105">
        <v>3.5</v>
      </c>
      <c r="E32" s="105">
        <v>22.56</v>
      </c>
      <c r="F32" s="110">
        <f t="shared" ref="F32:F37" si="7">ROUND(D32*E32,2)</f>
        <v>78.959999999999994</v>
      </c>
      <c r="G32" s="111" t="s">
        <v>9</v>
      </c>
      <c r="H32" s="111" t="s">
        <v>9</v>
      </c>
      <c r="I32" s="104" t="s">
        <v>9</v>
      </c>
      <c r="J32" s="104" t="s">
        <v>9</v>
      </c>
      <c r="K32" s="104" t="s">
        <v>9</v>
      </c>
      <c r="L32" s="104" t="s">
        <v>9</v>
      </c>
      <c r="M32" s="110" t="s">
        <v>9</v>
      </c>
      <c r="N32" s="110" t="s">
        <v>9</v>
      </c>
      <c r="O32" s="101" t="s">
        <v>9</v>
      </c>
      <c r="P32" s="6" t="s">
        <v>9</v>
      </c>
      <c r="Q32" s="4"/>
      <c r="T32" s="81"/>
      <c r="U32" s="81"/>
      <c r="V32" s="6">
        <v>1</v>
      </c>
      <c r="W32" s="6" t="s">
        <v>66</v>
      </c>
      <c r="X32" s="6" t="s">
        <v>229</v>
      </c>
      <c r="Y32" s="6" t="s">
        <v>230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W32" s="15">
        <v>138</v>
      </c>
      <c r="AX32" s="15" t="s">
        <v>293</v>
      </c>
      <c r="AY32" s="15" t="s">
        <v>165</v>
      </c>
      <c r="AZ32" s="15" t="s">
        <v>295</v>
      </c>
      <c r="BA32" s="22" t="s">
        <v>308</v>
      </c>
      <c r="BB32" s="77">
        <v>0</v>
      </c>
      <c r="BC32" s="78">
        <v>1.2</v>
      </c>
      <c r="BD32" s="77">
        <v>0.63</v>
      </c>
      <c r="BE32" s="77">
        <v>0.87</v>
      </c>
      <c r="BF32" s="74">
        <f>_xlfn.CEILING.MATH((2*BC32*BD32/(BC32+BD32)),0.001)</f>
        <v>0.82700000000000007</v>
      </c>
      <c r="BG32" s="77"/>
      <c r="BH32" s="77"/>
      <c r="BI32" s="77"/>
      <c r="BJ32" s="79">
        <f>1.2*0.7*0.2</f>
        <v>0.16800000000000001</v>
      </c>
      <c r="BK32" s="77"/>
      <c r="BL32" s="74">
        <f>_xlfn.CEILING.MATH(BJ32*3600,5)</f>
        <v>605</v>
      </c>
      <c r="BW32" s="176"/>
      <c r="BX32" s="176"/>
      <c r="BY32" s="176"/>
      <c r="BZ32" s="176"/>
      <c r="CA32" s="176"/>
      <c r="CB32" s="76"/>
      <c r="CC32" s="76"/>
    </row>
    <row r="33" spans="1:81" ht="9.9499999999999993" customHeight="1" x14ac:dyDescent="0.2">
      <c r="A33" s="101">
        <v>102</v>
      </c>
      <c r="B33" s="93" t="s">
        <v>319</v>
      </c>
      <c r="C33" s="101"/>
      <c r="D33" s="105">
        <v>3.5</v>
      </c>
      <c r="E33" s="105">
        <v>49.67</v>
      </c>
      <c r="F33" s="110">
        <f t="shared" si="7"/>
        <v>173.85</v>
      </c>
      <c r="G33" s="111" t="s">
        <v>9</v>
      </c>
      <c r="H33" s="111" t="s">
        <v>9</v>
      </c>
      <c r="I33" s="104" t="s">
        <v>9</v>
      </c>
      <c r="J33" s="104" t="s">
        <v>9</v>
      </c>
      <c r="K33" s="104" t="s">
        <v>9</v>
      </c>
      <c r="L33" s="104" t="s">
        <v>9</v>
      </c>
      <c r="M33" s="110" t="s">
        <v>9</v>
      </c>
      <c r="N33" s="110" t="s">
        <v>9</v>
      </c>
      <c r="O33" s="101" t="s">
        <v>9</v>
      </c>
      <c r="P33" s="6" t="s">
        <v>9</v>
      </c>
      <c r="Q33" s="4" t="s">
        <v>369</v>
      </c>
      <c r="T33" s="6">
        <v>8</v>
      </c>
      <c r="U33" s="55" t="s">
        <v>27</v>
      </c>
      <c r="V33" s="6">
        <v>1</v>
      </c>
      <c r="W33" s="6" t="s">
        <v>67</v>
      </c>
      <c r="X33" s="6" t="s">
        <v>239</v>
      </c>
      <c r="Y33" s="6" t="s">
        <v>230</v>
      </c>
      <c r="Z33" s="6" t="e">
        <f>L41+L42+L44</f>
        <v>#VALUE!</v>
      </c>
      <c r="AA33" s="6">
        <v>450</v>
      </c>
      <c r="AB33" s="6">
        <v>200</v>
      </c>
      <c r="AC33" s="6">
        <v>0.105</v>
      </c>
      <c r="AD33" s="6">
        <v>220</v>
      </c>
      <c r="AE33" s="6">
        <v>2550</v>
      </c>
      <c r="AF33" s="32" t="s">
        <v>9</v>
      </c>
      <c r="AG33" s="32" t="s">
        <v>9</v>
      </c>
      <c r="AH33" s="32" t="s">
        <v>9</v>
      </c>
      <c r="AI33" s="32" t="s">
        <v>9</v>
      </c>
      <c r="AJ33" s="32" t="s">
        <v>9</v>
      </c>
      <c r="AK33" s="32" t="s">
        <v>9</v>
      </c>
      <c r="AL33" s="32" t="s">
        <v>9</v>
      </c>
      <c r="AM33" s="6" t="s">
        <v>234</v>
      </c>
      <c r="AN33" s="6">
        <v>2</v>
      </c>
      <c r="AO33" s="6" t="s">
        <v>235</v>
      </c>
      <c r="AP33" s="6" t="s">
        <v>236</v>
      </c>
      <c r="AQ33" s="6">
        <v>1</v>
      </c>
      <c r="AR33" s="6">
        <v>8</v>
      </c>
      <c r="AS33" s="32" t="s">
        <v>9</v>
      </c>
      <c r="AT33" s="32" t="s">
        <v>9</v>
      </c>
      <c r="AU33" s="32" t="s">
        <v>9</v>
      </c>
      <c r="AW33" s="15"/>
      <c r="AX33" s="15" t="s">
        <v>294</v>
      </c>
      <c r="AY33" s="15" t="s">
        <v>165</v>
      </c>
      <c r="AZ33" s="15" t="s">
        <v>296</v>
      </c>
      <c r="BA33" s="22" t="s">
        <v>306</v>
      </c>
      <c r="BB33" s="77">
        <v>0</v>
      </c>
      <c r="BC33" s="78">
        <v>1.75</v>
      </c>
      <c r="BD33" s="77">
        <v>0.63</v>
      </c>
      <c r="BE33" s="77">
        <v>0.87</v>
      </c>
      <c r="BF33" s="74">
        <f>_xlfn.CEILING.MATH((2*BC33*BD33/(BC33+BD33)),0.001)</f>
        <v>0.92700000000000005</v>
      </c>
      <c r="BG33" s="77"/>
      <c r="BH33" s="77"/>
      <c r="BI33" s="77"/>
      <c r="BJ33" s="79">
        <f>1.7*0.7*0.2</f>
        <v>0.23799999999999999</v>
      </c>
      <c r="BK33" s="77"/>
      <c r="BL33" s="74">
        <f>_xlfn.CEILING.MATH(BJ33*3600,5)</f>
        <v>860</v>
      </c>
      <c r="BW33" s="176"/>
      <c r="BX33" s="176"/>
      <c r="BY33" s="176"/>
      <c r="BZ33" s="176"/>
      <c r="CA33" s="176"/>
      <c r="CB33" s="76"/>
      <c r="CC33" s="76"/>
    </row>
    <row r="34" spans="1:81" ht="9.9499999999999993" customHeight="1" x14ac:dyDescent="0.2">
      <c r="A34" s="101">
        <v>103</v>
      </c>
      <c r="B34" s="93" t="s">
        <v>121</v>
      </c>
      <c r="C34" s="101"/>
      <c r="D34" s="105">
        <v>3.5</v>
      </c>
      <c r="E34" s="105">
        <v>16.350000000000001</v>
      </c>
      <c r="F34" s="110">
        <f t="shared" si="7"/>
        <v>57.23</v>
      </c>
      <c r="G34" s="111" t="s">
        <v>133</v>
      </c>
      <c r="H34" s="111" t="s">
        <v>133</v>
      </c>
      <c r="I34" s="104">
        <v>120</v>
      </c>
      <c r="J34" s="104" t="s">
        <v>9</v>
      </c>
      <c r="K34" s="104">
        <v>120</v>
      </c>
      <c r="L34" s="104">
        <v>120</v>
      </c>
      <c r="M34" s="110">
        <v>2.13</v>
      </c>
      <c r="N34" s="110">
        <v>2.13</v>
      </c>
      <c r="O34" s="101" t="str">
        <f>O19</f>
        <v>П3</v>
      </c>
      <c r="P34" s="104" t="s">
        <v>383</v>
      </c>
      <c r="Q34" s="4"/>
      <c r="T34" s="6">
        <v>9</v>
      </c>
      <c r="U34" s="56" t="s">
        <v>26</v>
      </c>
      <c r="V34" s="6">
        <v>1</v>
      </c>
      <c r="W34" s="6" t="s">
        <v>68</v>
      </c>
      <c r="X34" s="6" t="s">
        <v>229</v>
      </c>
      <c r="Y34" s="6" t="s">
        <v>230</v>
      </c>
      <c r="Z34" s="6">
        <f>L104+L150</f>
        <v>670</v>
      </c>
      <c r="AA34" s="6">
        <v>200</v>
      </c>
      <c r="AB34" s="6">
        <f>AA34+AO34+AR34</f>
        <v>222</v>
      </c>
      <c r="AC34" s="6">
        <v>1.5</v>
      </c>
      <c r="AD34" s="6">
        <v>380</v>
      </c>
      <c r="AE34" s="6">
        <v>2850</v>
      </c>
      <c r="AF34" s="32" t="s">
        <v>9</v>
      </c>
      <c r="AG34" s="32" t="s">
        <v>9</v>
      </c>
      <c r="AH34" s="32" t="s">
        <v>9</v>
      </c>
      <c r="AI34" s="32" t="s">
        <v>9</v>
      </c>
      <c r="AJ34" s="32" t="s">
        <v>9</v>
      </c>
      <c r="AK34" s="32" t="s">
        <v>9</v>
      </c>
      <c r="AL34" s="32" t="s">
        <v>9</v>
      </c>
      <c r="AM34" s="6" t="s">
        <v>245</v>
      </c>
      <c r="AN34" s="6">
        <v>1</v>
      </c>
      <c r="AO34" s="6">
        <v>20</v>
      </c>
      <c r="AP34" s="6" t="s">
        <v>246</v>
      </c>
      <c r="AQ34" s="6">
        <v>1</v>
      </c>
      <c r="AR34" s="6">
        <v>2</v>
      </c>
      <c r="AS34" s="32" t="s">
        <v>9</v>
      </c>
      <c r="AT34" s="32" t="s">
        <v>9</v>
      </c>
      <c r="AU34" s="32" t="s">
        <v>9</v>
      </c>
      <c r="AW34" s="15"/>
      <c r="AX34" s="15" t="s">
        <v>180</v>
      </c>
      <c r="AY34" s="15" t="s">
        <v>178</v>
      </c>
      <c r="AZ34" s="15" t="s">
        <v>297</v>
      </c>
      <c r="BA34" s="22" t="s">
        <v>307</v>
      </c>
      <c r="BB34" s="77">
        <v>20.5</v>
      </c>
      <c r="BC34" s="78">
        <v>1.32</v>
      </c>
      <c r="BD34" s="77">
        <v>0.84</v>
      </c>
      <c r="BE34" s="77">
        <v>1.49</v>
      </c>
      <c r="BF34" s="74">
        <f>_xlfn.CEILING.MATH((2*BC34*BD34/(BC34+BD34)),0.001)</f>
        <v>1.0269999999999999</v>
      </c>
      <c r="BG34" s="74">
        <v>50</v>
      </c>
      <c r="BH34" s="74">
        <f>BB34*BG34*0.5*0.6</f>
        <v>307.5</v>
      </c>
      <c r="BI34" s="16"/>
      <c r="BJ34" s="79">
        <f>1.5*0.7*0.3</f>
        <v>0.31499999999999995</v>
      </c>
      <c r="BK34" s="77"/>
      <c r="BL34" s="74">
        <f>_xlfn.CEILING.MATH(BJ34*3600,5)</f>
        <v>1135</v>
      </c>
      <c r="BW34" s="176"/>
      <c r="BX34" s="176"/>
      <c r="BY34" s="176"/>
      <c r="BZ34" s="176"/>
      <c r="CA34" s="176"/>
      <c r="CB34" s="76"/>
      <c r="CC34" s="76"/>
    </row>
    <row r="35" spans="1:81" ht="9.9499999999999993" customHeight="1" x14ac:dyDescent="0.2">
      <c r="A35" s="101">
        <v>104</v>
      </c>
      <c r="B35" s="93" t="s">
        <v>320</v>
      </c>
      <c r="C35" s="101"/>
      <c r="D35" s="105">
        <v>3.5</v>
      </c>
      <c r="E35" s="105">
        <v>49.74</v>
      </c>
      <c r="F35" s="110">
        <f t="shared" si="7"/>
        <v>174.09</v>
      </c>
      <c r="G35" s="111" t="s">
        <v>131</v>
      </c>
      <c r="H35" s="111" t="s">
        <v>131</v>
      </c>
      <c r="I35" s="104">
        <f t="shared" ref="I35:I41" si="8">20*31</f>
        <v>620</v>
      </c>
      <c r="J35" s="104" t="s">
        <v>9</v>
      </c>
      <c r="K35" s="104">
        <f t="shared" ref="K35:K37" si="9">I35</f>
        <v>620</v>
      </c>
      <c r="L35" s="104">
        <f>K35</f>
        <v>620</v>
      </c>
      <c r="M35" s="110">
        <f>ROUNDUP(I35/F35,2)</f>
        <v>3.57</v>
      </c>
      <c r="N35" s="110">
        <f>ROUNDUP(L35/F35,2)</f>
        <v>3.57</v>
      </c>
      <c r="O35" s="101" t="str">
        <f>O19</f>
        <v>П3</v>
      </c>
      <c r="P35" s="6" t="str">
        <f>P34</f>
        <v>ВЕ1</v>
      </c>
      <c r="Q35" s="4" t="s">
        <v>370</v>
      </c>
      <c r="T35" s="6">
        <v>10</v>
      </c>
      <c r="U35" s="57" t="s">
        <v>47</v>
      </c>
      <c r="V35" s="6">
        <v>1</v>
      </c>
      <c r="W35" s="6" t="s">
        <v>69</v>
      </c>
      <c r="X35" s="6" t="s">
        <v>229</v>
      </c>
      <c r="Y35" s="6" t="s">
        <v>230</v>
      </c>
      <c r="Z35" s="6">
        <f>L80</f>
        <v>2990</v>
      </c>
      <c r="AA35" s="6">
        <v>350</v>
      </c>
      <c r="AB35" s="6">
        <f>AA35+AO35+AR35</f>
        <v>422</v>
      </c>
      <c r="AC35" s="6">
        <v>2</v>
      </c>
      <c r="AD35" s="6">
        <v>380</v>
      </c>
      <c r="AE35" s="6">
        <v>2850</v>
      </c>
      <c r="AF35" s="32" t="s">
        <v>9</v>
      </c>
      <c r="AG35" s="32" t="s">
        <v>9</v>
      </c>
      <c r="AH35" s="32" t="s">
        <v>9</v>
      </c>
      <c r="AI35" s="32" t="s">
        <v>9</v>
      </c>
      <c r="AJ35" s="32" t="s">
        <v>9</v>
      </c>
      <c r="AK35" s="32" t="s">
        <v>9</v>
      </c>
      <c r="AL35" s="32" t="s">
        <v>9</v>
      </c>
      <c r="AM35" s="6" t="s">
        <v>245</v>
      </c>
      <c r="AN35" s="6">
        <v>1</v>
      </c>
      <c r="AO35" s="6">
        <v>70</v>
      </c>
      <c r="AP35" s="6" t="s">
        <v>246</v>
      </c>
      <c r="AQ35" s="6">
        <v>1</v>
      </c>
      <c r="AR35" s="6">
        <v>2</v>
      </c>
      <c r="AS35" s="32" t="s">
        <v>9</v>
      </c>
      <c r="AT35" s="32" t="s">
        <v>9</v>
      </c>
      <c r="AU35" s="32" t="s">
        <v>9</v>
      </c>
      <c r="AW35" s="15"/>
      <c r="AX35" s="15"/>
      <c r="AY35" s="15"/>
      <c r="AZ35" s="15"/>
      <c r="BA35" s="22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W35" s="176"/>
      <c r="BX35" s="176"/>
      <c r="BY35" s="176"/>
      <c r="BZ35" s="176"/>
      <c r="CA35" s="176"/>
      <c r="CB35" s="76"/>
      <c r="CC35" s="76"/>
    </row>
    <row r="36" spans="1:81" ht="9.9499999999999993" customHeight="1" x14ac:dyDescent="0.2">
      <c r="A36" s="101">
        <v>105</v>
      </c>
      <c r="B36" s="93" t="s">
        <v>320</v>
      </c>
      <c r="C36" s="101"/>
      <c r="D36" s="105">
        <v>3.5</v>
      </c>
      <c r="E36" s="105">
        <v>46.91</v>
      </c>
      <c r="F36" s="110">
        <f t="shared" si="7"/>
        <v>164.19</v>
      </c>
      <c r="G36" s="111" t="s">
        <v>131</v>
      </c>
      <c r="H36" s="111" t="s">
        <v>131</v>
      </c>
      <c r="I36" s="104">
        <f t="shared" si="8"/>
        <v>620</v>
      </c>
      <c r="J36" s="104" t="s">
        <v>9</v>
      </c>
      <c r="K36" s="104">
        <f t="shared" si="9"/>
        <v>620</v>
      </c>
      <c r="L36" s="104">
        <f>K36</f>
        <v>620</v>
      </c>
      <c r="M36" s="110">
        <f>ROUNDUP(I36/F36,2)</f>
        <v>3.78</v>
      </c>
      <c r="N36" s="110">
        <f>ROUNDUP(L36/F36,2)</f>
        <v>3.78</v>
      </c>
      <c r="O36" s="101" t="s">
        <v>32</v>
      </c>
      <c r="P36" s="6" t="str">
        <f>P34</f>
        <v>ВЕ1</v>
      </c>
      <c r="Q36" s="4" t="s">
        <v>370</v>
      </c>
      <c r="T36" s="6">
        <v>11</v>
      </c>
      <c r="U36" s="58" t="s">
        <v>49</v>
      </c>
      <c r="V36" s="6">
        <v>1</v>
      </c>
      <c r="W36" s="6" t="s">
        <v>70</v>
      </c>
      <c r="X36" s="6" t="s">
        <v>229</v>
      </c>
      <c r="Y36" s="6" t="s">
        <v>230</v>
      </c>
      <c r="Z36" s="6" t="e">
        <f>L64+L95+L121+L122+L139+L148</f>
        <v>#VALUE!</v>
      </c>
      <c r="AA36" s="6">
        <v>1000</v>
      </c>
      <c r="AB36" s="6">
        <f>AA36+AO36+AR36</f>
        <v>1054</v>
      </c>
      <c r="AC36" s="6">
        <v>0.37</v>
      </c>
      <c r="AD36" s="6">
        <v>380</v>
      </c>
      <c r="AE36" s="6">
        <v>2850</v>
      </c>
      <c r="AF36" s="32" t="s">
        <v>9</v>
      </c>
      <c r="AG36" s="32" t="s">
        <v>9</v>
      </c>
      <c r="AH36" s="32" t="s">
        <v>9</v>
      </c>
      <c r="AI36" s="32" t="s">
        <v>9</v>
      </c>
      <c r="AJ36" s="32" t="s">
        <v>9</v>
      </c>
      <c r="AK36" s="32" t="s">
        <v>9</v>
      </c>
      <c r="AL36" s="32" t="s">
        <v>9</v>
      </c>
      <c r="AM36" s="6" t="s">
        <v>245</v>
      </c>
      <c r="AN36" s="6">
        <v>1</v>
      </c>
      <c r="AO36" s="6">
        <v>50</v>
      </c>
      <c r="AP36" s="6" t="s">
        <v>246</v>
      </c>
      <c r="AQ36" s="6">
        <v>1</v>
      </c>
      <c r="AR36" s="6">
        <v>4</v>
      </c>
      <c r="AS36" s="32" t="s">
        <v>9</v>
      </c>
      <c r="AT36" s="32" t="s">
        <v>9</v>
      </c>
      <c r="AU36" s="32" t="s">
        <v>9</v>
      </c>
      <c r="AW36" s="21">
        <v>133</v>
      </c>
      <c r="AX36" s="15" t="s">
        <v>301</v>
      </c>
      <c r="AY36" s="12" t="s">
        <v>182</v>
      </c>
      <c r="AZ36" s="15" t="s">
        <v>302</v>
      </c>
      <c r="BA36" s="22" t="s">
        <v>305</v>
      </c>
      <c r="BB36" s="15">
        <v>20</v>
      </c>
      <c r="BC36" s="15">
        <v>1.2</v>
      </c>
      <c r="BD36" s="15">
        <v>0.8</v>
      </c>
      <c r="BE36" s="15">
        <v>0.85</v>
      </c>
      <c r="BF36" s="74">
        <f>_xlfn.CEILING.MATH((2*BC36*BD36/(BC36+BD36)),0.001)</f>
        <v>0.96</v>
      </c>
      <c r="BG36" s="74">
        <v>350</v>
      </c>
      <c r="BH36" s="74">
        <f>BB36*BG36*0.5*0.6</f>
        <v>2100</v>
      </c>
      <c r="BI36" s="16"/>
      <c r="BJ36" s="74">
        <f>_xlfn.CEILING.MATH(0.005*(BH36^(1/3))*((0.85+1.7*BF36)^(5/3))*(850*0.63/920),0.0001)</f>
        <v>0.1696</v>
      </c>
      <c r="BK36" s="74"/>
      <c r="BL36" s="74">
        <f>_xlfn.CEILING.MATH(BJ36*3600*1.25/0.85,5)</f>
        <v>900</v>
      </c>
      <c r="BW36" s="176"/>
      <c r="BX36" s="176"/>
      <c r="BY36" s="176"/>
      <c r="BZ36" s="176"/>
      <c r="CA36" s="176"/>
      <c r="CB36" s="76"/>
      <c r="CC36" s="76"/>
    </row>
    <row r="37" spans="1:81" ht="9.9499999999999993" customHeight="1" x14ac:dyDescent="0.2">
      <c r="A37" s="114">
        <v>106</v>
      </c>
      <c r="B37" s="162" t="s">
        <v>321</v>
      </c>
      <c r="C37" s="114"/>
      <c r="D37" s="145">
        <v>3.5</v>
      </c>
      <c r="E37" s="145">
        <v>46.28</v>
      </c>
      <c r="F37" s="147">
        <f t="shared" si="7"/>
        <v>161.97999999999999</v>
      </c>
      <c r="G37" s="149" t="s">
        <v>131</v>
      </c>
      <c r="H37" s="149" t="s">
        <v>131</v>
      </c>
      <c r="I37" s="151">
        <f t="shared" si="8"/>
        <v>620</v>
      </c>
      <c r="J37" s="151" t="s">
        <v>9</v>
      </c>
      <c r="K37" s="151">
        <f t="shared" si="9"/>
        <v>620</v>
      </c>
      <c r="L37" s="151">
        <f>K37+J38</f>
        <v>620</v>
      </c>
      <c r="M37" s="147">
        <f>ROUNDUP(I37/F37,2)</f>
        <v>3.8299999999999996</v>
      </c>
      <c r="N37" s="147">
        <f>ROUNDUP(K37/F37,2)</f>
        <v>3.8299999999999996</v>
      </c>
      <c r="O37" s="114" t="str">
        <f>O36</f>
        <v>П4</v>
      </c>
      <c r="P37" s="164" t="str">
        <f>P34</f>
        <v>ВЕ1</v>
      </c>
      <c r="Q37" s="114" t="s">
        <v>370</v>
      </c>
      <c r="T37" s="6">
        <v>12</v>
      </c>
      <c r="U37" s="59" t="s">
        <v>50</v>
      </c>
      <c r="V37" s="6">
        <v>1</v>
      </c>
      <c r="W37" s="6" t="s">
        <v>15</v>
      </c>
      <c r="X37" s="6" t="s">
        <v>239</v>
      </c>
      <c r="Y37" s="6" t="s">
        <v>230</v>
      </c>
      <c r="Z37" s="6">
        <f>L48</f>
        <v>480</v>
      </c>
      <c r="AA37" s="6">
        <v>150</v>
      </c>
      <c r="AB37" s="6">
        <v>200</v>
      </c>
      <c r="AC37" s="6">
        <v>0.06</v>
      </c>
      <c r="AD37" s="6">
        <v>220</v>
      </c>
      <c r="AE37" s="6">
        <v>2450</v>
      </c>
      <c r="AF37" s="32" t="s">
        <v>9</v>
      </c>
      <c r="AG37" s="32" t="s">
        <v>9</v>
      </c>
      <c r="AH37" s="32" t="s">
        <v>9</v>
      </c>
      <c r="AI37" s="32" t="s">
        <v>9</v>
      </c>
      <c r="AJ37" s="32" t="s">
        <v>9</v>
      </c>
      <c r="AK37" s="32" t="s">
        <v>9</v>
      </c>
      <c r="AL37" s="32" t="s">
        <v>9</v>
      </c>
      <c r="AM37" s="6" t="s">
        <v>243</v>
      </c>
      <c r="AN37" s="6">
        <v>2</v>
      </c>
      <c r="AO37" s="6" t="s">
        <v>238</v>
      </c>
      <c r="AP37" s="6" t="s">
        <v>237</v>
      </c>
      <c r="AQ37" s="6">
        <v>1</v>
      </c>
      <c r="AR37" s="6">
        <v>5</v>
      </c>
      <c r="AS37" s="32" t="s">
        <v>9</v>
      </c>
      <c r="AT37" s="32" t="s">
        <v>9</v>
      </c>
      <c r="AU37" s="32" t="s">
        <v>9</v>
      </c>
      <c r="AW37" s="15"/>
      <c r="AX37" s="15" t="s">
        <v>300</v>
      </c>
      <c r="AY37" s="15" t="s">
        <v>181</v>
      </c>
      <c r="AZ37" s="15" t="s">
        <v>175</v>
      </c>
      <c r="BA37" s="22" t="s">
        <v>183</v>
      </c>
      <c r="BB37" s="15">
        <v>35</v>
      </c>
      <c r="BC37" s="15">
        <v>0.89</v>
      </c>
      <c r="BD37" s="15">
        <v>0.89</v>
      </c>
      <c r="BE37" s="15">
        <v>1.78</v>
      </c>
      <c r="BF37" s="74">
        <f>_xlfn.CEILING.MATH((2*BC37*BD37/(BC37+BD37)),0.001)</f>
        <v>0.89</v>
      </c>
      <c r="BG37" s="74">
        <v>350</v>
      </c>
      <c r="BH37" s="74">
        <f>BB37*BG37*0.5*0.6</f>
        <v>3675</v>
      </c>
      <c r="BI37" s="16"/>
      <c r="BJ37" s="74">
        <f>_xlfn.CEILING.MATH(0.005*(BH37^(1/3))*((0.85+1.7*BF37)^(5/3))*(850*0.63/920),0.0001)</f>
        <v>0.1883</v>
      </c>
      <c r="BK37" s="74"/>
      <c r="BL37" s="74">
        <f>_xlfn.CEILING.MATH(BJ37*3600*1.25/0.85,5)</f>
        <v>1000</v>
      </c>
      <c r="BW37" s="176"/>
      <c r="BX37" s="176"/>
      <c r="BY37" s="176"/>
      <c r="BZ37" s="176"/>
      <c r="CA37" s="176"/>
      <c r="CB37" s="76"/>
      <c r="CC37" s="76"/>
    </row>
    <row r="38" spans="1:81" ht="9.9499999999999993" customHeight="1" x14ac:dyDescent="0.2">
      <c r="A38" s="115"/>
      <c r="B38" s="163"/>
      <c r="C38" s="115"/>
      <c r="D38" s="146"/>
      <c r="E38" s="146"/>
      <c r="F38" s="148"/>
      <c r="G38" s="150"/>
      <c r="H38" s="150"/>
      <c r="I38" s="152"/>
      <c r="J38" s="152"/>
      <c r="K38" s="152"/>
      <c r="L38" s="152"/>
      <c r="M38" s="148"/>
      <c r="N38" s="148"/>
      <c r="O38" s="115"/>
      <c r="P38" s="165"/>
      <c r="Q38" s="115"/>
      <c r="T38" s="6">
        <v>13</v>
      </c>
      <c r="U38" s="60" t="s">
        <v>51</v>
      </c>
      <c r="V38" s="6">
        <v>1</v>
      </c>
      <c r="W38" s="6" t="s">
        <v>16</v>
      </c>
      <c r="X38" s="6" t="s">
        <v>239</v>
      </c>
      <c r="Y38" s="6" t="s">
        <v>230</v>
      </c>
      <c r="Z38" s="6" t="str">
        <f>L92</f>
        <v>-</v>
      </c>
      <c r="AA38" s="6">
        <v>100</v>
      </c>
      <c r="AB38" s="6">
        <v>200</v>
      </c>
      <c r="AC38" s="6">
        <v>0.06</v>
      </c>
      <c r="AD38" s="6">
        <v>220</v>
      </c>
      <c r="AE38" s="6">
        <v>2450</v>
      </c>
      <c r="AF38" s="32" t="s">
        <v>9</v>
      </c>
      <c r="AG38" s="32" t="s">
        <v>9</v>
      </c>
      <c r="AH38" s="32" t="s">
        <v>9</v>
      </c>
      <c r="AI38" s="32" t="s">
        <v>9</v>
      </c>
      <c r="AJ38" s="32" t="s">
        <v>9</v>
      </c>
      <c r="AK38" s="32" t="s">
        <v>9</v>
      </c>
      <c r="AL38" s="32" t="s">
        <v>9</v>
      </c>
      <c r="AM38" s="6" t="s">
        <v>243</v>
      </c>
      <c r="AN38" s="6">
        <v>2</v>
      </c>
      <c r="AO38" s="6" t="s">
        <v>238</v>
      </c>
      <c r="AP38" s="6" t="s">
        <v>237</v>
      </c>
      <c r="AQ38" s="6">
        <v>1</v>
      </c>
      <c r="AR38" s="6">
        <v>5</v>
      </c>
      <c r="AS38" s="32" t="s">
        <v>9</v>
      </c>
      <c r="AT38" s="32" t="s">
        <v>9</v>
      </c>
      <c r="AU38" s="32" t="s">
        <v>9</v>
      </c>
      <c r="AW38" s="15"/>
      <c r="AX38" s="15" t="s">
        <v>300</v>
      </c>
      <c r="AY38" s="15" t="s">
        <v>181</v>
      </c>
      <c r="AZ38" s="15" t="s">
        <v>175</v>
      </c>
      <c r="BA38" s="22" t="s">
        <v>183</v>
      </c>
      <c r="BB38" s="15">
        <v>35</v>
      </c>
      <c r="BC38" s="15">
        <v>0.89</v>
      </c>
      <c r="BD38" s="15">
        <v>0.89</v>
      </c>
      <c r="BE38" s="15">
        <v>1.78</v>
      </c>
      <c r="BF38" s="74">
        <f>_xlfn.CEILING.MATH((2*BC38*BD38/(BC38+BD38)),0.001)</f>
        <v>0.89</v>
      </c>
      <c r="BG38" s="74">
        <v>350</v>
      </c>
      <c r="BH38" s="74">
        <f>BB38*BG38*0.5*0.6</f>
        <v>3675</v>
      </c>
      <c r="BI38" s="16"/>
      <c r="BJ38" s="74">
        <f>_xlfn.CEILING.MATH(0.005*(BH38^(1/3))*((0.85+1.7*BF38)^(5/3))*(850*0.63/920),0.0001)</f>
        <v>0.1883</v>
      </c>
      <c r="BK38" s="74"/>
      <c r="BL38" s="74">
        <f>_xlfn.CEILING.MATH(BJ38*3600*1.25/0.85,5)</f>
        <v>1000</v>
      </c>
      <c r="BW38" s="176"/>
      <c r="BX38" s="176"/>
      <c r="BY38" s="176"/>
      <c r="BZ38" s="176"/>
      <c r="CA38" s="176"/>
      <c r="CB38" s="76"/>
      <c r="CC38" s="76"/>
    </row>
    <row r="39" spans="1:81" ht="9.9499999999999993" customHeight="1" x14ac:dyDescent="0.2">
      <c r="A39" s="114">
        <v>107</v>
      </c>
      <c r="B39" s="162" t="s">
        <v>321</v>
      </c>
      <c r="C39" s="114"/>
      <c r="D39" s="145">
        <v>3.5</v>
      </c>
      <c r="E39" s="145">
        <v>46.26</v>
      </c>
      <c r="F39" s="147">
        <f>ROUND(D39*E39,2)</f>
        <v>161.91</v>
      </c>
      <c r="G39" s="149" t="s">
        <v>131</v>
      </c>
      <c r="H39" s="149" t="s">
        <v>131</v>
      </c>
      <c r="I39" s="151">
        <f t="shared" si="8"/>
        <v>620</v>
      </c>
      <c r="J39" s="151" t="s">
        <v>9</v>
      </c>
      <c r="K39" s="151">
        <f t="shared" ref="K39" si="10">I39</f>
        <v>620</v>
      </c>
      <c r="L39" s="151">
        <f>K39</f>
        <v>620</v>
      </c>
      <c r="M39" s="147">
        <f t="shared" ref="M39" si="11">ROUNDUP(I39/F39,2)</f>
        <v>3.8299999999999996</v>
      </c>
      <c r="N39" s="147">
        <f t="shared" ref="N39" si="12">ROUNDUP(L39/F39,2)</f>
        <v>3.8299999999999996</v>
      </c>
      <c r="O39" s="114" t="str">
        <f>O36</f>
        <v>П4</v>
      </c>
      <c r="P39" s="164" t="s">
        <v>384</v>
      </c>
      <c r="Q39" s="114" t="s">
        <v>370</v>
      </c>
      <c r="T39" s="6">
        <v>14</v>
      </c>
      <c r="U39" s="61" t="s">
        <v>23</v>
      </c>
      <c r="V39" s="6">
        <v>1</v>
      </c>
      <c r="W39" s="6" t="s">
        <v>16</v>
      </c>
      <c r="X39" s="6" t="s">
        <v>239</v>
      </c>
      <c r="Y39" s="6" t="s">
        <v>230</v>
      </c>
      <c r="Z39" s="6">
        <f>L149</f>
        <v>275</v>
      </c>
      <c r="AA39" s="6">
        <v>100</v>
      </c>
      <c r="AB39" s="6">
        <v>200</v>
      </c>
      <c r="AC39" s="6">
        <v>0.06</v>
      </c>
      <c r="AD39" s="6">
        <v>220</v>
      </c>
      <c r="AE39" s="6">
        <v>2450</v>
      </c>
      <c r="AF39" s="32" t="s">
        <v>9</v>
      </c>
      <c r="AG39" s="32" t="s">
        <v>9</v>
      </c>
      <c r="AH39" s="32" t="s">
        <v>9</v>
      </c>
      <c r="AI39" s="32" t="s">
        <v>9</v>
      </c>
      <c r="AJ39" s="32" t="s">
        <v>9</v>
      </c>
      <c r="AK39" s="32" t="s">
        <v>9</v>
      </c>
      <c r="AL39" s="32" t="s">
        <v>9</v>
      </c>
      <c r="AM39" s="6" t="s">
        <v>243</v>
      </c>
      <c r="AN39" s="6">
        <v>2</v>
      </c>
      <c r="AO39" s="6" t="s">
        <v>238</v>
      </c>
      <c r="AP39" s="6" t="s">
        <v>237</v>
      </c>
      <c r="AQ39" s="6">
        <v>1</v>
      </c>
      <c r="AR39" s="6">
        <v>5</v>
      </c>
      <c r="AS39" s="32" t="s">
        <v>9</v>
      </c>
      <c r="AT39" s="32" t="s">
        <v>9</v>
      </c>
      <c r="AU39" s="32" t="s">
        <v>9</v>
      </c>
      <c r="AV39" s="25" t="s">
        <v>9</v>
      </c>
      <c r="AW39" s="15"/>
      <c r="AX39" s="15" t="s">
        <v>298</v>
      </c>
      <c r="AY39" s="15" t="s">
        <v>165</v>
      </c>
      <c r="AZ39" s="15" t="s">
        <v>299</v>
      </c>
      <c r="BA39" s="22" t="s">
        <v>184</v>
      </c>
      <c r="BB39" s="77">
        <v>0</v>
      </c>
      <c r="BC39" s="78">
        <v>1.5</v>
      </c>
      <c r="BD39" s="77">
        <v>0.8</v>
      </c>
      <c r="BE39" s="77">
        <v>0.87</v>
      </c>
      <c r="BF39" s="74">
        <f>_xlfn.CEILING.MATH((2*BC39*BD39/(BC39+BD39)),0.001)</f>
        <v>1.044</v>
      </c>
      <c r="BG39" s="77"/>
      <c r="BH39" s="77"/>
      <c r="BI39" s="77"/>
      <c r="BJ39" s="79">
        <f>1.5*0.8*0.2</f>
        <v>0.24000000000000005</v>
      </c>
      <c r="BK39" s="77"/>
      <c r="BL39" s="74">
        <f>_xlfn.CEILING.MATH(BJ39*3600,5)</f>
        <v>865</v>
      </c>
      <c r="BW39" s="176"/>
      <c r="BX39" s="176"/>
      <c r="BY39" s="176"/>
      <c r="BZ39" s="176"/>
      <c r="CA39" s="176"/>
      <c r="CB39" s="76"/>
      <c r="CC39" s="76"/>
    </row>
    <row r="40" spans="1:81" ht="9.9499999999999993" customHeight="1" x14ac:dyDescent="0.2">
      <c r="A40" s="115"/>
      <c r="B40" s="163"/>
      <c r="C40" s="115"/>
      <c r="D40" s="146"/>
      <c r="E40" s="146"/>
      <c r="F40" s="148"/>
      <c r="G40" s="150"/>
      <c r="H40" s="150"/>
      <c r="I40" s="152"/>
      <c r="J40" s="152"/>
      <c r="K40" s="152"/>
      <c r="L40" s="152"/>
      <c r="M40" s="148"/>
      <c r="N40" s="148"/>
      <c r="O40" s="115"/>
      <c r="P40" s="165"/>
      <c r="Q40" s="115"/>
      <c r="T40" s="81"/>
      <c r="U40" s="81"/>
      <c r="V40" s="6">
        <v>1</v>
      </c>
      <c r="W40" s="6" t="s">
        <v>16</v>
      </c>
      <c r="X40" s="6" t="s">
        <v>239</v>
      </c>
      <c r="Y40" s="6" t="s">
        <v>230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25" t="s">
        <v>9</v>
      </c>
      <c r="AW40" s="15"/>
      <c r="AX40" s="15"/>
      <c r="AY40" s="15"/>
      <c r="AZ40" s="80"/>
      <c r="BA40" s="80"/>
      <c r="BB40" s="15"/>
      <c r="BC40" s="15"/>
      <c r="BD40" s="15"/>
      <c r="BE40" s="15"/>
      <c r="BF40" s="74"/>
      <c r="BG40" s="74"/>
      <c r="BH40" s="74"/>
      <c r="BI40" s="16"/>
      <c r="BJ40" s="74"/>
      <c r="BK40" s="74"/>
      <c r="BL40" s="74"/>
      <c r="BW40" s="176"/>
      <c r="BX40" s="176"/>
      <c r="BY40" s="176"/>
      <c r="BZ40" s="176"/>
      <c r="CA40" s="176"/>
      <c r="CB40" s="76"/>
      <c r="CC40" s="76"/>
    </row>
    <row r="41" spans="1:81" ht="9.9499999999999993" customHeight="1" x14ac:dyDescent="0.2">
      <c r="A41" s="101">
        <v>108</v>
      </c>
      <c r="B41" s="93" t="s">
        <v>322</v>
      </c>
      <c r="C41" s="101"/>
      <c r="D41" s="105">
        <v>3.5</v>
      </c>
      <c r="E41" s="105">
        <v>47.73</v>
      </c>
      <c r="F41" s="110">
        <f t="shared" ref="F41:F55" si="13">ROUND(D41*E41,2)</f>
        <v>167.06</v>
      </c>
      <c r="G41" s="111" t="s">
        <v>131</v>
      </c>
      <c r="H41" s="111" t="s">
        <v>131</v>
      </c>
      <c r="I41" s="104">
        <f t="shared" si="8"/>
        <v>620</v>
      </c>
      <c r="J41" s="104" t="s">
        <v>9</v>
      </c>
      <c r="K41" s="104" t="s">
        <v>9</v>
      </c>
      <c r="L41" s="104" t="str">
        <f>K41</f>
        <v>-</v>
      </c>
      <c r="M41" s="110" t="s">
        <v>9</v>
      </c>
      <c r="N41" s="110" t="s">
        <v>9</v>
      </c>
      <c r="O41" s="101" t="str">
        <f>O36</f>
        <v>П4</v>
      </c>
      <c r="P41" s="6" t="s">
        <v>9</v>
      </c>
      <c r="Q41" s="4" t="s">
        <v>370</v>
      </c>
      <c r="T41" s="6">
        <v>17</v>
      </c>
      <c r="U41" s="62" t="s">
        <v>29</v>
      </c>
      <c r="V41" s="6">
        <v>1</v>
      </c>
      <c r="W41" s="6" t="s">
        <v>13</v>
      </c>
      <c r="X41" s="6" t="s">
        <v>239</v>
      </c>
      <c r="Y41" s="6" t="s">
        <v>230</v>
      </c>
      <c r="Z41" s="6" t="e">
        <f>L7+L8</f>
        <v>#VALUE!</v>
      </c>
      <c r="AA41" s="6">
        <v>150</v>
      </c>
      <c r="AB41" s="6">
        <v>200</v>
      </c>
      <c r="AC41" s="6">
        <v>0.06</v>
      </c>
      <c r="AD41" s="6">
        <v>220</v>
      </c>
      <c r="AE41" s="6">
        <v>2450</v>
      </c>
      <c r="AF41" s="32" t="s">
        <v>9</v>
      </c>
      <c r="AG41" s="32" t="s">
        <v>9</v>
      </c>
      <c r="AH41" s="32" t="s">
        <v>9</v>
      </c>
      <c r="AI41" s="32" t="s">
        <v>9</v>
      </c>
      <c r="AJ41" s="32" t="s">
        <v>9</v>
      </c>
      <c r="AK41" s="32" t="s">
        <v>9</v>
      </c>
      <c r="AL41" s="32" t="s">
        <v>9</v>
      </c>
      <c r="AM41" s="6" t="s">
        <v>243</v>
      </c>
      <c r="AN41" s="6">
        <v>2</v>
      </c>
      <c r="AO41" s="6" t="s">
        <v>238</v>
      </c>
      <c r="AP41" s="6" t="s">
        <v>237</v>
      </c>
      <c r="AQ41" s="6">
        <v>1</v>
      </c>
      <c r="AR41" s="6">
        <v>5</v>
      </c>
      <c r="AS41" s="32" t="s">
        <v>9</v>
      </c>
      <c r="AT41" s="32" t="s">
        <v>9</v>
      </c>
      <c r="AU41" s="32" t="s">
        <v>9</v>
      </c>
      <c r="AW41" s="15"/>
      <c r="AX41" s="15"/>
      <c r="AY41" s="15"/>
      <c r="AZ41" s="80"/>
      <c r="BA41" s="80"/>
      <c r="BB41" s="15"/>
      <c r="BC41" s="15"/>
      <c r="BD41" s="15"/>
      <c r="BE41" s="15"/>
      <c r="BF41" s="74"/>
      <c r="BG41" s="74"/>
      <c r="BH41" s="74"/>
      <c r="BI41" s="16"/>
      <c r="BJ41" s="74"/>
      <c r="BK41" s="74"/>
      <c r="BL41" s="74"/>
      <c r="BW41" s="176"/>
      <c r="BX41" s="176"/>
      <c r="BY41" s="176"/>
      <c r="BZ41" s="176"/>
      <c r="CA41" s="176"/>
      <c r="CB41" s="76"/>
      <c r="CC41" s="76"/>
    </row>
    <row r="42" spans="1:81" ht="9.9499999999999993" customHeight="1" x14ac:dyDescent="0.2">
      <c r="A42" s="101">
        <v>109</v>
      </c>
      <c r="B42" s="93" t="s">
        <v>10</v>
      </c>
      <c r="C42" s="101"/>
      <c r="D42" s="105">
        <v>3.5</v>
      </c>
      <c r="E42" s="105">
        <v>40.81</v>
      </c>
      <c r="F42" s="110">
        <f t="shared" si="13"/>
        <v>142.84</v>
      </c>
      <c r="G42" s="101" t="s">
        <v>9</v>
      </c>
      <c r="H42" s="101" t="s">
        <v>9</v>
      </c>
      <c r="I42" s="104">
        <v>740</v>
      </c>
      <c r="J42" s="104" t="s">
        <v>9</v>
      </c>
      <c r="K42" s="104" t="s">
        <v>9</v>
      </c>
      <c r="L42" s="104" t="s">
        <v>9</v>
      </c>
      <c r="M42" s="110" t="s">
        <v>9</v>
      </c>
      <c r="N42" s="110" t="s">
        <v>9</v>
      </c>
      <c r="O42" s="101" t="str">
        <f>O36</f>
        <v>П4</v>
      </c>
      <c r="P42" s="101" t="s">
        <v>9</v>
      </c>
      <c r="Q42" s="4" t="s">
        <v>365</v>
      </c>
      <c r="T42" s="6">
        <v>17</v>
      </c>
      <c r="U42" s="63" t="s">
        <v>83</v>
      </c>
      <c r="V42" s="6">
        <v>1</v>
      </c>
      <c r="W42" s="6" t="s">
        <v>13</v>
      </c>
      <c r="X42" s="6" t="s">
        <v>239</v>
      </c>
      <c r="Y42" s="6" t="s">
        <v>230</v>
      </c>
      <c r="Z42" s="6" t="e">
        <f>L62+L135+L186</f>
        <v>#VALUE!</v>
      </c>
      <c r="AA42" s="6">
        <v>100</v>
      </c>
      <c r="AB42" s="6">
        <v>200</v>
      </c>
      <c r="AC42" s="6">
        <v>0.06</v>
      </c>
      <c r="AD42" s="6">
        <v>220</v>
      </c>
      <c r="AE42" s="6">
        <v>2450</v>
      </c>
      <c r="AF42" s="32" t="s">
        <v>9</v>
      </c>
      <c r="AG42" s="32" t="s">
        <v>9</v>
      </c>
      <c r="AH42" s="32" t="s">
        <v>9</v>
      </c>
      <c r="AI42" s="32" t="s">
        <v>9</v>
      </c>
      <c r="AJ42" s="32" t="s">
        <v>9</v>
      </c>
      <c r="AK42" s="32" t="s">
        <v>9</v>
      </c>
      <c r="AL42" s="32" t="s">
        <v>9</v>
      </c>
      <c r="AM42" s="6" t="s">
        <v>243</v>
      </c>
      <c r="AN42" s="6">
        <v>2</v>
      </c>
      <c r="AO42" s="6" t="s">
        <v>240</v>
      </c>
      <c r="AP42" s="6" t="s">
        <v>237</v>
      </c>
      <c r="AQ42" s="6">
        <v>1</v>
      </c>
      <c r="AR42" s="6">
        <v>10</v>
      </c>
      <c r="AS42" s="32" t="s">
        <v>9</v>
      </c>
      <c r="AT42" s="32" t="s">
        <v>9</v>
      </c>
      <c r="AU42" s="32" t="s">
        <v>9</v>
      </c>
      <c r="AW42" s="15"/>
      <c r="AX42" s="15"/>
      <c r="AY42" s="15"/>
      <c r="AZ42" s="15"/>
      <c r="BA42" s="22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W42" s="176"/>
      <c r="BX42" s="176"/>
      <c r="BY42" s="176"/>
      <c r="BZ42" s="176"/>
      <c r="CA42" s="176"/>
      <c r="CB42" s="76"/>
      <c r="CC42" s="76"/>
    </row>
    <row r="43" spans="1:81" ht="9.9499999999999993" customHeight="1" x14ac:dyDescent="0.2">
      <c r="A43" s="101">
        <v>110</v>
      </c>
      <c r="B43" s="93" t="s">
        <v>125</v>
      </c>
      <c r="C43" s="101"/>
      <c r="D43" s="105">
        <v>3.5</v>
      </c>
      <c r="E43" s="105">
        <v>3.03</v>
      </c>
      <c r="F43" s="110">
        <f t="shared" si="13"/>
        <v>10.61</v>
      </c>
      <c r="G43" s="8" t="s">
        <v>9</v>
      </c>
      <c r="H43" s="8">
        <v>75</v>
      </c>
      <c r="I43" s="104" t="s">
        <v>9</v>
      </c>
      <c r="J43" s="104" t="s">
        <v>9</v>
      </c>
      <c r="K43" s="104">
        <v>75</v>
      </c>
      <c r="L43" s="104">
        <v>75</v>
      </c>
      <c r="M43" s="110" t="s">
        <v>9</v>
      </c>
      <c r="N43" s="110">
        <v>7.5</v>
      </c>
      <c r="O43" s="101" t="s">
        <v>9</v>
      </c>
      <c r="P43" s="6" t="s">
        <v>27</v>
      </c>
      <c r="Q43" s="8" t="s">
        <v>364</v>
      </c>
      <c r="T43" s="6">
        <v>18</v>
      </c>
      <c r="U43" s="64" t="s">
        <v>84</v>
      </c>
      <c r="V43" s="6">
        <v>1</v>
      </c>
      <c r="W43" s="6" t="s">
        <v>13</v>
      </c>
      <c r="X43" s="6" t="s">
        <v>239</v>
      </c>
      <c r="Y43" s="6" t="s">
        <v>230</v>
      </c>
      <c r="Z43" s="6">
        <f>L65</f>
        <v>120</v>
      </c>
      <c r="AA43" s="6">
        <v>100</v>
      </c>
      <c r="AB43" s="6">
        <v>200</v>
      </c>
      <c r="AC43" s="6">
        <v>0.06</v>
      </c>
      <c r="AD43" s="6">
        <v>220</v>
      </c>
      <c r="AE43" s="6">
        <v>2450</v>
      </c>
      <c r="AF43" s="32" t="s">
        <v>9</v>
      </c>
      <c r="AG43" s="32" t="s">
        <v>9</v>
      </c>
      <c r="AH43" s="32" t="s">
        <v>9</v>
      </c>
      <c r="AI43" s="32" t="s">
        <v>9</v>
      </c>
      <c r="AJ43" s="32" t="s">
        <v>9</v>
      </c>
      <c r="AK43" s="32" t="s">
        <v>9</v>
      </c>
      <c r="AL43" s="32" t="s">
        <v>9</v>
      </c>
      <c r="AM43" s="6" t="s">
        <v>243</v>
      </c>
      <c r="AN43" s="6">
        <v>2</v>
      </c>
      <c r="AO43" s="6" t="s">
        <v>238</v>
      </c>
      <c r="AP43" s="6" t="s">
        <v>237</v>
      </c>
      <c r="AQ43" s="6">
        <v>1</v>
      </c>
      <c r="AR43" s="6">
        <v>5</v>
      </c>
      <c r="AS43" s="32" t="s">
        <v>9</v>
      </c>
      <c r="AT43" s="32" t="s">
        <v>9</v>
      </c>
      <c r="AU43" s="32" t="s">
        <v>9</v>
      </c>
      <c r="AW43" s="21"/>
      <c r="AX43" s="15"/>
      <c r="AY43" s="15"/>
      <c r="AZ43" s="15"/>
      <c r="BA43" s="22"/>
      <c r="BB43" s="77"/>
      <c r="BC43" s="78"/>
      <c r="BD43" s="77"/>
      <c r="BE43" s="77"/>
      <c r="BF43" s="74"/>
      <c r="BG43" s="77"/>
      <c r="BH43" s="77"/>
      <c r="BI43" s="77"/>
      <c r="BJ43" s="79"/>
      <c r="BK43" s="77"/>
      <c r="BL43" s="74"/>
      <c r="BW43" s="176"/>
      <c r="BX43" s="176"/>
      <c r="BY43" s="176"/>
      <c r="BZ43" s="176"/>
      <c r="CA43" s="176"/>
      <c r="CB43" s="76"/>
      <c r="CC43" s="76"/>
    </row>
    <row r="44" spans="1:81" ht="9.9499999999999993" customHeight="1" x14ac:dyDescent="0.2">
      <c r="A44" s="101">
        <v>112</v>
      </c>
      <c r="B44" s="93" t="s">
        <v>323</v>
      </c>
      <c r="C44" s="101"/>
      <c r="D44" s="105">
        <v>3.5</v>
      </c>
      <c r="E44" s="105">
        <v>13.58</v>
      </c>
      <c r="F44" s="110">
        <f t="shared" si="13"/>
        <v>47.53</v>
      </c>
      <c r="G44" s="8" t="s">
        <v>9</v>
      </c>
      <c r="H44" s="8">
        <v>150</v>
      </c>
      <c r="I44" s="104" t="s">
        <v>9</v>
      </c>
      <c r="J44" s="104" t="s">
        <v>9</v>
      </c>
      <c r="K44" s="104">
        <v>150</v>
      </c>
      <c r="L44" s="104">
        <v>150</v>
      </c>
      <c r="M44" s="110" t="s">
        <v>9</v>
      </c>
      <c r="N44" s="110">
        <f>ROUNDUP(L44/F44,2)</f>
        <v>3.1599999999999997</v>
      </c>
      <c r="O44" s="101" t="s">
        <v>9</v>
      </c>
      <c r="P44" s="101" t="str">
        <f>P43</f>
        <v>В8</v>
      </c>
      <c r="Q44" s="8" t="s">
        <v>364</v>
      </c>
      <c r="T44" s="6">
        <v>19</v>
      </c>
      <c r="U44" s="65" t="s">
        <v>85</v>
      </c>
      <c r="V44" s="6">
        <v>1</v>
      </c>
      <c r="W44" s="6" t="s">
        <v>13</v>
      </c>
      <c r="X44" s="6" t="s">
        <v>239</v>
      </c>
      <c r="Y44" s="6" t="s">
        <v>230</v>
      </c>
      <c r="Z44" s="6">
        <f>L146</f>
        <v>620</v>
      </c>
      <c r="AA44" s="6">
        <v>100</v>
      </c>
      <c r="AB44" s="6">
        <v>200</v>
      </c>
      <c r="AC44" s="6">
        <v>0.06</v>
      </c>
      <c r="AD44" s="6">
        <v>220</v>
      </c>
      <c r="AE44" s="6">
        <v>2450</v>
      </c>
      <c r="AF44" s="32" t="s">
        <v>9</v>
      </c>
      <c r="AG44" s="32" t="s">
        <v>9</v>
      </c>
      <c r="AH44" s="32" t="s">
        <v>9</v>
      </c>
      <c r="AI44" s="32" t="s">
        <v>9</v>
      </c>
      <c r="AJ44" s="32" t="s">
        <v>9</v>
      </c>
      <c r="AK44" s="32" t="s">
        <v>9</v>
      </c>
      <c r="AL44" s="32" t="s">
        <v>9</v>
      </c>
      <c r="AM44" s="6" t="s">
        <v>243</v>
      </c>
      <c r="AN44" s="6">
        <v>2</v>
      </c>
      <c r="AO44" s="6" t="s">
        <v>238</v>
      </c>
      <c r="AP44" s="6" t="s">
        <v>237</v>
      </c>
      <c r="AQ44" s="6">
        <v>1</v>
      </c>
      <c r="AR44" s="6">
        <v>5</v>
      </c>
      <c r="AS44" s="32" t="s">
        <v>9</v>
      </c>
      <c r="AT44" s="32" t="s">
        <v>9</v>
      </c>
      <c r="AU44" s="32" t="s">
        <v>9</v>
      </c>
      <c r="AW44" s="15"/>
      <c r="AX44" s="15"/>
      <c r="AY44" s="15"/>
      <c r="AZ44" s="15"/>
      <c r="BA44" s="22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W44" s="176"/>
      <c r="BX44" s="176"/>
      <c r="BY44" s="176"/>
      <c r="BZ44" s="176"/>
      <c r="CA44" s="176"/>
      <c r="CB44" s="76"/>
      <c r="CC44" s="76"/>
    </row>
    <row r="45" spans="1:81" ht="9.9499999999999993" customHeight="1" x14ac:dyDescent="0.2">
      <c r="A45" s="101">
        <v>113</v>
      </c>
      <c r="B45" s="93" t="s">
        <v>324</v>
      </c>
      <c r="C45" s="101"/>
      <c r="D45" s="105">
        <v>3.5</v>
      </c>
      <c r="E45" s="105">
        <v>13.88</v>
      </c>
      <c r="F45" s="110">
        <f t="shared" si="13"/>
        <v>48.58</v>
      </c>
      <c r="G45" s="8" t="s">
        <v>9</v>
      </c>
      <c r="H45" s="8">
        <v>200</v>
      </c>
      <c r="I45" s="104" t="s">
        <v>9</v>
      </c>
      <c r="J45" s="104" t="s">
        <v>9</v>
      </c>
      <c r="K45" s="104">
        <v>200</v>
      </c>
      <c r="L45" s="104">
        <v>200</v>
      </c>
      <c r="M45" s="112" t="s">
        <v>9</v>
      </c>
      <c r="N45" s="110">
        <v>4.3</v>
      </c>
      <c r="O45" s="101" t="s">
        <v>9</v>
      </c>
      <c r="P45" s="101" t="str">
        <f>P43</f>
        <v>В8</v>
      </c>
      <c r="Q45" s="8" t="s">
        <v>364</v>
      </c>
      <c r="T45" s="81"/>
      <c r="U45" s="81"/>
      <c r="V45" s="6">
        <v>1</v>
      </c>
      <c r="W45" s="6" t="s">
        <v>79</v>
      </c>
      <c r="X45" s="6" t="s">
        <v>239</v>
      </c>
      <c r="Y45" s="6" t="s">
        <v>230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W45" s="15">
        <v>9</v>
      </c>
      <c r="AX45" s="15" t="s">
        <v>303</v>
      </c>
      <c r="AY45" s="15" t="s">
        <v>165</v>
      </c>
      <c r="AZ45" s="15" t="s">
        <v>304</v>
      </c>
      <c r="BA45" s="22" t="s">
        <v>179</v>
      </c>
      <c r="BB45" s="77">
        <v>0</v>
      </c>
      <c r="BC45" s="78">
        <v>1.34</v>
      </c>
      <c r="BD45" s="77">
        <v>0.7</v>
      </c>
      <c r="BE45" s="77">
        <v>0.87</v>
      </c>
      <c r="BF45" s="74">
        <f>_xlfn.CEILING.MATH((2*BC45*BD45/(BC45+BD45)),0.001)</f>
        <v>0.92</v>
      </c>
      <c r="BG45" s="77"/>
      <c r="BH45" s="77"/>
      <c r="BI45" s="77"/>
      <c r="BJ45" s="79">
        <f>1.2*0.8*0.2</f>
        <v>0.192</v>
      </c>
      <c r="BK45" s="77"/>
      <c r="BL45" s="74">
        <f>_xlfn.CEILING.MATH(BJ45*3600,5)</f>
        <v>695</v>
      </c>
      <c r="BW45" s="176"/>
      <c r="BX45" s="176"/>
      <c r="BY45" s="176"/>
      <c r="BZ45" s="176"/>
      <c r="CA45" s="176"/>
      <c r="CB45" s="76"/>
      <c r="CC45" s="76"/>
    </row>
    <row r="46" spans="1:81" s="3" customFormat="1" ht="9.9499999999999993" customHeight="1" thickBot="1" x14ac:dyDescent="0.25">
      <c r="A46" s="101">
        <v>114</v>
      </c>
      <c r="B46" s="93" t="s">
        <v>103</v>
      </c>
      <c r="C46" s="101"/>
      <c r="D46" s="105">
        <v>3.5</v>
      </c>
      <c r="E46" s="105">
        <v>25.65</v>
      </c>
      <c r="F46" s="110">
        <f t="shared" si="13"/>
        <v>89.78</v>
      </c>
      <c r="G46" s="91" t="s">
        <v>9</v>
      </c>
      <c r="H46" s="8" t="s">
        <v>9</v>
      </c>
      <c r="I46" s="104" t="s">
        <v>9</v>
      </c>
      <c r="J46" s="104" t="s">
        <v>9</v>
      </c>
      <c r="K46" s="104" t="s">
        <v>9</v>
      </c>
      <c r="L46" s="104" t="s">
        <v>9</v>
      </c>
      <c r="M46" s="110" t="s">
        <v>9</v>
      </c>
      <c r="N46" s="110" t="s">
        <v>9</v>
      </c>
      <c r="O46" s="104" t="s">
        <v>9</v>
      </c>
      <c r="P46" s="101" t="s">
        <v>9</v>
      </c>
      <c r="Q46" s="4" t="s">
        <v>9</v>
      </c>
      <c r="T46" s="6">
        <v>21</v>
      </c>
      <c r="U46" s="66" t="s">
        <v>87</v>
      </c>
      <c r="V46" s="6">
        <v>1</v>
      </c>
      <c r="W46" s="6" t="s">
        <v>80</v>
      </c>
      <c r="X46" s="6" t="s">
        <v>239</v>
      </c>
      <c r="Y46" s="6" t="s">
        <v>230</v>
      </c>
      <c r="Z46" s="6" t="str">
        <f>L14</f>
        <v>-</v>
      </c>
      <c r="AA46" s="6">
        <v>185</v>
      </c>
      <c r="AB46" s="6">
        <v>200</v>
      </c>
      <c r="AC46" s="6">
        <v>0.06</v>
      </c>
      <c r="AD46" s="6">
        <v>220</v>
      </c>
      <c r="AE46" s="6">
        <v>2450</v>
      </c>
      <c r="AF46" s="32" t="s">
        <v>9</v>
      </c>
      <c r="AG46" s="32" t="s">
        <v>9</v>
      </c>
      <c r="AH46" s="32" t="s">
        <v>9</v>
      </c>
      <c r="AI46" s="32" t="s">
        <v>9</v>
      </c>
      <c r="AJ46" s="32" t="s">
        <v>9</v>
      </c>
      <c r="AK46" s="32" t="s">
        <v>9</v>
      </c>
      <c r="AL46" s="32" t="s">
        <v>9</v>
      </c>
      <c r="AM46" s="6" t="s">
        <v>243</v>
      </c>
      <c r="AN46" s="6">
        <v>2</v>
      </c>
      <c r="AO46" s="6" t="s">
        <v>238</v>
      </c>
      <c r="AP46" s="6" t="s">
        <v>237</v>
      </c>
      <c r="AQ46" s="6">
        <v>1</v>
      </c>
      <c r="AR46" s="6">
        <v>5</v>
      </c>
      <c r="AS46" s="32" t="s">
        <v>9</v>
      </c>
      <c r="AT46" s="32" t="s">
        <v>9</v>
      </c>
      <c r="AU46" s="32" t="s">
        <v>9</v>
      </c>
      <c r="BW46" s="176"/>
      <c r="BX46" s="176"/>
      <c r="BY46" s="176"/>
      <c r="BZ46" s="176"/>
      <c r="CA46" s="176"/>
      <c r="CB46" s="76"/>
      <c r="CC46" s="76"/>
    </row>
    <row r="47" spans="1:81" ht="9.9499999999999993" customHeight="1" thickTop="1" x14ac:dyDescent="0.2">
      <c r="A47" s="101">
        <v>115</v>
      </c>
      <c r="B47" s="93" t="s">
        <v>117</v>
      </c>
      <c r="C47" s="8"/>
      <c r="D47" s="105">
        <v>3.5</v>
      </c>
      <c r="E47" s="104">
        <v>47.04</v>
      </c>
      <c r="F47" s="110">
        <f t="shared" si="13"/>
        <v>164.64</v>
      </c>
      <c r="G47" s="103" t="s">
        <v>9</v>
      </c>
      <c r="H47" s="103">
        <v>2</v>
      </c>
      <c r="I47" s="104" t="s">
        <v>9</v>
      </c>
      <c r="J47" s="104" t="s">
        <v>9</v>
      </c>
      <c r="K47" s="104">
        <f>H47*F47</f>
        <v>329.28</v>
      </c>
      <c r="L47" s="104">
        <v>330</v>
      </c>
      <c r="M47" s="110" t="s">
        <v>9</v>
      </c>
      <c r="N47" s="110">
        <v>2.0099999999999998</v>
      </c>
      <c r="O47" s="101" t="s">
        <v>9</v>
      </c>
      <c r="P47" s="104" t="s">
        <v>385</v>
      </c>
      <c r="Q47" s="4"/>
      <c r="T47" s="6">
        <v>23</v>
      </c>
      <c r="U47" s="67" t="s">
        <v>88</v>
      </c>
      <c r="V47" s="6">
        <v>1</v>
      </c>
      <c r="W47" s="6" t="s">
        <v>80</v>
      </c>
      <c r="X47" s="6" t="s">
        <v>239</v>
      </c>
      <c r="Y47" s="6" t="s">
        <v>230</v>
      </c>
      <c r="Z47" s="6" t="e">
        <f>L46+L47+L61+L132+L133+L134+L184</f>
        <v>#VALUE!</v>
      </c>
      <c r="AA47" s="6">
        <v>250</v>
      </c>
      <c r="AB47" s="6">
        <f>AA47+AO47+AR47</f>
        <v>273</v>
      </c>
      <c r="AC47" s="6">
        <v>0.29499999999999998</v>
      </c>
      <c r="AD47" s="6">
        <v>220</v>
      </c>
      <c r="AE47" s="6">
        <v>2500</v>
      </c>
      <c r="AF47" s="32" t="s">
        <v>9</v>
      </c>
      <c r="AG47" s="32" t="s">
        <v>9</v>
      </c>
      <c r="AH47" s="32" t="s">
        <v>9</v>
      </c>
      <c r="AI47" s="32" t="s">
        <v>9</v>
      </c>
      <c r="AJ47" s="32" t="s">
        <v>9</v>
      </c>
      <c r="AK47" s="32" t="s">
        <v>9</v>
      </c>
      <c r="AL47" s="32" t="s">
        <v>9</v>
      </c>
      <c r="AM47" s="6" t="s">
        <v>205</v>
      </c>
      <c r="AN47" s="6">
        <v>1</v>
      </c>
      <c r="AO47" s="6">
        <v>15</v>
      </c>
      <c r="AP47" s="6" t="s">
        <v>206</v>
      </c>
      <c r="AQ47" s="6">
        <v>1</v>
      </c>
      <c r="AR47" s="6">
        <v>8</v>
      </c>
      <c r="AS47" s="32" t="s">
        <v>9</v>
      </c>
      <c r="AT47" s="32" t="s">
        <v>9</v>
      </c>
      <c r="AU47" s="32" t="s">
        <v>9</v>
      </c>
      <c r="BW47" s="176"/>
      <c r="BX47" s="176"/>
      <c r="BY47" s="176"/>
      <c r="BZ47" s="176"/>
      <c r="CA47" s="176"/>
      <c r="CB47" s="76"/>
      <c r="CC47" s="76"/>
    </row>
    <row r="48" spans="1:81" ht="9.9499999999999993" customHeight="1" x14ac:dyDescent="0.2">
      <c r="A48" s="101">
        <v>116</v>
      </c>
      <c r="B48" s="93" t="s">
        <v>325</v>
      </c>
      <c r="C48" s="8"/>
      <c r="D48" s="105">
        <v>3.5</v>
      </c>
      <c r="E48" s="104">
        <v>35.01</v>
      </c>
      <c r="F48" s="110">
        <f t="shared" si="13"/>
        <v>122.54</v>
      </c>
      <c r="G48" s="111" t="s">
        <v>133</v>
      </c>
      <c r="H48" s="111" t="s">
        <v>133</v>
      </c>
      <c r="I48" s="104">
        <f>60*8</f>
        <v>480</v>
      </c>
      <c r="J48" s="104" t="s">
        <v>9</v>
      </c>
      <c r="K48" s="104">
        <f>I48</f>
        <v>480</v>
      </c>
      <c r="L48" s="104">
        <f t="shared" ref="L48" si="14">K48</f>
        <v>480</v>
      </c>
      <c r="M48" s="110">
        <f>ROUNDUP(I48/F48,2)</f>
        <v>3.92</v>
      </c>
      <c r="N48" s="110">
        <f t="shared" ref="N48" si="15">ROUNDUP(L48/F48,2)</f>
        <v>3.92</v>
      </c>
      <c r="O48" s="101" t="s">
        <v>30</v>
      </c>
      <c r="P48" s="6" t="s">
        <v>390</v>
      </c>
      <c r="Q48" s="4" t="s">
        <v>371</v>
      </c>
      <c r="T48" s="6">
        <v>22</v>
      </c>
      <c r="U48" s="68" t="s">
        <v>89</v>
      </c>
      <c r="V48" s="6">
        <v>1</v>
      </c>
      <c r="W48" s="6" t="s">
        <v>80</v>
      </c>
      <c r="X48" s="6" t="s">
        <v>239</v>
      </c>
      <c r="Y48" s="6" t="s">
        <v>230</v>
      </c>
      <c r="Z48" s="6" t="e">
        <f>L45+#REF!+L99+L100+L140+L141+#REF!+L185</f>
        <v>#REF!</v>
      </c>
      <c r="AA48" s="6">
        <v>650</v>
      </c>
      <c r="AB48" s="6">
        <f>AA48+AO48+AR48</f>
        <v>673</v>
      </c>
      <c r="AC48" s="6">
        <v>0.29499999999999998</v>
      </c>
      <c r="AD48" s="6">
        <v>220</v>
      </c>
      <c r="AE48" s="6">
        <v>2500</v>
      </c>
      <c r="AF48" s="32" t="s">
        <v>9</v>
      </c>
      <c r="AG48" s="32" t="s">
        <v>9</v>
      </c>
      <c r="AH48" s="32" t="s">
        <v>9</v>
      </c>
      <c r="AI48" s="32" t="s">
        <v>9</v>
      </c>
      <c r="AJ48" s="32" t="s">
        <v>9</v>
      </c>
      <c r="AK48" s="32" t="s">
        <v>9</v>
      </c>
      <c r="AL48" s="32" t="s">
        <v>9</v>
      </c>
      <c r="AM48" s="6" t="s">
        <v>205</v>
      </c>
      <c r="AN48" s="6">
        <v>1</v>
      </c>
      <c r="AO48" s="6">
        <v>15</v>
      </c>
      <c r="AP48" s="6" t="s">
        <v>206</v>
      </c>
      <c r="AQ48" s="6">
        <v>1</v>
      </c>
      <c r="AR48" s="6">
        <v>8</v>
      </c>
      <c r="AS48" s="32" t="s">
        <v>9</v>
      </c>
      <c r="AT48" s="32" t="s">
        <v>9</v>
      </c>
      <c r="AU48" s="32" t="s">
        <v>9</v>
      </c>
      <c r="BW48" s="176"/>
      <c r="BX48" s="176"/>
      <c r="BY48" s="176"/>
      <c r="BZ48" s="176"/>
      <c r="CA48" s="176"/>
      <c r="CB48" s="76"/>
      <c r="CC48" s="76"/>
    </row>
    <row r="49" spans="1:81" ht="9.9499999999999993" customHeight="1" x14ac:dyDescent="0.2">
      <c r="A49" s="101">
        <v>117</v>
      </c>
      <c r="B49" s="93" t="s">
        <v>118</v>
      </c>
      <c r="C49" s="8"/>
      <c r="D49" s="105">
        <v>3.5</v>
      </c>
      <c r="E49" s="104">
        <v>4.8600000000000003</v>
      </c>
      <c r="F49" s="110">
        <f t="shared" si="13"/>
        <v>17.010000000000002</v>
      </c>
      <c r="G49" s="8" t="s">
        <v>9</v>
      </c>
      <c r="H49" s="8">
        <v>2</v>
      </c>
      <c r="I49" s="8" t="s">
        <v>9</v>
      </c>
      <c r="J49" s="8" t="s">
        <v>9</v>
      </c>
      <c r="K49" s="8">
        <v>35</v>
      </c>
      <c r="L49" s="8">
        <v>35</v>
      </c>
      <c r="M49" s="8" t="s">
        <v>9</v>
      </c>
      <c r="N49" s="8">
        <v>2</v>
      </c>
      <c r="O49" s="8" t="s">
        <v>9</v>
      </c>
      <c r="P49" s="8" t="str">
        <f>P48</f>
        <v>ВЕ4</v>
      </c>
      <c r="Q49" s="4"/>
      <c r="T49" s="6">
        <v>24</v>
      </c>
      <c r="U49" s="69" t="s">
        <v>139</v>
      </c>
      <c r="V49" s="6">
        <v>1</v>
      </c>
      <c r="W49" s="6" t="s">
        <v>80</v>
      </c>
      <c r="X49" s="6" t="s">
        <v>239</v>
      </c>
      <c r="Y49" s="6" t="s">
        <v>230</v>
      </c>
      <c r="Z49" s="70" t="e">
        <f>#REF!+L94+L119+L120+L123+L138+L182+L183</f>
        <v>#REF!</v>
      </c>
      <c r="AA49" s="70">
        <v>400</v>
      </c>
      <c r="AB49" s="6">
        <v>200</v>
      </c>
      <c r="AC49" s="6">
        <v>0.157</v>
      </c>
      <c r="AD49" s="6">
        <v>220</v>
      </c>
      <c r="AE49" s="6">
        <v>2600</v>
      </c>
      <c r="AF49" s="32" t="s">
        <v>9</v>
      </c>
      <c r="AG49" s="32" t="s">
        <v>9</v>
      </c>
      <c r="AH49" s="32" t="s">
        <v>9</v>
      </c>
      <c r="AI49" s="32" t="s">
        <v>9</v>
      </c>
      <c r="AJ49" s="32" t="s">
        <v>9</v>
      </c>
      <c r="AK49" s="32" t="s">
        <v>9</v>
      </c>
      <c r="AL49" s="32" t="s">
        <v>9</v>
      </c>
      <c r="AM49" s="6" t="s">
        <v>241</v>
      </c>
      <c r="AN49" s="6">
        <v>2</v>
      </c>
      <c r="AO49" s="6" t="s">
        <v>233</v>
      </c>
      <c r="AP49" s="6" t="s">
        <v>242</v>
      </c>
      <c r="AQ49" s="6">
        <v>1</v>
      </c>
      <c r="AR49" s="6">
        <v>10</v>
      </c>
      <c r="AS49" s="32" t="s">
        <v>9</v>
      </c>
      <c r="AT49" s="32" t="s">
        <v>9</v>
      </c>
      <c r="AU49" s="32" t="s">
        <v>9</v>
      </c>
      <c r="BW49" s="176"/>
      <c r="BX49" s="176"/>
      <c r="BY49" s="176"/>
      <c r="BZ49" s="176"/>
      <c r="CA49" s="176"/>
      <c r="CB49" s="76"/>
      <c r="CC49" s="76"/>
    </row>
    <row r="50" spans="1:81" ht="9.9499999999999993" customHeight="1" x14ac:dyDescent="0.2">
      <c r="A50" s="101">
        <v>118</v>
      </c>
      <c r="B50" s="93" t="s">
        <v>16</v>
      </c>
      <c r="C50" s="8" t="s">
        <v>31</v>
      </c>
      <c r="D50" s="105">
        <v>3.5</v>
      </c>
      <c r="E50" s="104">
        <v>7.06</v>
      </c>
      <c r="F50" s="110">
        <f t="shared" si="13"/>
        <v>24.71</v>
      </c>
      <c r="G50" s="8" t="s">
        <v>9</v>
      </c>
      <c r="H50" s="101">
        <v>2</v>
      </c>
      <c r="I50" s="104" t="s">
        <v>9</v>
      </c>
      <c r="J50" s="104" t="s">
        <v>9</v>
      </c>
      <c r="K50" s="104">
        <f>_xlfn.CEILING.MATH(H50*F50,5)</f>
        <v>50</v>
      </c>
      <c r="L50" s="104">
        <f t="shared" ref="L50" si="16">K50</f>
        <v>50</v>
      </c>
      <c r="M50" s="110" t="s">
        <v>9</v>
      </c>
      <c r="N50" s="110">
        <f t="shared" ref="N50" si="17">ROUNDUP(L50/F50,2)</f>
        <v>2.0299999999999998</v>
      </c>
      <c r="O50" s="101" t="s">
        <v>9</v>
      </c>
      <c r="P50" s="101" t="s">
        <v>26</v>
      </c>
      <c r="Q50" s="4" t="s">
        <v>372</v>
      </c>
      <c r="T50" s="81"/>
      <c r="U50" s="82"/>
      <c r="V50" s="6">
        <v>1</v>
      </c>
      <c r="W50" s="70" t="s">
        <v>81</v>
      </c>
      <c r="X50" s="6" t="s">
        <v>239</v>
      </c>
      <c r="Y50" s="6" t="s">
        <v>230</v>
      </c>
      <c r="Z50" s="70"/>
      <c r="AA50" s="6"/>
      <c r="AB50" s="6"/>
      <c r="AC50" s="6"/>
      <c r="AD50" s="6"/>
      <c r="AE50" s="6"/>
      <c r="AF50" s="32"/>
      <c r="AG50" s="32"/>
      <c r="AH50" s="32"/>
      <c r="AI50" s="32"/>
      <c r="AJ50" s="32"/>
      <c r="AK50" s="32"/>
      <c r="AL50" s="32"/>
      <c r="AM50" s="6"/>
      <c r="AN50" s="6"/>
      <c r="AO50" s="6"/>
      <c r="AP50" s="6"/>
      <c r="AQ50" s="6"/>
      <c r="AR50" s="6"/>
      <c r="AS50" s="32"/>
      <c r="AT50" s="32"/>
      <c r="AU50" s="32"/>
      <c r="BW50" s="176"/>
      <c r="BX50" s="176"/>
      <c r="BY50" s="176"/>
      <c r="BZ50" s="176"/>
      <c r="CA50" s="176"/>
      <c r="CB50" s="76"/>
      <c r="CC50" s="76"/>
    </row>
    <row r="51" spans="1:81" ht="9.9499999999999993" customHeight="1" x14ac:dyDescent="0.2">
      <c r="A51" s="101">
        <v>119</v>
      </c>
      <c r="B51" s="93" t="s">
        <v>10</v>
      </c>
      <c r="C51" s="8"/>
      <c r="D51" s="105">
        <v>3.5</v>
      </c>
      <c r="E51" s="104">
        <v>101.34</v>
      </c>
      <c r="F51" s="110">
        <f t="shared" si="13"/>
        <v>354.69</v>
      </c>
      <c r="G51" s="8" t="s">
        <v>9</v>
      </c>
      <c r="H51" s="8" t="s">
        <v>9</v>
      </c>
      <c r="I51" s="8">
        <v>1200</v>
      </c>
      <c r="J51" s="8" t="s">
        <v>9</v>
      </c>
      <c r="K51" s="8" t="s">
        <v>9</v>
      </c>
      <c r="L51" s="8" t="s">
        <v>9</v>
      </c>
      <c r="M51" s="8" t="s">
        <v>9</v>
      </c>
      <c r="N51" s="8" t="s">
        <v>9</v>
      </c>
      <c r="O51" s="8" t="s">
        <v>48</v>
      </c>
      <c r="P51" s="8" t="s">
        <v>9</v>
      </c>
      <c r="Q51" s="4" t="s">
        <v>365</v>
      </c>
      <c r="T51" s="81"/>
      <c r="U51" s="82"/>
      <c r="V51" s="6">
        <v>1</v>
      </c>
      <c r="W51" s="70" t="s">
        <v>81</v>
      </c>
      <c r="X51" s="6" t="s">
        <v>239</v>
      </c>
      <c r="Y51" s="6" t="s">
        <v>230</v>
      </c>
      <c r="Z51" s="70"/>
      <c r="AA51" s="6"/>
      <c r="AB51" s="6"/>
      <c r="AC51" s="6"/>
      <c r="AD51" s="6"/>
      <c r="AE51" s="6"/>
      <c r="AF51" s="32"/>
      <c r="AG51" s="32"/>
      <c r="AH51" s="32"/>
      <c r="AI51" s="32"/>
      <c r="AJ51" s="32"/>
      <c r="AK51" s="32"/>
      <c r="AL51" s="32"/>
      <c r="AM51" s="6"/>
      <c r="AN51" s="6"/>
      <c r="AO51" s="6"/>
      <c r="AP51" s="6"/>
      <c r="AQ51" s="6"/>
      <c r="AR51" s="6"/>
      <c r="AS51" s="32"/>
      <c r="AT51" s="32"/>
      <c r="AU51" s="32"/>
      <c r="BW51" s="178"/>
      <c r="BX51" s="176"/>
      <c r="BY51" s="176"/>
      <c r="BZ51" s="76"/>
      <c r="CA51" s="176"/>
      <c r="CB51" s="76"/>
      <c r="CC51" s="76"/>
    </row>
    <row r="52" spans="1:81" ht="9.9499999999999993" customHeight="1" x14ac:dyDescent="0.2">
      <c r="A52" s="101">
        <v>120</v>
      </c>
      <c r="B52" s="93" t="s">
        <v>326</v>
      </c>
      <c r="C52" s="8"/>
      <c r="D52" s="105">
        <v>3.5</v>
      </c>
      <c r="E52" s="110">
        <v>74.099999999999994</v>
      </c>
      <c r="F52" s="110">
        <f t="shared" si="13"/>
        <v>259.35000000000002</v>
      </c>
      <c r="G52" s="103" t="s">
        <v>9</v>
      </c>
      <c r="H52" s="103">
        <v>2</v>
      </c>
      <c r="I52" s="104" t="s">
        <v>9</v>
      </c>
      <c r="J52" s="104" t="s">
        <v>9</v>
      </c>
      <c r="K52" s="104">
        <f>_xlfn.CEILING.MATH(H52*F52,5)</f>
        <v>520</v>
      </c>
      <c r="L52" s="104">
        <f t="shared" ref="L52" si="18">K52</f>
        <v>520</v>
      </c>
      <c r="M52" s="110" t="s">
        <v>9</v>
      </c>
      <c r="N52" s="110">
        <f t="shared" ref="N52" si="19">ROUNDUP(L52/F52,2)</f>
        <v>2.0099999999999998</v>
      </c>
      <c r="O52" s="101" t="s">
        <v>9</v>
      </c>
      <c r="P52" s="104" t="s">
        <v>47</v>
      </c>
      <c r="Q52" s="4"/>
      <c r="T52" s="6">
        <v>27</v>
      </c>
      <c r="U52" s="71" t="s">
        <v>186</v>
      </c>
      <c r="V52" s="6">
        <v>1</v>
      </c>
      <c r="W52" s="70" t="s">
        <v>81</v>
      </c>
      <c r="X52" s="6" t="s">
        <v>239</v>
      </c>
      <c r="Y52" s="6" t="s">
        <v>230</v>
      </c>
      <c r="Z52" s="70">
        <f>L87</f>
        <v>4115</v>
      </c>
      <c r="AA52" s="6">
        <v>200</v>
      </c>
      <c r="AB52" s="6">
        <v>200</v>
      </c>
      <c r="AC52" s="6">
        <v>0.06</v>
      </c>
      <c r="AD52" s="6">
        <v>220</v>
      </c>
      <c r="AE52" s="6">
        <v>2450</v>
      </c>
      <c r="AF52" s="32" t="s">
        <v>9</v>
      </c>
      <c r="AG52" s="32" t="s">
        <v>9</v>
      </c>
      <c r="AH52" s="32" t="s">
        <v>9</v>
      </c>
      <c r="AI52" s="32" t="s">
        <v>9</v>
      </c>
      <c r="AJ52" s="32" t="s">
        <v>9</v>
      </c>
      <c r="AK52" s="32" t="s">
        <v>9</v>
      </c>
      <c r="AL52" s="32" t="s">
        <v>9</v>
      </c>
      <c r="AM52" s="6" t="s">
        <v>243</v>
      </c>
      <c r="AN52" s="6">
        <v>2</v>
      </c>
      <c r="AO52" s="6" t="s">
        <v>238</v>
      </c>
      <c r="AP52" s="6" t="s">
        <v>237</v>
      </c>
      <c r="AQ52" s="6">
        <v>1</v>
      </c>
      <c r="AR52" s="6">
        <v>5</v>
      </c>
      <c r="AS52" s="32" t="s">
        <v>9</v>
      </c>
      <c r="AT52" s="32" t="s">
        <v>9</v>
      </c>
      <c r="AU52" s="32" t="s">
        <v>9</v>
      </c>
      <c r="BW52" s="178"/>
      <c r="BX52" s="176"/>
      <c r="BY52" s="176"/>
      <c r="BZ52" s="176"/>
      <c r="CA52" s="176"/>
      <c r="CB52" s="76"/>
      <c r="CC52" s="76"/>
    </row>
    <row r="53" spans="1:81" ht="9.9499999999999993" customHeight="1" x14ac:dyDescent="0.2">
      <c r="A53" s="101">
        <v>121</v>
      </c>
      <c r="B53" s="93" t="s">
        <v>115</v>
      </c>
      <c r="C53" s="8"/>
      <c r="D53" s="105">
        <v>3.5</v>
      </c>
      <c r="E53" s="104">
        <v>4.4400000000000004</v>
      </c>
      <c r="F53" s="110">
        <f t="shared" si="13"/>
        <v>15.54</v>
      </c>
      <c r="G53" s="8" t="s">
        <v>9</v>
      </c>
      <c r="H53" s="8">
        <v>75</v>
      </c>
      <c r="I53" s="104" t="s">
        <v>9</v>
      </c>
      <c r="J53" s="104" t="s">
        <v>9</v>
      </c>
      <c r="K53" s="104">
        <v>75</v>
      </c>
      <c r="L53" s="104">
        <v>75</v>
      </c>
      <c r="M53" s="110" t="s">
        <v>9</v>
      </c>
      <c r="N53" s="110">
        <v>7.5</v>
      </c>
      <c r="O53" s="101" t="s">
        <v>9</v>
      </c>
      <c r="P53" s="6" t="s">
        <v>49</v>
      </c>
      <c r="Q53" s="8" t="s">
        <v>364</v>
      </c>
      <c r="T53" s="6">
        <v>28</v>
      </c>
      <c r="U53" s="70" t="s">
        <v>187</v>
      </c>
      <c r="V53" s="6">
        <v>1</v>
      </c>
      <c r="W53" s="70" t="s">
        <v>185</v>
      </c>
      <c r="X53" s="6" t="s">
        <v>229</v>
      </c>
      <c r="Y53" s="6" t="s">
        <v>230</v>
      </c>
      <c r="Z53" s="70">
        <f>J10</f>
        <v>695</v>
      </c>
      <c r="AA53" s="70">
        <v>200</v>
      </c>
      <c r="AB53" s="70">
        <v>250</v>
      </c>
      <c r="AC53" s="70">
        <v>0.37</v>
      </c>
      <c r="AD53" s="70">
        <v>380</v>
      </c>
      <c r="AE53" s="70">
        <v>1320</v>
      </c>
      <c r="AF53" s="32" t="s">
        <v>9</v>
      </c>
      <c r="AG53" s="32" t="s">
        <v>9</v>
      </c>
      <c r="AH53" s="32" t="s">
        <v>9</v>
      </c>
      <c r="AI53" s="32" t="s">
        <v>9</v>
      </c>
      <c r="AJ53" s="32" t="s">
        <v>9</v>
      </c>
      <c r="AK53" s="32" t="s">
        <v>9</v>
      </c>
      <c r="AL53" s="32" t="s">
        <v>9</v>
      </c>
      <c r="AM53" s="32" t="s">
        <v>9</v>
      </c>
      <c r="AN53" s="32" t="s">
        <v>9</v>
      </c>
      <c r="AO53" s="32" t="s">
        <v>9</v>
      </c>
      <c r="AP53" s="32" t="s">
        <v>9</v>
      </c>
      <c r="AQ53" s="32" t="s">
        <v>9</v>
      </c>
      <c r="AR53" s="32" t="s">
        <v>9</v>
      </c>
      <c r="AS53" s="32" t="s">
        <v>9</v>
      </c>
      <c r="AT53" s="32" t="s">
        <v>9</v>
      </c>
      <c r="AU53" s="32" t="s">
        <v>9</v>
      </c>
      <c r="BW53" s="178"/>
      <c r="BX53" s="176"/>
      <c r="BY53" s="176"/>
      <c r="BZ53" s="176"/>
      <c r="CA53" s="176"/>
      <c r="CB53" s="76"/>
      <c r="CC53" s="76"/>
    </row>
    <row r="54" spans="1:81" ht="9.9499999999999993" customHeight="1" x14ac:dyDescent="0.2">
      <c r="A54" s="101">
        <v>122</v>
      </c>
      <c r="B54" s="93" t="s">
        <v>15</v>
      </c>
      <c r="C54" s="8" t="s">
        <v>31</v>
      </c>
      <c r="D54" s="105">
        <v>3.5</v>
      </c>
      <c r="E54" s="104">
        <v>16.55</v>
      </c>
      <c r="F54" s="110">
        <f t="shared" si="13"/>
        <v>57.93</v>
      </c>
      <c r="G54" s="8" t="s">
        <v>9</v>
      </c>
      <c r="H54" s="101">
        <v>2</v>
      </c>
      <c r="I54" s="104" t="s">
        <v>9</v>
      </c>
      <c r="J54" s="104" t="s">
        <v>9</v>
      </c>
      <c r="K54" s="104">
        <f>_xlfn.CEILING.MATH(H54*F54,5)</f>
        <v>120</v>
      </c>
      <c r="L54" s="104">
        <f t="shared" ref="L54" si="20">K54</f>
        <v>120</v>
      </c>
      <c r="M54" s="110" t="s">
        <v>9</v>
      </c>
      <c r="N54" s="110">
        <f>ROUNDUP(L54/F54,2)</f>
        <v>2.0799999999999996</v>
      </c>
      <c r="O54" s="101" t="s">
        <v>9</v>
      </c>
      <c r="P54" s="101" t="s">
        <v>50</v>
      </c>
      <c r="Q54" s="4" t="s">
        <v>372</v>
      </c>
      <c r="T54" s="6">
        <v>29</v>
      </c>
      <c r="U54" s="70" t="s">
        <v>188</v>
      </c>
      <c r="V54" s="6">
        <v>1</v>
      </c>
      <c r="W54" s="70" t="s">
        <v>185</v>
      </c>
      <c r="X54" s="6" t="s">
        <v>229</v>
      </c>
      <c r="Y54" s="6" t="s">
        <v>230</v>
      </c>
      <c r="Z54" s="70">
        <f>J70+J71+J73+J72</f>
        <v>0</v>
      </c>
      <c r="AA54" s="70">
        <v>350</v>
      </c>
      <c r="AB54" s="70">
        <v>600</v>
      </c>
      <c r="AC54" s="70">
        <v>1.5</v>
      </c>
      <c r="AD54" s="70">
        <v>380</v>
      </c>
      <c r="AE54" s="70">
        <v>2880</v>
      </c>
      <c r="AF54" s="32" t="s">
        <v>9</v>
      </c>
      <c r="AG54" s="32" t="s">
        <v>9</v>
      </c>
      <c r="AH54" s="32" t="s">
        <v>9</v>
      </c>
      <c r="AI54" s="32" t="s">
        <v>9</v>
      </c>
      <c r="AJ54" s="32" t="s">
        <v>9</v>
      </c>
      <c r="AK54" s="32" t="s">
        <v>9</v>
      </c>
      <c r="AL54" s="32" t="s">
        <v>9</v>
      </c>
      <c r="AM54" s="32" t="s">
        <v>9</v>
      </c>
      <c r="AN54" s="32" t="s">
        <v>9</v>
      </c>
      <c r="AO54" s="32" t="s">
        <v>9</v>
      </c>
      <c r="AP54" s="32" t="s">
        <v>9</v>
      </c>
      <c r="AQ54" s="32" t="s">
        <v>9</v>
      </c>
      <c r="AR54" s="32" t="s">
        <v>9</v>
      </c>
      <c r="AS54" s="32" t="s">
        <v>9</v>
      </c>
      <c r="AT54" s="32" t="s">
        <v>9</v>
      </c>
      <c r="AU54" s="32" t="s">
        <v>9</v>
      </c>
      <c r="BW54" s="178"/>
      <c r="BX54" s="176"/>
      <c r="BY54" s="176"/>
      <c r="BZ54" s="176"/>
      <c r="CA54" s="176"/>
      <c r="CB54" s="76"/>
      <c r="CC54" s="76"/>
    </row>
    <row r="55" spans="1:81" ht="9.9499999999999993" customHeight="1" x14ac:dyDescent="0.2">
      <c r="A55" s="101">
        <v>123</v>
      </c>
      <c r="B55" s="93" t="s">
        <v>113</v>
      </c>
      <c r="C55" s="8" t="s">
        <v>31</v>
      </c>
      <c r="D55" s="105">
        <v>3.5</v>
      </c>
      <c r="E55" s="104">
        <v>16.82</v>
      </c>
      <c r="F55" s="110">
        <f t="shared" si="13"/>
        <v>58.87</v>
      </c>
      <c r="G55" s="111" t="s">
        <v>133</v>
      </c>
      <c r="H55" s="111" t="s">
        <v>133</v>
      </c>
      <c r="I55" s="104">
        <v>120</v>
      </c>
      <c r="J55" s="104" t="s">
        <v>9</v>
      </c>
      <c r="K55" s="104">
        <f>I55</f>
        <v>120</v>
      </c>
      <c r="L55" s="104">
        <v>120</v>
      </c>
      <c r="M55" s="110">
        <f t="shared" ref="M55" si="21">ROUNDUP(I55/F55,2)</f>
        <v>2.0399999999999996</v>
      </c>
      <c r="N55" s="110">
        <f>ROUNDUP(K55/F55,2)</f>
        <v>2.0399999999999996</v>
      </c>
      <c r="O55" s="101" t="s">
        <v>71</v>
      </c>
      <c r="P55" s="6" t="s">
        <v>391</v>
      </c>
      <c r="Q55" s="4" t="s">
        <v>370</v>
      </c>
      <c r="T55" s="81"/>
      <c r="U55" s="82"/>
      <c r="V55" s="6">
        <v>1</v>
      </c>
      <c r="W55" s="70" t="s">
        <v>185</v>
      </c>
      <c r="X55" s="6" t="s">
        <v>229</v>
      </c>
      <c r="Y55" s="6" t="s">
        <v>230</v>
      </c>
      <c r="Z55" s="70"/>
      <c r="AA55" s="70"/>
      <c r="AB55" s="70"/>
      <c r="AC55" s="70"/>
      <c r="AD55" s="70"/>
      <c r="AE55" s="70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BW55" s="178"/>
      <c r="BX55" s="176"/>
      <c r="BY55" s="176"/>
      <c r="BZ55" s="176"/>
      <c r="CA55" s="176"/>
      <c r="CB55" s="76"/>
      <c r="CC55" s="76"/>
    </row>
    <row r="56" spans="1:81" ht="9.9499999999999993" customHeight="1" x14ac:dyDescent="0.2">
      <c r="A56" s="101"/>
      <c r="B56" s="93"/>
      <c r="C56" s="8"/>
      <c r="D56" s="105"/>
      <c r="E56" s="104"/>
      <c r="F56" s="110"/>
      <c r="G56" s="111"/>
      <c r="H56" s="111"/>
      <c r="I56" s="104"/>
      <c r="J56" s="104">
        <v>500</v>
      </c>
      <c r="K56" s="104" t="s">
        <v>9</v>
      </c>
      <c r="L56" s="104">
        <f>J56</f>
        <v>500</v>
      </c>
      <c r="M56" s="110" t="s">
        <v>9</v>
      </c>
      <c r="N56" s="110" t="s">
        <v>9</v>
      </c>
      <c r="O56" s="101" t="s">
        <v>9</v>
      </c>
      <c r="P56" s="101" t="s">
        <v>407</v>
      </c>
      <c r="Q56" s="4" t="s">
        <v>132</v>
      </c>
      <c r="T56" s="81"/>
      <c r="U56" s="82"/>
      <c r="V56" s="6"/>
      <c r="W56" s="70"/>
      <c r="X56" s="6"/>
      <c r="Y56" s="6"/>
      <c r="Z56" s="70"/>
      <c r="AA56" s="70"/>
      <c r="AB56" s="70"/>
      <c r="AC56" s="70"/>
      <c r="AD56" s="70"/>
      <c r="AE56" s="70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BW56" s="178"/>
      <c r="BX56" s="176"/>
      <c r="BY56" s="176"/>
      <c r="BZ56" s="176"/>
      <c r="CA56" s="176"/>
      <c r="CB56" s="76"/>
      <c r="CC56" s="76"/>
    </row>
    <row r="57" spans="1:81" ht="24" customHeight="1" x14ac:dyDescent="0.2">
      <c r="A57" s="101"/>
      <c r="B57" s="93"/>
      <c r="C57" s="8"/>
      <c r="D57" s="105"/>
      <c r="E57" s="104"/>
      <c r="F57" s="110"/>
      <c r="G57" s="111"/>
      <c r="H57" s="111"/>
      <c r="I57" s="104"/>
      <c r="J57" s="104">
        <v>150</v>
      </c>
      <c r="K57" s="104" t="s">
        <v>9</v>
      </c>
      <c r="L57" s="104">
        <f>J57</f>
        <v>150</v>
      </c>
      <c r="M57" s="110" t="s">
        <v>9</v>
      </c>
      <c r="N57" s="110" t="s">
        <v>9</v>
      </c>
      <c r="O57" s="101" t="s">
        <v>9</v>
      </c>
      <c r="P57" s="164" t="s">
        <v>408</v>
      </c>
      <c r="Q57" s="4" t="s">
        <v>132</v>
      </c>
      <c r="T57" s="81"/>
      <c r="U57" s="82"/>
      <c r="V57" s="6"/>
      <c r="W57" s="70"/>
      <c r="X57" s="6"/>
      <c r="Y57" s="6"/>
      <c r="Z57" s="70"/>
      <c r="AA57" s="70"/>
      <c r="AB57" s="70"/>
      <c r="AC57" s="70"/>
      <c r="AD57" s="70"/>
      <c r="AE57" s="70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BW57" s="178"/>
      <c r="BX57" s="176"/>
      <c r="BY57" s="176"/>
      <c r="BZ57" s="176"/>
      <c r="CA57" s="176"/>
      <c r="CB57" s="76"/>
      <c r="CC57" s="76"/>
    </row>
    <row r="58" spans="1:81" ht="13.5" customHeight="1" x14ac:dyDescent="0.2">
      <c r="A58" s="101"/>
      <c r="B58" s="93"/>
      <c r="C58" s="8"/>
      <c r="D58" s="105"/>
      <c r="E58" s="104"/>
      <c r="F58" s="110"/>
      <c r="G58" s="111" t="s">
        <v>9</v>
      </c>
      <c r="H58" s="111" t="s">
        <v>9</v>
      </c>
      <c r="I58" s="104" t="s">
        <v>9</v>
      </c>
      <c r="J58" s="104">
        <v>150</v>
      </c>
      <c r="K58" s="104" t="s">
        <v>9</v>
      </c>
      <c r="L58" s="104">
        <f>J58</f>
        <v>150</v>
      </c>
      <c r="M58" s="110" t="s">
        <v>9</v>
      </c>
      <c r="N58" s="110" t="s">
        <v>9</v>
      </c>
      <c r="O58" s="101" t="s">
        <v>9</v>
      </c>
      <c r="P58" s="165"/>
      <c r="Q58" s="4" t="s">
        <v>132</v>
      </c>
      <c r="T58" s="81"/>
      <c r="U58" s="82"/>
      <c r="V58" s="6"/>
      <c r="W58" s="70"/>
      <c r="X58" s="6"/>
      <c r="Y58" s="6"/>
      <c r="Z58" s="70"/>
      <c r="AA58" s="70"/>
      <c r="AB58" s="70"/>
      <c r="AC58" s="70"/>
      <c r="AD58" s="70"/>
      <c r="AE58" s="70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BW58" s="178"/>
      <c r="BX58" s="176"/>
      <c r="BY58" s="176"/>
      <c r="BZ58" s="176"/>
      <c r="CA58" s="176"/>
      <c r="CB58" s="76"/>
      <c r="CC58" s="76"/>
    </row>
    <row r="59" spans="1:81" ht="19.5" customHeight="1" x14ac:dyDescent="0.2">
      <c r="A59" s="101">
        <v>124</v>
      </c>
      <c r="B59" s="93" t="s">
        <v>327</v>
      </c>
      <c r="C59" s="8"/>
      <c r="D59" s="105">
        <v>3.5</v>
      </c>
      <c r="E59" s="110">
        <v>64.39</v>
      </c>
      <c r="F59" s="110">
        <f>ROUND(D59*E59,2)</f>
        <v>225.37</v>
      </c>
      <c r="G59" s="111" t="s">
        <v>131</v>
      </c>
      <c r="H59" s="111" t="s">
        <v>131</v>
      </c>
      <c r="I59" s="104">
        <f t="shared" ref="I59" si="22">20*31</f>
        <v>620</v>
      </c>
      <c r="J59" s="104" t="s">
        <v>9</v>
      </c>
      <c r="K59" s="104">
        <v>620</v>
      </c>
      <c r="L59" s="104">
        <f>K59</f>
        <v>620</v>
      </c>
      <c r="M59" s="110">
        <v>3.2</v>
      </c>
      <c r="N59" s="110">
        <v>3.2</v>
      </c>
      <c r="O59" s="101" t="str">
        <f>O55</f>
        <v>П7</v>
      </c>
      <c r="P59" s="6" t="s">
        <v>391</v>
      </c>
      <c r="Q59" s="4"/>
      <c r="T59" s="6">
        <v>30</v>
      </c>
      <c r="U59" s="70" t="s">
        <v>189</v>
      </c>
      <c r="V59" s="6">
        <v>1</v>
      </c>
      <c r="W59" s="70" t="s">
        <v>185</v>
      </c>
      <c r="X59" s="6" t="s">
        <v>229</v>
      </c>
      <c r="Y59" s="6" t="s">
        <v>230</v>
      </c>
      <c r="Z59" s="70">
        <f>J76+J77+J78</f>
        <v>0</v>
      </c>
      <c r="AA59" s="70">
        <v>250</v>
      </c>
      <c r="AB59" s="70">
        <v>600</v>
      </c>
      <c r="AC59" s="70">
        <v>1.5</v>
      </c>
      <c r="AD59" s="70">
        <v>380</v>
      </c>
      <c r="AE59" s="70">
        <v>2880</v>
      </c>
      <c r="AF59" s="32" t="s">
        <v>9</v>
      </c>
      <c r="AG59" s="32" t="s">
        <v>9</v>
      </c>
      <c r="AH59" s="32" t="s">
        <v>9</v>
      </c>
      <c r="AI59" s="32" t="s">
        <v>9</v>
      </c>
      <c r="AJ59" s="32" t="s">
        <v>9</v>
      </c>
      <c r="AK59" s="32" t="s">
        <v>9</v>
      </c>
      <c r="AL59" s="32" t="s">
        <v>9</v>
      </c>
      <c r="AM59" s="32" t="s">
        <v>9</v>
      </c>
      <c r="AN59" s="32" t="s">
        <v>9</v>
      </c>
      <c r="AO59" s="32" t="s">
        <v>9</v>
      </c>
      <c r="AP59" s="32" t="s">
        <v>9</v>
      </c>
      <c r="AQ59" s="32" t="s">
        <v>9</v>
      </c>
      <c r="AR59" s="32" t="s">
        <v>9</v>
      </c>
      <c r="AS59" s="32" t="s">
        <v>9</v>
      </c>
      <c r="AT59" s="32" t="s">
        <v>9</v>
      </c>
      <c r="AU59" s="32" t="s">
        <v>9</v>
      </c>
      <c r="BW59" s="178"/>
      <c r="BX59" s="176"/>
      <c r="BY59" s="176"/>
      <c r="BZ59" s="176"/>
      <c r="CA59" s="176"/>
      <c r="CB59" s="76"/>
      <c r="CC59" s="76"/>
    </row>
    <row r="60" spans="1:81" ht="9.9499999999999993" customHeight="1" x14ac:dyDescent="0.2">
      <c r="A60" s="101"/>
      <c r="B60" s="93"/>
      <c r="C60" s="8"/>
      <c r="D60" s="105"/>
      <c r="E60" s="110"/>
      <c r="F60" s="110"/>
      <c r="G60" s="111" t="s">
        <v>9</v>
      </c>
      <c r="H60" s="111" t="s">
        <v>9</v>
      </c>
      <c r="I60" s="104" t="s">
        <v>9</v>
      </c>
      <c r="J60" s="104">
        <v>500</v>
      </c>
      <c r="K60" s="104" t="s">
        <v>9</v>
      </c>
      <c r="L60" s="104">
        <f>J60</f>
        <v>500</v>
      </c>
      <c r="M60" s="110" t="s">
        <v>9</v>
      </c>
      <c r="N60" s="110" t="s">
        <v>9</v>
      </c>
      <c r="O60" s="101" t="s">
        <v>9</v>
      </c>
      <c r="P60" s="101" t="s">
        <v>400</v>
      </c>
      <c r="Q60" s="4" t="s">
        <v>132</v>
      </c>
      <c r="T60" s="6"/>
      <c r="U60" s="70"/>
      <c r="V60" s="6"/>
      <c r="W60" s="70"/>
      <c r="X60" s="6"/>
      <c r="Y60" s="6"/>
      <c r="Z60" s="70"/>
      <c r="AA60" s="70"/>
      <c r="AB60" s="70"/>
      <c r="AC60" s="70"/>
      <c r="AD60" s="70"/>
      <c r="AE60" s="70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BW60" s="178"/>
      <c r="BX60" s="176"/>
      <c r="BY60" s="176"/>
      <c r="BZ60" s="176"/>
      <c r="CA60" s="176"/>
      <c r="CB60" s="76"/>
      <c r="CC60" s="76"/>
    </row>
    <row r="61" spans="1:81" ht="41.25" customHeight="1" x14ac:dyDescent="0.2">
      <c r="A61" s="101">
        <v>125</v>
      </c>
      <c r="B61" s="93" t="s">
        <v>123</v>
      </c>
      <c r="C61" s="8"/>
      <c r="D61" s="105">
        <v>3.5</v>
      </c>
      <c r="E61" s="104">
        <v>46.52</v>
      </c>
      <c r="F61" s="110">
        <f t="shared" ref="F61:F69" si="23">ROUND(D61*E61,2)</f>
        <v>162.82</v>
      </c>
      <c r="G61" s="111" t="s">
        <v>131</v>
      </c>
      <c r="H61" s="111" t="s">
        <v>131</v>
      </c>
      <c r="I61" s="104">
        <f t="shared" ref="I61" si="24">20*31</f>
        <v>620</v>
      </c>
      <c r="J61" s="104" t="s">
        <v>9</v>
      </c>
      <c r="K61" s="104">
        <f t="shared" ref="K61" si="25">I61</f>
        <v>620</v>
      </c>
      <c r="L61" s="104">
        <f>K61</f>
        <v>620</v>
      </c>
      <c r="M61" s="110">
        <f t="shared" ref="M61:M62" si="26">ROUNDUP(I61/F61,2)</f>
        <v>3.8099999999999996</v>
      </c>
      <c r="N61" s="110">
        <f t="shared" ref="N61:N62" si="27">ROUNDUP(L61/F61,2)</f>
        <v>3.8099999999999996</v>
      </c>
      <c r="O61" s="101" t="str">
        <f>O51</f>
        <v>П6</v>
      </c>
      <c r="P61" s="6" t="str">
        <f>P59</f>
        <v>ВЕ5</v>
      </c>
      <c r="Q61" s="4" t="s">
        <v>370</v>
      </c>
      <c r="T61" s="6"/>
      <c r="U61" s="6" t="s">
        <v>191</v>
      </c>
      <c r="V61" s="6">
        <v>1</v>
      </c>
      <c r="W61" s="6" t="s">
        <v>190</v>
      </c>
      <c r="X61" s="6" t="s">
        <v>229</v>
      </c>
      <c r="Y61" s="6" t="s">
        <v>230</v>
      </c>
      <c r="Z61" s="70">
        <f>J38</f>
        <v>0</v>
      </c>
      <c r="AA61" s="70">
        <v>100</v>
      </c>
      <c r="AB61" s="70">
        <v>600</v>
      </c>
      <c r="AC61" s="70">
        <v>0.37</v>
      </c>
      <c r="AD61" s="70">
        <v>380</v>
      </c>
      <c r="AE61" s="70">
        <v>2730</v>
      </c>
      <c r="AF61" s="32" t="s">
        <v>9</v>
      </c>
      <c r="AG61" s="32" t="s">
        <v>9</v>
      </c>
      <c r="AH61" s="32" t="s">
        <v>9</v>
      </c>
      <c r="AI61" s="32" t="s">
        <v>9</v>
      </c>
      <c r="AJ61" s="32" t="s">
        <v>9</v>
      </c>
      <c r="AK61" s="32" t="s">
        <v>9</v>
      </c>
      <c r="AL61" s="32" t="s">
        <v>9</v>
      </c>
      <c r="AM61" s="32" t="s">
        <v>9</v>
      </c>
      <c r="AN61" s="32" t="s">
        <v>9</v>
      </c>
      <c r="AO61" s="32" t="s">
        <v>9</v>
      </c>
      <c r="AP61" s="32" t="s">
        <v>9</v>
      </c>
      <c r="AQ61" s="32" t="s">
        <v>9</v>
      </c>
      <c r="AR61" s="32" t="s">
        <v>9</v>
      </c>
      <c r="AS61" s="32" t="s">
        <v>9</v>
      </c>
      <c r="AT61" s="32" t="s">
        <v>9</v>
      </c>
      <c r="AU61" s="32" t="s">
        <v>9</v>
      </c>
      <c r="BW61" s="177"/>
      <c r="BX61" s="177"/>
      <c r="BY61" s="177"/>
      <c r="BZ61" s="177"/>
      <c r="CA61" s="177"/>
      <c r="CB61" s="76"/>
      <c r="CC61" s="76"/>
    </row>
    <row r="62" spans="1:81" ht="9.9499999999999993" customHeight="1" x14ac:dyDescent="0.2">
      <c r="A62" s="101">
        <v>126</v>
      </c>
      <c r="B62" s="93" t="s">
        <v>328</v>
      </c>
      <c r="C62" s="8"/>
      <c r="D62" s="105">
        <v>3.5</v>
      </c>
      <c r="E62" s="104">
        <v>14.32</v>
      </c>
      <c r="F62" s="110">
        <f t="shared" si="23"/>
        <v>50.12</v>
      </c>
      <c r="G62" s="101">
        <v>3</v>
      </c>
      <c r="H62" s="101">
        <v>4</v>
      </c>
      <c r="I62" s="104">
        <v>205</v>
      </c>
      <c r="J62" s="104" t="s">
        <v>9</v>
      </c>
      <c r="K62" s="104">
        <v>155</v>
      </c>
      <c r="L62" s="104">
        <f>K62</f>
        <v>155</v>
      </c>
      <c r="M62" s="110">
        <f t="shared" si="26"/>
        <v>4.0999999999999996</v>
      </c>
      <c r="N62" s="110">
        <f t="shared" si="27"/>
        <v>3.0999999999999996</v>
      </c>
      <c r="O62" s="101" t="s">
        <v>78</v>
      </c>
      <c r="P62" s="101" t="s">
        <v>189</v>
      </c>
      <c r="Q62" s="4" t="s">
        <v>373</v>
      </c>
      <c r="T62" s="72"/>
      <c r="U62" s="6" t="s">
        <v>192</v>
      </c>
      <c r="V62" s="6">
        <v>1</v>
      </c>
      <c r="W62" s="6" t="s">
        <v>190</v>
      </c>
      <c r="X62" s="6" t="s">
        <v>229</v>
      </c>
      <c r="Y62" s="6" t="s">
        <v>230</v>
      </c>
      <c r="Z62" s="70">
        <f>J40</f>
        <v>0</v>
      </c>
      <c r="AA62" s="70">
        <v>100</v>
      </c>
      <c r="AB62" s="70">
        <v>600</v>
      </c>
      <c r="AC62" s="70">
        <v>0.37</v>
      </c>
      <c r="AD62" s="70">
        <v>380</v>
      </c>
      <c r="AE62" s="70">
        <v>2730</v>
      </c>
      <c r="AF62" s="32" t="s">
        <v>9</v>
      </c>
      <c r="AG62" s="32" t="s">
        <v>9</v>
      </c>
      <c r="AH62" s="32" t="s">
        <v>9</v>
      </c>
      <c r="AI62" s="32" t="s">
        <v>9</v>
      </c>
      <c r="AJ62" s="32" t="s">
        <v>9</v>
      </c>
      <c r="AK62" s="32" t="s">
        <v>9</v>
      </c>
      <c r="AL62" s="32" t="s">
        <v>9</v>
      </c>
      <c r="AM62" s="32" t="s">
        <v>9</v>
      </c>
      <c r="AN62" s="32" t="s">
        <v>9</v>
      </c>
      <c r="AO62" s="32" t="s">
        <v>9</v>
      </c>
      <c r="AP62" s="32" t="s">
        <v>9</v>
      </c>
      <c r="AQ62" s="32" t="s">
        <v>9</v>
      </c>
      <c r="AR62" s="32" t="s">
        <v>9</v>
      </c>
      <c r="AS62" s="32" t="s">
        <v>9</v>
      </c>
      <c r="AT62" s="32" t="s">
        <v>9</v>
      </c>
      <c r="AU62" s="32" t="s">
        <v>9</v>
      </c>
      <c r="BW62" s="176"/>
      <c r="BX62" s="176"/>
      <c r="BY62" s="176"/>
      <c r="BZ62" s="176"/>
      <c r="CA62" s="176"/>
      <c r="CB62" s="76"/>
      <c r="CC62" s="76"/>
    </row>
    <row r="63" spans="1:81" ht="9.9499999999999993" customHeight="1" x14ac:dyDescent="0.2">
      <c r="A63" s="101">
        <v>127</v>
      </c>
      <c r="B63" s="93" t="s">
        <v>329</v>
      </c>
      <c r="C63" s="8"/>
      <c r="D63" s="105">
        <v>3.5</v>
      </c>
      <c r="E63" s="104">
        <v>3.04</v>
      </c>
      <c r="F63" s="110">
        <f t="shared" si="23"/>
        <v>10.64</v>
      </c>
      <c r="G63" s="8" t="s">
        <v>9</v>
      </c>
      <c r="H63" s="8" t="s">
        <v>134</v>
      </c>
      <c r="I63" s="104" t="s">
        <v>9</v>
      </c>
      <c r="J63" s="104" t="s">
        <v>9</v>
      </c>
      <c r="K63" s="104">
        <v>50</v>
      </c>
      <c r="L63" s="104">
        <f t="shared" ref="L63" si="28">K63</f>
        <v>50</v>
      </c>
      <c r="M63" s="110" t="s">
        <v>9</v>
      </c>
      <c r="N63" s="110">
        <f>ROUNDUP(L63/F63,2)</f>
        <v>4.7</v>
      </c>
      <c r="O63" s="101" t="s">
        <v>9</v>
      </c>
      <c r="P63" s="101" t="s">
        <v>51</v>
      </c>
      <c r="Q63" s="4"/>
      <c r="T63" s="158" t="s">
        <v>286</v>
      </c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60"/>
      <c r="BW63" s="176"/>
      <c r="BX63" s="176"/>
      <c r="BY63" s="176"/>
      <c r="BZ63" s="176"/>
      <c r="CA63" s="176"/>
      <c r="CB63" s="76"/>
      <c r="CC63" s="76"/>
    </row>
    <row r="64" spans="1:81" ht="9.9499999999999993" customHeight="1" x14ac:dyDescent="0.2">
      <c r="A64" s="101">
        <v>128</v>
      </c>
      <c r="B64" s="93" t="s">
        <v>330</v>
      </c>
      <c r="C64" s="8"/>
      <c r="D64" s="105">
        <v>3.5</v>
      </c>
      <c r="E64" s="104">
        <v>1.45</v>
      </c>
      <c r="F64" s="110">
        <f t="shared" si="23"/>
        <v>5.08</v>
      </c>
      <c r="G64" s="8" t="s">
        <v>9</v>
      </c>
      <c r="H64" s="8">
        <v>75</v>
      </c>
      <c r="I64" s="104" t="s">
        <v>9</v>
      </c>
      <c r="J64" s="104" t="s">
        <v>9</v>
      </c>
      <c r="K64" s="104">
        <v>50</v>
      </c>
      <c r="L64" s="104">
        <v>75</v>
      </c>
      <c r="M64" s="110" t="s">
        <v>9</v>
      </c>
      <c r="N64" s="110">
        <v>7.5</v>
      </c>
      <c r="O64" s="101" t="s">
        <v>9</v>
      </c>
      <c r="P64" s="6" t="s">
        <v>51</v>
      </c>
      <c r="Q64" s="8" t="s">
        <v>364</v>
      </c>
      <c r="T64" s="72">
        <v>47</v>
      </c>
      <c r="U64" s="6" t="s">
        <v>193</v>
      </c>
      <c r="V64" s="6">
        <v>1</v>
      </c>
      <c r="W64" s="6" t="s">
        <v>91</v>
      </c>
      <c r="X64" s="70" t="s">
        <v>275</v>
      </c>
      <c r="Y64" s="6" t="s">
        <v>230</v>
      </c>
      <c r="Z64" s="70">
        <v>22000</v>
      </c>
      <c r="AA64" s="70">
        <v>400</v>
      </c>
      <c r="AB64" s="70" t="s">
        <v>9</v>
      </c>
      <c r="AC64" s="70">
        <v>11</v>
      </c>
      <c r="AD64" s="70">
        <v>380</v>
      </c>
      <c r="AE64" s="70">
        <v>1450</v>
      </c>
      <c r="AF64" s="32" t="s">
        <v>9</v>
      </c>
      <c r="AG64" s="32" t="s">
        <v>9</v>
      </c>
      <c r="AH64" s="32" t="s">
        <v>9</v>
      </c>
      <c r="AI64" s="32" t="s">
        <v>9</v>
      </c>
      <c r="AJ64" s="32" t="s">
        <v>9</v>
      </c>
      <c r="AK64" s="32" t="s">
        <v>9</v>
      </c>
      <c r="AL64" s="32" t="s">
        <v>9</v>
      </c>
      <c r="AM64" s="32" t="s">
        <v>9</v>
      </c>
      <c r="AN64" s="32" t="s">
        <v>9</v>
      </c>
      <c r="AO64" s="32" t="s">
        <v>9</v>
      </c>
      <c r="AP64" s="32" t="s">
        <v>9</v>
      </c>
      <c r="AQ64" s="32" t="s">
        <v>9</v>
      </c>
      <c r="AR64" s="32" t="s">
        <v>9</v>
      </c>
      <c r="AS64" s="32" t="s">
        <v>9</v>
      </c>
      <c r="AT64" s="32" t="s">
        <v>9</v>
      </c>
      <c r="AU64" s="32" t="s">
        <v>9</v>
      </c>
      <c r="BW64" s="176"/>
      <c r="BX64" s="176"/>
      <c r="BY64" s="176"/>
      <c r="BZ64" s="176"/>
      <c r="CA64" s="176"/>
      <c r="CB64" s="76"/>
      <c r="CC64" s="76"/>
    </row>
    <row r="65" spans="1:81" ht="9.9499999999999993" customHeight="1" x14ac:dyDescent="0.2">
      <c r="A65" s="101">
        <v>129</v>
      </c>
      <c r="B65" s="93" t="s">
        <v>331</v>
      </c>
      <c r="C65" s="8"/>
      <c r="D65" s="105">
        <v>3.5</v>
      </c>
      <c r="E65" s="104">
        <v>16.559999999999999</v>
      </c>
      <c r="F65" s="110">
        <f t="shared" si="23"/>
        <v>57.96</v>
      </c>
      <c r="G65" s="111" t="s">
        <v>133</v>
      </c>
      <c r="H65" s="111" t="s">
        <v>133</v>
      </c>
      <c r="I65" s="104">
        <f>60*2</f>
        <v>120</v>
      </c>
      <c r="J65" s="104" t="s">
        <v>9</v>
      </c>
      <c r="K65" s="104">
        <f>60*2</f>
        <v>120</v>
      </c>
      <c r="L65" s="104">
        <f>K65</f>
        <v>120</v>
      </c>
      <c r="M65" s="110">
        <f t="shared" ref="M65" si="29">ROUNDUP(I65/F65,2)</f>
        <v>2.0799999999999996</v>
      </c>
      <c r="N65" s="110">
        <f t="shared" ref="N65" si="30">ROUNDUP(L65/F65,2)</f>
        <v>2.0799999999999996</v>
      </c>
      <c r="O65" s="101" t="str">
        <f>O62</f>
        <v>П13</v>
      </c>
      <c r="P65" s="101" t="str">
        <f>P62</f>
        <v>В31</v>
      </c>
      <c r="Q65" s="4"/>
      <c r="T65" s="72">
        <v>48</v>
      </c>
      <c r="U65" s="6" t="s">
        <v>194</v>
      </c>
      <c r="V65" s="6">
        <v>1</v>
      </c>
      <c r="W65" s="6" t="s">
        <v>91</v>
      </c>
      <c r="X65" s="70" t="s">
        <v>275</v>
      </c>
      <c r="Y65" s="6" t="s">
        <v>230</v>
      </c>
      <c r="Z65" s="70">
        <v>12000</v>
      </c>
      <c r="AA65" s="70">
        <v>400</v>
      </c>
      <c r="AB65" s="70" t="s">
        <v>9</v>
      </c>
      <c r="AC65" s="70">
        <v>4</v>
      </c>
      <c r="AD65" s="70">
        <v>380</v>
      </c>
      <c r="AE65" s="70">
        <v>1450</v>
      </c>
      <c r="AF65" s="32" t="s">
        <v>9</v>
      </c>
      <c r="AG65" s="32" t="s">
        <v>9</v>
      </c>
      <c r="AH65" s="32" t="s">
        <v>9</v>
      </c>
      <c r="AI65" s="32" t="s">
        <v>9</v>
      </c>
      <c r="AJ65" s="32" t="s">
        <v>9</v>
      </c>
      <c r="AK65" s="32" t="s">
        <v>9</v>
      </c>
      <c r="AL65" s="32" t="s">
        <v>9</v>
      </c>
      <c r="AM65" s="32" t="s">
        <v>9</v>
      </c>
      <c r="AN65" s="32" t="s">
        <v>9</v>
      </c>
      <c r="AO65" s="32" t="s">
        <v>9</v>
      </c>
      <c r="AP65" s="32" t="s">
        <v>9</v>
      </c>
      <c r="AQ65" s="32" t="s">
        <v>9</v>
      </c>
      <c r="AR65" s="32" t="s">
        <v>9</v>
      </c>
      <c r="AS65" s="32" t="s">
        <v>9</v>
      </c>
      <c r="AT65" s="32" t="s">
        <v>9</v>
      </c>
      <c r="AU65" s="32" t="s">
        <v>9</v>
      </c>
      <c r="BW65" s="176"/>
      <c r="BX65" s="176"/>
      <c r="BY65" s="176"/>
      <c r="BZ65" s="176"/>
      <c r="CA65" s="176"/>
      <c r="CB65" s="76"/>
      <c r="CC65" s="76"/>
    </row>
    <row r="66" spans="1:81" ht="9.9499999999999993" customHeight="1" x14ac:dyDescent="0.2">
      <c r="A66" s="101">
        <v>130</v>
      </c>
      <c r="B66" s="93" t="s">
        <v>332</v>
      </c>
      <c r="C66" s="8"/>
      <c r="D66" s="105">
        <v>3.5</v>
      </c>
      <c r="E66" s="104">
        <v>14.12</v>
      </c>
      <c r="F66" s="110">
        <f t="shared" si="23"/>
        <v>49.42</v>
      </c>
      <c r="G66" s="8" t="s">
        <v>9</v>
      </c>
      <c r="H66" s="8">
        <v>275</v>
      </c>
      <c r="I66" s="104" t="s">
        <v>9</v>
      </c>
      <c r="J66" s="104" t="s">
        <v>9</v>
      </c>
      <c r="K66" s="104">
        <v>275</v>
      </c>
      <c r="L66" s="104">
        <v>275</v>
      </c>
      <c r="M66" s="110" t="s">
        <v>9</v>
      </c>
      <c r="N66" s="110">
        <v>7.5</v>
      </c>
      <c r="O66" s="101" t="s">
        <v>9</v>
      </c>
      <c r="P66" s="6" t="s">
        <v>23</v>
      </c>
      <c r="Q66" s="8" t="s">
        <v>364</v>
      </c>
      <c r="T66" s="6">
        <v>49</v>
      </c>
      <c r="U66" s="6" t="s">
        <v>195</v>
      </c>
      <c r="V66" s="6">
        <v>1</v>
      </c>
      <c r="W66" s="6" t="s">
        <v>91</v>
      </c>
      <c r="X66" s="70" t="s">
        <v>275</v>
      </c>
      <c r="Y66" s="6" t="s">
        <v>230</v>
      </c>
      <c r="Z66" s="70">
        <v>12000</v>
      </c>
      <c r="AA66" s="70">
        <v>400</v>
      </c>
      <c r="AB66" s="70" t="s">
        <v>9</v>
      </c>
      <c r="AC66" s="70">
        <v>4</v>
      </c>
      <c r="AD66" s="70">
        <v>380</v>
      </c>
      <c r="AE66" s="70">
        <v>1450</v>
      </c>
      <c r="AF66" s="32" t="s">
        <v>9</v>
      </c>
      <c r="AG66" s="32" t="s">
        <v>9</v>
      </c>
      <c r="AH66" s="32" t="s">
        <v>9</v>
      </c>
      <c r="AI66" s="32" t="s">
        <v>9</v>
      </c>
      <c r="AJ66" s="32" t="s">
        <v>9</v>
      </c>
      <c r="AK66" s="32" t="s">
        <v>9</v>
      </c>
      <c r="AL66" s="32" t="s">
        <v>9</v>
      </c>
      <c r="AM66" s="32" t="s">
        <v>9</v>
      </c>
      <c r="AN66" s="32" t="s">
        <v>9</v>
      </c>
      <c r="AO66" s="32" t="s">
        <v>9</v>
      </c>
      <c r="AP66" s="32" t="s">
        <v>9</v>
      </c>
      <c r="AQ66" s="32" t="s">
        <v>9</v>
      </c>
      <c r="AR66" s="32" t="s">
        <v>9</v>
      </c>
      <c r="AS66" s="32" t="s">
        <v>9</v>
      </c>
      <c r="AT66" s="32" t="s">
        <v>9</v>
      </c>
      <c r="AU66" s="32" t="s">
        <v>9</v>
      </c>
      <c r="BW66" s="176"/>
      <c r="BX66" s="176"/>
      <c r="BY66" s="176"/>
      <c r="BZ66" s="176"/>
      <c r="CA66" s="176"/>
      <c r="CB66" s="76"/>
      <c r="CC66" s="76"/>
    </row>
    <row r="67" spans="1:81" ht="9.9499999999999993" customHeight="1" x14ac:dyDescent="0.2">
      <c r="A67" s="101">
        <v>131</v>
      </c>
      <c r="B67" s="93" t="s">
        <v>13</v>
      </c>
      <c r="C67" s="8" t="s">
        <v>33</v>
      </c>
      <c r="D67" s="105">
        <v>3.5</v>
      </c>
      <c r="E67" s="104">
        <v>2.76</v>
      </c>
      <c r="F67" s="110">
        <f t="shared" si="23"/>
        <v>9.66</v>
      </c>
      <c r="G67" s="91" t="s">
        <v>9</v>
      </c>
      <c r="H67" s="8" t="s">
        <v>134</v>
      </c>
      <c r="I67" s="104" t="s">
        <v>9</v>
      </c>
      <c r="J67" s="104" t="s">
        <v>9</v>
      </c>
      <c r="K67" s="104">
        <f>25*2</f>
        <v>50</v>
      </c>
      <c r="L67" s="104">
        <f t="shared" ref="L67" si="31">K67</f>
        <v>50</v>
      </c>
      <c r="M67" s="110" t="s">
        <v>9</v>
      </c>
      <c r="N67" s="110">
        <f t="shared" ref="N67" si="32">ROUNDUP(L67/F67,2)</f>
        <v>5.18</v>
      </c>
      <c r="O67" s="6" t="s">
        <v>9</v>
      </c>
      <c r="P67" s="101" t="s">
        <v>386</v>
      </c>
      <c r="Q67" s="4"/>
      <c r="T67" s="6">
        <v>50</v>
      </c>
      <c r="U67" s="6" t="s">
        <v>196</v>
      </c>
      <c r="V67" s="6">
        <v>1</v>
      </c>
      <c r="W67" s="6" t="s">
        <v>91</v>
      </c>
      <c r="X67" s="70" t="s">
        <v>275</v>
      </c>
      <c r="Y67" s="6" t="s">
        <v>230</v>
      </c>
      <c r="Z67" s="70">
        <v>15000</v>
      </c>
      <c r="AA67" s="70">
        <v>400</v>
      </c>
      <c r="AB67" s="70" t="s">
        <v>9</v>
      </c>
      <c r="AC67" s="70">
        <v>5.5</v>
      </c>
      <c r="AD67" s="70">
        <v>380</v>
      </c>
      <c r="AE67" s="70">
        <v>1450</v>
      </c>
      <c r="AF67" s="32" t="s">
        <v>9</v>
      </c>
      <c r="AG67" s="32" t="s">
        <v>9</v>
      </c>
      <c r="AH67" s="32" t="s">
        <v>9</v>
      </c>
      <c r="AI67" s="32" t="s">
        <v>9</v>
      </c>
      <c r="AJ67" s="32" t="s">
        <v>9</v>
      </c>
      <c r="AK67" s="32" t="s">
        <v>9</v>
      </c>
      <c r="AL67" s="32" t="s">
        <v>9</v>
      </c>
      <c r="AM67" s="32" t="s">
        <v>9</v>
      </c>
      <c r="AN67" s="32" t="s">
        <v>9</v>
      </c>
      <c r="AO67" s="32" t="s">
        <v>9</v>
      </c>
      <c r="AP67" s="32" t="s">
        <v>9</v>
      </c>
      <c r="AQ67" s="32" t="s">
        <v>9</v>
      </c>
      <c r="AR67" s="32" t="s">
        <v>9</v>
      </c>
      <c r="AS67" s="32" t="s">
        <v>9</v>
      </c>
      <c r="AT67" s="32" t="s">
        <v>9</v>
      </c>
      <c r="AU67" s="32" t="s">
        <v>9</v>
      </c>
      <c r="BW67" s="176"/>
      <c r="BX67" s="176"/>
      <c r="BY67" s="176"/>
      <c r="BZ67" s="176"/>
      <c r="CA67" s="176"/>
      <c r="CB67" s="76"/>
      <c r="CC67" s="76"/>
    </row>
    <row r="68" spans="1:81" ht="9.9499999999999993" customHeight="1" x14ac:dyDescent="0.2">
      <c r="A68" s="101">
        <v>132</v>
      </c>
      <c r="B68" s="93" t="s">
        <v>333</v>
      </c>
      <c r="C68" s="8"/>
      <c r="D68" s="105">
        <v>3.5</v>
      </c>
      <c r="E68" s="104">
        <v>14.3</v>
      </c>
      <c r="F68" s="110">
        <f t="shared" si="23"/>
        <v>50.05</v>
      </c>
      <c r="G68" s="111" t="s">
        <v>9</v>
      </c>
      <c r="H68" s="111">
        <v>150</v>
      </c>
      <c r="I68" s="104" t="s">
        <v>9</v>
      </c>
      <c r="J68" s="104" t="s">
        <v>9</v>
      </c>
      <c r="K68" s="104">
        <v>150</v>
      </c>
      <c r="L68" s="104">
        <v>150</v>
      </c>
      <c r="M68" s="110" t="s">
        <v>9</v>
      </c>
      <c r="N68" s="110">
        <f t="shared" ref="N68" si="33">ROUNDUP(L68/F68,2)</f>
        <v>3</v>
      </c>
      <c r="O68" s="101" t="s">
        <v>9</v>
      </c>
      <c r="P68" s="101" t="str">
        <f>P66</f>
        <v>В14</v>
      </c>
      <c r="Q68" s="4"/>
      <c r="T68" s="6">
        <v>51</v>
      </c>
      <c r="U68" s="6" t="s">
        <v>197</v>
      </c>
      <c r="V68" s="6">
        <v>1</v>
      </c>
      <c r="W68" s="6" t="s">
        <v>91</v>
      </c>
      <c r="X68" s="70" t="s">
        <v>276</v>
      </c>
      <c r="Y68" s="6" t="s">
        <v>230</v>
      </c>
      <c r="Z68" s="70">
        <v>9500</v>
      </c>
      <c r="AA68" s="70">
        <v>350</v>
      </c>
      <c r="AB68" s="70" t="s">
        <v>9</v>
      </c>
      <c r="AC68" s="70">
        <v>3</v>
      </c>
      <c r="AD68" s="70">
        <v>380</v>
      </c>
      <c r="AE68" s="6">
        <v>2450</v>
      </c>
      <c r="AF68" s="32" t="s">
        <v>9</v>
      </c>
      <c r="AG68" s="32" t="s">
        <v>9</v>
      </c>
      <c r="AH68" s="32" t="s">
        <v>9</v>
      </c>
      <c r="AI68" s="32" t="s">
        <v>9</v>
      </c>
      <c r="AJ68" s="32" t="s">
        <v>9</v>
      </c>
      <c r="AK68" s="32" t="s">
        <v>9</v>
      </c>
      <c r="AL68" s="32" t="s">
        <v>9</v>
      </c>
      <c r="AM68" s="32" t="s">
        <v>9</v>
      </c>
      <c r="AN68" s="32" t="s">
        <v>9</v>
      </c>
      <c r="AO68" s="32" t="s">
        <v>9</v>
      </c>
      <c r="AP68" s="32" t="s">
        <v>9</v>
      </c>
      <c r="AQ68" s="32" t="s">
        <v>9</v>
      </c>
      <c r="AR68" s="32" t="s">
        <v>9</v>
      </c>
      <c r="AS68" s="32" t="s">
        <v>9</v>
      </c>
      <c r="AT68" s="32" t="s">
        <v>9</v>
      </c>
      <c r="AU68" s="32" t="s">
        <v>9</v>
      </c>
      <c r="BW68" s="176"/>
      <c r="BX68" s="176"/>
      <c r="BY68" s="176"/>
      <c r="BZ68" s="176"/>
      <c r="CA68" s="176"/>
      <c r="CB68" s="76"/>
      <c r="CC68" s="76"/>
    </row>
    <row r="69" spans="1:81" ht="9.9499999999999993" customHeight="1" x14ac:dyDescent="0.2">
      <c r="A69" s="114">
        <v>133</v>
      </c>
      <c r="B69" s="162" t="s">
        <v>103</v>
      </c>
      <c r="C69" s="167"/>
      <c r="D69" s="145">
        <v>3.5</v>
      </c>
      <c r="E69" s="151">
        <v>25.28</v>
      </c>
      <c r="F69" s="147">
        <f t="shared" si="23"/>
        <v>88.48</v>
      </c>
      <c r="G69" s="149" t="s">
        <v>9</v>
      </c>
      <c r="H69" s="167" t="s">
        <v>9</v>
      </c>
      <c r="I69" s="151" t="s">
        <v>9</v>
      </c>
      <c r="J69" s="151" t="s">
        <v>9</v>
      </c>
      <c r="K69" s="151" t="s">
        <v>9</v>
      </c>
      <c r="L69" s="151" t="s">
        <v>9</v>
      </c>
      <c r="M69" s="151" t="s">
        <v>9</v>
      </c>
      <c r="N69" s="151" t="s">
        <v>9</v>
      </c>
      <c r="O69" s="114" t="s">
        <v>9</v>
      </c>
      <c r="P69" s="114" t="s">
        <v>9</v>
      </c>
      <c r="Q69" s="151" t="s">
        <v>9</v>
      </c>
      <c r="T69" s="6">
        <v>52</v>
      </c>
      <c r="U69" s="6" t="s">
        <v>198</v>
      </c>
      <c r="V69" s="6">
        <v>2</v>
      </c>
      <c r="W69" s="6" t="s">
        <v>91</v>
      </c>
      <c r="X69" s="70" t="s">
        <v>276</v>
      </c>
      <c r="Y69" s="6" t="s">
        <v>230</v>
      </c>
      <c r="Z69" s="70">
        <v>9500</v>
      </c>
      <c r="AA69" s="70">
        <v>350</v>
      </c>
      <c r="AB69" s="70" t="s">
        <v>9</v>
      </c>
      <c r="AC69" s="70">
        <v>3</v>
      </c>
      <c r="AD69" s="70">
        <v>380</v>
      </c>
      <c r="AE69" s="6">
        <v>2450</v>
      </c>
      <c r="AF69" s="32" t="s">
        <v>9</v>
      </c>
      <c r="AG69" s="32" t="s">
        <v>9</v>
      </c>
      <c r="AH69" s="32" t="s">
        <v>9</v>
      </c>
      <c r="AI69" s="32" t="s">
        <v>9</v>
      </c>
      <c r="AJ69" s="32" t="s">
        <v>9</v>
      </c>
      <c r="AK69" s="32" t="s">
        <v>9</v>
      </c>
      <c r="AL69" s="32" t="s">
        <v>9</v>
      </c>
      <c r="AM69" s="32" t="s">
        <v>9</v>
      </c>
      <c r="AN69" s="32" t="s">
        <v>9</v>
      </c>
      <c r="AO69" s="32" t="s">
        <v>9</v>
      </c>
      <c r="AP69" s="32" t="s">
        <v>9</v>
      </c>
      <c r="AQ69" s="32" t="s">
        <v>9</v>
      </c>
      <c r="AR69" s="32" t="s">
        <v>9</v>
      </c>
      <c r="AS69" s="32" t="s">
        <v>9</v>
      </c>
      <c r="AT69" s="32" t="s">
        <v>9</v>
      </c>
      <c r="AU69" s="32" t="s">
        <v>9</v>
      </c>
      <c r="BW69" s="176"/>
      <c r="BX69" s="176"/>
      <c r="BY69" s="176"/>
      <c r="BZ69" s="176"/>
      <c r="CA69" s="176"/>
      <c r="CB69" s="76"/>
      <c r="CC69" s="76"/>
    </row>
    <row r="70" spans="1:81" ht="9.9499999999999993" customHeight="1" x14ac:dyDescent="0.2">
      <c r="A70" s="137"/>
      <c r="B70" s="166"/>
      <c r="C70" s="168"/>
      <c r="D70" s="170"/>
      <c r="E70" s="161"/>
      <c r="F70" s="157"/>
      <c r="G70" s="172"/>
      <c r="H70" s="168"/>
      <c r="I70" s="161"/>
      <c r="J70" s="161"/>
      <c r="K70" s="161"/>
      <c r="L70" s="161"/>
      <c r="M70" s="161"/>
      <c r="N70" s="161"/>
      <c r="O70" s="137"/>
      <c r="P70" s="137"/>
      <c r="Q70" s="161"/>
      <c r="T70" s="6">
        <v>53</v>
      </c>
      <c r="U70" s="6" t="s">
        <v>92</v>
      </c>
      <c r="V70" s="6">
        <v>1</v>
      </c>
      <c r="W70" s="6" t="s">
        <v>75</v>
      </c>
      <c r="X70" s="70" t="s">
        <v>275</v>
      </c>
      <c r="Y70" s="6" t="s">
        <v>230</v>
      </c>
      <c r="Z70" s="70">
        <v>15500</v>
      </c>
      <c r="AA70" s="70">
        <v>500</v>
      </c>
      <c r="AB70" s="70" t="s">
        <v>9</v>
      </c>
      <c r="AC70" s="70">
        <v>4</v>
      </c>
      <c r="AD70" s="70">
        <v>380</v>
      </c>
      <c r="AE70" s="70">
        <v>1450</v>
      </c>
      <c r="AF70" s="32" t="s">
        <v>9</v>
      </c>
      <c r="AG70" s="32" t="s">
        <v>9</v>
      </c>
      <c r="AH70" s="32" t="s">
        <v>9</v>
      </c>
      <c r="AI70" s="32" t="s">
        <v>9</v>
      </c>
      <c r="AJ70" s="32" t="s">
        <v>9</v>
      </c>
      <c r="AK70" s="32" t="s">
        <v>9</v>
      </c>
      <c r="AL70" s="32" t="s">
        <v>9</v>
      </c>
      <c r="AM70" s="32" t="s">
        <v>9</v>
      </c>
      <c r="AN70" s="32" t="s">
        <v>9</v>
      </c>
      <c r="AO70" s="32" t="s">
        <v>9</v>
      </c>
      <c r="AP70" s="32" t="s">
        <v>9</v>
      </c>
      <c r="AQ70" s="32" t="s">
        <v>9</v>
      </c>
      <c r="AR70" s="32" t="s">
        <v>9</v>
      </c>
      <c r="AS70" s="32" t="s">
        <v>9</v>
      </c>
      <c r="AT70" s="32" t="s">
        <v>9</v>
      </c>
      <c r="AU70" s="32" t="s">
        <v>9</v>
      </c>
      <c r="BW70" s="176"/>
      <c r="BX70" s="176"/>
      <c r="BY70" s="176"/>
      <c r="BZ70" s="176"/>
      <c r="CA70" s="176"/>
      <c r="CB70" s="76"/>
      <c r="CC70" s="76"/>
    </row>
    <row r="71" spans="1:81" ht="9.9499999999999993" customHeight="1" x14ac:dyDescent="0.2">
      <c r="A71" s="137"/>
      <c r="B71" s="166"/>
      <c r="C71" s="168"/>
      <c r="D71" s="170"/>
      <c r="E71" s="161"/>
      <c r="F71" s="157"/>
      <c r="G71" s="172"/>
      <c r="H71" s="168"/>
      <c r="I71" s="161"/>
      <c r="J71" s="161"/>
      <c r="K71" s="161"/>
      <c r="L71" s="161"/>
      <c r="M71" s="161"/>
      <c r="N71" s="161"/>
      <c r="O71" s="137"/>
      <c r="P71" s="137"/>
      <c r="Q71" s="161"/>
      <c r="T71" s="6">
        <v>54</v>
      </c>
      <c r="U71" s="6" t="s">
        <v>93</v>
      </c>
      <c r="V71" s="6">
        <v>1</v>
      </c>
      <c r="W71" s="6" t="s">
        <v>75</v>
      </c>
      <c r="X71" s="70" t="s">
        <v>276</v>
      </c>
      <c r="Y71" s="6" t="s">
        <v>230</v>
      </c>
      <c r="Z71" s="70">
        <v>8900</v>
      </c>
      <c r="AA71" s="70">
        <v>400</v>
      </c>
      <c r="AB71" s="70" t="s">
        <v>9</v>
      </c>
      <c r="AC71" s="70">
        <v>3</v>
      </c>
      <c r="AD71" s="70">
        <v>380</v>
      </c>
      <c r="AE71" s="6">
        <v>2450</v>
      </c>
      <c r="AF71" s="32" t="s">
        <v>9</v>
      </c>
      <c r="AG71" s="32" t="s">
        <v>9</v>
      </c>
      <c r="AH71" s="32" t="s">
        <v>9</v>
      </c>
      <c r="AI71" s="32" t="s">
        <v>9</v>
      </c>
      <c r="AJ71" s="32" t="s">
        <v>9</v>
      </c>
      <c r="AK71" s="32" t="s">
        <v>9</v>
      </c>
      <c r="AL71" s="32" t="s">
        <v>9</v>
      </c>
      <c r="AM71" s="32" t="s">
        <v>9</v>
      </c>
      <c r="AN71" s="32" t="s">
        <v>9</v>
      </c>
      <c r="AO71" s="32" t="s">
        <v>9</v>
      </c>
      <c r="AP71" s="32" t="s">
        <v>9</v>
      </c>
      <c r="AQ71" s="32" t="s">
        <v>9</v>
      </c>
      <c r="AR71" s="32" t="s">
        <v>9</v>
      </c>
      <c r="AS71" s="32" t="s">
        <v>9</v>
      </c>
      <c r="AT71" s="32" t="s">
        <v>9</v>
      </c>
      <c r="AU71" s="32" t="s">
        <v>9</v>
      </c>
      <c r="BW71" s="176"/>
      <c r="BX71" s="176"/>
      <c r="BY71" s="176"/>
      <c r="BZ71" s="176"/>
      <c r="CA71" s="176"/>
      <c r="CB71" s="76"/>
      <c r="CC71" s="76"/>
    </row>
    <row r="72" spans="1:81" ht="9.9499999999999993" customHeight="1" x14ac:dyDescent="0.2">
      <c r="A72" s="137"/>
      <c r="B72" s="166"/>
      <c r="C72" s="168"/>
      <c r="D72" s="170"/>
      <c r="E72" s="161"/>
      <c r="F72" s="157"/>
      <c r="G72" s="172"/>
      <c r="H72" s="168"/>
      <c r="I72" s="161"/>
      <c r="J72" s="161"/>
      <c r="K72" s="161"/>
      <c r="L72" s="161"/>
      <c r="M72" s="161"/>
      <c r="N72" s="161"/>
      <c r="O72" s="137"/>
      <c r="P72" s="137"/>
      <c r="Q72" s="161"/>
      <c r="T72" s="6">
        <v>55</v>
      </c>
      <c r="U72" s="6" t="s">
        <v>199</v>
      </c>
      <c r="V72" s="6">
        <v>1</v>
      </c>
      <c r="W72" s="6" t="s">
        <v>94</v>
      </c>
      <c r="X72" s="70" t="s">
        <v>275</v>
      </c>
      <c r="Y72" s="6" t="s">
        <v>230</v>
      </c>
      <c r="Z72" s="70">
        <v>20000</v>
      </c>
      <c r="AA72" s="70">
        <v>300</v>
      </c>
      <c r="AB72" s="70" t="s">
        <v>9</v>
      </c>
      <c r="AC72" s="70">
        <v>4</v>
      </c>
      <c r="AD72" s="70">
        <v>380</v>
      </c>
      <c r="AE72" s="70">
        <v>1450</v>
      </c>
      <c r="AF72" s="32" t="s">
        <v>9</v>
      </c>
      <c r="AG72" s="32" t="s">
        <v>9</v>
      </c>
      <c r="AH72" s="32" t="s">
        <v>9</v>
      </c>
      <c r="AI72" s="32" t="s">
        <v>9</v>
      </c>
      <c r="AJ72" s="32" t="s">
        <v>9</v>
      </c>
      <c r="AK72" s="32" t="s">
        <v>9</v>
      </c>
      <c r="AL72" s="32" t="s">
        <v>9</v>
      </c>
      <c r="AM72" s="32" t="s">
        <v>9</v>
      </c>
      <c r="AN72" s="32" t="s">
        <v>9</v>
      </c>
      <c r="AO72" s="32" t="s">
        <v>9</v>
      </c>
      <c r="AP72" s="32" t="s">
        <v>9</v>
      </c>
      <c r="AQ72" s="32" t="s">
        <v>9</v>
      </c>
      <c r="AR72" s="32" t="s">
        <v>9</v>
      </c>
      <c r="AS72" s="32" t="s">
        <v>9</v>
      </c>
      <c r="AT72" s="32" t="s">
        <v>9</v>
      </c>
      <c r="AU72" s="32" t="s">
        <v>9</v>
      </c>
      <c r="BW72" s="176"/>
      <c r="BX72" s="176"/>
      <c r="BY72" s="176"/>
      <c r="BZ72" s="176"/>
      <c r="CA72" s="176"/>
      <c r="CB72" s="76"/>
      <c r="CC72" s="76"/>
    </row>
    <row r="73" spans="1:81" ht="9.9499999999999993" customHeight="1" x14ac:dyDescent="0.2">
      <c r="A73" s="115"/>
      <c r="B73" s="163"/>
      <c r="C73" s="169"/>
      <c r="D73" s="146"/>
      <c r="E73" s="152"/>
      <c r="F73" s="148"/>
      <c r="G73" s="150"/>
      <c r="H73" s="169"/>
      <c r="I73" s="152"/>
      <c r="J73" s="152"/>
      <c r="K73" s="152"/>
      <c r="L73" s="152"/>
      <c r="M73" s="152"/>
      <c r="N73" s="152"/>
      <c r="O73" s="115"/>
      <c r="P73" s="115"/>
      <c r="Q73" s="152"/>
      <c r="T73" s="6">
        <v>56</v>
      </c>
      <c r="U73" s="6" t="s">
        <v>200</v>
      </c>
      <c r="V73" s="6">
        <v>1</v>
      </c>
      <c r="W73" s="6" t="s">
        <v>94</v>
      </c>
      <c r="X73" s="70" t="s">
        <v>275</v>
      </c>
      <c r="Y73" s="6" t="s">
        <v>230</v>
      </c>
      <c r="Z73" s="70">
        <v>20000</v>
      </c>
      <c r="AA73" s="70">
        <v>300</v>
      </c>
      <c r="AB73" s="70" t="s">
        <v>9</v>
      </c>
      <c r="AC73" s="70">
        <v>4</v>
      </c>
      <c r="AD73" s="70">
        <v>380</v>
      </c>
      <c r="AE73" s="70">
        <v>1450</v>
      </c>
      <c r="AF73" s="32" t="s">
        <v>9</v>
      </c>
      <c r="AG73" s="32" t="s">
        <v>9</v>
      </c>
      <c r="AH73" s="32" t="s">
        <v>9</v>
      </c>
      <c r="AI73" s="32" t="s">
        <v>9</v>
      </c>
      <c r="AJ73" s="32" t="s">
        <v>9</v>
      </c>
      <c r="AK73" s="32" t="s">
        <v>9</v>
      </c>
      <c r="AL73" s="32" t="s">
        <v>9</v>
      </c>
      <c r="AM73" s="32" t="s">
        <v>9</v>
      </c>
      <c r="AN73" s="32" t="s">
        <v>9</v>
      </c>
      <c r="AO73" s="32" t="s">
        <v>9</v>
      </c>
      <c r="AP73" s="32" t="s">
        <v>9</v>
      </c>
      <c r="AQ73" s="32" t="s">
        <v>9</v>
      </c>
      <c r="AR73" s="32" t="s">
        <v>9</v>
      </c>
      <c r="AS73" s="32" t="s">
        <v>9</v>
      </c>
      <c r="AT73" s="32" t="s">
        <v>9</v>
      </c>
      <c r="AU73" s="32" t="s">
        <v>9</v>
      </c>
      <c r="BW73" s="176"/>
      <c r="BX73" s="176"/>
      <c r="BY73" s="176"/>
      <c r="BZ73" s="176"/>
      <c r="CA73" s="176"/>
      <c r="CB73" s="76"/>
      <c r="CC73" s="76"/>
    </row>
    <row r="74" spans="1:81" ht="9.9499999999999993" customHeight="1" x14ac:dyDescent="0.2">
      <c r="A74" s="101">
        <v>134</v>
      </c>
      <c r="B74" s="93" t="s">
        <v>10</v>
      </c>
      <c r="C74" s="8"/>
      <c r="D74" s="105">
        <v>2.9</v>
      </c>
      <c r="E74" s="104">
        <v>50.42</v>
      </c>
      <c r="F74" s="110">
        <f>ROUND(D74*E74,2)</f>
        <v>146.22</v>
      </c>
      <c r="G74" s="8" t="s">
        <v>9</v>
      </c>
      <c r="H74" s="8" t="s">
        <v>9</v>
      </c>
      <c r="I74" s="8">
        <v>380</v>
      </c>
      <c r="J74" s="8" t="s">
        <v>9</v>
      </c>
      <c r="K74" s="8" t="s">
        <v>9</v>
      </c>
      <c r="L74" s="8" t="s">
        <v>9</v>
      </c>
      <c r="M74" s="8" t="s">
        <v>9</v>
      </c>
      <c r="N74" s="8" t="s">
        <v>9</v>
      </c>
      <c r="O74" s="8" t="str">
        <f>O48</f>
        <v>П5</v>
      </c>
      <c r="P74" s="8" t="s">
        <v>9</v>
      </c>
      <c r="Q74" s="101" t="s">
        <v>365</v>
      </c>
      <c r="T74" s="6">
        <v>57</v>
      </c>
      <c r="U74" s="6" t="s">
        <v>95</v>
      </c>
      <c r="V74" s="6">
        <v>1</v>
      </c>
      <c r="W74" s="6" t="s">
        <v>94</v>
      </c>
      <c r="X74" s="70" t="s">
        <v>276</v>
      </c>
      <c r="Y74" s="6" t="s">
        <v>230</v>
      </c>
      <c r="Z74" s="70">
        <v>25000</v>
      </c>
      <c r="AA74" s="70">
        <v>400</v>
      </c>
      <c r="AB74" s="70" t="s">
        <v>9</v>
      </c>
      <c r="AC74" s="70">
        <v>7.5</v>
      </c>
      <c r="AD74" s="70">
        <v>380</v>
      </c>
      <c r="AE74" s="6">
        <v>2450</v>
      </c>
      <c r="AF74" s="32" t="s">
        <v>9</v>
      </c>
      <c r="AG74" s="32" t="s">
        <v>9</v>
      </c>
      <c r="AH74" s="32" t="s">
        <v>9</v>
      </c>
      <c r="AI74" s="32" t="s">
        <v>9</v>
      </c>
      <c r="AJ74" s="32" t="s">
        <v>9</v>
      </c>
      <c r="AK74" s="32" t="s">
        <v>9</v>
      </c>
      <c r="AL74" s="32" t="s">
        <v>9</v>
      </c>
      <c r="AM74" s="32" t="s">
        <v>9</v>
      </c>
      <c r="AN74" s="32" t="s">
        <v>9</v>
      </c>
      <c r="AO74" s="32" t="s">
        <v>9</v>
      </c>
      <c r="AP74" s="32" t="s">
        <v>9</v>
      </c>
      <c r="AQ74" s="32" t="s">
        <v>9</v>
      </c>
      <c r="AR74" s="32" t="s">
        <v>9</v>
      </c>
      <c r="AS74" s="32" t="s">
        <v>9</v>
      </c>
      <c r="AT74" s="32" t="s">
        <v>9</v>
      </c>
      <c r="AU74" s="32" t="s">
        <v>9</v>
      </c>
      <c r="BW74" s="176"/>
      <c r="BX74" s="176"/>
      <c r="BY74" s="176"/>
      <c r="BZ74" s="176"/>
      <c r="CA74" s="176"/>
      <c r="CB74" s="76"/>
      <c r="CC74" s="76"/>
    </row>
    <row r="75" spans="1:81" ht="9.9499999999999993" customHeight="1" x14ac:dyDescent="0.2">
      <c r="A75" s="114">
        <v>135</v>
      </c>
      <c r="B75" s="162" t="s">
        <v>103</v>
      </c>
      <c r="C75" s="167"/>
      <c r="D75" s="145">
        <v>2.6</v>
      </c>
      <c r="E75" s="151">
        <v>88.06</v>
      </c>
      <c r="F75" s="147">
        <f>ROUND(D75*E75,2)</f>
        <v>228.96</v>
      </c>
      <c r="G75" s="114" t="s">
        <v>9</v>
      </c>
      <c r="H75" s="114" t="s">
        <v>9</v>
      </c>
      <c r="I75" s="151" t="s">
        <v>9</v>
      </c>
      <c r="J75" s="151" t="s">
        <v>9</v>
      </c>
      <c r="K75" s="151" t="s">
        <v>9</v>
      </c>
      <c r="L75" s="151" t="s">
        <v>9</v>
      </c>
      <c r="M75" s="151" t="s">
        <v>9</v>
      </c>
      <c r="N75" s="151" t="s">
        <v>9</v>
      </c>
      <c r="O75" s="114" t="s">
        <v>9</v>
      </c>
      <c r="P75" s="114" t="s">
        <v>9</v>
      </c>
      <c r="Q75" s="114" t="s">
        <v>9</v>
      </c>
      <c r="T75" s="6">
        <v>58</v>
      </c>
      <c r="U75" s="6" t="s">
        <v>201</v>
      </c>
      <c r="V75" s="6">
        <v>1</v>
      </c>
      <c r="W75" s="6" t="s">
        <v>68</v>
      </c>
      <c r="X75" s="70" t="s">
        <v>275</v>
      </c>
      <c r="Y75" s="6" t="s">
        <v>230</v>
      </c>
      <c r="Z75" s="70">
        <v>20000</v>
      </c>
      <c r="AA75" s="70">
        <v>300</v>
      </c>
      <c r="AB75" s="70" t="s">
        <v>9</v>
      </c>
      <c r="AC75" s="70">
        <v>4</v>
      </c>
      <c r="AD75" s="70">
        <v>380</v>
      </c>
      <c r="AE75" s="70">
        <v>1450</v>
      </c>
      <c r="AF75" s="32" t="s">
        <v>9</v>
      </c>
      <c r="AG75" s="32" t="s">
        <v>9</v>
      </c>
      <c r="AH75" s="32" t="s">
        <v>9</v>
      </c>
      <c r="AI75" s="32" t="s">
        <v>9</v>
      </c>
      <c r="AJ75" s="32" t="s">
        <v>9</v>
      </c>
      <c r="AK75" s="32" t="s">
        <v>9</v>
      </c>
      <c r="AL75" s="32" t="s">
        <v>9</v>
      </c>
      <c r="AM75" s="32" t="s">
        <v>9</v>
      </c>
      <c r="AN75" s="32" t="s">
        <v>9</v>
      </c>
      <c r="AO75" s="32" t="s">
        <v>9</v>
      </c>
      <c r="AP75" s="32" t="s">
        <v>9</v>
      </c>
      <c r="AQ75" s="32" t="s">
        <v>9</v>
      </c>
      <c r="AR75" s="32" t="s">
        <v>9</v>
      </c>
      <c r="AS75" s="32" t="s">
        <v>9</v>
      </c>
      <c r="AT75" s="32" t="s">
        <v>9</v>
      </c>
      <c r="AU75" s="32" t="s">
        <v>9</v>
      </c>
      <c r="BW75" s="176"/>
      <c r="BX75" s="176"/>
      <c r="BY75" s="176"/>
      <c r="BZ75" s="176"/>
      <c r="CA75" s="176"/>
      <c r="CB75" s="76"/>
      <c r="CC75" s="76"/>
    </row>
    <row r="76" spans="1:81" ht="9.9499999999999993" customHeight="1" x14ac:dyDescent="0.2">
      <c r="A76" s="137"/>
      <c r="B76" s="166"/>
      <c r="C76" s="168"/>
      <c r="D76" s="170"/>
      <c r="E76" s="161"/>
      <c r="F76" s="157"/>
      <c r="G76" s="137"/>
      <c r="H76" s="137"/>
      <c r="I76" s="161"/>
      <c r="J76" s="161"/>
      <c r="K76" s="161"/>
      <c r="L76" s="161"/>
      <c r="M76" s="161"/>
      <c r="N76" s="161"/>
      <c r="O76" s="137"/>
      <c r="P76" s="137"/>
      <c r="Q76" s="137"/>
      <c r="T76" s="6">
        <v>59</v>
      </c>
      <c r="U76" s="6" t="s">
        <v>202</v>
      </c>
      <c r="V76" s="6">
        <v>1</v>
      </c>
      <c r="W76" s="6" t="s">
        <v>68</v>
      </c>
      <c r="X76" s="70" t="s">
        <v>275</v>
      </c>
      <c r="Y76" s="6" t="s">
        <v>230</v>
      </c>
      <c r="Z76" s="70">
        <v>20000</v>
      </c>
      <c r="AA76" s="70">
        <v>300</v>
      </c>
      <c r="AB76" s="70" t="s">
        <v>9</v>
      </c>
      <c r="AC76" s="70">
        <v>4</v>
      </c>
      <c r="AD76" s="70">
        <v>380</v>
      </c>
      <c r="AE76" s="70">
        <v>1450</v>
      </c>
      <c r="AF76" s="32" t="s">
        <v>9</v>
      </c>
      <c r="AG76" s="32" t="s">
        <v>9</v>
      </c>
      <c r="AH76" s="32" t="s">
        <v>9</v>
      </c>
      <c r="AI76" s="32" t="s">
        <v>9</v>
      </c>
      <c r="AJ76" s="32" t="s">
        <v>9</v>
      </c>
      <c r="AK76" s="32" t="s">
        <v>9</v>
      </c>
      <c r="AL76" s="32" t="s">
        <v>9</v>
      </c>
      <c r="AM76" s="32" t="s">
        <v>9</v>
      </c>
      <c r="AN76" s="32" t="s">
        <v>9</v>
      </c>
      <c r="AO76" s="32" t="s">
        <v>9</v>
      </c>
      <c r="AP76" s="32" t="s">
        <v>9</v>
      </c>
      <c r="AQ76" s="32" t="s">
        <v>9</v>
      </c>
      <c r="AR76" s="32" t="s">
        <v>9</v>
      </c>
      <c r="AS76" s="32" t="s">
        <v>9</v>
      </c>
      <c r="AT76" s="32" t="s">
        <v>9</v>
      </c>
      <c r="AU76" s="32" t="s">
        <v>9</v>
      </c>
      <c r="BW76" s="176"/>
      <c r="BX76" s="176"/>
      <c r="BY76" s="176"/>
      <c r="BZ76" s="176"/>
      <c r="CA76" s="176"/>
      <c r="CB76" s="76"/>
      <c r="CC76" s="76"/>
    </row>
    <row r="77" spans="1:81" ht="9.9499999999999993" customHeight="1" x14ac:dyDescent="0.2">
      <c r="A77" s="137"/>
      <c r="B77" s="166"/>
      <c r="C77" s="168"/>
      <c r="D77" s="170"/>
      <c r="E77" s="161"/>
      <c r="F77" s="157"/>
      <c r="G77" s="137"/>
      <c r="H77" s="137"/>
      <c r="I77" s="161"/>
      <c r="J77" s="161"/>
      <c r="K77" s="161"/>
      <c r="L77" s="161"/>
      <c r="M77" s="161"/>
      <c r="N77" s="161"/>
      <c r="O77" s="137"/>
      <c r="P77" s="137"/>
      <c r="Q77" s="137"/>
      <c r="T77" s="6">
        <v>60</v>
      </c>
      <c r="U77" s="6" t="s">
        <v>96</v>
      </c>
      <c r="V77" s="6">
        <v>1</v>
      </c>
      <c r="W77" s="6" t="s">
        <v>68</v>
      </c>
      <c r="X77" s="70" t="s">
        <v>276</v>
      </c>
      <c r="Y77" s="6" t="s">
        <v>230</v>
      </c>
      <c r="Z77" s="70">
        <v>25000</v>
      </c>
      <c r="AA77" s="70">
        <v>400</v>
      </c>
      <c r="AB77" s="70" t="s">
        <v>9</v>
      </c>
      <c r="AC77" s="70">
        <v>7.5</v>
      </c>
      <c r="AD77" s="70">
        <v>380</v>
      </c>
      <c r="AE77" s="6">
        <v>2450</v>
      </c>
      <c r="AF77" s="32" t="s">
        <v>9</v>
      </c>
      <c r="AG77" s="32" t="s">
        <v>9</v>
      </c>
      <c r="AH77" s="32" t="s">
        <v>9</v>
      </c>
      <c r="AI77" s="32" t="s">
        <v>9</v>
      </c>
      <c r="AJ77" s="32" t="s">
        <v>9</v>
      </c>
      <c r="AK77" s="32" t="s">
        <v>9</v>
      </c>
      <c r="AL77" s="32" t="s">
        <v>9</v>
      </c>
      <c r="AM77" s="32" t="s">
        <v>9</v>
      </c>
      <c r="AN77" s="32" t="s">
        <v>9</v>
      </c>
      <c r="AO77" s="32" t="s">
        <v>9</v>
      </c>
      <c r="AP77" s="32" t="s">
        <v>9</v>
      </c>
      <c r="AQ77" s="32" t="s">
        <v>9</v>
      </c>
      <c r="AR77" s="32" t="s">
        <v>9</v>
      </c>
      <c r="AS77" s="32" t="s">
        <v>9</v>
      </c>
      <c r="AT77" s="32" t="s">
        <v>9</v>
      </c>
      <c r="AU77" s="32" t="s">
        <v>9</v>
      </c>
      <c r="BW77" s="176"/>
      <c r="BX77" s="176"/>
      <c r="BY77" s="176"/>
      <c r="BZ77" s="176"/>
      <c r="CA77" s="176"/>
      <c r="CB77" s="76"/>
      <c r="CC77" s="76"/>
    </row>
    <row r="78" spans="1:81" ht="9.9499999999999993" customHeight="1" x14ac:dyDescent="0.2">
      <c r="A78" s="115"/>
      <c r="B78" s="163"/>
      <c r="C78" s="169"/>
      <c r="D78" s="146"/>
      <c r="E78" s="152"/>
      <c r="F78" s="148"/>
      <c r="G78" s="115"/>
      <c r="H78" s="115"/>
      <c r="I78" s="152"/>
      <c r="J78" s="152"/>
      <c r="K78" s="152"/>
      <c r="L78" s="152"/>
      <c r="M78" s="152"/>
      <c r="N78" s="152"/>
      <c r="O78" s="115"/>
      <c r="P78" s="115"/>
      <c r="Q78" s="115"/>
      <c r="T78" s="6">
        <v>61</v>
      </c>
      <c r="U78" s="6" t="s">
        <v>203</v>
      </c>
      <c r="V78" s="6">
        <v>1</v>
      </c>
      <c r="W78" s="6" t="s">
        <v>64</v>
      </c>
      <c r="X78" s="70" t="s">
        <v>275</v>
      </c>
      <c r="Y78" s="6" t="s">
        <v>230</v>
      </c>
      <c r="Z78" s="70">
        <v>13000</v>
      </c>
      <c r="AA78" s="70">
        <v>600</v>
      </c>
      <c r="AB78" s="70" t="s">
        <v>9</v>
      </c>
      <c r="AC78" s="70">
        <v>5.5</v>
      </c>
      <c r="AD78" s="70">
        <v>380</v>
      </c>
      <c r="AE78" s="70">
        <v>1450</v>
      </c>
      <c r="AF78" s="32" t="s">
        <v>9</v>
      </c>
      <c r="AG78" s="32" t="s">
        <v>9</v>
      </c>
      <c r="AH78" s="32" t="s">
        <v>9</v>
      </c>
      <c r="AI78" s="32" t="s">
        <v>9</v>
      </c>
      <c r="AJ78" s="32" t="s">
        <v>9</v>
      </c>
      <c r="AK78" s="32" t="s">
        <v>9</v>
      </c>
      <c r="AL78" s="32" t="s">
        <v>9</v>
      </c>
      <c r="AM78" s="32" t="s">
        <v>9</v>
      </c>
      <c r="AN78" s="32" t="s">
        <v>9</v>
      </c>
      <c r="AO78" s="32" t="s">
        <v>9</v>
      </c>
      <c r="AP78" s="32" t="s">
        <v>9</v>
      </c>
      <c r="AQ78" s="32" t="s">
        <v>9</v>
      </c>
      <c r="AR78" s="32" t="s">
        <v>9</v>
      </c>
      <c r="AS78" s="32" t="s">
        <v>9</v>
      </c>
      <c r="AT78" s="32" t="s">
        <v>9</v>
      </c>
      <c r="AU78" s="32" t="s">
        <v>9</v>
      </c>
      <c r="BW78" s="176"/>
      <c r="BX78" s="176"/>
      <c r="BY78" s="176"/>
      <c r="BZ78" s="176"/>
      <c r="CA78" s="176"/>
      <c r="CB78" s="76"/>
      <c r="CC78" s="76"/>
    </row>
    <row r="79" spans="1:81" ht="9.9499999999999993" customHeight="1" x14ac:dyDescent="0.2">
      <c r="A79" s="101">
        <v>136</v>
      </c>
      <c r="B79" s="93" t="s">
        <v>75</v>
      </c>
      <c r="C79" s="8"/>
      <c r="D79" s="105">
        <v>2.97</v>
      </c>
      <c r="E79" s="104">
        <v>176.89</v>
      </c>
      <c r="F79" s="110">
        <f>ROUND(D79*E79,2)</f>
        <v>525.36</v>
      </c>
      <c r="G79" s="111" t="s">
        <v>131</v>
      </c>
      <c r="H79" s="111" t="s">
        <v>131</v>
      </c>
      <c r="I79" s="104">
        <f>20*220</f>
        <v>4400</v>
      </c>
      <c r="J79" s="104" t="s">
        <v>9</v>
      </c>
      <c r="K79" s="104">
        <f>20*220</f>
        <v>4400</v>
      </c>
      <c r="L79" s="104">
        <f t="shared" ref="L79" si="34">K79</f>
        <v>4400</v>
      </c>
      <c r="M79" s="110">
        <f>ROUNDUP(I79/F79,2)</f>
        <v>8.379999999999999</v>
      </c>
      <c r="N79" s="110">
        <f t="shared" ref="N79" si="35">ROUNDUP(L79/F79,2)</f>
        <v>8.379999999999999</v>
      </c>
      <c r="O79" s="101" t="s">
        <v>72</v>
      </c>
      <c r="P79" s="101" t="s">
        <v>29</v>
      </c>
      <c r="Q79" s="4"/>
      <c r="T79" s="6">
        <v>62</v>
      </c>
      <c r="U79" s="6" t="s">
        <v>204</v>
      </c>
      <c r="V79" s="6">
        <v>1</v>
      </c>
      <c r="W79" s="6" t="s">
        <v>64</v>
      </c>
      <c r="X79" s="70" t="s">
        <v>275</v>
      </c>
      <c r="Y79" s="6" t="s">
        <v>230</v>
      </c>
      <c r="Z79" s="70">
        <v>13000</v>
      </c>
      <c r="AA79" s="70">
        <v>600</v>
      </c>
      <c r="AB79" s="70" t="s">
        <v>9</v>
      </c>
      <c r="AC79" s="70">
        <v>5.5</v>
      </c>
      <c r="AD79" s="70">
        <v>380</v>
      </c>
      <c r="AE79" s="70">
        <v>1450</v>
      </c>
      <c r="AF79" s="32" t="s">
        <v>9</v>
      </c>
      <c r="AG79" s="32" t="s">
        <v>9</v>
      </c>
      <c r="AH79" s="32" t="s">
        <v>9</v>
      </c>
      <c r="AI79" s="32" t="s">
        <v>9</v>
      </c>
      <c r="AJ79" s="32" t="s">
        <v>9</v>
      </c>
      <c r="AK79" s="32" t="s">
        <v>9</v>
      </c>
      <c r="AL79" s="32" t="s">
        <v>9</v>
      </c>
      <c r="AM79" s="32" t="s">
        <v>9</v>
      </c>
      <c r="AN79" s="32" t="s">
        <v>9</v>
      </c>
      <c r="AO79" s="32" t="s">
        <v>9</v>
      </c>
      <c r="AP79" s="32" t="s">
        <v>9</v>
      </c>
      <c r="AQ79" s="32" t="s">
        <v>9</v>
      </c>
      <c r="AR79" s="32" t="s">
        <v>9</v>
      </c>
      <c r="AS79" s="32" t="s">
        <v>9</v>
      </c>
      <c r="AT79" s="32" t="s">
        <v>9</v>
      </c>
      <c r="AU79" s="32" t="s">
        <v>9</v>
      </c>
      <c r="BW79" s="176"/>
      <c r="BX79" s="176"/>
      <c r="BY79" s="176"/>
      <c r="BZ79" s="176"/>
      <c r="CA79" s="176"/>
      <c r="CB79" s="76"/>
      <c r="CC79" s="76"/>
    </row>
    <row r="80" spans="1:81" ht="9.9499999999999993" customHeight="1" x14ac:dyDescent="0.2">
      <c r="A80" s="101">
        <v>137</v>
      </c>
      <c r="B80" s="93" t="s">
        <v>334</v>
      </c>
      <c r="C80" s="8"/>
      <c r="D80" s="105">
        <v>2.97</v>
      </c>
      <c r="E80" s="104">
        <v>21.77</v>
      </c>
      <c r="F80" s="110">
        <f>ROUND(D80*E80,2)</f>
        <v>64.66</v>
      </c>
      <c r="G80" s="101">
        <v>4</v>
      </c>
      <c r="H80" s="101">
        <v>6</v>
      </c>
      <c r="I80" s="104">
        <v>3300</v>
      </c>
      <c r="J80" s="104" t="s">
        <v>9</v>
      </c>
      <c r="K80" s="104">
        <f>_xlfn.CEILING.MATH(H80*F80,5)</f>
        <v>390</v>
      </c>
      <c r="L80" s="104">
        <f>K80+J81+J82+J83</f>
        <v>2990</v>
      </c>
      <c r="M80" s="104">
        <f>ROUNDUP(I80/F80,2)</f>
        <v>51.04</v>
      </c>
      <c r="N80" s="104">
        <f>ROUNDUP(K80/F80,2)</f>
        <v>6.04</v>
      </c>
      <c r="O80" s="101" t="str">
        <f>O9</f>
        <v>П1</v>
      </c>
      <c r="P80" s="101" t="s">
        <v>83</v>
      </c>
      <c r="Q80" s="4" t="s">
        <v>66</v>
      </c>
      <c r="T80" s="6">
        <v>63</v>
      </c>
      <c r="U80" s="6" t="s">
        <v>97</v>
      </c>
      <c r="V80" s="6">
        <v>1</v>
      </c>
      <c r="W80" s="6" t="s">
        <v>64</v>
      </c>
      <c r="X80" s="70" t="s">
        <v>276</v>
      </c>
      <c r="Y80" s="6" t="s">
        <v>230</v>
      </c>
      <c r="Z80" s="70">
        <v>15000</v>
      </c>
      <c r="AA80" s="70">
        <v>500</v>
      </c>
      <c r="AB80" s="70" t="s">
        <v>9</v>
      </c>
      <c r="AC80" s="70">
        <v>5.5</v>
      </c>
      <c r="AD80" s="70">
        <v>380</v>
      </c>
      <c r="AE80" s="6">
        <v>2450</v>
      </c>
      <c r="AF80" s="32" t="s">
        <v>9</v>
      </c>
      <c r="AG80" s="32" t="s">
        <v>9</v>
      </c>
      <c r="AH80" s="32" t="s">
        <v>9</v>
      </c>
      <c r="AI80" s="32" t="s">
        <v>9</v>
      </c>
      <c r="AJ80" s="32" t="s">
        <v>9</v>
      </c>
      <c r="AK80" s="32" t="s">
        <v>9</v>
      </c>
      <c r="AL80" s="32" t="s">
        <v>9</v>
      </c>
      <c r="AM80" s="32" t="s">
        <v>9</v>
      </c>
      <c r="AN80" s="32" t="s">
        <v>9</v>
      </c>
      <c r="AO80" s="32" t="s">
        <v>9</v>
      </c>
      <c r="AP80" s="32" t="s">
        <v>9</v>
      </c>
      <c r="AQ80" s="32" t="s">
        <v>9</v>
      </c>
      <c r="AR80" s="32" t="s">
        <v>9</v>
      </c>
      <c r="AS80" s="32" t="s">
        <v>9</v>
      </c>
      <c r="AT80" s="32" t="s">
        <v>9</v>
      </c>
      <c r="AU80" s="32" t="s">
        <v>9</v>
      </c>
      <c r="BW80" s="176"/>
      <c r="BX80" s="176"/>
      <c r="BY80" s="176"/>
      <c r="BZ80" s="176"/>
      <c r="CA80" s="176"/>
      <c r="CB80" s="76"/>
      <c r="CC80" s="76"/>
    </row>
    <row r="81" spans="1:81" ht="9.9499999999999993" customHeight="1" x14ac:dyDescent="0.2">
      <c r="A81" s="101"/>
      <c r="B81" s="93"/>
      <c r="C81" s="8"/>
      <c r="D81" s="105"/>
      <c r="E81" s="104"/>
      <c r="F81" s="110"/>
      <c r="G81" s="111" t="s">
        <v>9</v>
      </c>
      <c r="H81" s="8" t="s">
        <v>9</v>
      </c>
      <c r="I81" s="104" t="s">
        <v>9</v>
      </c>
      <c r="J81" s="104">
        <v>1135</v>
      </c>
      <c r="K81" s="104" t="s">
        <v>9</v>
      </c>
      <c r="L81" s="104" t="s">
        <v>9</v>
      </c>
      <c r="M81" s="104" t="s">
        <v>9</v>
      </c>
      <c r="N81" s="104" t="s">
        <v>9</v>
      </c>
      <c r="O81" s="101" t="s">
        <v>9</v>
      </c>
      <c r="P81" s="91" t="s">
        <v>84</v>
      </c>
      <c r="Q81" s="104" t="s">
        <v>308</v>
      </c>
      <c r="T81" s="6"/>
      <c r="U81" s="6"/>
      <c r="V81" s="6"/>
      <c r="W81" s="6"/>
      <c r="X81" s="70"/>
      <c r="Y81" s="6"/>
      <c r="Z81" s="70"/>
      <c r="AA81" s="70"/>
      <c r="AB81" s="70"/>
      <c r="AC81" s="70"/>
      <c r="AD81" s="70"/>
      <c r="AE81" s="6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BW81" s="176"/>
      <c r="BX81" s="176"/>
      <c r="BY81" s="176"/>
      <c r="BZ81" s="176"/>
      <c r="CA81" s="176"/>
      <c r="CB81" s="76"/>
      <c r="CC81" s="76"/>
    </row>
    <row r="82" spans="1:81" ht="9.9499999999999993" customHeight="1" x14ac:dyDescent="0.2">
      <c r="A82" s="101"/>
      <c r="B82" s="93"/>
      <c r="C82" s="8"/>
      <c r="D82" s="105"/>
      <c r="E82" s="104"/>
      <c r="F82" s="110"/>
      <c r="G82" s="111" t="s">
        <v>9</v>
      </c>
      <c r="H82" s="8" t="s">
        <v>9</v>
      </c>
      <c r="I82" s="104" t="s">
        <v>9</v>
      </c>
      <c r="J82" s="104">
        <v>860</v>
      </c>
      <c r="K82" s="104" t="s">
        <v>9</v>
      </c>
      <c r="L82" s="104" t="s">
        <v>9</v>
      </c>
      <c r="M82" s="104" t="s">
        <v>9</v>
      </c>
      <c r="N82" s="104" t="s">
        <v>9</v>
      </c>
      <c r="O82" s="101" t="s">
        <v>9</v>
      </c>
      <c r="P82" s="91" t="str">
        <f>P81</f>
        <v>В18</v>
      </c>
      <c r="Q82" s="104" t="s">
        <v>306</v>
      </c>
      <c r="T82" s="6"/>
      <c r="U82" s="6"/>
      <c r="V82" s="6"/>
      <c r="W82" s="6"/>
      <c r="X82" s="70"/>
      <c r="Y82" s="6"/>
      <c r="Z82" s="70"/>
      <c r="AA82" s="70"/>
      <c r="AB82" s="70"/>
      <c r="AC82" s="70"/>
      <c r="AD82" s="70"/>
      <c r="AE82" s="6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BW82" s="176"/>
      <c r="BX82" s="176"/>
      <c r="BY82" s="176"/>
      <c r="BZ82" s="176"/>
      <c r="CA82" s="176"/>
      <c r="CB82" s="76"/>
      <c r="CC82" s="76"/>
    </row>
    <row r="83" spans="1:81" ht="9.9499999999999993" customHeight="1" x14ac:dyDescent="0.2">
      <c r="A83" s="101"/>
      <c r="B83" s="93"/>
      <c r="C83" s="8"/>
      <c r="D83" s="105"/>
      <c r="E83" s="104"/>
      <c r="F83" s="110"/>
      <c r="G83" s="111" t="s">
        <v>9</v>
      </c>
      <c r="H83" s="8" t="s">
        <v>9</v>
      </c>
      <c r="I83" s="104" t="s">
        <v>9</v>
      </c>
      <c r="J83" s="104">
        <v>605</v>
      </c>
      <c r="K83" s="104" t="s">
        <v>9</v>
      </c>
      <c r="L83" s="104" t="s">
        <v>9</v>
      </c>
      <c r="M83" s="104" t="s">
        <v>9</v>
      </c>
      <c r="N83" s="104" t="s">
        <v>9</v>
      </c>
      <c r="O83" s="101" t="s">
        <v>9</v>
      </c>
      <c r="P83" s="91" t="str">
        <f>P81</f>
        <v>В18</v>
      </c>
      <c r="Q83" s="104" t="s">
        <v>307</v>
      </c>
      <c r="T83" s="6"/>
      <c r="U83" s="6"/>
      <c r="V83" s="6"/>
      <c r="W83" s="6"/>
      <c r="X83" s="70"/>
      <c r="Y83" s="6"/>
      <c r="Z83" s="70"/>
      <c r="AA83" s="70"/>
      <c r="AB83" s="70"/>
      <c r="AC83" s="70"/>
      <c r="AD83" s="70"/>
      <c r="AE83" s="6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BW83" s="176"/>
      <c r="BX83" s="176"/>
      <c r="BY83" s="176"/>
      <c r="BZ83" s="176"/>
      <c r="CA83" s="176"/>
      <c r="CB83" s="76"/>
      <c r="CC83" s="76"/>
    </row>
    <row r="84" spans="1:81" ht="9.9499999999999993" customHeight="1" x14ac:dyDescent="0.2">
      <c r="A84" s="101">
        <v>138</v>
      </c>
      <c r="B84" s="93" t="s">
        <v>335</v>
      </c>
      <c r="C84" s="8"/>
      <c r="D84" s="105">
        <v>2.97</v>
      </c>
      <c r="E84" s="104">
        <v>3.15</v>
      </c>
      <c r="F84" s="110">
        <f>ROUND(D84*E84,2)</f>
        <v>9.36</v>
      </c>
      <c r="G84" s="103" t="s">
        <v>9</v>
      </c>
      <c r="H84" s="103" t="s">
        <v>9</v>
      </c>
      <c r="I84" s="104" t="s">
        <v>9</v>
      </c>
      <c r="J84" s="104" t="s">
        <v>9</v>
      </c>
      <c r="K84" s="104" t="s">
        <v>9</v>
      </c>
      <c r="L84" s="104" t="s">
        <v>9</v>
      </c>
      <c r="M84" s="110" t="s">
        <v>9</v>
      </c>
      <c r="N84" s="110" t="s">
        <v>9</v>
      </c>
      <c r="O84" s="101" t="s">
        <v>9</v>
      </c>
      <c r="P84" s="104" t="s">
        <v>9</v>
      </c>
      <c r="Q84" s="4"/>
      <c r="T84" s="6">
        <v>64</v>
      </c>
      <c r="U84" s="6" t="s">
        <v>278</v>
      </c>
      <c r="V84" s="6">
        <v>1</v>
      </c>
      <c r="W84" s="6" t="s">
        <v>91</v>
      </c>
      <c r="X84" s="70" t="s">
        <v>276</v>
      </c>
      <c r="Y84" s="6" t="s">
        <v>230</v>
      </c>
      <c r="Z84" s="70">
        <v>6000</v>
      </c>
      <c r="AA84" s="70">
        <v>400</v>
      </c>
      <c r="AB84" s="70" t="s">
        <v>9</v>
      </c>
      <c r="AC84" s="70">
        <v>3</v>
      </c>
      <c r="AD84" s="70">
        <v>380</v>
      </c>
      <c r="AE84" s="6">
        <v>2450</v>
      </c>
      <c r="AF84" s="32" t="s">
        <v>9</v>
      </c>
      <c r="AG84" s="32" t="s">
        <v>9</v>
      </c>
      <c r="AH84" s="32" t="s">
        <v>9</v>
      </c>
      <c r="AI84" s="32" t="s">
        <v>9</v>
      </c>
      <c r="AJ84" s="32" t="s">
        <v>9</v>
      </c>
      <c r="AK84" s="32" t="s">
        <v>9</v>
      </c>
      <c r="AL84" s="32" t="s">
        <v>9</v>
      </c>
      <c r="AM84" s="32" t="s">
        <v>9</v>
      </c>
      <c r="AN84" s="32" t="s">
        <v>9</v>
      </c>
      <c r="AO84" s="32" t="s">
        <v>9</v>
      </c>
      <c r="AP84" s="32" t="s">
        <v>9</v>
      </c>
      <c r="AQ84" s="32" t="s">
        <v>9</v>
      </c>
      <c r="AR84" s="32" t="s">
        <v>9</v>
      </c>
      <c r="AS84" s="32" t="s">
        <v>9</v>
      </c>
      <c r="AT84" s="32" t="s">
        <v>9</v>
      </c>
      <c r="AU84" s="32" t="s">
        <v>9</v>
      </c>
      <c r="BW84" s="177"/>
      <c r="BX84" s="177"/>
      <c r="BY84" s="177"/>
      <c r="BZ84" s="177"/>
      <c r="CA84" s="177"/>
      <c r="CB84" s="76"/>
      <c r="CC84" s="76"/>
    </row>
    <row r="85" spans="1:81" ht="28.5" customHeight="1" x14ac:dyDescent="0.2">
      <c r="A85" s="101">
        <v>139</v>
      </c>
      <c r="B85" s="93" t="s">
        <v>103</v>
      </c>
      <c r="C85" s="8"/>
      <c r="D85" s="105">
        <v>2.97</v>
      </c>
      <c r="E85" s="104">
        <v>13.23</v>
      </c>
      <c r="F85" s="110">
        <f>ROUND(D85*E85,2)</f>
        <v>39.29</v>
      </c>
      <c r="G85" s="103" t="s">
        <v>9</v>
      </c>
      <c r="H85" s="103" t="s">
        <v>9</v>
      </c>
      <c r="I85" s="104" t="s">
        <v>9</v>
      </c>
      <c r="J85" s="104" t="s">
        <v>9</v>
      </c>
      <c r="K85" s="104" t="s">
        <v>9</v>
      </c>
      <c r="L85" s="104" t="s">
        <v>9</v>
      </c>
      <c r="M85" s="110" t="s">
        <v>9</v>
      </c>
      <c r="N85" s="110" t="s">
        <v>9</v>
      </c>
      <c r="O85" s="101" t="s">
        <v>9</v>
      </c>
      <c r="P85" s="104" t="s">
        <v>9</v>
      </c>
      <c r="Q85" s="4"/>
      <c r="T85" s="6">
        <v>65</v>
      </c>
      <c r="U85" s="6" t="s">
        <v>277</v>
      </c>
      <c r="V85" s="6">
        <v>1</v>
      </c>
      <c r="W85" s="6" t="s">
        <v>279</v>
      </c>
      <c r="X85" s="70" t="s">
        <v>276</v>
      </c>
      <c r="Y85" s="6" t="s">
        <v>230</v>
      </c>
      <c r="Z85" s="70">
        <v>9500</v>
      </c>
      <c r="AA85" s="70">
        <v>350</v>
      </c>
      <c r="AB85" s="70" t="s">
        <v>9</v>
      </c>
      <c r="AC85" s="70">
        <v>3</v>
      </c>
      <c r="AD85" s="70">
        <v>380</v>
      </c>
      <c r="AE85" s="6">
        <v>2450</v>
      </c>
      <c r="AF85" s="32" t="s">
        <v>9</v>
      </c>
      <c r="AG85" s="32" t="s">
        <v>9</v>
      </c>
      <c r="AH85" s="32" t="s">
        <v>9</v>
      </c>
      <c r="AI85" s="32" t="s">
        <v>9</v>
      </c>
      <c r="AJ85" s="32" t="s">
        <v>9</v>
      </c>
      <c r="AK85" s="32" t="s">
        <v>9</v>
      </c>
      <c r="AL85" s="32" t="s">
        <v>9</v>
      </c>
      <c r="AM85" s="32" t="s">
        <v>9</v>
      </c>
      <c r="AN85" s="32" t="s">
        <v>9</v>
      </c>
      <c r="AO85" s="32" t="s">
        <v>9</v>
      </c>
      <c r="AP85" s="32" t="s">
        <v>9</v>
      </c>
      <c r="AQ85" s="32" t="s">
        <v>9</v>
      </c>
      <c r="AR85" s="32" t="s">
        <v>9</v>
      </c>
      <c r="AS85" s="32" t="s">
        <v>9</v>
      </c>
      <c r="AT85" s="32" t="s">
        <v>9</v>
      </c>
      <c r="AU85" s="32" t="s">
        <v>9</v>
      </c>
      <c r="BW85" s="176"/>
      <c r="BX85" s="176"/>
      <c r="BY85" s="176"/>
      <c r="BZ85" s="176"/>
      <c r="CA85" s="176"/>
      <c r="CB85" s="76"/>
      <c r="CC85" s="76"/>
    </row>
    <row r="86" spans="1:81" ht="9.9499999999999993" customHeight="1" x14ac:dyDescent="0.2">
      <c r="A86" s="101">
        <v>140</v>
      </c>
      <c r="B86" s="93" t="s">
        <v>335</v>
      </c>
      <c r="C86" s="8"/>
      <c r="D86" s="105">
        <v>2.97</v>
      </c>
      <c r="E86" s="104">
        <v>6.3</v>
      </c>
      <c r="F86" s="110">
        <f>ROUND(D86*E86,2)</f>
        <v>18.71</v>
      </c>
      <c r="G86" s="111" t="s">
        <v>9</v>
      </c>
      <c r="H86" s="111" t="s">
        <v>9</v>
      </c>
      <c r="I86" s="104" t="s">
        <v>9</v>
      </c>
      <c r="J86" s="104" t="s">
        <v>9</v>
      </c>
      <c r="K86" s="104" t="s">
        <v>9</v>
      </c>
      <c r="L86" s="104" t="s">
        <v>9</v>
      </c>
      <c r="M86" s="110" t="s">
        <v>9</v>
      </c>
      <c r="N86" s="110" t="s">
        <v>9</v>
      </c>
      <c r="O86" s="101" t="s">
        <v>9</v>
      </c>
      <c r="P86" s="101" t="s">
        <v>9</v>
      </c>
      <c r="Q86" s="4"/>
      <c r="T86" s="6">
        <v>66</v>
      </c>
      <c r="U86" s="6" t="s">
        <v>283</v>
      </c>
      <c r="V86" s="6">
        <v>1</v>
      </c>
      <c r="W86" s="6" t="s">
        <v>280</v>
      </c>
      <c r="X86" s="70" t="s">
        <v>276</v>
      </c>
      <c r="Y86" s="6" t="s">
        <v>230</v>
      </c>
      <c r="Z86" s="70">
        <v>9500</v>
      </c>
      <c r="AA86" s="70">
        <v>350</v>
      </c>
      <c r="AB86" s="70" t="s">
        <v>9</v>
      </c>
      <c r="AC86" s="70">
        <v>3</v>
      </c>
      <c r="AD86" s="70">
        <v>380</v>
      </c>
      <c r="AE86" s="6">
        <v>2450</v>
      </c>
      <c r="AF86" s="32" t="s">
        <v>9</v>
      </c>
      <c r="AG86" s="32" t="s">
        <v>9</v>
      </c>
      <c r="AH86" s="32" t="s">
        <v>9</v>
      </c>
      <c r="AI86" s="32" t="s">
        <v>9</v>
      </c>
      <c r="AJ86" s="32" t="s">
        <v>9</v>
      </c>
      <c r="AK86" s="32" t="s">
        <v>9</v>
      </c>
      <c r="AL86" s="32" t="s">
        <v>9</v>
      </c>
      <c r="AM86" s="32" t="s">
        <v>9</v>
      </c>
      <c r="AN86" s="32" t="s">
        <v>9</v>
      </c>
      <c r="AO86" s="32" t="s">
        <v>9</v>
      </c>
      <c r="AP86" s="32" t="s">
        <v>9</v>
      </c>
      <c r="AQ86" s="32" t="s">
        <v>9</v>
      </c>
      <c r="AR86" s="32" t="s">
        <v>9</v>
      </c>
      <c r="AS86" s="32" t="s">
        <v>9</v>
      </c>
      <c r="AT86" s="32" t="s">
        <v>9</v>
      </c>
      <c r="AU86" s="32" t="s">
        <v>9</v>
      </c>
      <c r="BW86" s="179"/>
      <c r="BX86" s="176"/>
      <c r="BY86" s="176"/>
      <c r="BZ86" s="176"/>
      <c r="CA86" s="176"/>
      <c r="CB86" s="76"/>
      <c r="CC86" s="76"/>
    </row>
    <row r="87" spans="1:81" ht="9.9499999999999993" customHeight="1" x14ac:dyDescent="0.2">
      <c r="A87" s="101">
        <v>141</v>
      </c>
      <c r="B87" s="93" t="s">
        <v>336</v>
      </c>
      <c r="C87" s="8"/>
      <c r="D87" s="105">
        <v>2.97</v>
      </c>
      <c r="E87" s="104">
        <v>27.63</v>
      </c>
      <c r="F87" s="110">
        <f>ROUND(D87*E87,2)</f>
        <v>82.06</v>
      </c>
      <c r="G87" s="111">
        <v>3</v>
      </c>
      <c r="H87" s="8">
        <v>4</v>
      </c>
      <c r="I87" s="104">
        <v>4400</v>
      </c>
      <c r="J87" s="104" t="s">
        <v>9</v>
      </c>
      <c r="K87" s="104">
        <v>350</v>
      </c>
      <c r="L87" s="104">
        <f>K87+J88+J89+J90+J91</f>
        <v>4115</v>
      </c>
      <c r="M87" s="104">
        <f>ROUNDUP(I87/F87,2)</f>
        <v>53.62</v>
      </c>
      <c r="N87" s="104">
        <f>ROUNDUP(K87/F87,2)</f>
        <v>4.2699999999999996</v>
      </c>
      <c r="O87" s="101" t="str">
        <f>O9</f>
        <v>П1</v>
      </c>
      <c r="P87" s="101" t="str">
        <f>P80</f>
        <v>В17</v>
      </c>
      <c r="Q87" s="92" t="s">
        <v>66</v>
      </c>
      <c r="T87" s="6">
        <v>67</v>
      </c>
      <c r="U87" s="6" t="s">
        <v>284</v>
      </c>
      <c r="V87" s="6">
        <v>1</v>
      </c>
      <c r="W87" s="6" t="s">
        <v>281</v>
      </c>
      <c r="X87" s="70" t="s">
        <v>276</v>
      </c>
      <c r="Y87" s="6" t="s">
        <v>230</v>
      </c>
      <c r="Z87" s="70">
        <v>9500</v>
      </c>
      <c r="AA87" s="70">
        <v>350</v>
      </c>
      <c r="AB87" s="70" t="s">
        <v>9</v>
      </c>
      <c r="AC87" s="70">
        <v>3</v>
      </c>
      <c r="AD87" s="70">
        <v>380</v>
      </c>
      <c r="AE87" s="6">
        <v>2450</v>
      </c>
      <c r="AF87" s="32" t="s">
        <v>9</v>
      </c>
      <c r="AG87" s="32" t="s">
        <v>9</v>
      </c>
      <c r="AH87" s="32" t="s">
        <v>9</v>
      </c>
      <c r="AI87" s="32" t="s">
        <v>9</v>
      </c>
      <c r="AJ87" s="32" t="s">
        <v>9</v>
      </c>
      <c r="AK87" s="32" t="s">
        <v>9</v>
      </c>
      <c r="AL87" s="32" t="s">
        <v>9</v>
      </c>
      <c r="AM87" s="32" t="s">
        <v>9</v>
      </c>
      <c r="AN87" s="32" t="s">
        <v>9</v>
      </c>
      <c r="AO87" s="32" t="s">
        <v>9</v>
      </c>
      <c r="AP87" s="32" t="s">
        <v>9</v>
      </c>
      <c r="AQ87" s="32" t="s">
        <v>9</v>
      </c>
      <c r="AR87" s="32" t="s">
        <v>9</v>
      </c>
      <c r="AS87" s="32" t="s">
        <v>9</v>
      </c>
      <c r="AT87" s="32" t="s">
        <v>9</v>
      </c>
      <c r="AU87" s="32" t="s">
        <v>9</v>
      </c>
      <c r="BW87" s="176"/>
      <c r="BX87" s="176"/>
      <c r="BY87" s="176"/>
      <c r="BZ87" s="176"/>
      <c r="CA87" s="176"/>
      <c r="CB87" s="76"/>
      <c r="CC87" s="76"/>
    </row>
    <row r="88" spans="1:81" ht="9.9499999999999993" customHeight="1" x14ac:dyDescent="0.2">
      <c r="A88" s="101"/>
      <c r="B88" s="93"/>
      <c r="C88" s="8"/>
      <c r="D88" s="105"/>
      <c r="E88" s="104"/>
      <c r="F88" s="110"/>
      <c r="G88" s="111" t="s">
        <v>9</v>
      </c>
      <c r="H88" s="8" t="s">
        <v>9</v>
      </c>
      <c r="I88" s="8" t="s">
        <v>9</v>
      </c>
      <c r="J88" s="104">
        <v>900</v>
      </c>
      <c r="K88" s="8" t="s">
        <v>9</v>
      </c>
      <c r="L88" s="8" t="s">
        <v>9</v>
      </c>
      <c r="M88" s="8" t="s">
        <v>9</v>
      </c>
      <c r="N88" s="8" t="s">
        <v>9</v>
      </c>
      <c r="O88" s="8" t="s">
        <v>9</v>
      </c>
      <c r="P88" s="91" t="s">
        <v>85</v>
      </c>
      <c r="Q88" s="104" t="s">
        <v>305</v>
      </c>
      <c r="T88" s="6"/>
      <c r="U88" s="6"/>
      <c r="V88" s="6"/>
      <c r="W88" s="6"/>
      <c r="X88" s="70"/>
      <c r="Y88" s="6"/>
      <c r="Z88" s="70"/>
      <c r="AA88" s="70"/>
      <c r="AB88" s="70"/>
      <c r="AC88" s="70"/>
      <c r="AD88" s="70"/>
      <c r="AE88" s="6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BW88" s="176"/>
      <c r="BX88" s="176"/>
      <c r="BY88" s="176"/>
      <c r="BZ88" s="176"/>
      <c r="CA88" s="176"/>
      <c r="CB88" s="76"/>
      <c r="CC88" s="76"/>
    </row>
    <row r="89" spans="1:81" ht="9.9499999999999993" customHeight="1" x14ac:dyDescent="0.2">
      <c r="A89" s="101"/>
      <c r="B89" s="93"/>
      <c r="C89" s="8"/>
      <c r="D89" s="105"/>
      <c r="E89" s="104"/>
      <c r="F89" s="110"/>
      <c r="G89" s="111" t="s">
        <v>9</v>
      </c>
      <c r="H89" s="8" t="s">
        <v>9</v>
      </c>
      <c r="I89" s="8" t="s">
        <v>9</v>
      </c>
      <c r="J89" s="104">
        <v>1000</v>
      </c>
      <c r="K89" s="8" t="s">
        <v>9</v>
      </c>
      <c r="L89" s="8" t="s">
        <v>9</v>
      </c>
      <c r="M89" s="8" t="s">
        <v>9</v>
      </c>
      <c r="N89" s="8" t="s">
        <v>9</v>
      </c>
      <c r="O89" s="8" t="s">
        <v>9</v>
      </c>
      <c r="P89" s="91" t="str">
        <f>P88</f>
        <v>В19</v>
      </c>
      <c r="Q89" s="104" t="s">
        <v>183</v>
      </c>
      <c r="T89" s="6"/>
      <c r="U89" s="6"/>
      <c r="V89" s="6"/>
      <c r="W89" s="6"/>
      <c r="X89" s="70"/>
      <c r="Y89" s="6"/>
      <c r="Z89" s="70"/>
      <c r="AA89" s="70"/>
      <c r="AB89" s="70"/>
      <c r="AC89" s="70"/>
      <c r="AD89" s="70"/>
      <c r="AE89" s="6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BW89" s="176"/>
      <c r="BX89" s="176"/>
      <c r="BY89" s="176"/>
      <c r="BZ89" s="176"/>
      <c r="CA89" s="176"/>
      <c r="CB89" s="76"/>
      <c r="CC89" s="76"/>
    </row>
    <row r="90" spans="1:81" ht="9.9499999999999993" customHeight="1" x14ac:dyDescent="0.2">
      <c r="A90" s="101"/>
      <c r="B90" s="93"/>
      <c r="C90" s="8"/>
      <c r="D90" s="105"/>
      <c r="E90" s="104"/>
      <c r="F90" s="110"/>
      <c r="G90" s="111" t="s">
        <v>9</v>
      </c>
      <c r="H90" s="8" t="s">
        <v>9</v>
      </c>
      <c r="I90" s="8" t="s">
        <v>9</v>
      </c>
      <c r="J90" s="104">
        <v>1000</v>
      </c>
      <c r="K90" s="8" t="s">
        <v>9</v>
      </c>
      <c r="L90" s="8" t="s">
        <v>9</v>
      </c>
      <c r="M90" s="8" t="s">
        <v>9</v>
      </c>
      <c r="N90" s="8" t="s">
        <v>9</v>
      </c>
      <c r="O90" s="8" t="s">
        <v>9</v>
      </c>
      <c r="P90" s="91" t="str">
        <f>P88</f>
        <v>В19</v>
      </c>
      <c r="Q90" s="104" t="s">
        <v>183</v>
      </c>
      <c r="T90" s="6"/>
      <c r="U90" s="6"/>
      <c r="V90" s="6"/>
      <c r="W90" s="6"/>
      <c r="X90" s="70"/>
      <c r="Y90" s="6"/>
      <c r="Z90" s="70"/>
      <c r="AA90" s="70"/>
      <c r="AB90" s="70"/>
      <c r="AC90" s="70"/>
      <c r="AD90" s="70"/>
      <c r="AE90" s="6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BW90" s="176"/>
      <c r="BX90" s="176"/>
      <c r="BY90" s="176"/>
      <c r="BZ90" s="176"/>
      <c r="CA90" s="176"/>
      <c r="CB90" s="76"/>
      <c r="CC90" s="76"/>
    </row>
    <row r="91" spans="1:81" ht="9.9499999999999993" customHeight="1" x14ac:dyDescent="0.2">
      <c r="A91" s="101"/>
      <c r="B91" s="93"/>
      <c r="C91" s="8"/>
      <c r="D91" s="105"/>
      <c r="E91" s="104"/>
      <c r="F91" s="110"/>
      <c r="G91" s="111" t="s">
        <v>9</v>
      </c>
      <c r="H91" s="8" t="s">
        <v>9</v>
      </c>
      <c r="I91" s="8" t="s">
        <v>9</v>
      </c>
      <c r="J91" s="104">
        <v>865</v>
      </c>
      <c r="K91" s="8" t="s">
        <v>9</v>
      </c>
      <c r="L91" s="8" t="s">
        <v>9</v>
      </c>
      <c r="M91" s="8" t="s">
        <v>9</v>
      </c>
      <c r="N91" s="8" t="s">
        <v>9</v>
      </c>
      <c r="O91" s="8" t="s">
        <v>9</v>
      </c>
      <c r="P91" s="91" t="str">
        <f>P88</f>
        <v>В19</v>
      </c>
      <c r="Q91" s="104" t="s">
        <v>184</v>
      </c>
      <c r="T91" s="6"/>
      <c r="U91" s="6"/>
      <c r="V91" s="6"/>
      <c r="W91" s="6"/>
      <c r="X91" s="70"/>
      <c r="Y91" s="6"/>
      <c r="Z91" s="70"/>
      <c r="AA91" s="70"/>
      <c r="AB91" s="70"/>
      <c r="AC91" s="70"/>
      <c r="AD91" s="70"/>
      <c r="AE91" s="6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BW91" s="176"/>
      <c r="BX91" s="176"/>
      <c r="BY91" s="176"/>
      <c r="BZ91" s="176"/>
      <c r="CA91" s="176"/>
      <c r="CB91" s="76"/>
      <c r="CC91" s="76"/>
    </row>
    <row r="92" spans="1:81" x14ac:dyDescent="0.2">
      <c r="A92" s="101">
        <v>142</v>
      </c>
      <c r="B92" s="93" t="s">
        <v>10</v>
      </c>
      <c r="C92" s="8"/>
      <c r="D92" s="105">
        <v>2.97</v>
      </c>
      <c r="E92" s="104">
        <v>17.16</v>
      </c>
      <c r="F92" s="110">
        <f t="shared" ref="F92:F101" si="36">ROUND(D92*E92,2)</f>
        <v>50.97</v>
      </c>
      <c r="G92" s="8" t="s">
        <v>9</v>
      </c>
      <c r="H92" s="101" t="s">
        <v>9</v>
      </c>
      <c r="I92" s="104">
        <v>120</v>
      </c>
      <c r="J92" s="104" t="s">
        <v>9</v>
      </c>
      <c r="K92" s="104" t="s">
        <v>9</v>
      </c>
      <c r="L92" s="104" t="s">
        <v>9</v>
      </c>
      <c r="M92" s="110" t="s">
        <v>9</v>
      </c>
      <c r="N92" s="110" t="s">
        <v>9</v>
      </c>
      <c r="O92" s="101" t="s">
        <v>388</v>
      </c>
      <c r="P92" s="101" t="s">
        <v>9</v>
      </c>
      <c r="Q92" s="4"/>
      <c r="T92" s="6">
        <v>68</v>
      </c>
      <c r="U92" s="6" t="s">
        <v>285</v>
      </c>
      <c r="V92" s="6">
        <v>1</v>
      </c>
      <c r="W92" s="6" t="s">
        <v>282</v>
      </c>
      <c r="X92" s="70" t="s">
        <v>276</v>
      </c>
      <c r="Y92" s="6" t="s">
        <v>230</v>
      </c>
      <c r="Z92" s="70">
        <v>15000</v>
      </c>
      <c r="AA92" s="70">
        <v>500</v>
      </c>
      <c r="AB92" s="70" t="s">
        <v>9</v>
      </c>
      <c r="AC92" s="70">
        <v>5.5</v>
      </c>
      <c r="AD92" s="70">
        <v>380</v>
      </c>
      <c r="AE92" s="70">
        <v>1450</v>
      </c>
      <c r="AF92" s="32" t="s">
        <v>9</v>
      </c>
      <c r="AG92" s="32" t="s">
        <v>9</v>
      </c>
      <c r="AH92" s="32" t="s">
        <v>9</v>
      </c>
      <c r="AI92" s="32" t="s">
        <v>9</v>
      </c>
      <c r="AJ92" s="32" t="s">
        <v>9</v>
      </c>
      <c r="AK92" s="32" t="s">
        <v>9</v>
      </c>
      <c r="AL92" s="32" t="s">
        <v>9</v>
      </c>
      <c r="AM92" s="32" t="s">
        <v>9</v>
      </c>
      <c r="AN92" s="32" t="s">
        <v>9</v>
      </c>
      <c r="AO92" s="32" t="s">
        <v>9</v>
      </c>
      <c r="AP92" s="32" t="s">
        <v>9</v>
      </c>
      <c r="AQ92" s="32" t="s">
        <v>9</v>
      </c>
      <c r="AR92" s="32" t="s">
        <v>9</v>
      </c>
      <c r="AS92" s="32" t="s">
        <v>9</v>
      </c>
      <c r="AT92" s="32" t="s">
        <v>9</v>
      </c>
      <c r="AU92" s="32" t="s">
        <v>9</v>
      </c>
      <c r="BW92" s="176"/>
      <c r="BX92" s="176"/>
      <c r="BY92" s="176"/>
      <c r="BZ92" s="176"/>
      <c r="CA92" s="176"/>
      <c r="CB92" s="76"/>
      <c r="CC92" s="76"/>
    </row>
    <row r="93" spans="1:81" x14ac:dyDescent="0.2">
      <c r="A93" s="101">
        <v>143</v>
      </c>
      <c r="B93" s="93" t="s">
        <v>120</v>
      </c>
      <c r="C93" s="8"/>
      <c r="D93" s="105">
        <v>3</v>
      </c>
      <c r="E93" s="104">
        <v>9.3800000000000008</v>
      </c>
      <c r="F93" s="110">
        <f t="shared" si="36"/>
        <v>28.14</v>
      </c>
      <c r="G93" s="101">
        <v>2</v>
      </c>
      <c r="H93" s="101">
        <v>3</v>
      </c>
      <c r="I93" s="104">
        <f>_xlfn.CEILING.MATH(G93*F93,5)</f>
        <v>60</v>
      </c>
      <c r="J93" s="104" t="s">
        <v>9</v>
      </c>
      <c r="K93" s="104">
        <f>_xlfn.CEILING.MATH(H93*F93,5)</f>
        <v>85</v>
      </c>
      <c r="L93" s="104">
        <f>K93</f>
        <v>85</v>
      </c>
      <c r="M93" s="110">
        <f>ROUNDUP(I93/F93,2)</f>
        <v>2.1399999999999997</v>
      </c>
      <c r="N93" s="110">
        <f>ROUNDUP(L93/F93,2)</f>
        <v>3.03</v>
      </c>
      <c r="O93" s="101" t="str">
        <f>O92</f>
        <v>П9</v>
      </c>
      <c r="P93" s="101" t="s">
        <v>86</v>
      </c>
      <c r="Q93" s="4"/>
      <c r="T93" s="173" t="s">
        <v>287</v>
      </c>
      <c r="U93" s="174"/>
      <c r="V93" s="174"/>
      <c r="W93" s="174"/>
      <c r="X93" s="174"/>
      <c r="Y93" s="174"/>
      <c r="Z93" s="174"/>
      <c r="AA93" s="174"/>
      <c r="AB93" s="174"/>
      <c r="AC93" s="174"/>
      <c r="AD93" s="174"/>
      <c r="AE93" s="174"/>
      <c r="AF93" s="174"/>
      <c r="AG93" s="174"/>
      <c r="AH93" s="174"/>
      <c r="AI93" s="174"/>
      <c r="AJ93" s="174"/>
      <c r="AK93" s="174"/>
      <c r="AL93" s="174"/>
      <c r="AM93" s="174"/>
      <c r="AN93" s="174"/>
      <c r="AO93" s="174"/>
      <c r="AP93" s="174"/>
      <c r="AQ93" s="174"/>
      <c r="AR93" s="174"/>
      <c r="AS93" s="174"/>
      <c r="AT93" s="174"/>
      <c r="AU93" s="175"/>
      <c r="BW93" s="176"/>
      <c r="BX93" s="176"/>
      <c r="BY93" s="176"/>
      <c r="BZ93" s="176"/>
      <c r="CA93" s="176"/>
      <c r="CB93" s="76"/>
      <c r="CC93" s="76"/>
    </row>
    <row r="94" spans="1:81" x14ac:dyDescent="0.2">
      <c r="A94" s="101">
        <v>144</v>
      </c>
      <c r="B94" s="93" t="s">
        <v>11</v>
      </c>
      <c r="C94" s="8"/>
      <c r="D94" s="105">
        <v>3</v>
      </c>
      <c r="E94" s="104">
        <v>2.1800000000000002</v>
      </c>
      <c r="F94" s="110">
        <f t="shared" si="36"/>
        <v>6.54</v>
      </c>
      <c r="G94" s="91" t="s">
        <v>9</v>
      </c>
      <c r="H94" s="8" t="s">
        <v>105</v>
      </c>
      <c r="I94" s="104" t="s">
        <v>9</v>
      </c>
      <c r="J94" s="104" t="s">
        <v>9</v>
      </c>
      <c r="K94" s="104">
        <v>75</v>
      </c>
      <c r="L94" s="104">
        <f>K94</f>
        <v>75</v>
      </c>
      <c r="M94" s="110" t="s">
        <v>9</v>
      </c>
      <c r="N94" s="110">
        <f>ROUNDUP(L94/F94,2)</f>
        <v>11.47</v>
      </c>
      <c r="O94" s="104" t="s">
        <v>9</v>
      </c>
      <c r="P94" s="91" t="s">
        <v>87</v>
      </c>
      <c r="Q94" s="4" t="s">
        <v>375</v>
      </c>
      <c r="T94" s="6">
        <v>69</v>
      </c>
      <c r="U94" s="70" t="s">
        <v>253</v>
      </c>
      <c r="V94" s="70">
        <v>1</v>
      </c>
      <c r="W94" s="6" t="s">
        <v>75</v>
      </c>
      <c r="X94" s="6" t="s">
        <v>266</v>
      </c>
      <c r="Y94" s="70" t="s">
        <v>270</v>
      </c>
      <c r="Z94" s="6" t="s">
        <v>9</v>
      </c>
      <c r="AA94" s="6" t="s">
        <v>9</v>
      </c>
      <c r="AB94" s="6" t="s">
        <v>9</v>
      </c>
      <c r="AC94" s="6" t="s">
        <v>9</v>
      </c>
      <c r="AD94" s="6" t="s">
        <v>9</v>
      </c>
      <c r="AE94" s="6" t="s">
        <v>9</v>
      </c>
      <c r="AF94" s="32" t="s">
        <v>9</v>
      </c>
      <c r="AG94" s="32" t="s">
        <v>9</v>
      </c>
      <c r="AH94" s="32" t="s">
        <v>9</v>
      </c>
      <c r="AI94" s="32" t="s">
        <v>9</v>
      </c>
      <c r="AJ94" s="32" t="s">
        <v>9</v>
      </c>
      <c r="AK94" s="32" t="s">
        <v>9</v>
      </c>
      <c r="AL94" s="32" t="s">
        <v>9</v>
      </c>
      <c r="AM94" s="32" t="s">
        <v>9</v>
      </c>
      <c r="AN94" s="32" t="s">
        <v>9</v>
      </c>
      <c r="AO94" s="32" t="s">
        <v>9</v>
      </c>
      <c r="AP94" s="32" t="s">
        <v>9</v>
      </c>
      <c r="AQ94" s="32" t="s">
        <v>9</v>
      </c>
      <c r="AR94" s="32" t="s">
        <v>9</v>
      </c>
      <c r="AS94" s="32" t="s">
        <v>9</v>
      </c>
      <c r="AT94" s="32" t="s">
        <v>9</v>
      </c>
      <c r="AU94" s="32" t="s">
        <v>9</v>
      </c>
      <c r="BW94" s="176"/>
      <c r="BX94" s="176"/>
      <c r="BY94" s="176"/>
      <c r="BZ94" s="176"/>
      <c r="CA94" s="176"/>
      <c r="CB94" s="76"/>
      <c r="CC94" s="76"/>
    </row>
    <row r="95" spans="1:81" x14ac:dyDescent="0.2">
      <c r="A95" s="101">
        <v>145</v>
      </c>
      <c r="B95" s="93" t="s">
        <v>350</v>
      </c>
      <c r="C95" s="8"/>
      <c r="D95" s="105">
        <v>2.97</v>
      </c>
      <c r="E95" s="104">
        <v>14.43</v>
      </c>
      <c r="F95" s="110">
        <f t="shared" si="36"/>
        <v>42.86</v>
      </c>
      <c r="G95" s="101">
        <v>2</v>
      </c>
      <c r="H95" s="101">
        <v>3</v>
      </c>
      <c r="I95" s="104">
        <f>_xlfn.CEILING.MATH(G95*F95,5)</f>
        <v>90</v>
      </c>
      <c r="J95" s="104" t="s">
        <v>9</v>
      </c>
      <c r="K95" s="104">
        <f>_xlfn.CEILING.MATH(H95*F95,5)</f>
        <v>130</v>
      </c>
      <c r="L95" s="104">
        <f>K95</f>
        <v>130</v>
      </c>
      <c r="M95" s="110">
        <f>ROUNDUP(I95/F95,2)</f>
        <v>2.0999999999999996</v>
      </c>
      <c r="N95" s="110">
        <f>ROUNDUP(L95/F95,2)</f>
        <v>3.0399999999999996</v>
      </c>
      <c r="O95" s="101" t="str">
        <f>O92</f>
        <v>П9</v>
      </c>
      <c r="P95" s="101" t="str">
        <f>P93</f>
        <v>В20</v>
      </c>
      <c r="Q95" s="4"/>
      <c r="T95" s="6">
        <v>70</v>
      </c>
      <c r="U95" s="70" t="s">
        <v>254</v>
      </c>
      <c r="V95" s="70">
        <v>1</v>
      </c>
      <c r="W95" s="6" t="s">
        <v>94</v>
      </c>
      <c r="X95" s="6" t="s">
        <v>266</v>
      </c>
      <c r="Y95" s="70" t="s">
        <v>270</v>
      </c>
      <c r="Z95" s="6" t="s">
        <v>9</v>
      </c>
      <c r="AA95" s="6" t="s">
        <v>9</v>
      </c>
      <c r="AB95" s="6" t="s">
        <v>9</v>
      </c>
      <c r="AC95" s="6" t="s">
        <v>9</v>
      </c>
      <c r="AD95" s="6" t="s">
        <v>9</v>
      </c>
      <c r="AE95" s="6" t="s">
        <v>9</v>
      </c>
      <c r="AF95" s="32" t="s">
        <v>9</v>
      </c>
      <c r="AG95" s="32" t="s">
        <v>9</v>
      </c>
      <c r="AH95" s="32" t="s">
        <v>9</v>
      </c>
      <c r="AI95" s="32" t="s">
        <v>9</v>
      </c>
      <c r="AJ95" s="32" t="s">
        <v>9</v>
      </c>
      <c r="AK95" s="32" t="s">
        <v>9</v>
      </c>
      <c r="AL95" s="32" t="s">
        <v>9</v>
      </c>
      <c r="AM95" s="32" t="s">
        <v>9</v>
      </c>
      <c r="AN95" s="32" t="s">
        <v>9</v>
      </c>
      <c r="AO95" s="32" t="s">
        <v>9</v>
      </c>
      <c r="AP95" s="32" t="s">
        <v>9</v>
      </c>
      <c r="AQ95" s="32" t="s">
        <v>9</v>
      </c>
      <c r="AR95" s="32" t="s">
        <v>9</v>
      </c>
      <c r="AS95" s="32" t="s">
        <v>9</v>
      </c>
      <c r="AT95" s="32" t="s">
        <v>9</v>
      </c>
      <c r="AU95" s="32" t="s">
        <v>9</v>
      </c>
      <c r="BW95" s="176"/>
      <c r="BX95" s="176"/>
      <c r="BY95" s="180"/>
      <c r="BZ95" s="176"/>
      <c r="CA95" s="176"/>
      <c r="CB95" s="76"/>
      <c r="CC95" s="76"/>
    </row>
    <row r="96" spans="1:81" x14ac:dyDescent="0.2">
      <c r="A96" s="101">
        <v>146</v>
      </c>
      <c r="B96" s="93" t="s">
        <v>13</v>
      </c>
      <c r="C96" s="8" t="s">
        <v>33</v>
      </c>
      <c r="D96" s="105">
        <v>2.97</v>
      </c>
      <c r="E96" s="104">
        <v>2.34</v>
      </c>
      <c r="F96" s="110">
        <f t="shared" si="36"/>
        <v>6.95</v>
      </c>
      <c r="G96" s="111" t="s">
        <v>9</v>
      </c>
      <c r="H96" s="111">
        <v>5</v>
      </c>
      <c r="I96" s="104" t="s">
        <v>9</v>
      </c>
      <c r="J96" s="104" t="s">
        <v>9</v>
      </c>
      <c r="K96" s="104">
        <v>35</v>
      </c>
      <c r="L96" s="104">
        <v>35</v>
      </c>
      <c r="M96" s="110">
        <v>5</v>
      </c>
      <c r="N96" s="110">
        <f>ROUNDUP(L96/F96,2)</f>
        <v>5.04</v>
      </c>
      <c r="O96" s="101" t="s">
        <v>9</v>
      </c>
      <c r="P96" s="104" t="s">
        <v>88</v>
      </c>
      <c r="Q96" s="4" t="s">
        <v>374</v>
      </c>
      <c r="T96" s="6">
        <v>71</v>
      </c>
      <c r="U96" s="70" t="s">
        <v>255</v>
      </c>
      <c r="V96" s="70">
        <v>1</v>
      </c>
      <c r="W96" s="6" t="s">
        <v>64</v>
      </c>
      <c r="X96" s="6" t="s">
        <v>266</v>
      </c>
      <c r="Y96" s="70" t="s">
        <v>270</v>
      </c>
      <c r="Z96" s="6" t="s">
        <v>9</v>
      </c>
      <c r="AA96" s="6" t="s">
        <v>9</v>
      </c>
      <c r="AB96" s="6" t="s">
        <v>9</v>
      </c>
      <c r="AC96" s="6" t="s">
        <v>9</v>
      </c>
      <c r="AD96" s="6" t="s">
        <v>9</v>
      </c>
      <c r="AE96" s="6" t="s">
        <v>9</v>
      </c>
      <c r="AF96" s="32" t="s">
        <v>9</v>
      </c>
      <c r="AG96" s="32" t="s">
        <v>9</v>
      </c>
      <c r="AH96" s="32" t="s">
        <v>9</v>
      </c>
      <c r="AI96" s="32" t="s">
        <v>9</v>
      </c>
      <c r="AJ96" s="32" t="s">
        <v>9</v>
      </c>
      <c r="AK96" s="32" t="s">
        <v>9</v>
      </c>
      <c r="AL96" s="32" t="s">
        <v>9</v>
      </c>
      <c r="AM96" s="32" t="s">
        <v>9</v>
      </c>
      <c r="AN96" s="32" t="s">
        <v>9</v>
      </c>
      <c r="AO96" s="32" t="s">
        <v>9</v>
      </c>
      <c r="AP96" s="32" t="s">
        <v>9</v>
      </c>
      <c r="AQ96" s="32" t="s">
        <v>9</v>
      </c>
      <c r="AR96" s="32" t="s">
        <v>9</v>
      </c>
      <c r="AS96" s="32" t="s">
        <v>9</v>
      </c>
      <c r="AT96" s="32" t="s">
        <v>9</v>
      </c>
      <c r="AU96" s="32" t="s">
        <v>9</v>
      </c>
      <c r="BW96" s="176"/>
      <c r="BX96" s="176"/>
      <c r="BY96" s="176"/>
      <c r="BZ96" s="176"/>
      <c r="CA96" s="176"/>
      <c r="CB96" s="76"/>
      <c r="CC96" s="76"/>
    </row>
    <row r="97" spans="1:89" x14ac:dyDescent="0.2">
      <c r="A97" s="101">
        <v>147</v>
      </c>
      <c r="B97" s="93" t="s">
        <v>114</v>
      </c>
      <c r="C97" s="8"/>
      <c r="D97" s="105">
        <v>2.97</v>
      </c>
      <c r="E97" s="104">
        <v>2.17</v>
      </c>
      <c r="F97" s="110">
        <f t="shared" si="36"/>
        <v>6.44</v>
      </c>
      <c r="G97" s="8" t="s">
        <v>9</v>
      </c>
      <c r="H97" s="8" t="s">
        <v>105</v>
      </c>
      <c r="I97" s="8" t="s">
        <v>9</v>
      </c>
      <c r="J97" s="8" t="s">
        <v>9</v>
      </c>
      <c r="K97" s="8">
        <v>75</v>
      </c>
      <c r="L97" s="8">
        <v>75</v>
      </c>
      <c r="M97" s="8">
        <v>9.4</v>
      </c>
      <c r="N97" s="8">
        <v>9.4</v>
      </c>
      <c r="O97" s="8" t="s">
        <v>9</v>
      </c>
      <c r="P97" s="91" t="str">
        <f>P94</f>
        <v>В21</v>
      </c>
      <c r="Q97" s="4" t="s">
        <v>375</v>
      </c>
      <c r="T97" s="6">
        <v>72</v>
      </c>
      <c r="U97" s="70" t="s">
        <v>256</v>
      </c>
      <c r="V97" s="70">
        <v>1</v>
      </c>
      <c r="W97" s="6" t="s">
        <v>63</v>
      </c>
      <c r="X97" s="32" t="s">
        <v>266</v>
      </c>
      <c r="Y97" s="70" t="s">
        <v>270</v>
      </c>
      <c r="Z97" s="32" t="s">
        <v>9</v>
      </c>
      <c r="AA97" s="32" t="s">
        <v>9</v>
      </c>
      <c r="AB97" s="32" t="s">
        <v>9</v>
      </c>
      <c r="AC97" s="32" t="s">
        <v>9</v>
      </c>
      <c r="AD97" s="32" t="s">
        <v>9</v>
      </c>
      <c r="AE97" s="32" t="s">
        <v>9</v>
      </c>
      <c r="AF97" s="32" t="s">
        <v>9</v>
      </c>
      <c r="AG97" s="32" t="s">
        <v>9</v>
      </c>
      <c r="AH97" s="32" t="s">
        <v>9</v>
      </c>
      <c r="AI97" s="32" t="s">
        <v>9</v>
      </c>
      <c r="AJ97" s="32" t="s">
        <v>9</v>
      </c>
      <c r="AK97" s="32" t="s">
        <v>9</v>
      </c>
      <c r="AL97" s="32" t="s">
        <v>9</v>
      </c>
      <c r="AM97" s="32" t="s">
        <v>9</v>
      </c>
      <c r="AN97" s="32" t="s">
        <v>9</v>
      </c>
      <c r="AO97" s="32" t="s">
        <v>9</v>
      </c>
      <c r="AP97" s="32" t="s">
        <v>9</v>
      </c>
      <c r="AQ97" s="32" t="s">
        <v>9</v>
      </c>
      <c r="AR97" s="32" t="s">
        <v>9</v>
      </c>
      <c r="AS97" s="32" t="s">
        <v>9</v>
      </c>
      <c r="AT97" s="32" t="s">
        <v>9</v>
      </c>
      <c r="AU97" s="32" t="s">
        <v>9</v>
      </c>
      <c r="BW97" s="176"/>
      <c r="BX97" s="176"/>
      <c r="BY97" s="176"/>
      <c r="BZ97" s="176"/>
      <c r="CA97" s="176"/>
      <c r="CB97" s="76"/>
      <c r="CC97" s="76"/>
    </row>
    <row r="98" spans="1:89" ht="25.5" x14ac:dyDescent="0.2">
      <c r="A98" s="101">
        <v>148</v>
      </c>
      <c r="B98" s="93" t="s">
        <v>337</v>
      </c>
      <c r="C98" s="8"/>
      <c r="D98" s="105">
        <v>2.97</v>
      </c>
      <c r="E98" s="104">
        <v>77.61</v>
      </c>
      <c r="F98" s="110">
        <f t="shared" si="36"/>
        <v>230.5</v>
      </c>
      <c r="G98" s="111" t="s">
        <v>135</v>
      </c>
      <c r="H98" s="111" t="s">
        <v>135</v>
      </c>
      <c r="I98" s="104">
        <f>80*28</f>
        <v>2240</v>
      </c>
      <c r="J98" s="104" t="s">
        <v>9</v>
      </c>
      <c r="K98" s="104">
        <f>80*28</f>
        <v>2240</v>
      </c>
      <c r="L98" s="104">
        <f t="shared" ref="L98:L100" si="37">K98</f>
        <v>2240</v>
      </c>
      <c r="M98" s="110">
        <f>ROUNDUP(I98/F98,2)</f>
        <v>9.7200000000000006</v>
      </c>
      <c r="N98" s="110">
        <f t="shared" ref="N98:N100" si="38">ROUNDUP(L98/F98,2)</f>
        <v>9.7200000000000006</v>
      </c>
      <c r="O98" s="101" t="s">
        <v>73</v>
      </c>
      <c r="P98" s="101" t="s">
        <v>89</v>
      </c>
      <c r="Q98" s="4"/>
      <c r="T98" s="6">
        <v>73</v>
      </c>
      <c r="U98" s="70" t="s">
        <v>257</v>
      </c>
      <c r="V98" s="70">
        <v>1</v>
      </c>
      <c r="W98" s="6" t="s">
        <v>62</v>
      </c>
      <c r="X98" s="32" t="s">
        <v>266</v>
      </c>
      <c r="Y98" s="70" t="s">
        <v>270</v>
      </c>
      <c r="Z98" s="32" t="s">
        <v>9</v>
      </c>
      <c r="AA98" s="32" t="s">
        <v>9</v>
      </c>
      <c r="AB98" s="32" t="s">
        <v>9</v>
      </c>
      <c r="AC98" s="32" t="s">
        <v>9</v>
      </c>
      <c r="AD98" s="32" t="s">
        <v>9</v>
      </c>
      <c r="AE98" s="32" t="s">
        <v>9</v>
      </c>
      <c r="AF98" s="32" t="s">
        <v>9</v>
      </c>
      <c r="AG98" s="32" t="s">
        <v>9</v>
      </c>
      <c r="AH98" s="32" t="s">
        <v>9</v>
      </c>
      <c r="AI98" s="32" t="s">
        <v>9</v>
      </c>
      <c r="AJ98" s="32" t="s">
        <v>9</v>
      </c>
      <c r="AK98" s="32" t="s">
        <v>9</v>
      </c>
      <c r="AL98" s="32" t="s">
        <v>9</v>
      </c>
      <c r="AM98" s="32" t="s">
        <v>9</v>
      </c>
      <c r="AN98" s="32" t="s">
        <v>9</v>
      </c>
      <c r="AO98" s="32" t="s">
        <v>9</v>
      </c>
      <c r="AP98" s="32" t="s">
        <v>9</v>
      </c>
      <c r="AQ98" s="32" t="s">
        <v>9</v>
      </c>
      <c r="AR98" s="32" t="s">
        <v>9</v>
      </c>
      <c r="AS98" s="32" t="s">
        <v>9</v>
      </c>
      <c r="AT98" s="32" t="s">
        <v>9</v>
      </c>
      <c r="AU98" s="32" t="s">
        <v>9</v>
      </c>
      <c r="BW98" s="176"/>
      <c r="BX98" s="176"/>
      <c r="BY98" s="176"/>
      <c r="BZ98" s="176"/>
      <c r="CA98" s="176"/>
      <c r="CB98" s="76"/>
      <c r="CC98" s="76"/>
    </row>
    <row r="99" spans="1:89" ht="51" x14ac:dyDescent="0.2">
      <c r="A99" s="101">
        <v>149</v>
      </c>
      <c r="B99" s="93" t="s">
        <v>338</v>
      </c>
      <c r="C99" s="8"/>
      <c r="D99" s="105">
        <v>2.97</v>
      </c>
      <c r="E99" s="104">
        <v>94.14</v>
      </c>
      <c r="F99" s="110">
        <f t="shared" si="36"/>
        <v>279.60000000000002</v>
      </c>
      <c r="G99" s="111" t="s">
        <v>131</v>
      </c>
      <c r="H99" s="111" t="s">
        <v>131</v>
      </c>
      <c r="I99" s="104">
        <f>20*48+K100</f>
        <v>1050</v>
      </c>
      <c r="J99" s="104" t="s">
        <v>9</v>
      </c>
      <c r="K99" s="104">
        <f>20*48</f>
        <v>960</v>
      </c>
      <c r="L99" s="104">
        <f t="shared" si="37"/>
        <v>960</v>
      </c>
      <c r="M99" s="110">
        <f>ROUNDUP(I99/F99,2)</f>
        <v>3.76</v>
      </c>
      <c r="N99" s="110">
        <f t="shared" si="38"/>
        <v>3.44</v>
      </c>
      <c r="O99" s="101" t="s">
        <v>24</v>
      </c>
      <c r="P99" s="101" t="s">
        <v>139</v>
      </c>
      <c r="Q99" s="4"/>
      <c r="T99" s="6">
        <v>74</v>
      </c>
      <c r="U99" s="70" t="s">
        <v>271</v>
      </c>
      <c r="V99" s="70">
        <v>2</v>
      </c>
      <c r="W99" s="6" t="s">
        <v>16</v>
      </c>
      <c r="X99" s="32" t="s">
        <v>267</v>
      </c>
      <c r="Y99" s="70" t="s">
        <v>270</v>
      </c>
      <c r="Z99" s="32" t="s">
        <v>9</v>
      </c>
      <c r="AA99" s="32" t="s">
        <v>9</v>
      </c>
      <c r="AB99" s="32" t="s">
        <v>9</v>
      </c>
      <c r="AC99" s="32" t="s">
        <v>9</v>
      </c>
      <c r="AD99" s="32" t="s">
        <v>9</v>
      </c>
      <c r="AE99" s="32" t="s">
        <v>9</v>
      </c>
      <c r="AF99" s="32" t="s">
        <v>9</v>
      </c>
      <c r="AG99" s="32" t="s">
        <v>9</v>
      </c>
      <c r="AH99" s="32" t="s">
        <v>9</v>
      </c>
      <c r="AI99" s="32" t="s">
        <v>9</v>
      </c>
      <c r="AJ99" s="32" t="s">
        <v>9</v>
      </c>
      <c r="AK99" s="32" t="s">
        <v>9</v>
      </c>
      <c r="AL99" s="32" t="s">
        <v>9</v>
      </c>
      <c r="AM99" s="32" t="s">
        <v>9</v>
      </c>
      <c r="AN99" s="32" t="s">
        <v>9</v>
      </c>
      <c r="AO99" s="32" t="s">
        <v>9</v>
      </c>
      <c r="AP99" s="32" t="s">
        <v>9</v>
      </c>
      <c r="AQ99" s="32" t="s">
        <v>9</v>
      </c>
      <c r="AR99" s="32" t="s">
        <v>9</v>
      </c>
      <c r="AS99" s="32" t="s">
        <v>9</v>
      </c>
      <c r="AT99" s="32" t="s">
        <v>9</v>
      </c>
      <c r="AU99" s="32" t="s">
        <v>9</v>
      </c>
      <c r="BW99" s="176"/>
      <c r="BX99" s="176"/>
      <c r="BY99" s="176"/>
      <c r="BZ99" s="176"/>
      <c r="CA99" s="176"/>
      <c r="CB99" s="76"/>
      <c r="CC99" s="76"/>
    </row>
    <row r="100" spans="1:89" ht="38.25" x14ac:dyDescent="0.2">
      <c r="A100" s="101">
        <v>150</v>
      </c>
      <c r="B100" s="93" t="s">
        <v>339</v>
      </c>
      <c r="C100" s="8" t="s">
        <v>31</v>
      </c>
      <c r="D100" s="105">
        <v>2.97</v>
      </c>
      <c r="E100" s="104">
        <v>30</v>
      </c>
      <c r="F100" s="110">
        <f t="shared" si="36"/>
        <v>89.1</v>
      </c>
      <c r="G100" s="103" t="s">
        <v>9</v>
      </c>
      <c r="H100" s="103">
        <v>1</v>
      </c>
      <c r="I100" s="104" t="s">
        <v>9</v>
      </c>
      <c r="J100" s="104" t="s">
        <v>9</v>
      </c>
      <c r="K100" s="104">
        <f>_xlfn.CEILING.MATH(H100*F100,5)</f>
        <v>90</v>
      </c>
      <c r="L100" s="104">
        <f t="shared" si="37"/>
        <v>90</v>
      </c>
      <c r="M100" s="110" t="s">
        <v>9</v>
      </c>
      <c r="N100" s="110">
        <f t="shared" si="38"/>
        <v>1.02</v>
      </c>
      <c r="O100" s="101" t="s">
        <v>9</v>
      </c>
      <c r="P100" s="104" t="s">
        <v>387</v>
      </c>
      <c r="Q100" s="4"/>
      <c r="T100" s="6">
        <v>75</v>
      </c>
      <c r="U100" s="70" t="s">
        <v>272</v>
      </c>
      <c r="V100" s="70">
        <v>2</v>
      </c>
      <c r="W100" s="6" t="s">
        <v>16</v>
      </c>
      <c r="X100" s="32" t="s">
        <v>267</v>
      </c>
      <c r="Y100" s="70" t="s">
        <v>270</v>
      </c>
      <c r="Z100" s="32" t="s">
        <v>9</v>
      </c>
      <c r="AA100" s="32" t="s">
        <v>9</v>
      </c>
      <c r="AB100" s="32" t="s">
        <v>9</v>
      </c>
      <c r="AC100" s="32" t="s">
        <v>9</v>
      </c>
      <c r="AD100" s="32" t="s">
        <v>9</v>
      </c>
      <c r="AE100" s="32" t="s">
        <v>9</v>
      </c>
      <c r="AF100" s="32" t="s">
        <v>9</v>
      </c>
      <c r="AG100" s="32" t="s">
        <v>9</v>
      </c>
      <c r="AH100" s="32" t="s">
        <v>9</v>
      </c>
      <c r="AI100" s="32" t="s">
        <v>9</v>
      </c>
      <c r="AJ100" s="32" t="s">
        <v>9</v>
      </c>
      <c r="AK100" s="32" t="s">
        <v>9</v>
      </c>
      <c r="AL100" s="32" t="s">
        <v>9</v>
      </c>
      <c r="AM100" s="32" t="s">
        <v>9</v>
      </c>
      <c r="AN100" s="32" t="s">
        <v>9</v>
      </c>
      <c r="AO100" s="32" t="s">
        <v>9</v>
      </c>
      <c r="AP100" s="32" t="s">
        <v>9</v>
      </c>
      <c r="AQ100" s="32" t="s">
        <v>9</v>
      </c>
      <c r="AR100" s="32" t="s">
        <v>9</v>
      </c>
      <c r="AS100" s="32" t="s">
        <v>9</v>
      </c>
      <c r="AT100" s="32" t="s">
        <v>9</v>
      </c>
      <c r="AU100" s="32" t="s">
        <v>9</v>
      </c>
      <c r="BW100" s="176"/>
      <c r="BX100" s="176"/>
      <c r="BY100" s="176"/>
      <c r="BZ100" s="176"/>
      <c r="CA100" s="176"/>
      <c r="CB100" s="76"/>
      <c r="CC100" s="76"/>
    </row>
    <row r="101" spans="1:89" ht="38.25" x14ac:dyDescent="0.2">
      <c r="A101" s="101">
        <v>151</v>
      </c>
      <c r="B101" s="93" t="s">
        <v>340</v>
      </c>
      <c r="C101" s="8" t="s">
        <v>341</v>
      </c>
      <c r="D101" s="105">
        <v>3</v>
      </c>
      <c r="E101" s="104">
        <v>13.1</v>
      </c>
      <c r="F101" s="110">
        <f t="shared" si="36"/>
        <v>39.299999999999997</v>
      </c>
      <c r="G101" s="8" t="s">
        <v>9</v>
      </c>
      <c r="H101" s="8" t="s">
        <v>9</v>
      </c>
      <c r="I101" s="8" t="s">
        <v>9</v>
      </c>
      <c r="J101" s="8" t="s">
        <v>9</v>
      </c>
      <c r="K101" s="8" t="s">
        <v>9</v>
      </c>
      <c r="L101" s="8" t="s">
        <v>9</v>
      </c>
      <c r="M101" s="8" t="s">
        <v>9</v>
      </c>
      <c r="N101" s="8" t="s">
        <v>9</v>
      </c>
      <c r="O101" s="8" t="s">
        <v>9</v>
      </c>
      <c r="P101" s="8" t="s">
        <v>9</v>
      </c>
      <c r="Q101" s="4"/>
      <c r="T101" s="6">
        <v>76</v>
      </c>
      <c r="U101" s="70" t="s">
        <v>273</v>
      </c>
      <c r="V101" s="70">
        <v>2</v>
      </c>
      <c r="W101" s="6" t="s">
        <v>16</v>
      </c>
      <c r="X101" s="32" t="s">
        <v>267</v>
      </c>
      <c r="Y101" s="70" t="s">
        <v>270</v>
      </c>
      <c r="Z101" s="32" t="s">
        <v>9</v>
      </c>
      <c r="AA101" s="32" t="s">
        <v>9</v>
      </c>
      <c r="AB101" s="32" t="s">
        <v>9</v>
      </c>
      <c r="AC101" s="32" t="s">
        <v>9</v>
      </c>
      <c r="AD101" s="32" t="s">
        <v>9</v>
      </c>
      <c r="AE101" s="32" t="s">
        <v>9</v>
      </c>
      <c r="AF101" s="32" t="s">
        <v>9</v>
      </c>
      <c r="AG101" s="32" t="s">
        <v>9</v>
      </c>
      <c r="AH101" s="32" t="s">
        <v>9</v>
      </c>
      <c r="AI101" s="32" t="s">
        <v>9</v>
      </c>
      <c r="AJ101" s="32" t="s">
        <v>9</v>
      </c>
      <c r="AK101" s="32" t="s">
        <v>9</v>
      </c>
      <c r="AL101" s="32" t="s">
        <v>9</v>
      </c>
      <c r="AM101" s="32" t="s">
        <v>9</v>
      </c>
      <c r="AN101" s="32" t="s">
        <v>9</v>
      </c>
      <c r="AO101" s="32" t="s">
        <v>9</v>
      </c>
      <c r="AP101" s="32" t="s">
        <v>9</v>
      </c>
      <c r="AQ101" s="32" t="s">
        <v>9</v>
      </c>
      <c r="AR101" s="32" t="s">
        <v>9</v>
      </c>
      <c r="AS101" s="32" t="s">
        <v>9</v>
      </c>
      <c r="AT101" s="32" t="s">
        <v>9</v>
      </c>
      <c r="AU101" s="32" t="s">
        <v>9</v>
      </c>
      <c r="BW101" s="176"/>
      <c r="BX101" s="176"/>
      <c r="BY101" s="176"/>
      <c r="BZ101" s="176"/>
      <c r="CA101" s="176"/>
      <c r="CB101" s="76"/>
      <c r="CC101" s="76"/>
    </row>
    <row r="102" spans="1:89" ht="38.25" x14ac:dyDescent="0.2">
      <c r="A102" s="138"/>
      <c r="B102" s="138"/>
      <c r="C102" s="138"/>
      <c r="D102" s="138"/>
      <c r="E102" s="138"/>
      <c r="F102" s="138"/>
      <c r="G102" s="138"/>
      <c r="H102" s="102" t="s">
        <v>311</v>
      </c>
      <c r="I102" s="8">
        <f>SUM(I32:I101)</f>
        <v>23365</v>
      </c>
      <c r="J102" s="153" t="s">
        <v>310</v>
      </c>
      <c r="K102" s="153"/>
      <c r="L102" s="8">
        <f>SUM(L32:L101)-J38-J40</f>
        <v>23365</v>
      </c>
      <c r="M102" s="154"/>
      <c r="N102" s="155"/>
      <c r="O102" s="155"/>
      <c r="P102" s="155"/>
      <c r="Q102" s="156"/>
      <c r="T102" s="6">
        <v>77</v>
      </c>
      <c r="U102" s="70" t="s">
        <v>274</v>
      </c>
      <c r="V102" s="70">
        <v>2</v>
      </c>
      <c r="W102" s="70" t="s">
        <v>121</v>
      </c>
      <c r="X102" s="32" t="s">
        <v>267</v>
      </c>
      <c r="Y102" s="70" t="s">
        <v>270</v>
      </c>
      <c r="Z102" s="32" t="s">
        <v>9</v>
      </c>
      <c r="AA102" s="32" t="s">
        <v>9</v>
      </c>
      <c r="AB102" s="32" t="s">
        <v>9</v>
      </c>
      <c r="AC102" s="32" t="s">
        <v>9</v>
      </c>
      <c r="AD102" s="32" t="s">
        <v>9</v>
      </c>
      <c r="AE102" s="32" t="s">
        <v>9</v>
      </c>
      <c r="AF102" s="32" t="s">
        <v>9</v>
      </c>
      <c r="AG102" s="32" t="s">
        <v>9</v>
      </c>
      <c r="AH102" s="32" t="s">
        <v>9</v>
      </c>
      <c r="AI102" s="32" t="s">
        <v>9</v>
      </c>
      <c r="AJ102" s="32" t="s">
        <v>9</v>
      </c>
      <c r="AK102" s="32" t="s">
        <v>9</v>
      </c>
      <c r="AL102" s="32" t="s">
        <v>9</v>
      </c>
      <c r="AM102" s="32" t="s">
        <v>9</v>
      </c>
      <c r="AN102" s="32" t="s">
        <v>9</v>
      </c>
      <c r="AO102" s="32" t="s">
        <v>9</v>
      </c>
      <c r="AP102" s="32" t="s">
        <v>9</v>
      </c>
      <c r="AQ102" s="32" t="s">
        <v>9</v>
      </c>
      <c r="AR102" s="32" t="s">
        <v>9</v>
      </c>
      <c r="AS102" s="32" t="s">
        <v>9</v>
      </c>
      <c r="AT102" s="32" t="s">
        <v>9</v>
      </c>
      <c r="AU102" s="32" t="s">
        <v>9</v>
      </c>
      <c r="BW102" s="176"/>
      <c r="BX102" s="176"/>
      <c r="BY102" s="176"/>
      <c r="BZ102" s="176"/>
      <c r="CA102" s="176"/>
      <c r="CB102" s="76"/>
      <c r="CC102" s="76"/>
    </row>
    <row r="103" spans="1:89" x14ac:dyDescent="0.2">
      <c r="A103" s="154" t="s">
        <v>111</v>
      </c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6"/>
      <c r="T103" s="6">
        <v>78</v>
      </c>
      <c r="U103" s="70" t="s">
        <v>258</v>
      </c>
      <c r="V103" s="70">
        <v>1</v>
      </c>
      <c r="W103" s="6" t="s">
        <v>128</v>
      </c>
      <c r="X103" s="32" t="s">
        <v>268</v>
      </c>
      <c r="Y103" s="70" t="s">
        <v>270</v>
      </c>
      <c r="Z103" s="32" t="s">
        <v>9</v>
      </c>
      <c r="AA103" s="32" t="s">
        <v>9</v>
      </c>
      <c r="AB103" s="32" t="s">
        <v>9</v>
      </c>
      <c r="AC103" s="32" t="s">
        <v>9</v>
      </c>
      <c r="AD103" s="32" t="s">
        <v>9</v>
      </c>
      <c r="AE103" s="32" t="s">
        <v>9</v>
      </c>
      <c r="AF103" s="32" t="s">
        <v>9</v>
      </c>
      <c r="AG103" s="32" t="s">
        <v>9</v>
      </c>
      <c r="AH103" s="32" t="s">
        <v>9</v>
      </c>
      <c r="AI103" s="32" t="s">
        <v>9</v>
      </c>
      <c r="AJ103" s="32" t="s">
        <v>9</v>
      </c>
      <c r="AK103" s="32" t="s">
        <v>9</v>
      </c>
      <c r="AL103" s="32" t="s">
        <v>9</v>
      </c>
      <c r="AM103" s="32" t="s">
        <v>9</v>
      </c>
      <c r="AN103" s="32" t="s">
        <v>9</v>
      </c>
      <c r="AO103" s="32" t="s">
        <v>9</v>
      </c>
      <c r="AP103" s="32" t="s">
        <v>9</v>
      </c>
      <c r="AQ103" s="32" t="s">
        <v>9</v>
      </c>
      <c r="AR103" s="32" t="s">
        <v>9</v>
      </c>
      <c r="AS103" s="32" t="s">
        <v>9</v>
      </c>
      <c r="AT103" s="32" t="s">
        <v>9</v>
      </c>
      <c r="AU103" s="32" t="s">
        <v>9</v>
      </c>
      <c r="BW103" s="176"/>
      <c r="BX103" s="176"/>
      <c r="BY103" s="176"/>
      <c r="BZ103" s="176"/>
      <c r="CA103" s="176"/>
      <c r="CB103" s="76"/>
      <c r="CC103" s="76"/>
    </row>
    <row r="104" spans="1:89" x14ac:dyDescent="0.2">
      <c r="A104" s="8">
        <v>201</v>
      </c>
      <c r="B104" s="93" t="s">
        <v>342</v>
      </c>
      <c r="C104" s="8"/>
      <c r="D104" s="105">
        <v>3.57</v>
      </c>
      <c r="E104" s="110">
        <v>46.26</v>
      </c>
      <c r="F104" s="110">
        <f t="shared" ref="F104:F141" si="39">ROUND(D104*E104,2)</f>
        <v>165.15</v>
      </c>
      <c r="G104" s="111" t="s">
        <v>131</v>
      </c>
      <c r="H104" s="111" t="s">
        <v>131</v>
      </c>
      <c r="I104" s="104">
        <f>20*31</f>
        <v>620</v>
      </c>
      <c r="J104" s="104" t="s">
        <v>9</v>
      </c>
      <c r="K104" s="104">
        <f>I104</f>
        <v>620</v>
      </c>
      <c r="L104" s="104">
        <f t="shared" ref="L104:L106" si="40">K104</f>
        <v>620</v>
      </c>
      <c r="M104" s="110">
        <f t="shared" ref="M104:M106" si="41">ROUNDUP(I104/F104,2)</f>
        <v>3.76</v>
      </c>
      <c r="N104" s="110">
        <f t="shared" ref="N104:N106" si="42">ROUNDUP(L104/F104,2)</f>
        <v>3.76</v>
      </c>
      <c r="O104" s="101" t="str">
        <f>O36</f>
        <v>П4</v>
      </c>
      <c r="P104" s="6" t="s">
        <v>384</v>
      </c>
      <c r="Q104" s="4"/>
      <c r="T104" s="6">
        <v>79</v>
      </c>
      <c r="U104" s="70" t="s">
        <v>259</v>
      </c>
      <c r="V104" s="70">
        <v>1</v>
      </c>
      <c r="W104" s="6" t="s">
        <v>116</v>
      </c>
      <c r="X104" s="32" t="s">
        <v>269</v>
      </c>
      <c r="Y104" s="70" t="s">
        <v>270</v>
      </c>
      <c r="Z104" s="32" t="s">
        <v>9</v>
      </c>
      <c r="AA104" s="32" t="s">
        <v>9</v>
      </c>
      <c r="AB104" s="32" t="s">
        <v>9</v>
      </c>
      <c r="AC104" s="32" t="s">
        <v>9</v>
      </c>
      <c r="AD104" s="32" t="s">
        <v>9</v>
      </c>
      <c r="AE104" s="32" t="s">
        <v>9</v>
      </c>
      <c r="AF104" s="32" t="s">
        <v>9</v>
      </c>
      <c r="AG104" s="32" t="s">
        <v>9</v>
      </c>
      <c r="AH104" s="32" t="s">
        <v>9</v>
      </c>
      <c r="AI104" s="32" t="s">
        <v>9</v>
      </c>
      <c r="AJ104" s="32" t="s">
        <v>9</v>
      </c>
      <c r="AK104" s="32" t="s">
        <v>9</v>
      </c>
      <c r="AL104" s="32" t="s">
        <v>9</v>
      </c>
      <c r="AM104" s="32" t="s">
        <v>9</v>
      </c>
      <c r="AN104" s="32" t="s">
        <v>9</v>
      </c>
      <c r="AO104" s="32" t="s">
        <v>9</v>
      </c>
      <c r="AP104" s="32" t="s">
        <v>9</v>
      </c>
      <c r="AQ104" s="32" t="s">
        <v>9</v>
      </c>
      <c r="AR104" s="32" t="s">
        <v>9</v>
      </c>
      <c r="AS104" s="32" t="s">
        <v>9</v>
      </c>
      <c r="AT104" s="32" t="s">
        <v>9</v>
      </c>
      <c r="AU104" s="32" t="s">
        <v>9</v>
      </c>
      <c r="BW104" s="176"/>
      <c r="BX104" s="176"/>
      <c r="BY104" s="176"/>
      <c r="BZ104" s="176"/>
      <c r="CA104" s="176"/>
      <c r="CB104" s="76"/>
      <c r="CC104" s="76"/>
    </row>
    <row r="105" spans="1:89" x14ac:dyDescent="0.2">
      <c r="A105" s="8">
        <v>202</v>
      </c>
      <c r="B105" s="93" t="s">
        <v>342</v>
      </c>
      <c r="C105" s="8"/>
      <c r="D105" s="105">
        <v>3.57</v>
      </c>
      <c r="E105" s="110">
        <v>46.28</v>
      </c>
      <c r="F105" s="110">
        <f t="shared" si="39"/>
        <v>165.22</v>
      </c>
      <c r="G105" s="111" t="s">
        <v>131</v>
      </c>
      <c r="H105" s="111" t="s">
        <v>131</v>
      </c>
      <c r="I105" s="104">
        <f>20*31</f>
        <v>620</v>
      </c>
      <c r="J105" s="104" t="s">
        <v>9</v>
      </c>
      <c r="K105" s="104">
        <f>I105</f>
        <v>620</v>
      </c>
      <c r="L105" s="104">
        <f t="shared" si="40"/>
        <v>620</v>
      </c>
      <c r="M105" s="110">
        <f t="shared" si="41"/>
        <v>3.76</v>
      </c>
      <c r="N105" s="110">
        <f t="shared" si="42"/>
        <v>3.76</v>
      </c>
      <c r="O105" s="101" t="str">
        <f>O36</f>
        <v>П4</v>
      </c>
      <c r="P105" s="6" t="s">
        <v>383</v>
      </c>
      <c r="Q105" s="4"/>
      <c r="T105" s="6">
        <v>80</v>
      </c>
      <c r="U105" s="70" t="s">
        <v>260</v>
      </c>
      <c r="V105" s="70">
        <v>1</v>
      </c>
      <c r="W105" s="6" t="s">
        <v>264</v>
      </c>
      <c r="X105" s="32" t="s">
        <v>269</v>
      </c>
      <c r="Y105" s="70" t="s">
        <v>270</v>
      </c>
      <c r="Z105" s="32" t="s">
        <v>9</v>
      </c>
      <c r="AA105" s="32" t="s">
        <v>9</v>
      </c>
      <c r="AB105" s="32" t="s">
        <v>9</v>
      </c>
      <c r="AC105" s="32" t="s">
        <v>9</v>
      </c>
      <c r="AD105" s="32" t="s">
        <v>9</v>
      </c>
      <c r="AE105" s="32" t="s">
        <v>9</v>
      </c>
      <c r="AF105" s="32" t="s">
        <v>9</v>
      </c>
      <c r="AG105" s="32" t="s">
        <v>9</v>
      </c>
      <c r="AH105" s="32" t="s">
        <v>9</v>
      </c>
      <c r="AI105" s="32" t="s">
        <v>9</v>
      </c>
      <c r="AJ105" s="32" t="s">
        <v>9</v>
      </c>
      <c r="AK105" s="32" t="s">
        <v>9</v>
      </c>
      <c r="AL105" s="32" t="s">
        <v>9</v>
      </c>
      <c r="AM105" s="32" t="s">
        <v>9</v>
      </c>
      <c r="AN105" s="32" t="s">
        <v>9</v>
      </c>
      <c r="AO105" s="32" t="s">
        <v>9</v>
      </c>
      <c r="AP105" s="32" t="s">
        <v>9</v>
      </c>
      <c r="AQ105" s="32" t="s">
        <v>9</v>
      </c>
      <c r="AR105" s="32" t="s">
        <v>9</v>
      </c>
      <c r="AS105" s="32" t="s">
        <v>9</v>
      </c>
      <c r="AT105" s="32" t="s">
        <v>9</v>
      </c>
      <c r="AU105" s="32" t="s">
        <v>9</v>
      </c>
      <c r="BW105" s="176"/>
      <c r="BX105" s="176"/>
      <c r="BY105" s="176"/>
      <c r="BZ105" s="181"/>
      <c r="CA105" s="176"/>
      <c r="CB105" s="76"/>
      <c r="CC105" s="76"/>
    </row>
    <row r="106" spans="1:89" x14ac:dyDescent="0.2">
      <c r="A106" s="8">
        <v>203</v>
      </c>
      <c r="B106" s="93" t="s">
        <v>342</v>
      </c>
      <c r="C106" s="8"/>
      <c r="D106" s="105">
        <v>3.57</v>
      </c>
      <c r="E106" s="110">
        <v>46.91</v>
      </c>
      <c r="F106" s="110">
        <f t="shared" si="39"/>
        <v>167.47</v>
      </c>
      <c r="G106" s="111" t="s">
        <v>131</v>
      </c>
      <c r="H106" s="111" t="s">
        <v>131</v>
      </c>
      <c r="I106" s="104">
        <f>20*31</f>
        <v>620</v>
      </c>
      <c r="J106" s="104" t="s">
        <v>9</v>
      </c>
      <c r="K106" s="104">
        <f>I106</f>
        <v>620</v>
      </c>
      <c r="L106" s="104">
        <f t="shared" si="40"/>
        <v>620</v>
      </c>
      <c r="M106" s="110">
        <f t="shared" si="41"/>
        <v>3.71</v>
      </c>
      <c r="N106" s="110">
        <f t="shared" si="42"/>
        <v>3.71</v>
      </c>
      <c r="O106" s="101" t="str">
        <f>O36</f>
        <v>П4</v>
      </c>
      <c r="P106" s="6" t="str">
        <f>P105</f>
        <v>ВЕ1</v>
      </c>
      <c r="Q106" s="4"/>
      <c r="T106" s="6">
        <v>81</v>
      </c>
      <c r="U106" s="70" t="s">
        <v>261</v>
      </c>
      <c r="V106" s="70">
        <v>1</v>
      </c>
      <c r="W106" s="6" t="s">
        <v>18</v>
      </c>
      <c r="X106" s="32" t="s">
        <v>269</v>
      </c>
      <c r="Y106" s="70" t="s">
        <v>270</v>
      </c>
      <c r="Z106" s="32" t="s">
        <v>9</v>
      </c>
      <c r="AA106" s="32" t="s">
        <v>9</v>
      </c>
      <c r="AB106" s="32" t="s">
        <v>9</v>
      </c>
      <c r="AC106" s="32" t="s">
        <v>9</v>
      </c>
      <c r="AD106" s="32" t="s">
        <v>9</v>
      </c>
      <c r="AE106" s="32" t="s">
        <v>9</v>
      </c>
      <c r="AF106" s="32" t="s">
        <v>9</v>
      </c>
      <c r="AG106" s="32" t="s">
        <v>9</v>
      </c>
      <c r="AH106" s="32" t="s">
        <v>9</v>
      </c>
      <c r="AI106" s="32" t="s">
        <v>9</v>
      </c>
      <c r="AJ106" s="32" t="s">
        <v>9</v>
      </c>
      <c r="AK106" s="32" t="s">
        <v>9</v>
      </c>
      <c r="AL106" s="32" t="s">
        <v>9</v>
      </c>
      <c r="AM106" s="32" t="s">
        <v>9</v>
      </c>
      <c r="AN106" s="32" t="s">
        <v>9</v>
      </c>
      <c r="AO106" s="32" t="s">
        <v>9</v>
      </c>
      <c r="AP106" s="32" t="s">
        <v>9</v>
      </c>
      <c r="AQ106" s="32" t="s">
        <v>9</v>
      </c>
      <c r="AR106" s="32" t="s">
        <v>9</v>
      </c>
      <c r="AS106" s="32" t="s">
        <v>9</v>
      </c>
      <c r="AT106" s="32" t="s">
        <v>9</v>
      </c>
      <c r="AU106" s="32" t="s">
        <v>9</v>
      </c>
      <c r="BW106" s="76"/>
      <c r="BX106" s="76"/>
      <c r="BY106" s="76"/>
      <c r="BZ106" s="76"/>
      <c r="CA106" s="76"/>
      <c r="CB106" s="76"/>
      <c r="CC106" s="76"/>
    </row>
    <row r="107" spans="1:89" x14ac:dyDescent="0.2">
      <c r="A107" s="8">
        <v>204</v>
      </c>
      <c r="B107" s="93" t="s">
        <v>343</v>
      </c>
      <c r="C107" s="8"/>
      <c r="D107" s="105">
        <v>3.57</v>
      </c>
      <c r="E107" s="110">
        <v>47.73</v>
      </c>
      <c r="F107" s="110">
        <f t="shared" si="39"/>
        <v>170.4</v>
      </c>
      <c r="G107" s="8" t="s">
        <v>9</v>
      </c>
      <c r="H107" s="8" t="s">
        <v>9</v>
      </c>
      <c r="I107" s="104">
        <v>315</v>
      </c>
      <c r="J107" s="104" t="s">
        <v>9</v>
      </c>
      <c r="K107" s="104" t="s">
        <v>9</v>
      </c>
      <c r="L107" s="104" t="s">
        <v>9</v>
      </c>
      <c r="M107" s="110" t="s">
        <v>9</v>
      </c>
      <c r="N107" s="110" t="s">
        <v>9</v>
      </c>
      <c r="O107" s="101" t="str">
        <f>O36</f>
        <v>П4</v>
      </c>
      <c r="P107" s="6" t="s">
        <v>9</v>
      </c>
      <c r="Q107" s="4" t="s">
        <v>365</v>
      </c>
      <c r="T107" s="6">
        <v>82</v>
      </c>
      <c r="U107" s="70" t="s">
        <v>262</v>
      </c>
      <c r="V107" s="70">
        <v>1</v>
      </c>
      <c r="W107" s="6" t="s">
        <v>128</v>
      </c>
      <c r="X107" s="32" t="s">
        <v>269</v>
      </c>
      <c r="Y107" s="70" t="s">
        <v>270</v>
      </c>
      <c r="Z107" s="32" t="s">
        <v>9</v>
      </c>
      <c r="AA107" s="32" t="s">
        <v>9</v>
      </c>
      <c r="AB107" s="32" t="s">
        <v>9</v>
      </c>
      <c r="AC107" s="32" t="s">
        <v>9</v>
      </c>
      <c r="AD107" s="32" t="s">
        <v>9</v>
      </c>
      <c r="AE107" s="32" t="s">
        <v>9</v>
      </c>
      <c r="AF107" s="32" t="s">
        <v>9</v>
      </c>
      <c r="AG107" s="32" t="s">
        <v>9</v>
      </c>
      <c r="AH107" s="32" t="s">
        <v>9</v>
      </c>
      <c r="AI107" s="32" t="s">
        <v>9</v>
      </c>
      <c r="AJ107" s="32" t="s">
        <v>9</v>
      </c>
      <c r="AK107" s="32" t="s">
        <v>9</v>
      </c>
      <c r="AL107" s="32" t="s">
        <v>9</v>
      </c>
      <c r="AM107" s="32" t="s">
        <v>9</v>
      </c>
      <c r="AN107" s="32" t="s">
        <v>9</v>
      </c>
      <c r="AO107" s="32" t="s">
        <v>9</v>
      </c>
      <c r="AP107" s="32" t="s">
        <v>9</v>
      </c>
      <c r="AQ107" s="32" t="s">
        <v>9</v>
      </c>
      <c r="AR107" s="32" t="s">
        <v>9</v>
      </c>
      <c r="AS107" s="32" t="s">
        <v>9</v>
      </c>
      <c r="AT107" s="32" t="s">
        <v>9</v>
      </c>
      <c r="AU107" s="32" t="s">
        <v>9</v>
      </c>
      <c r="BW107" s="76"/>
      <c r="BX107" s="182"/>
      <c r="BY107" s="76"/>
      <c r="BZ107" s="76"/>
      <c r="CA107" s="76"/>
      <c r="CB107" s="76"/>
      <c r="CC107" s="76"/>
    </row>
    <row r="108" spans="1:89" x14ac:dyDescent="0.2">
      <c r="A108" s="8">
        <v>205</v>
      </c>
      <c r="B108" s="93" t="s">
        <v>344</v>
      </c>
      <c r="C108" s="8"/>
      <c r="D108" s="105">
        <v>3.57</v>
      </c>
      <c r="E108" s="110">
        <v>13.76</v>
      </c>
      <c r="F108" s="110">
        <f t="shared" si="39"/>
        <v>49.12</v>
      </c>
      <c r="G108" s="111" t="s">
        <v>9</v>
      </c>
      <c r="H108" s="111" t="s">
        <v>9</v>
      </c>
      <c r="I108" s="104" t="s">
        <v>9</v>
      </c>
      <c r="J108" s="104" t="s">
        <v>9</v>
      </c>
      <c r="K108" s="104">
        <v>150</v>
      </c>
      <c r="L108" s="104">
        <f t="shared" ref="L108" si="43">K108</f>
        <v>150</v>
      </c>
      <c r="M108" s="110" t="s">
        <v>9</v>
      </c>
      <c r="N108" s="110">
        <f t="shared" ref="N108" si="44">ROUNDUP(L108/F108,2)</f>
        <v>3.0599999999999996</v>
      </c>
      <c r="O108" s="101" t="s">
        <v>9</v>
      </c>
      <c r="P108" s="8" t="str">
        <f>P43</f>
        <v>В8</v>
      </c>
      <c r="Q108" s="7"/>
      <c r="T108" s="6">
        <v>83</v>
      </c>
      <c r="U108" s="70" t="s">
        <v>263</v>
      </c>
      <c r="V108" s="70">
        <v>1</v>
      </c>
      <c r="W108" s="6" t="s">
        <v>265</v>
      </c>
      <c r="X108" s="32" t="s">
        <v>269</v>
      </c>
      <c r="Y108" s="70" t="s">
        <v>270</v>
      </c>
      <c r="Z108" s="32" t="s">
        <v>9</v>
      </c>
      <c r="AA108" s="32" t="s">
        <v>9</v>
      </c>
      <c r="AB108" s="32" t="s">
        <v>9</v>
      </c>
      <c r="AC108" s="32" t="s">
        <v>9</v>
      </c>
      <c r="AD108" s="32" t="s">
        <v>9</v>
      </c>
      <c r="AE108" s="32" t="s">
        <v>9</v>
      </c>
      <c r="AF108" s="32" t="s">
        <v>9</v>
      </c>
      <c r="AG108" s="32" t="s">
        <v>9</v>
      </c>
      <c r="AH108" s="32" t="s">
        <v>9</v>
      </c>
      <c r="AI108" s="32" t="s">
        <v>9</v>
      </c>
      <c r="AJ108" s="32" t="s">
        <v>9</v>
      </c>
      <c r="AK108" s="32" t="s">
        <v>9</v>
      </c>
      <c r="AL108" s="32" t="s">
        <v>9</v>
      </c>
      <c r="AM108" s="32" t="s">
        <v>9</v>
      </c>
      <c r="AN108" s="32" t="s">
        <v>9</v>
      </c>
      <c r="AO108" s="32" t="s">
        <v>9</v>
      </c>
      <c r="AP108" s="32" t="s">
        <v>9</v>
      </c>
      <c r="AQ108" s="32" t="s">
        <v>9</v>
      </c>
      <c r="AR108" s="32" t="s">
        <v>9</v>
      </c>
      <c r="AS108" s="32" t="s">
        <v>9</v>
      </c>
      <c r="AT108" s="32" t="s">
        <v>9</v>
      </c>
      <c r="AU108" s="32" t="s">
        <v>9</v>
      </c>
      <c r="BW108" s="76"/>
      <c r="BX108" s="76"/>
      <c r="BY108" s="76"/>
      <c r="BZ108" s="76"/>
      <c r="CA108" s="76"/>
      <c r="CB108" s="76"/>
      <c r="CC108" s="76"/>
    </row>
    <row r="109" spans="1:89" x14ac:dyDescent="0.2">
      <c r="A109" s="8">
        <v>206</v>
      </c>
      <c r="B109" s="93" t="s">
        <v>125</v>
      </c>
      <c r="C109" s="8"/>
      <c r="D109" s="105">
        <v>3.57</v>
      </c>
      <c r="E109" s="110">
        <v>3.6</v>
      </c>
      <c r="F109" s="110">
        <f t="shared" si="39"/>
        <v>12.85</v>
      </c>
      <c r="G109" s="111" t="s">
        <v>9</v>
      </c>
      <c r="H109" s="111" t="s">
        <v>9</v>
      </c>
      <c r="I109" s="104" t="s">
        <v>9</v>
      </c>
      <c r="J109" s="104" t="s">
        <v>9</v>
      </c>
      <c r="K109" s="104">
        <v>75</v>
      </c>
      <c r="L109" s="104">
        <v>75</v>
      </c>
      <c r="M109" s="110" t="s">
        <v>9</v>
      </c>
      <c r="N109" s="110">
        <f t="shared" ref="N109:N110" si="45">ROUNDUP(L109/F109,2)</f>
        <v>5.84</v>
      </c>
      <c r="O109" s="101" t="s">
        <v>9</v>
      </c>
      <c r="P109" s="8" t="str">
        <f>P108</f>
        <v>В8</v>
      </c>
      <c r="Q109" s="4"/>
      <c r="T109" s="27"/>
      <c r="U109" s="27"/>
      <c r="V109" s="27"/>
      <c r="W109" s="27"/>
      <c r="X109" s="27"/>
      <c r="Y109" s="27"/>
      <c r="Z109" s="27"/>
      <c r="AA109" s="27"/>
      <c r="AB109" s="27"/>
      <c r="AC109" s="27">
        <f>SUM(AC64:AC92)+AC69</f>
        <v>105.5</v>
      </c>
      <c r="AD109" s="27"/>
      <c r="AE109" s="27"/>
      <c r="AF109" s="27"/>
      <c r="AG109" s="27"/>
      <c r="AH109" s="27"/>
      <c r="AI109" s="27"/>
      <c r="AJ109" s="27"/>
      <c r="AK109" s="27"/>
      <c r="AL109" s="27"/>
      <c r="BW109" s="76"/>
      <c r="BX109" s="76"/>
      <c r="BY109" s="76"/>
      <c r="BZ109" s="76"/>
      <c r="CA109" s="76"/>
      <c r="CB109" s="76"/>
      <c r="CC109" s="76"/>
    </row>
    <row r="110" spans="1:89" x14ac:dyDescent="0.2">
      <c r="A110" s="8">
        <v>207</v>
      </c>
      <c r="B110" s="93" t="s">
        <v>324</v>
      </c>
      <c r="C110" s="8"/>
      <c r="D110" s="105">
        <v>3.57</v>
      </c>
      <c r="E110" s="110">
        <v>13.15</v>
      </c>
      <c r="F110" s="110">
        <f t="shared" si="39"/>
        <v>46.95</v>
      </c>
      <c r="G110" s="111" t="s">
        <v>9</v>
      </c>
      <c r="H110" s="111" t="s">
        <v>9</v>
      </c>
      <c r="I110" s="104" t="s">
        <v>9</v>
      </c>
      <c r="J110" s="104" t="s">
        <v>9</v>
      </c>
      <c r="K110" s="104">
        <v>200</v>
      </c>
      <c r="L110" s="104">
        <f t="shared" ref="L110" si="46">K110</f>
        <v>200</v>
      </c>
      <c r="M110" s="110" t="s">
        <v>9</v>
      </c>
      <c r="N110" s="110">
        <f t="shared" si="45"/>
        <v>4.26</v>
      </c>
      <c r="O110" s="101" t="s">
        <v>9</v>
      </c>
      <c r="P110" s="6" t="str">
        <f>P108</f>
        <v>В8</v>
      </c>
      <c r="Q110" s="4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BW110" s="76"/>
      <c r="BX110" s="76"/>
      <c r="BY110" s="76"/>
      <c r="BZ110" s="76"/>
      <c r="CA110" s="76"/>
      <c r="CB110" s="76"/>
      <c r="CC110" s="76"/>
    </row>
    <row r="111" spans="1:89" x14ac:dyDescent="0.2">
      <c r="A111" s="8">
        <v>208</v>
      </c>
      <c r="B111" s="93" t="s">
        <v>103</v>
      </c>
      <c r="C111" s="8"/>
      <c r="D111" s="105">
        <v>3.57</v>
      </c>
      <c r="E111" s="110">
        <v>25.65</v>
      </c>
      <c r="F111" s="110">
        <f t="shared" si="39"/>
        <v>91.57</v>
      </c>
      <c r="G111" s="111" t="s">
        <v>9</v>
      </c>
      <c r="H111" s="111" t="s">
        <v>9</v>
      </c>
      <c r="I111" s="104" t="s">
        <v>9</v>
      </c>
      <c r="J111" s="104" t="s">
        <v>9</v>
      </c>
      <c r="K111" s="104" t="s">
        <v>9</v>
      </c>
      <c r="L111" s="104" t="s">
        <v>9</v>
      </c>
      <c r="M111" s="110" t="s">
        <v>9</v>
      </c>
      <c r="N111" s="110" t="s">
        <v>9</v>
      </c>
      <c r="O111" s="101" t="s">
        <v>9</v>
      </c>
      <c r="P111" s="6" t="s">
        <v>9</v>
      </c>
      <c r="Q111" s="4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BW111" s="76"/>
      <c r="BX111" s="76"/>
      <c r="BY111" s="76"/>
      <c r="BZ111" s="76"/>
      <c r="CA111" s="76"/>
      <c r="CB111" s="76"/>
      <c r="CC111" s="76"/>
    </row>
    <row r="112" spans="1:89" s="3" customFormat="1" ht="39" thickBot="1" x14ac:dyDescent="0.25">
      <c r="A112" s="8">
        <v>209</v>
      </c>
      <c r="B112" s="93" t="s">
        <v>10</v>
      </c>
      <c r="C112" s="8"/>
      <c r="D112" s="105">
        <v>3.57</v>
      </c>
      <c r="E112" s="110">
        <v>70.989999999999995</v>
      </c>
      <c r="F112" s="110">
        <f t="shared" si="39"/>
        <v>253.43</v>
      </c>
      <c r="G112" s="111" t="s">
        <v>9</v>
      </c>
      <c r="H112" s="111" t="s">
        <v>9</v>
      </c>
      <c r="I112" s="104" t="s">
        <v>9</v>
      </c>
      <c r="J112" s="104" t="s">
        <v>9</v>
      </c>
      <c r="K112" s="104" t="s">
        <v>9</v>
      </c>
      <c r="L112" s="104" t="s">
        <v>9</v>
      </c>
      <c r="M112" s="110" t="s">
        <v>9</v>
      </c>
      <c r="N112" s="110" t="s">
        <v>9</v>
      </c>
      <c r="O112" s="101" t="s">
        <v>9</v>
      </c>
      <c r="P112" s="6" t="s">
        <v>9</v>
      </c>
      <c r="Q112" s="4"/>
      <c r="R112" s="1"/>
      <c r="S112" s="1"/>
      <c r="T112" s="14"/>
      <c r="U112" s="171" t="s">
        <v>140</v>
      </c>
      <c r="V112" s="171" t="s">
        <v>141</v>
      </c>
      <c r="W112" s="171"/>
      <c r="X112" s="171"/>
      <c r="Y112" s="25"/>
      <c r="Z112" s="2" t="s">
        <v>143</v>
      </c>
      <c r="AA112" s="14"/>
      <c r="AB112" s="2" t="s">
        <v>145</v>
      </c>
      <c r="AC112" s="2" t="s">
        <v>146</v>
      </c>
      <c r="AD112" s="22"/>
      <c r="AE112" s="22"/>
      <c r="AF112" s="14">
        <f>SUM(AC12:AC24,AC26:AC62)</f>
        <v>46.617000000000019</v>
      </c>
      <c r="AG112" s="14" t="e">
        <f>SUM(#REF!,#REF!)</f>
        <v>#REF!</v>
      </c>
      <c r="AH112" s="14" t="e">
        <f>SUM(#REF!,#REF!)</f>
        <v>#REF!</v>
      </c>
      <c r="AI112" s="14" t="e">
        <f>SUM(#REF!,#REF!)</f>
        <v>#REF!</v>
      </c>
      <c r="AJ112" s="14"/>
      <c r="AK112" s="14" t="e">
        <f>SUM(AK12:AK24,#REF!,#REF!)</f>
        <v>#REF!</v>
      </c>
      <c r="AL112" s="14" t="e">
        <f>SUM(#REF!,#REF!)</f>
        <v>#REF!</v>
      </c>
      <c r="AM112" s="5"/>
      <c r="AN112" s="5"/>
      <c r="AO112" s="5"/>
      <c r="AP112" s="5"/>
      <c r="AQ112" s="5"/>
      <c r="AR112" s="5"/>
      <c r="AS112" s="5"/>
      <c r="AT112" s="5"/>
      <c r="AU112" s="5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76"/>
      <c r="BX112" s="76"/>
      <c r="BY112" s="76"/>
      <c r="BZ112" s="76"/>
      <c r="CA112" s="76"/>
      <c r="CB112" s="76"/>
      <c r="CC112" s="76"/>
      <c r="CD112" s="1"/>
      <c r="CE112" s="1"/>
      <c r="CF112" s="1"/>
      <c r="CG112" s="1"/>
      <c r="CH112" s="1"/>
      <c r="CI112" s="1"/>
      <c r="CJ112" s="1"/>
      <c r="CK112" s="1"/>
    </row>
    <row r="113" spans="1:89" ht="26.25" thickTop="1" x14ac:dyDescent="0.2">
      <c r="A113" s="8">
        <v>210</v>
      </c>
      <c r="B113" s="93" t="s">
        <v>345</v>
      </c>
      <c r="C113" s="8"/>
      <c r="D113" s="105">
        <v>3.57</v>
      </c>
      <c r="E113" s="110">
        <v>64.540000000000006</v>
      </c>
      <c r="F113" s="110">
        <f t="shared" si="39"/>
        <v>230.41</v>
      </c>
      <c r="G113" s="111" t="s">
        <v>131</v>
      </c>
      <c r="H113" s="111" t="s">
        <v>131</v>
      </c>
      <c r="I113" s="104">
        <f>20*32</f>
        <v>640</v>
      </c>
      <c r="J113" s="104" t="s">
        <v>9</v>
      </c>
      <c r="K113" s="104">
        <f t="shared" ref="K113:K118" si="47">I113</f>
        <v>640</v>
      </c>
      <c r="L113" s="104">
        <f t="shared" ref="L113:L118" si="48">K113</f>
        <v>640</v>
      </c>
      <c r="M113" s="110">
        <f t="shared" ref="M113:M118" si="49">ROUNDUP(I113/F113,2)</f>
        <v>2.78</v>
      </c>
      <c r="N113" s="110">
        <f t="shared" ref="N113:N118" si="50">ROUNDUP(L113/F113,2)</f>
        <v>2.78</v>
      </c>
      <c r="O113" s="101" t="str">
        <f>O19</f>
        <v>П3</v>
      </c>
      <c r="P113" s="6" t="str">
        <f>P105</f>
        <v>ВЕ1</v>
      </c>
      <c r="Q113" s="4"/>
      <c r="T113" s="14"/>
      <c r="U113" s="171"/>
      <c r="V113" s="2" t="s">
        <v>147</v>
      </c>
      <c r="W113" s="2" t="s">
        <v>148</v>
      </c>
      <c r="X113" s="2" t="s">
        <v>149</v>
      </c>
      <c r="Y113" s="25"/>
      <c r="Z113" s="2" t="s">
        <v>150</v>
      </c>
      <c r="AA113" s="2"/>
      <c r="AB113" s="2"/>
      <c r="AC113" s="2"/>
      <c r="AD113" s="22"/>
      <c r="AE113" s="22"/>
      <c r="AF113" s="14"/>
      <c r="AG113" s="14"/>
      <c r="AH113" s="14"/>
      <c r="AI113" s="14"/>
      <c r="AJ113" s="14"/>
      <c r="AK113" s="14"/>
      <c r="BW113" s="76"/>
      <c r="BX113" s="76"/>
      <c r="BY113" s="76"/>
      <c r="BZ113" s="76"/>
      <c r="CA113" s="76"/>
      <c r="CB113" s="76"/>
      <c r="CC113" s="76"/>
    </row>
    <row r="114" spans="1:89" ht="13.5" thickBot="1" x14ac:dyDescent="0.25">
      <c r="A114" s="8">
        <v>211</v>
      </c>
      <c r="B114" s="93" t="s">
        <v>116</v>
      </c>
      <c r="C114" s="8"/>
      <c r="D114" s="105">
        <v>3.57</v>
      </c>
      <c r="E114" s="110">
        <v>17.43</v>
      </c>
      <c r="F114" s="110">
        <f t="shared" si="39"/>
        <v>62.23</v>
      </c>
      <c r="G114" s="111" t="s">
        <v>133</v>
      </c>
      <c r="H114" s="111" t="s">
        <v>133</v>
      </c>
      <c r="I114" s="104">
        <f>60*2</f>
        <v>120</v>
      </c>
      <c r="J114" s="104" t="s">
        <v>9</v>
      </c>
      <c r="K114" s="104">
        <f t="shared" si="47"/>
        <v>120</v>
      </c>
      <c r="L114" s="104">
        <f t="shared" si="48"/>
        <v>120</v>
      </c>
      <c r="M114" s="110">
        <f t="shared" si="49"/>
        <v>1.93</v>
      </c>
      <c r="N114" s="110">
        <f t="shared" si="50"/>
        <v>1.93</v>
      </c>
      <c r="O114" s="101" t="str">
        <f>O19</f>
        <v>П3</v>
      </c>
      <c r="P114" s="6" t="str">
        <f>P105</f>
        <v>ВЕ1</v>
      </c>
      <c r="Q114" s="4"/>
      <c r="R114" s="3"/>
      <c r="T114" s="135" t="s">
        <v>86</v>
      </c>
      <c r="U114" s="2">
        <v>7.5</v>
      </c>
      <c r="V114" s="2">
        <v>1.4</v>
      </c>
      <c r="W114" s="2">
        <v>0.82</v>
      </c>
      <c r="X114" s="2">
        <v>1.7350000000000001</v>
      </c>
      <c r="Y114" s="25"/>
      <c r="Z114" s="2">
        <v>125</v>
      </c>
      <c r="AA114" s="16"/>
      <c r="AB114" s="2" t="e">
        <f>_xlfn.CEILING.MATH(0.005*(#REF!^(1/3))*((0.85+1.7*#REF!)^(5/3))*(850*0.63/920),0.0001)</f>
        <v>#REF!</v>
      </c>
      <c r="AC114" s="2" t="e">
        <f>AB114*3600*1.25/0.85</f>
        <v>#REF!</v>
      </c>
      <c r="AD114" s="22">
        <v>500</v>
      </c>
      <c r="AE114" s="22"/>
      <c r="AF114" s="22" t="s">
        <v>151</v>
      </c>
      <c r="AG114" s="22"/>
      <c r="AH114" s="14"/>
      <c r="AI114" s="14"/>
      <c r="AJ114" s="14"/>
      <c r="AK114" s="14"/>
      <c r="AM114" s="24"/>
      <c r="AN114" s="24"/>
      <c r="AO114" s="24"/>
      <c r="AP114" s="24"/>
      <c r="AQ114" s="24"/>
      <c r="AR114" s="24"/>
      <c r="AS114" s="24"/>
      <c r="AT114" s="24"/>
      <c r="AU114" s="24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76"/>
      <c r="BX114" s="76"/>
      <c r="BY114" s="76"/>
      <c r="BZ114" s="76"/>
      <c r="CA114" s="76"/>
      <c r="CB114" s="76"/>
      <c r="CC114" s="76"/>
      <c r="CD114" s="3"/>
      <c r="CE114" s="3"/>
      <c r="CF114" s="3"/>
      <c r="CG114" s="3"/>
      <c r="CH114" s="3"/>
      <c r="CI114" s="3"/>
      <c r="CJ114" s="3"/>
      <c r="CK114" s="3"/>
    </row>
    <row r="115" spans="1:89" ht="13.5" thickTop="1" x14ac:dyDescent="0.2">
      <c r="A115" s="8">
        <v>212</v>
      </c>
      <c r="B115" s="93" t="s">
        <v>342</v>
      </c>
      <c r="C115" s="8"/>
      <c r="D115" s="105">
        <v>3.57</v>
      </c>
      <c r="E115" s="110">
        <v>50.69</v>
      </c>
      <c r="F115" s="110">
        <f t="shared" si="39"/>
        <v>180.96</v>
      </c>
      <c r="G115" s="111" t="s">
        <v>131</v>
      </c>
      <c r="H115" s="111" t="s">
        <v>131</v>
      </c>
      <c r="I115" s="104">
        <f t="shared" ref="I115:I116" si="51">20*31</f>
        <v>620</v>
      </c>
      <c r="J115" s="104" t="s">
        <v>9</v>
      </c>
      <c r="K115" s="104">
        <f t="shared" si="47"/>
        <v>620</v>
      </c>
      <c r="L115" s="104">
        <f t="shared" si="48"/>
        <v>620</v>
      </c>
      <c r="M115" s="110">
        <f t="shared" si="49"/>
        <v>3.4299999999999997</v>
      </c>
      <c r="N115" s="110">
        <f t="shared" si="50"/>
        <v>3.4299999999999997</v>
      </c>
      <c r="O115" s="101" t="str">
        <f>O19</f>
        <v>П3</v>
      </c>
      <c r="P115" s="6" t="str">
        <f>P113</f>
        <v>ВЕ1</v>
      </c>
      <c r="Q115" s="4"/>
      <c r="T115" s="135"/>
      <c r="U115" s="2">
        <v>6.75</v>
      </c>
      <c r="V115" s="2">
        <v>1.8</v>
      </c>
      <c r="W115" s="2">
        <v>0.82</v>
      </c>
      <c r="X115" s="2">
        <v>0.88500000000000001</v>
      </c>
      <c r="Y115" s="25"/>
      <c r="Z115" s="2">
        <v>125</v>
      </c>
      <c r="AA115" s="16"/>
      <c r="AB115" s="2" t="e">
        <f>_xlfn.CEILING.MATH(0.005*(#REF!^(1/3))*((0.85+1.7*#REF!)^(5/3))*(859*0.63/482),0.0001)</f>
        <v>#REF!</v>
      </c>
      <c r="AC115" s="2" t="e">
        <f>AB115*3600*1.25/0.85</f>
        <v>#REF!</v>
      </c>
      <c r="AD115" s="22">
        <v>1050</v>
      </c>
      <c r="AE115" s="22"/>
      <c r="AF115" s="22" t="s">
        <v>151</v>
      </c>
      <c r="AG115" s="22"/>
      <c r="AH115" s="14"/>
      <c r="AI115" s="14"/>
      <c r="AJ115" s="14"/>
      <c r="AK115" s="14"/>
      <c r="BW115" s="76"/>
      <c r="BX115" s="76"/>
      <c r="BY115" s="76"/>
      <c r="BZ115" s="76"/>
      <c r="CA115" s="76"/>
      <c r="CB115" s="76"/>
      <c r="CC115" s="76"/>
    </row>
    <row r="116" spans="1:89" x14ac:dyDescent="0.2">
      <c r="A116" s="8">
        <v>213</v>
      </c>
      <c r="B116" s="93" t="s">
        <v>342</v>
      </c>
      <c r="C116" s="8"/>
      <c r="D116" s="105">
        <v>3.57</v>
      </c>
      <c r="E116" s="110">
        <v>48.31</v>
      </c>
      <c r="F116" s="110">
        <f t="shared" si="39"/>
        <v>172.47</v>
      </c>
      <c r="G116" s="111" t="s">
        <v>131</v>
      </c>
      <c r="H116" s="111" t="s">
        <v>131</v>
      </c>
      <c r="I116" s="104">
        <f t="shared" si="51"/>
        <v>620</v>
      </c>
      <c r="J116" s="104" t="s">
        <v>9</v>
      </c>
      <c r="K116" s="104">
        <f t="shared" si="47"/>
        <v>620</v>
      </c>
      <c r="L116" s="104">
        <f t="shared" si="48"/>
        <v>620</v>
      </c>
      <c r="M116" s="110">
        <f t="shared" si="49"/>
        <v>3.5999999999999996</v>
      </c>
      <c r="N116" s="110">
        <f t="shared" si="50"/>
        <v>3.5999999999999996</v>
      </c>
      <c r="O116" s="101" t="str">
        <f>O48</f>
        <v>П5</v>
      </c>
      <c r="P116" s="6" t="str">
        <f>P47</f>
        <v>ВЕ3</v>
      </c>
      <c r="Q116" s="4"/>
      <c r="T116" s="135"/>
      <c r="U116" s="2">
        <v>2.98</v>
      </c>
      <c r="V116" s="2">
        <v>1.49</v>
      </c>
      <c r="W116" s="2">
        <v>0.66</v>
      </c>
      <c r="X116" s="2">
        <v>0.64</v>
      </c>
      <c r="Y116" s="25"/>
      <c r="Z116" s="2">
        <v>125</v>
      </c>
      <c r="AA116" s="16"/>
      <c r="AB116" s="2" t="e">
        <f>_xlfn.CEILING.MATH(0.005*(#REF!^(1/3))*((0.85+1.7*#REF!)^(5/3))*(630*0.63/400),0.0001)</f>
        <v>#REF!</v>
      </c>
      <c r="AC116" s="2" t="e">
        <f>AB116*3600*1.25/0.85</f>
        <v>#REF!</v>
      </c>
      <c r="AD116" s="22">
        <v>550</v>
      </c>
      <c r="AE116" s="22"/>
      <c r="AF116" s="22" t="s">
        <v>152</v>
      </c>
      <c r="AG116" s="22"/>
      <c r="AH116" s="14"/>
      <c r="AI116" s="14"/>
      <c r="AJ116" s="14"/>
      <c r="AK116" s="14"/>
      <c r="BW116" s="76"/>
      <c r="BX116" s="76"/>
      <c r="BY116" s="76"/>
      <c r="BZ116" s="76"/>
      <c r="CA116" s="76"/>
      <c r="CB116" s="76"/>
      <c r="CC116" s="76"/>
    </row>
    <row r="117" spans="1:89" ht="25.5" x14ac:dyDescent="0.2">
      <c r="A117" s="8">
        <v>214</v>
      </c>
      <c r="B117" s="93" t="s">
        <v>346</v>
      </c>
      <c r="C117" s="8"/>
      <c r="D117" s="105">
        <v>3.57</v>
      </c>
      <c r="E117" s="110">
        <v>14.62</v>
      </c>
      <c r="F117" s="110">
        <f t="shared" si="39"/>
        <v>52.19</v>
      </c>
      <c r="G117" s="111" t="s">
        <v>133</v>
      </c>
      <c r="H117" s="111" t="s">
        <v>133</v>
      </c>
      <c r="I117" s="104">
        <f>60*2</f>
        <v>120</v>
      </c>
      <c r="J117" s="104" t="s">
        <v>9</v>
      </c>
      <c r="K117" s="104">
        <f t="shared" si="47"/>
        <v>120</v>
      </c>
      <c r="L117" s="104">
        <f t="shared" si="48"/>
        <v>120</v>
      </c>
      <c r="M117" s="110">
        <f t="shared" si="49"/>
        <v>2.2999999999999998</v>
      </c>
      <c r="N117" s="110">
        <f t="shared" si="50"/>
        <v>2.2999999999999998</v>
      </c>
      <c r="O117" s="101" t="str">
        <f>O48</f>
        <v>П5</v>
      </c>
      <c r="P117" s="6" t="str">
        <f>P116</f>
        <v>ВЕ3</v>
      </c>
      <c r="Q117" s="4"/>
      <c r="T117" s="14"/>
      <c r="U117" s="2"/>
      <c r="V117" s="2"/>
      <c r="W117" s="2"/>
      <c r="X117" s="2"/>
      <c r="Y117" s="25"/>
      <c r="Z117" s="2"/>
      <c r="AA117" s="16"/>
      <c r="AB117" s="2"/>
      <c r="AC117" s="22" t="e">
        <f>SUM(AC114:AC116)</f>
        <v>#REF!</v>
      </c>
      <c r="AD117" s="22">
        <f>SUM(AD114:AD116)</f>
        <v>2100</v>
      </c>
      <c r="AE117" s="22"/>
      <c r="AF117" s="14"/>
      <c r="AG117" s="14"/>
      <c r="AH117" s="14"/>
      <c r="AI117" s="14"/>
      <c r="AJ117" s="14"/>
      <c r="AK117" s="14"/>
      <c r="BW117" s="183"/>
      <c r="BX117" s="183"/>
      <c r="BY117" s="183"/>
      <c r="BZ117" s="183"/>
      <c r="CA117" s="183"/>
      <c r="CB117" s="76"/>
      <c r="CC117" s="76"/>
    </row>
    <row r="118" spans="1:89" x14ac:dyDescent="0.2">
      <c r="A118" s="8">
        <v>215</v>
      </c>
      <c r="B118" s="93" t="s">
        <v>123</v>
      </c>
      <c r="C118" s="8"/>
      <c r="D118" s="105">
        <v>3.57</v>
      </c>
      <c r="E118" s="110">
        <v>44.09</v>
      </c>
      <c r="F118" s="110">
        <f t="shared" si="39"/>
        <v>157.4</v>
      </c>
      <c r="G118" s="111" t="s">
        <v>131</v>
      </c>
      <c r="H118" s="111" t="s">
        <v>131</v>
      </c>
      <c r="I118" s="104">
        <f>20*31</f>
        <v>620</v>
      </c>
      <c r="J118" s="104" t="s">
        <v>9</v>
      </c>
      <c r="K118" s="104">
        <f t="shared" si="47"/>
        <v>620</v>
      </c>
      <c r="L118" s="104">
        <f t="shared" si="48"/>
        <v>620</v>
      </c>
      <c r="M118" s="110">
        <f t="shared" si="49"/>
        <v>3.94</v>
      </c>
      <c r="N118" s="110">
        <f t="shared" si="50"/>
        <v>3.94</v>
      </c>
      <c r="O118" s="101" t="str">
        <f>O48</f>
        <v>П5</v>
      </c>
      <c r="P118" s="6" t="str">
        <f>P48</f>
        <v>ВЕ4</v>
      </c>
      <c r="Q118" s="4"/>
      <c r="T118" s="135" t="s">
        <v>153</v>
      </c>
      <c r="U118" s="2">
        <v>14.5</v>
      </c>
      <c r="V118" s="2">
        <v>0.81200000000000006</v>
      </c>
      <c r="W118" s="2">
        <v>0.72499999999999998</v>
      </c>
      <c r="X118" s="2">
        <v>1.145</v>
      </c>
      <c r="Y118" s="25"/>
      <c r="Z118" s="2">
        <v>120</v>
      </c>
      <c r="AA118" s="16"/>
      <c r="AB118" s="2" t="e">
        <f>_xlfn.CEILING.MATH(0.005*(#REF!^(1/3))*((0.85+1.7*#REF!)^(5/3))*(326*0.63/340),0.0001)</f>
        <v>#REF!</v>
      </c>
      <c r="AC118" s="2" t="e">
        <f>AB118*3600*1.25/0.85</f>
        <v>#REF!</v>
      </c>
      <c r="AD118" s="23">
        <v>470</v>
      </c>
      <c r="AE118" s="23"/>
      <c r="AF118" s="22" t="s">
        <v>154</v>
      </c>
      <c r="AG118" s="22"/>
      <c r="AH118" s="14"/>
      <c r="AI118" s="14"/>
      <c r="AJ118" s="14"/>
      <c r="AK118" s="14"/>
      <c r="AM118" s="1"/>
      <c r="AN118" s="1"/>
      <c r="AO118" s="1"/>
      <c r="AP118" s="1"/>
      <c r="AQ118" s="1"/>
      <c r="AR118" s="1"/>
      <c r="AS118" s="1"/>
      <c r="AT118" s="1"/>
      <c r="AU118" s="1"/>
      <c r="BW118" s="76"/>
      <c r="BX118" s="76"/>
      <c r="BY118" s="76"/>
      <c r="BZ118" s="76"/>
      <c r="CA118" s="76"/>
      <c r="CB118" s="76"/>
      <c r="CC118" s="76"/>
    </row>
    <row r="119" spans="1:89" x14ac:dyDescent="0.2">
      <c r="A119" s="8">
        <v>216</v>
      </c>
      <c r="B119" s="93" t="s">
        <v>10</v>
      </c>
      <c r="C119" s="8"/>
      <c r="D119" s="105">
        <v>3.57</v>
      </c>
      <c r="E119" s="110">
        <v>47.38</v>
      </c>
      <c r="F119" s="110">
        <f t="shared" si="39"/>
        <v>169.15</v>
      </c>
      <c r="G119" s="91" t="s">
        <v>9</v>
      </c>
      <c r="H119" s="8" t="s">
        <v>9</v>
      </c>
      <c r="I119" s="104" t="s">
        <v>9</v>
      </c>
      <c r="J119" s="104" t="s">
        <v>9</v>
      </c>
      <c r="K119" s="104" t="s">
        <v>9</v>
      </c>
      <c r="L119" s="104" t="s">
        <v>9</v>
      </c>
      <c r="M119" s="110" t="s">
        <v>9</v>
      </c>
      <c r="N119" s="110" t="s">
        <v>9</v>
      </c>
      <c r="O119" s="104" t="s">
        <v>9</v>
      </c>
      <c r="P119" s="91" t="s">
        <v>9</v>
      </c>
      <c r="Q119" s="4" t="s">
        <v>365</v>
      </c>
      <c r="T119" s="135"/>
      <c r="U119" s="2">
        <v>3.3</v>
      </c>
      <c r="V119" s="2">
        <v>0.56499999999999995</v>
      </c>
      <c r="W119" s="2">
        <v>0.4</v>
      </c>
      <c r="X119" s="2">
        <v>0.58499999999999996</v>
      </c>
      <c r="Y119" s="25"/>
      <c r="Z119" s="2">
        <v>700</v>
      </c>
      <c r="AA119" s="16"/>
      <c r="AB119" s="2" t="e">
        <f>_xlfn.CEILING.MATH(0.005*(#REF!^(1/3))*((0.85+1.7*#REF!)^(5/3))*(895*0.63/889),0.0001)</f>
        <v>#REF!</v>
      </c>
      <c r="AC119" s="2" t="e">
        <f>AB119*3600*1.25/0.85</f>
        <v>#REF!</v>
      </c>
      <c r="AD119" s="23">
        <v>350</v>
      </c>
      <c r="AE119" s="23">
        <v>340</v>
      </c>
      <c r="AF119" s="22" t="s">
        <v>155</v>
      </c>
      <c r="AG119" s="22"/>
      <c r="AH119" s="14"/>
      <c r="AI119" s="14"/>
      <c r="AJ119" s="14"/>
      <c r="AK119" s="14"/>
      <c r="AM119" s="1"/>
      <c r="AN119" s="1"/>
      <c r="AO119" s="1"/>
      <c r="AP119" s="1"/>
      <c r="AQ119" s="1"/>
      <c r="AR119" s="1"/>
      <c r="AS119" s="1"/>
      <c r="AT119" s="1"/>
      <c r="AU119" s="1"/>
      <c r="BW119" s="76"/>
      <c r="BX119" s="76"/>
      <c r="BY119" s="76"/>
      <c r="BZ119" s="76"/>
      <c r="CA119" s="76"/>
      <c r="CB119" s="76"/>
      <c r="CC119" s="76"/>
    </row>
    <row r="120" spans="1:89" ht="25.5" x14ac:dyDescent="0.2">
      <c r="A120" s="8">
        <v>217</v>
      </c>
      <c r="B120" s="93" t="s">
        <v>347</v>
      </c>
      <c r="C120" s="8"/>
      <c r="D120" s="105">
        <v>3.57</v>
      </c>
      <c r="E120" s="110">
        <v>65.849999999999994</v>
      </c>
      <c r="F120" s="110">
        <f t="shared" si="39"/>
        <v>235.08</v>
      </c>
      <c r="G120" s="111" t="s">
        <v>131</v>
      </c>
      <c r="H120" s="111" t="s">
        <v>131</v>
      </c>
      <c r="I120" s="104">
        <f>20*32</f>
        <v>640</v>
      </c>
      <c r="J120" s="104" t="s">
        <v>9</v>
      </c>
      <c r="K120" s="104">
        <f t="shared" ref="K120" si="52">I120</f>
        <v>640</v>
      </c>
      <c r="L120" s="104">
        <f t="shared" ref="L120" si="53">K120</f>
        <v>640</v>
      </c>
      <c r="M120" s="110">
        <f t="shared" ref="M120:M123" si="54">ROUNDUP(I120/F120,2)</f>
        <v>2.73</v>
      </c>
      <c r="N120" s="110">
        <f t="shared" ref="N120" si="55">ROUNDUP(L120/F120,2)</f>
        <v>2.73</v>
      </c>
      <c r="O120" s="101" t="str">
        <f>O55</f>
        <v>П7</v>
      </c>
      <c r="P120" s="6" t="str">
        <f>P55</f>
        <v>ВЕ5</v>
      </c>
      <c r="Q120" s="4"/>
      <c r="T120" s="135" t="s">
        <v>156</v>
      </c>
      <c r="U120" s="2">
        <v>36.200000000000003</v>
      </c>
      <c r="V120" s="2">
        <v>1.1599999999999999</v>
      </c>
      <c r="W120" s="2">
        <v>1.1599999999999999</v>
      </c>
      <c r="X120" s="2">
        <v>1.446</v>
      </c>
      <c r="Y120" s="25"/>
      <c r="Z120" s="2">
        <v>35</v>
      </c>
      <c r="AA120" s="16"/>
      <c r="AB120" s="2" t="e">
        <f>_xlfn.CEILING.MATH(0.005*(#REF!^(1/3))*((0.85+1.7*#REF!)^(5/3))*(895*0.63/889),0.0001)</f>
        <v>#REF!</v>
      </c>
      <c r="AC120" s="2" t="e">
        <f>AB120*3600*1.25/0.85</f>
        <v>#REF!</v>
      </c>
      <c r="AD120" s="23">
        <v>690</v>
      </c>
      <c r="AE120" s="23">
        <v>670</v>
      </c>
      <c r="AF120" s="22" t="s">
        <v>157</v>
      </c>
      <c r="AG120" s="22"/>
      <c r="AH120" s="14"/>
      <c r="AI120" s="14"/>
      <c r="AJ120" s="14"/>
      <c r="AK120" s="14"/>
      <c r="AM120" s="1"/>
      <c r="AN120" s="1"/>
      <c r="AO120" s="1"/>
      <c r="AP120" s="1"/>
      <c r="AQ120" s="1"/>
      <c r="AR120" s="1"/>
      <c r="AS120" s="1"/>
      <c r="AT120" s="1"/>
      <c r="AU120" s="1"/>
      <c r="BW120" s="76"/>
      <c r="BX120" s="76"/>
      <c r="BY120" s="76"/>
      <c r="BZ120" s="76"/>
      <c r="CA120" s="76"/>
      <c r="CB120" s="76"/>
      <c r="CC120" s="76"/>
    </row>
    <row r="121" spans="1:89" x14ac:dyDescent="0.2">
      <c r="A121" s="8">
        <v>218</v>
      </c>
      <c r="B121" s="93" t="s">
        <v>289</v>
      </c>
      <c r="C121" s="8" t="s">
        <v>31</v>
      </c>
      <c r="D121" s="105">
        <v>3.57</v>
      </c>
      <c r="E121" s="110">
        <v>16.88</v>
      </c>
      <c r="F121" s="110">
        <f t="shared" si="39"/>
        <v>60.26</v>
      </c>
      <c r="G121" s="111" t="s">
        <v>133</v>
      </c>
      <c r="H121" s="111" t="s">
        <v>133</v>
      </c>
      <c r="I121" s="104">
        <f>60*2</f>
        <v>120</v>
      </c>
      <c r="J121" s="104" t="s">
        <v>9</v>
      </c>
      <c r="K121" s="104">
        <f>60*2</f>
        <v>120</v>
      </c>
      <c r="L121" s="104">
        <f>K121</f>
        <v>120</v>
      </c>
      <c r="M121" s="110">
        <f t="shared" si="54"/>
        <v>2</v>
      </c>
      <c r="N121" s="110">
        <f>ROUNDUP(L121/F121,2)</f>
        <v>2</v>
      </c>
      <c r="O121" s="101" t="str">
        <f>O55</f>
        <v>П7</v>
      </c>
      <c r="P121" s="6" t="str">
        <f>P120</f>
        <v>ВЕ5</v>
      </c>
      <c r="Q121" s="4"/>
      <c r="T121" s="135"/>
      <c r="U121" s="2">
        <v>2.5</v>
      </c>
      <c r="V121" s="2">
        <v>0.69</v>
      </c>
      <c r="W121" s="2">
        <v>0.54500000000000004</v>
      </c>
      <c r="X121" s="2">
        <v>0.26</v>
      </c>
      <c r="Y121" s="25"/>
      <c r="Z121" s="2">
        <v>90</v>
      </c>
      <c r="AA121" s="16"/>
      <c r="AB121" s="2" t="e">
        <f>_xlfn.CEILING.MATH(0.005*(#REF!^(1/3))*((0.85+1.7*#REF!)^(5/3))*(895*0.63/889),0.0001)</f>
        <v>#REF!</v>
      </c>
      <c r="AC121" s="2" t="e">
        <f>AB121*3600*1.25/0.85</f>
        <v>#REF!</v>
      </c>
      <c r="AD121" s="23">
        <v>200</v>
      </c>
      <c r="AE121" s="23">
        <v>190</v>
      </c>
      <c r="AF121" s="22" t="s">
        <v>158</v>
      </c>
      <c r="AG121" s="22"/>
      <c r="AH121" s="14"/>
      <c r="AI121" s="14"/>
      <c r="AJ121" s="14"/>
      <c r="AK121" s="14"/>
      <c r="AM121" s="1"/>
      <c r="AN121" s="1"/>
      <c r="AO121" s="1"/>
      <c r="AP121" s="1"/>
      <c r="AQ121" s="1"/>
      <c r="AR121" s="1"/>
      <c r="AS121" s="1"/>
      <c r="AT121" s="1"/>
      <c r="AU121" s="1"/>
      <c r="BW121" s="76"/>
      <c r="BX121" s="76"/>
      <c r="BY121" s="76"/>
      <c r="BZ121" s="76"/>
      <c r="CA121" s="76"/>
      <c r="CB121" s="76"/>
      <c r="CC121" s="76"/>
    </row>
    <row r="122" spans="1:89" ht="25.5" x14ac:dyDescent="0.2">
      <c r="A122" s="8">
        <v>219</v>
      </c>
      <c r="B122" s="93" t="s">
        <v>348</v>
      </c>
      <c r="C122" s="8"/>
      <c r="D122" s="105">
        <v>3.57</v>
      </c>
      <c r="E122" s="110">
        <v>64.33</v>
      </c>
      <c r="F122" s="110">
        <f t="shared" si="39"/>
        <v>229.66</v>
      </c>
      <c r="G122" s="111" t="s">
        <v>131</v>
      </c>
      <c r="H122" s="111" t="s">
        <v>131</v>
      </c>
      <c r="I122" s="104">
        <f>20*31</f>
        <v>620</v>
      </c>
      <c r="J122" s="104" t="s">
        <v>9</v>
      </c>
      <c r="K122" s="104">
        <f>I122</f>
        <v>620</v>
      </c>
      <c r="L122" s="104">
        <f>K122</f>
        <v>620</v>
      </c>
      <c r="M122" s="110">
        <f t="shared" si="54"/>
        <v>2.6999999999999997</v>
      </c>
      <c r="N122" s="110">
        <f>ROUNDUP(L122/F122,2)</f>
        <v>2.6999999999999997</v>
      </c>
      <c r="O122" s="101" t="str">
        <f>O55</f>
        <v>П7</v>
      </c>
      <c r="P122" s="6" t="str">
        <f>P120</f>
        <v>ВЕ5</v>
      </c>
      <c r="Q122" s="4"/>
      <c r="T122" s="14" t="s">
        <v>159</v>
      </c>
      <c r="U122" s="2">
        <v>16.600000000000001</v>
      </c>
      <c r="V122" s="2">
        <v>1.05</v>
      </c>
      <c r="W122" s="2">
        <v>0.85</v>
      </c>
      <c r="X122" s="2">
        <v>0.86</v>
      </c>
      <c r="Y122" s="25"/>
      <c r="Z122" s="2">
        <v>200</v>
      </c>
      <c r="AA122" s="16"/>
      <c r="AB122" s="2" t="e">
        <f>_xlfn.CEILING.MATH(0.005*(#REF!^(1/3))*((0.85+1.7*#REF!)^(5/3))*(895*0.63/889),0.0001)</f>
        <v>#REF!</v>
      </c>
      <c r="AC122" s="2" t="e">
        <f>(AB122*3600*1.25/0.85)*4</f>
        <v>#REF!</v>
      </c>
      <c r="AD122" s="14">
        <v>3000</v>
      </c>
      <c r="AE122" s="22">
        <v>2900</v>
      </c>
      <c r="AF122" s="22" t="s">
        <v>160</v>
      </c>
      <c r="AG122" s="22"/>
      <c r="AH122" s="14"/>
      <c r="AI122" s="14"/>
      <c r="AJ122" s="14"/>
      <c r="AK122" s="14"/>
      <c r="AM122" s="1"/>
      <c r="AN122" s="1"/>
      <c r="AO122" s="1"/>
      <c r="AP122" s="1"/>
      <c r="AQ122" s="1"/>
      <c r="AR122" s="1"/>
      <c r="AS122" s="1"/>
      <c r="AT122" s="1"/>
      <c r="AU122" s="1"/>
      <c r="BW122" s="76"/>
      <c r="BX122" s="76"/>
      <c r="BY122" s="76"/>
      <c r="BZ122" s="76"/>
      <c r="CA122" s="76"/>
      <c r="CB122" s="76"/>
      <c r="CC122" s="76"/>
    </row>
    <row r="123" spans="1:89" x14ac:dyDescent="0.2">
      <c r="A123" s="8">
        <v>220</v>
      </c>
      <c r="B123" s="93" t="s">
        <v>290</v>
      </c>
      <c r="C123" s="8"/>
      <c r="D123" s="105">
        <v>3.57</v>
      </c>
      <c r="E123" s="110">
        <v>46.52</v>
      </c>
      <c r="F123" s="110">
        <f t="shared" si="39"/>
        <v>166.08</v>
      </c>
      <c r="G123" s="111" t="s">
        <v>131</v>
      </c>
      <c r="H123" s="111" t="s">
        <v>131</v>
      </c>
      <c r="I123" s="104">
        <f>20*31</f>
        <v>620</v>
      </c>
      <c r="J123" s="104" t="s">
        <v>9</v>
      </c>
      <c r="K123" s="104">
        <f>I123</f>
        <v>620</v>
      </c>
      <c r="L123" s="104">
        <f>K123</f>
        <v>620</v>
      </c>
      <c r="M123" s="110">
        <f t="shared" si="54"/>
        <v>3.7399999999999998</v>
      </c>
      <c r="N123" s="110">
        <f>ROUNDUP(L123/F123,2)</f>
        <v>3.7399999999999998</v>
      </c>
      <c r="O123" s="101" t="str">
        <f>O51</f>
        <v>П6</v>
      </c>
      <c r="P123" s="6" t="s">
        <v>406</v>
      </c>
      <c r="Q123" s="4"/>
      <c r="T123" s="135" t="s">
        <v>161</v>
      </c>
      <c r="U123" s="2">
        <v>15.2</v>
      </c>
      <c r="V123" s="2">
        <v>0.86</v>
      </c>
      <c r="W123" s="2">
        <v>0.88200000000000001</v>
      </c>
      <c r="X123" s="2">
        <v>1.2170000000000001</v>
      </c>
      <c r="Y123" s="25"/>
      <c r="Z123" s="2">
        <v>120</v>
      </c>
      <c r="AA123" s="16"/>
      <c r="AB123" s="2" t="e">
        <f>_xlfn.CEILING.MATH(0.005*(#REF!^(1/3))*((0.85+1.7*#REF!)^(5/3))*(895*0.63/889),0.0001)</f>
        <v>#REF!</v>
      </c>
      <c r="AC123" s="2" t="e">
        <f>(AB123*3600*1.25/0.85)*2</f>
        <v>#REF!</v>
      </c>
      <c r="AD123" s="23">
        <v>1150</v>
      </c>
      <c r="AE123" s="23">
        <v>1114</v>
      </c>
      <c r="AF123" s="22" t="s">
        <v>162</v>
      </c>
      <c r="AG123" s="22"/>
      <c r="AH123" s="14"/>
      <c r="AI123" s="14"/>
      <c r="AJ123" s="14"/>
      <c r="AK123" s="14"/>
      <c r="AM123" s="1"/>
      <c r="AN123" s="1"/>
      <c r="AO123" s="1"/>
      <c r="AP123" s="1"/>
      <c r="AQ123" s="1"/>
      <c r="AR123" s="1"/>
      <c r="AS123" s="1"/>
      <c r="AT123" s="1"/>
      <c r="AU123" s="1"/>
      <c r="BW123" s="76"/>
      <c r="BX123" s="76"/>
      <c r="BY123" s="76"/>
      <c r="BZ123" s="76"/>
      <c r="CA123" s="76"/>
      <c r="CB123" s="76"/>
      <c r="CC123" s="76"/>
    </row>
    <row r="124" spans="1:89" x14ac:dyDescent="0.2">
      <c r="A124" s="8">
        <v>221</v>
      </c>
      <c r="B124" s="93" t="s">
        <v>349</v>
      </c>
      <c r="C124" s="8"/>
      <c r="D124" s="105">
        <v>3.57</v>
      </c>
      <c r="E124" s="110">
        <v>47.13</v>
      </c>
      <c r="F124" s="110">
        <f t="shared" si="39"/>
        <v>168.25</v>
      </c>
      <c r="G124" s="8" t="s">
        <v>90</v>
      </c>
      <c r="H124" s="8" t="s">
        <v>9</v>
      </c>
      <c r="I124" s="104">
        <v>700</v>
      </c>
      <c r="J124" s="104" t="s">
        <v>9</v>
      </c>
      <c r="K124" s="104" t="s">
        <v>9</v>
      </c>
      <c r="L124" s="104" t="s">
        <v>9</v>
      </c>
      <c r="M124" s="110">
        <f>ROUNDUP(I124/F124,2)</f>
        <v>4.17</v>
      </c>
      <c r="N124" s="110" t="s">
        <v>9</v>
      </c>
      <c r="O124" s="101" t="str">
        <f>O51</f>
        <v>П6</v>
      </c>
      <c r="P124" s="6" t="s">
        <v>9</v>
      </c>
      <c r="Q124" s="4"/>
      <c r="T124" s="135"/>
      <c r="U124" s="83"/>
      <c r="V124" s="83"/>
      <c r="W124" s="83"/>
      <c r="X124" s="83"/>
      <c r="Y124" s="83"/>
      <c r="Z124" s="83"/>
      <c r="AA124" s="16"/>
      <c r="AB124" s="83"/>
      <c r="AC124" s="83"/>
      <c r="AD124" s="23"/>
      <c r="AE124" s="23"/>
      <c r="AF124" s="22"/>
      <c r="AG124" s="22"/>
      <c r="AH124" s="14"/>
      <c r="AI124" s="14"/>
      <c r="AJ124" s="14"/>
      <c r="AK124" s="14"/>
      <c r="AL124" s="75"/>
      <c r="AM124" s="1"/>
      <c r="AN124" s="1"/>
      <c r="AO124" s="1"/>
      <c r="AP124" s="1"/>
      <c r="AQ124" s="1"/>
      <c r="AR124" s="1"/>
      <c r="AS124" s="1"/>
      <c r="AT124" s="1"/>
      <c r="AU124" s="1"/>
      <c r="BW124" s="76"/>
      <c r="BX124" s="76"/>
      <c r="BY124" s="76"/>
      <c r="BZ124" s="76"/>
      <c r="CA124" s="76"/>
      <c r="CB124" s="76"/>
      <c r="CC124" s="76"/>
    </row>
    <row r="125" spans="1:89" ht="25.5" x14ac:dyDescent="0.2">
      <c r="A125" s="8">
        <v>222</v>
      </c>
      <c r="B125" s="93" t="s">
        <v>332</v>
      </c>
      <c r="C125" s="8"/>
      <c r="D125" s="105">
        <v>3.57</v>
      </c>
      <c r="E125" s="110">
        <v>14.15</v>
      </c>
      <c r="F125" s="110">
        <f t="shared" si="39"/>
        <v>50.52</v>
      </c>
      <c r="G125" s="111" t="s">
        <v>9</v>
      </c>
      <c r="H125" s="111" t="s">
        <v>9</v>
      </c>
      <c r="I125" s="104" t="s">
        <v>9</v>
      </c>
      <c r="J125" s="104" t="s">
        <v>9</v>
      </c>
      <c r="K125" s="104">
        <v>275</v>
      </c>
      <c r="L125" s="104">
        <v>275</v>
      </c>
      <c r="M125" s="110">
        <v>5</v>
      </c>
      <c r="N125" s="110">
        <f>ROUNDUP(L125/F125,2)</f>
        <v>5.45</v>
      </c>
      <c r="O125" s="101" t="s">
        <v>9</v>
      </c>
      <c r="P125" s="6" t="str">
        <f>P66</f>
        <v>В14</v>
      </c>
      <c r="Q125" s="4"/>
      <c r="T125" s="135"/>
      <c r="U125" s="2">
        <v>2.4</v>
      </c>
      <c r="V125" s="2">
        <v>0.86199999999999999</v>
      </c>
      <c r="W125" s="2">
        <v>0.89</v>
      </c>
      <c r="X125" s="2">
        <v>0.84499999999999997</v>
      </c>
      <c r="Y125" s="25"/>
      <c r="Z125" s="2">
        <v>350</v>
      </c>
      <c r="AA125" s="16"/>
      <c r="AB125" s="2" t="e">
        <f>_xlfn.CEILING.MATH(0.005*(#REF!^(1/3))*((0.85+1.7*#REF!)^(5/3))*(895*0.63/889),0.0001)</f>
        <v>#REF!</v>
      </c>
      <c r="AC125" s="2" t="e">
        <f>(AB125*3600*1.25/0.85)*2</f>
        <v>#REF!</v>
      </c>
      <c r="AD125" s="23">
        <v>900</v>
      </c>
      <c r="AE125" s="23">
        <v>870</v>
      </c>
      <c r="AF125" s="22" t="s">
        <v>163</v>
      </c>
      <c r="AG125" s="22"/>
      <c r="AH125" s="14"/>
      <c r="AI125" s="14"/>
      <c r="AJ125" s="14"/>
      <c r="AK125" s="14"/>
      <c r="AM125" s="1"/>
      <c r="AN125" s="1"/>
      <c r="AO125" s="1"/>
      <c r="AP125" s="1"/>
      <c r="AQ125" s="1"/>
      <c r="AR125" s="1"/>
      <c r="AS125" s="1"/>
      <c r="AT125" s="1"/>
      <c r="AU125" s="1"/>
      <c r="BW125" s="76"/>
      <c r="BX125" s="76"/>
      <c r="BY125" s="76"/>
      <c r="BZ125" s="76"/>
      <c r="CA125" s="76"/>
      <c r="CB125" s="76"/>
      <c r="CC125" s="76"/>
    </row>
    <row r="126" spans="1:89" x14ac:dyDescent="0.2">
      <c r="A126" s="8">
        <v>223</v>
      </c>
      <c r="B126" s="93" t="s">
        <v>13</v>
      </c>
      <c r="C126" s="8"/>
      <c r="D126" s="105">
        <v>3.57</v>
      </c>
      <c r="E126" s="110">
        <v>2.7</v>
      </c>
      <c r="F126" s="110">
        <f t="shared" si="39"/>
        <v>9.64</v>
      </c>
      <c r="G126" s="91" t="s">
        <v>9</v>
      </c>
      <c r="H126" s="8" t="s">
        <v>137</v>
      </c>
      <c r="I126" s="104" t="s">
        <v>9</v>
      </c>
      <c r="J126" s="104" t="s">
        <v>9</v>
      </c>
      <c r="K126" s="104">
        <v>50</v>
      </c>
      <c r="L126" s="104">
        <f>K126</f>
        <v>50</v>
      </c>
      <c r="M126" s="110" t="s">
        <v>9</v>
      </c>
      <c r="N126" s="110">
        <f>ROUNDUP(L126/F126,2)</f>
        <v>5.1899999999999995</v>
      </c>
      <c r="O126" s="6" t="s">
        <v>9</v>
      </c>
      <c r="P126" s="101" t="str">
        <f>P67</f>
        <v>В15</v>
      </c>
      <c r="Q126" s="4"/>
      <c r="T126" s="84"/>
      <c r="U126" s="83"/>
      <c r="V126" s="83"/>
      <c r="W126" s="83"/>
      <c r="X126" s="83"/>
      <c r="Y126" s="83"/>
      <c r="Z126" s="83"/>
      <c r="AA126" s="16"/>
      <c r="AB126" s="83"/>
      <c r="AC126" s="83"/>
      <c r="AD126" s="23"/>
      <c r="AE126" s="23"/>
      <c r="AF126" s="22"/>
      <c r="AG126" s="22"/>
      <c r="AH126" s="14"/>
      <c r="AI126" s="14"/>
      <c r="AJ126" s="14"/>
      <c r="AK126" s="14"/>
      <c r="AL126" s="75"/>
      <c r="AM126" s="1"/>
      <c r="AN126" s="1"/>
      <c r="AO126" s="1"/>
      <c r="AP126" s="1"/>
      <c r="AQ126" s="1"/>
      <c r="AR126" s="1"/>
      <c r="AS126" s="1"/>
      <c r="AT126" s="1"/>
      <c r="AU126" s="1"/>
      <c r="BW126" s="76"/>
      <c r="BX126" s="76"/>
      <c r="BY126" s="76"/>
      <c r="BZ126" s="76"/>
      <c r="CA126" s="76"/>
      <c r="CB126" s="76"/>
      <c r="CC126" s="76"/>
    </row>
    <row r="127" spans="1:89" x14ac:dyDescent="0.2">
      <c r="A127" s="8">
        <v>224</v>
      </c>
      <c r="B127" s="93" t="s">
        <v>333</v>
      </c>
      <c r="C127" s="8"/>
      <c r="D127" s="105">
        <v>3.57</v>
      </c>
      <c r="E127" s="110">
        <v>14.33</v>
      </c>
      <c r="F127" s="110">
        <f t="shared" si="39"/>
        <v>51.16</v>
      </c>
      <c r="G127" s="111" t="s">
        <v>9</v>
      </c>
      <c r="H127" s="111">
        <v>150</v>
      </c>
      <c r="I127" s="104" t="s">
        <v>9</v>
      </c>
      <c r="J127" s="104" t="s">
        <v>9</v>
      </c>
      <c r="K127" s="104">
        <v>150</v>
      </c>
      <c r="L127" s="104">
        <f>K127</f>
        <v>150</v>
      </c>
      <c r="M127" s="110">
        <v>3</v>
      </c>
      <c r="N127" s="110">
        <f>ROUNDUP(L127/F127,2)</f>
        <v>2.94</v>
      </c>
      <c r="O127" s="101" t="s">
        <v>9</v>
      </c>
      <c r="P127" s="6" t="str">
        <f>P125</f>
        <v>В14</v>
      </c>
      <c r="Q127" s="4"/>
      <c r="T127" s="14" t="s">
        <v>29</v>
      </c>
      <c r="U127" s="2"/>
      <c r="V127" s="2">
        <v>0.69</v>
      </c>
      <c r="W127" s="2">
        <v>0.54500000000000004</v>
      </c>
      <c r="X127" s="2">
        <v>0.26</v>
      </c>
      <c r="Y127" s="25"/>
      <c r="Z127" s="2"/>
      <c r="AA127" s="16"/>
      <c r="AB127" s="2" t="e">
        <f>_xlfn.CEILING.MATH(0.005*(#REF!^(1/3))*((0.85+1.7*#REF!)^(5/3))*(895*0.63/889),0.0001)</f>
        <v>#REF!</v>
      </c>
      <c r="AC127" s="2" t="e">
        <f>AB127*3600*1.25/0.85</f>
        <v>#REF!</v>
      </c>
      <c r="AD127" s="22" t="s">
        <v>164</v>
      </c>
      <c r="AE127" s="22"/>
      <c r="AF127" s="14" t="s">
        <v>165</v>
      </c>
      <c r="AG127" s="14"/>
      <c r="AH127" s="14"/>
      <c r="AI127" s="14"/>
      <c r="AJ127" s="14"/>
      <c r="AK127" s="14"/>
      <c r="AM127" s="1"/>
      <c r="AN127" s="1"/>
      <c r="AO127" s="1"/>
      <c r="AP127" s="1"/>
      <c r="AQ127" s="1"/>
      <c r="AR127" s="1"/>
      <c r="AS127" s="1"/>
      <c r="AT127" s="1"/>
      <c r="AU127" s="1"/>
      <c r="BW127" s="76"/>
      <c r="BX127" s="76"/>
      <c r="BY127" s="76"/>
      <c r="BZ127" s="76"/>
      <c r="CA127" s="76"/>
      <c r="CB127" s="76"/>
      <c r="CC127" s="76"/>
    </row>
    <row r="128" spans="1:89" x14ac:dyDescent="0.2">
      <c r="A128" s="8">
        <v>225</v>
      </c>
      <c r="B128" s="93" t="s">
        <v>103</v>
      </c>
      <c r="C128" s="8"/>
      <c r="D128" s="105">
        <v>3.57</v>
      </c>
      <c r="E128" s="110">
        <v>25.65</v>
      </c>
      <c r="F128" s="110">
        <f t="shared" si="39"/>
        <v>91.57</v>
      </c>
      <c r="G128" s="111" t="s">
        <v>9</v>
      </c>
      <c r="H128" s="111" t="s">
        <v>9</v>
      </c>
      <c r="I128" s="104" t="s">
        <v>9</v>
      </c>
      <c r="J128" s="104" t="s">
        <v>9</v>
      </c>
      <c r="K128" s="104" t="s">
        <v>9</v>
      </c>
      <c r="L128" s="104" t="s">
        <v>9</v>
      </c>
      <c r="M128" s="110" t="s">
        <v>9</v>
      </c>
      <c r="N128" s="110" t="s">
        <v>9</v>
      </c>
      <c r="O128" s="101" t="s">
        <v>9</v>
      </c>
      <c r="P128" s="6" t="s">
        <v>9</v>
      </c>
      <c r="Q128" s="4"/>
      <c r="T128" s="14" t="s">
        <v>29</v>
      </c>
      <c r="U128" s="2"/>
      <c r="V128" s="2">
        <v>0.69</v>
      </c>
      <c r="W128" s="2">
        <v>0.54500000000000004</v>
      </c>
      <c r="X128" s="2">
        <v>0.26</v>
      </c>
      <c r="Y128" s="25"/>
      <c r="Z128" s="2"/>
      <c r="AA128" s="16"/>
      <c r="AB128" s="2" t="e">
        <f>_xlfn.CEILING.MATH(0.005*(#REF!^(1/3))*((0.85+1.7*#REF!)^(5/3))*(895*0.63/889),0.0001)</f>
        <v>#REF!</v>
      </c>
      <c r="AC128" s="2" t="e">
        <f>AB128*3600*1.25/0.85</f>
        <v>#REF!</v>
      </c>
      <c r="AD128" s="22" t="s">
        <v>164</v>
      </c>
      <c r="AE128" s="22"/>
      <c r="AF128" s="14" t="s">
        <v>165</v>
      </c>
      <c r="AG128" s="14"/>
      <c r="AH128" s="14"/>
      <c r="AI128" s="14"/>
      <c r="AJ128" s="14"/>
      <c r="AK128" s="14"/>
      <c r="AM128" s="1"/>
      <c r="AN128" s="1"/>
      <c r="AO128" s="1"/>
      <c r="AP128" s="1"/>
      <c r="AQ128" s="1"/>
      <c r="AR128" s="1"/>
      <c r="AS128" s="1"/>
      <c r="AT128" s="1"/>
      <c r="AU128" s="1"/>
      <c r="BW128" s="76"/>
      <c r="BX128" s="76"/>
      <c r="BY128" s="76"/>
      <c r="BZ128" s="76"/>
      <c r="CA128" s="76"/>
      <c r="CB128" s="76"/>
      <c r="CC128" s="76"/>
    </row>
    <row r="129" spans="1:81" x14ac:dyDescent="0.2">
      <c r="A129" s="8">
        <v>226</v>
      </c>
      <c r="B129" s="93" t="s">
        <v>68</v>
      </c>
      <c r="C129" s="8"/>
      <c r="D129" s="105">
        <v>5.73</v>
      </c>
      <c r="E129" s="110">
        <v>259.64999999999998</v>
      </c>
      <c r="F129" s="110">
        <f t="shared" si="39"/>
        <v>1487.79</v>
      </c>
      <c r="G129" s="111" t="s">
        <v>135</v>
      </c>
      <c r="H129" s="111" t="s">
        <v>135</v>
      </c>
      <c r="I129" s="104">
        <f>80*28</f>
        <v>2240</v>
      </c>
      <c r="J129" s="104" t="s">
        <v>9</v>
      </c>
      <c r="K129" s="104">
        <f>80*28</f>
        <v>2240</v>
      </c>
      <c r="L129" s="104">
        <f>K129</f>
        <v>2240</v>
      </c>
      <c r="M129" s="110">
        <f>ROUNDUP(I129/F129,2)</f>
        <v>1.51</v>
      </c>
      <c r="N129" s="110">
        <f>ROUNDUP(L129/F129,2)</f>
        <v>1.51</v>
      </c>
      <c r="O129" s="101" t="s">
        <v>74</v>
      </c>
      <c r="P129" s="101" t="s">
        <v>389</v>
      </c>
      <c r="Q129" s="4"/>
      <c r="T129" s="14" t="s">
        <v>84</v>
      </c>
      <c r="U129" s="2"/>
      <c r="V129" s="2">
        <v>0.69</v>
      </c>
      <c r="W129" s="2">
        <v>0.54500000000000004</v>
      </c>
      <c r="X129" s="2">
        <v>0.26</v>
      </c>
      <c r="Y129" s="25"/>
      <c r="Z129" s="2"/>
      <c r="AA129" s="16"/>
      <c r="AB129" s="2" t="e">
        <f>_xlfn.CEILING.MATH(0.005*(#REF!^(1/3))*((0.85+1.7*#REF!)^(5/3))*(895*0.63/889),0.0001)</f>
        <v>#REF!</v>
      </c>
      <c r="AC129" s="2" t="e">
        <f>AB129*3600*1.25/0.85</f>
        <v>#REF!</v>
      </c>
      <c r="AD129" s="22" t="s">
        <v>164</v>
      </c>
      <c r="AE129" s="22"/>
      <c r="AF129" s="14" t="s">
        <v>165</v>
      </c>
      <c r="AG129" s="14"/>
      <c r="AH129" s="14"/>
      <c r="AI129" s="14"/>
      <c r="AJ129" s="14"/>
      <c r="AK129" s="14"/>
      <c r="AM129" s="1"/>
      <c r="AN129" s="1"/>
      <c r="AO129" s="1"/>
      <c r="AP129" s="1"/>
      <c r="AQ129" s="1"/>
      <c r="AR129" s="1"/>
      <c r="AS129" s="1"/>
      <c r="AT129" s="1"/>
      <c r="AU129" s="1"/>
      <c r="BW129" s="76"/>
      <c r="BX129" s="76"/>
      <c r="BY129" s="76"/>
      <c r="BZ129" s="76"/>
      <c r="CA129" s="76"/>
      <c r="CB129" s="76"/>
      <c r="CC129" s="76"/>
    </row>
    <row r="130" spans="1:81" x14ac:dyDescent="0.2">
      <c r="A130" s="8">
        <v>227</v>
      </c>
      <c r="B130" s="93" t="s">
        <v>103</v>
      </c>
      <c r="C130" s="8"/>
      <c r="D130" s="105">
        <v>2.97</v>
      </c>
      <c r="E130" s="110">
        <v>37.78</v>
      </c>
      <c r="F130" s="110">
        <f t="shared" si="39"/>
        <v>112.21</v>
      </c>
      <c r="G130" s="8" t="s">
        <v>9</v>
      </c>
      <c r="H130" s="8" t="s">
        <v>9</v>
      </c>
      <c r="I130" s="8" t="s">
        <v>9</v>
      </c>
      <c r="J130" s="8" t="s">
        <v>9</v>
      </c>
      <c r="K130" s="8" t="s">
        <v>9</v>
      </c>
      <c r="L130" s="8" t="s">
        <v>9</v>
      </c>
      <c r="M130" s="8" t="s">
        <v>9</v>
      </c>
      <c r="N130" s="8" t="s">
        <v>9</v>
      </c>
      <c r="O130" s="8" t="s">
        <v>9</v>
      </c>
      <c r="P130" s="8" t="s">
        <v>9</v>
      </c>
      <c r="Q130" s="4"/>
      <c r="T130" s="14" t="s">
        <v>84</v>
      </c>
      <c r="U130" s="2">
        <v>12.1</v>
      </c>
      <c r="V130" s="2">
        <v>0.74</v>
      </c>
      <c r="W130" s="2">
        <v>0.82</v>
      </c>
      <c r="X130" s="2">
        <v>1.52</v>
      </c>
      <c r="Y130" s="25"/>
      <c r="Z130" s="2">
        <v>50</v>
      </c>
      <c r="AA130" s="16"/>
      <c r="AB130" s="2" t="e">
        <f>_xlfn.CEILING.MATH(0.005*(#REF!^(1/3))*((0.85+1.7*#REF!)^(5/3))*(895*0.63/889),0.0001)</f>
        <v>#REF!</v>
      </c>
      <c r="AC130" s="2" t="e">
        <f>AB130*3600*1.25/0.85</f>
        <v>#REF!</v>
      </c>
      <c r="AD130" s="22">
        <v>350</v>
      </c>
      <c r="AE130" s="22"/>
      <c r="AF130" s="22" t="s">
        <v>166</v>
      </c>
      <c r="AG130" s="22"/>
      <c r="AH130" s="14"/>
      <c r="AI130" s="14"/>
      <c r="AJ130" s="14"/>
      <c r="AK130" s="14"/>
      <c r="AM130" s="1"/>
      <c r="AN130" s="1"/>
      <c r="AO130" s="1"/>
      <c r="AP130" s="1"/>
      <c r="AQ130" s="1"/>
      <c r="AR130" s="1"/>
      <c r="AS130" s="1"/>
      <c r="AT130" s="1"/>
      <c r="AU130" s="1"/>
      <c r="BW130" s="183"/>
      <c r="BX130" s="183"/>
      <c r="BY130" s="183"/>
      <c r="BZ130" s="183"/>
      <c r="CA130" s="183"/>
      <c r="CB130" s="76"/>
      <c r="CC130" s="76"/>
    </row>
    <row r="131" spans="1:81" x14ac:dyDescent="0.2">
      <c r="A131" s="8">
        <v>228</v>
      </c>
      <c r="B131" s="93" t="s">
        <v>124</v>
      </c>
      <c r="C131" s="8" t="s">
        <v>31</v>
      </c>
      <c r="D131" s="105">
        <v>2.97</v>
      </c>
      <c r="E131" s="110">
        <v>6.08</v>
      </c>
      <c r="F131" s="110">
        <f t="shared" si="39"/>
        <v>18.059999999999999</v>
      </c>
      <c r="G131" s="8" t="s">
        <v>9</v>
      </c>
      <c r="H131" s="101">
        <v>1</v>
      </c>
      <c r="I131" s="104" t="s">
        <v>9</v>
      </c>
      <c r="J131" s="104" t="s">
        <v>9</v>
      </c>
      <c r="K131" s="104">
        <v>40</v>
      </c>
      <c r="L131" s="104">
        <f t="shared" ref="L131" si="56">K131</f>
        <v>40</v>
      </c>
      <c r="M131" s="110" t="s">
        <v>9</v>
      </c>
      <c r="N131" s="110">
        <f t="shared" ref="N131" si="57">ROUNDUP(L131/F131,2)</f>
        <v>2.2199999999999998</v>
      </c>
      <c r="O131" s="101" t="s">
        <v>9</v>
      </c>
      <c r="P131" s="101" t="s">
        <v>417</v>
      </c>
      <c r="Q131" s="4"/>
      <c r="T131" s="14"/>
      <c r="U131" s="14">
        <f>SUM(U114:U130)+16.6*3</f>
        <v>169.83</v>
      </c>
      <c r="V131" s="14"/>
      <c r="W131" s="14"/>
      <c r="X131" s="14"/>
      <c r="Y131" s="14"/>
      <c r="Z131" s="14"/>
      <c r="AA131" s="14"/>
      <c r="AB131" s="14"/>
      <c r="AC131" s="22" t="e">
        <f>SUM(AC130)</f>
        <v>#REF!</v>
      </c>
      <c r="AD131" s="22">
        <f>SUM(AD130)</f>
        <v>350</v>
      </c>
      <c r="AE131" s="22"/>
      <c r="AF131" s="14"/>
      <c r="AG131" s="14"/>
      <c r="AH131" s="14"/>
      <c r="AI131" s="14"/>
      <c r="AJ131" s="14"/>
      <c r="AK131" s="14"/>
      <c r="AM131" s="1"/>
      <c r="AN131" s="1"/>
      <c r="AO131" s="1"/>
      <c r="AP131" s="1"/>
      <c r="AQ131" s="1"/>
      <c r="AR131" s="1"/>
      <c r="AS131" s="1"/>
      <c r="AT131" s="1"/>
      <c r="AU131" s="1"/>
      <c r="BW131" s="76"/>
      <c r="BX131" s="76"/>
      <c r="BY131" s="76"/>
      <c r="BZ131" s="76"/>
      <c r="CA131" s="76"/>
      <c r="CB131" s="76"/>
      <c r="CC131" s="76"/>
    </row>
    <row r="132" spans="1:81" ht="13.5" thickBot="1" x14ac:dyDescent="0.25">
      <c r="A132" s="8">
        <v>229</v>
      </c>
      <c r="B132" s="93" t="s">
        <v>10</v>
      </c>
      <c r="C132" s="8"/>
      <c r="D132" s="105">
        <v>2.97</v>
      </c>
      <c r="E132" s="110">
        <v>5.91</v>
      </c>
      <c r="F132" s="110">
        <f t="shared" si="39"/>
        <v>17.55</v>
      </c>
      <c r="G132" s="91" t="s">
        <v>9</v>
      </c>
      <c r="H132" s="8" t="s">
        <v>9</v>
      </c>
      <c r="I132" s="104">
        <v>150</v>
      </c>
      <c r="J132" s="104" t="s">
        <v>9</v>
      </c>
      <c r="K132" s="104" t="s">
        <v>9</v>
      </c>
      <c r="L132" s="104" t="s">
        <v>9</v>
      </c>
      <c r="M132" s="110" t="s">
        <v>9</v>
      </c>
      <c r="N132" s="110" t="s">
        <v>9</v>
      </c>
      <c r="O132" s="104" t="str">
        <f>O92</f>
        <v>П9</v>
      </c>
      <c r="P132" s="101" t="s">
        <v>9</v>
      </c>
      <c r="Q132" s="4" t="s">
        <v>365</v>
      </c>
      <c r="S132" s="3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1"/>
      <c r="AN132" s="1"/>
      <c r="AO132" s="1"/>
      <c r="AP132" s="1"/>
      <c r="AQ132" s="1"/>
      <c r="AR132" s="1"/>
      <c r="AS132" s="1"/>
      <c r="AT132" s="1"/>
      <c r="AU132" s="1"/>
      <c r="BW132" s="76"/>
      <c r="BX132" s="76"/>
      <c r="BY132" s="76"/>
      <c r="BZ132" s="76"/>
      <c r="CA132" s="76"/>
      <c r="CB132" s="76"/>
      <c r="CC132" s="76"/>
    </row>
    <row r="133" spans="1:81" ht="13.5" thickTop="1" x14ac:dyDescent="0.2">
      <c r="A133" s="8">
        <v>230</v>
      </c>
      <c r="B133" s="93" t="s">
        <v>120</v>
      </c>
      <c r="C133" s="8"/>
      <c r="D133" s="105">
        <v>2.97</v>
      </c>
      <c r="E133" s="110">
        <v>9.81</v>
      </c>
      <c r="F133" s="110">
        <f t="shared" si="39"/>
        <v>29.14</v>
      </c>
      <c r="G133" s="101">
        <v>2</v>
      </c>
      <c r="H133" s="101">
        <v>3</v>
      </c>
      <c r="I133" s="104">
        <v>150</v>
      </c>
      <c r="J133" s="104" t="s">
        <v>9</v>
      </c>
      <c r="K133" s="104" t="s">
        <v>9</v>
      </c>
      <c r="L133" s="104" t="str">
        <f t="shared" ref="L133:L134" si="58">K133</f>
        <v>-</v>
      </c>
      <c r="M133" s="110">
        <f>ROUNDUP(I133/F133,2)</f>
        <v>5.1499999999999995</v>
      </c>
      <c r="N133" s="110" t="s">
        <v>9</v>
      </c>
      <c r="O133" s="101" t="str">
        <f>O92</f>
        <v>П9</v>
      </c>
      <c r="P133" s="101" t="s">
        <v>9</v>
      </c>
      <c r="Q133" s="4"/>
      <c r="AM133" s="1"/>
      <c r="AN133" s="1"/>
      <c r="AO133" s="1"/>
      <c r="AP133" s="1"/>
      <c r="AQ133" s="1"/>
      <c r="AR133" s="1"/>
      <c r="AS133" s="1"/>
      <c r="AT133" s="1"/>
      <c r="AU133" s="1"/>
      <c r="BW133" s="184"/>
      <c r="BX133" s="184"/>
      <c r="BY133" s="184"/>
      <c r="BZ133" s="184"/>
      <c r="CA133" s="184"/>
      <c r="CB133" s="76"/>
      <c r="CC133" s="76"/>
    </row>
    <row r="134" spans="1:81" x14ac:dyDescent="0.2">
      <c r="A134" s="8">
        <v>231</v>
      </c>
      <c r="B134" s="93" t="s">
        <v>350</v>
      </c>
      <c r="C134" s="8"/>
      <c r="D134" s="105">
        <v>2.97</v>
      </c>
      <c r="E134" s="110">
        <v>11.3</v>
      </c>
      <c r="F134" s="110">
        <f t="shared" si="39"/>
        <v>33.56</v>
      </c>
      <c r="G134" s="101">
        <v>2</v>
      </c>
      <c r="H134" s="101">
        <v>3</v>
      </c>
      <c r="I134" s="104">
        <v>150</v>
      </c>
      <c r="J134" s="104" t="s">
        <v>9</v>
      </c>
      <c r="K134" s="104" t="s">
        <v>9</v>
      </c>
      <c r="L134" s="104" t="str">
        <f t="shared" si="58"/>
        <v>-</v>
      </c>
      <c r="M134" s="110">
        <f>ROUNDUP(I134/F134,2)</f>
        <v>4.47</v>
      </c>
      <c r="N134" s="110" t="s">
        <v>9</v>
      </c>
      <c r="O134" s="101" t="str">
        <f>O92</f>
        <v>П9</v>
      </c>
      <c r="P134" s="101" t="s">
        <v>9</v>
      </c>
      <c r="Q134" s="4"/>
      <c r="T134" s="5" t="s">
        <v>170</v>
      </c>
      <c r="U134" s="5" t="s">
        <v>171</v>
      </c>
      <c r="V134" s="5" t="s">
        <v>172</v>
      </c>
      <c r="AM134" s="1"/>
      <c r="AN134" s="1"/>
      <c r="AO134" s="1"/>
      <c r="AP134" s="1"/>
      <c r="AQ134" s="1"/>
      <c r="AR134" s="1"/>
      <c r="AS134" s="1"/>
      <c r="AT134" s="1"/>
      <c r="AU134" s="1"/>
      <c r="BW134" s="76"/>
      <c r="BX134" s="76"/>
      <c r="BY134" s="76"/>
      <c r="BZ134" s="76"/>
      <c r="CA134" s="76"/>
      <c r="CB134" s="76"/>
      <c r="CC134" s="76"/>
    </row>
    <row r="135" spans="1:81" x14ac:dyDescent="0.2">
      <c r="A135" s="8">
        <v>232</v>
      </c>
      <c r="B135" s="93" t="s">
        <v>11</v>
      </c>
      <c r="C135" s="8"/>
      <c r="D135" s="105">
        <v>2.97</v>
      </c>
      <c r="E135" s="110">
        <v>2.27</v>
      </c>
      <c r="F135" s="110">
        <f t="shared" si="39"/>
        <v>6.74</v>
      </c>
      <c r="G135" s="91" t="s">
        <v>9</v>
      </c>
      <c r="H135" s="8" t="s">
        <v>137</v>
      </c>
      <c r="I135" s="104" t="s">
        <v>9</v>
      </c>
      <c r="J135" s="104" t="s">
        <v>9</v>
      </c>
      <c r="K135" s="104">
        <v>75</v>
      </c>
      <c r="L135" s="104">
        <v>75</v>
      </c>
      <c r="M135" s="110" t="s">
        <v>9</v>
      </c>
      <c r="N135" s="110">
        <f>ROUNDUP(L135/F135,2)</f>
        <v>11.129999999999999</v>
      </c>
      <c r="O135" s="6" t="s">
        <v>9</v>
      </c>
      <c r="P135" s="101" t="str">
        <f>P94</f>
        <v>В21</v>
      </c>
      <c r="Q135" s="4"/>
      <c r="T135" s="5">
        <v>138</v>
      </c>
      <c r="U135" s="5" t="s">
        <v>167</v>
      </c>
      <c r="V135" s="5" t="s">
        <v>173</v>
      </c>
      <c r="AM135" s="1"/>
      <c r="AN135" s="1"/>
      <c r="AO135" s="1"/>
      <c r="AP135" s="1"/>
      <c r="AQ135" s="1"/>
      <c r="AR135" s="1"/>
      <c r="AS135" s="1"/>
      <c r="AT135" s="1"/>
      <c r="AU135" s="1"/>
      <c r="BW135" s="76"/>
      <c r="BX135" s="76"/>
      <c r="BY135" s="76"/>
      <c r="BZ135" s="76"/>
      <c r="CA135" s="76"/>
      <c r="CB135" s="76"/>
      <c r="CC135" s="76"/>
    </row>
    <row r="136" spans="1:81" x14ac:dyDescent="0.2">
      <c r="A136" s="8">
        <v>233</v>
      </c>
      <c r="B136" s="113" t="s">
        <v>114</v>
      </c>
      <c r="C136" s="8"/>
      <c r="D136" s="105">
        <v>2.97</v>
      </c>
      <c r="E136" s="110">
        <v>2.29</v>
      </c>
      <c r="F136" s="110">
        <f t="shared" si="39"/>
        <v>6.8</v>
      </c>
      <c r="G136" s="8" t="s">
        <v>9</v>
      </c>
      <c r="H136" s="8" t="s">
        <v>9</v>
      </c>
      <c r="I136" s="104" t="s">
        <v>9</v>
      </c>
      <c r="J136" s="104" t="s">
        <v>9</v>
      </c>
      <c r="K136" s="104">
        <v>75</v>
      </c>
      <c r="L136" s="104">
        <v>75</v>
      </c>
      <c r="M136" s="110" t="s">
        <v>9</v>
      </c>
      <c r="N136" s="110">
        <v>11.13</v>
      </c>
      <c r="O136" s="101" t="s">
        <v>9</v>
      </c>
      <c r="P136" s="6" t="str">
        <f>P135</f>
        <v>В21</v>
      </c>
      <c r="Q136" s="4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BW136" s="76"/>
      <c r="BX136" s="76"/>
      <c r="BY136" s="76"/>
      <c r="BZ136" s="76"/>
      <c r="CA136" s="76"/>
      <c r="CB136" s="76"/>
      <c r="CC136" s="76"/>
    </row>
    <row r="137" spans="1:81" ht="25.5" x14ac:dyDescent="0.2">
      <c r="A137" s="8">
        <v>234</v>
      </c>
      <c r="B137" s="113" t="s">
        <v>351</v>
      </c>
      <c r="C137" s="8"/>
      <c r="D137" s="105">
        <v>5.73</v>
      </c>
      <c r="E137" s="110">
        <v>224.24</v>
      </c>
      <c r="F137" s="110">
        <f t="shared" si="39"/>
        <v>1284.9000000000001</v>
      </c>
      <c r="G137" s="111" t="s">
        <v>136</v>
      </c>
      <c r="H137" s="111" t="s">
        <v>136</v>
      </c>
      <c r="I137" s="104">
        <f>40*210</f>
        <v>8400</v>
      </c>
      <c r="J137" s="104" t="s">
        <v>9</v>
      </c>
      <c r="K137" s="104">
        <f>40*210</f>
        <v>8400</v>
      </c>
      <c r="L137" s="104">
        <f>K137</f>
        <v>8400</v>
      </c>
      <c r="M137" s="110">
        <f>ROUNDUP(I137/F137,2)</f>
        <v>6.54</v>
      </c>
      <c r="N137" s="110">
        <f>ROUNDUP(L137/F137,2)</f>
        <v>6.54</v>
      </c>
      <c r="O137" s="101" t="s">
        <v>77</v>
      </c>
      <c r="P137" s="101" t="s">
        <v>186</v>
      </c>
      <c r="Q137" s="4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BW137" s="76"/>
      <c r="BX137" s="76"/>
      <c r="BY137" s="76"/>
      <c r="BZ137" s="76"/>
      <c r="CA137" s="76"/>
      <c r="CB137" s="76"/>
      <c r="CC137" s="76"/>
    </row>
    <row r="138" spans="1:81" x14ac:dyDescent="0.2">
      <c r="A138" s="8">
        <v>235</v>
      </c>
      <c r="B138" s="113" t="s">
        <v>352</v>
      </c>
      <c r="C138" s="8" t="s">
        <v>33</v>
      </c>
      <c r="D138" s="105">
        <v>5.73</v>
      </c>
      <c r="E138" s="110">
        <v>12.79</v>
      </c>
      <c r="F138" s="110">
        <f t="shared" si="39"/>
        <v>73.290000000000006</v>
      </c>
      <c r="G138" s="8" t="s">
        <v>9</v>
      </c>
      <c r="H138" s="101">
        <v>1</v>
      </c>
      <c r="I138" s="104" t="s">
        <v>9</v>
      </c>
      <c r="J138" s="104" t="s">
        <v>9</v>
      </c>
      <c r="K138" s="104">
        <f>_xlfn.CEILING.MATH(H138*F138,5)</f>
        <v>75</v>
      </c>
      <c r="L138" s="104">
        <f>K138</f>
        <v>75</v>
      </c>
      <c r="M138" s="110" t="s">
        <v>9</v>
      </c>
      <c r="N138" s="110">
        <f>ROUNDUP(L138/F138,2)</f>
        <v>1.03</v>
      </c>
      <c r="O138" s="101" t="s">
        <v>9</v>
      </c>
      <c r="P138" s="101" t="str">
        <f>P137</f>
        <v>В27</v>
      </c>
      <c r="Q138" s="7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BW138" s="76"/>
      <c r="BX138" s="76"/>
      <c r="BY138" s="76"/>
      <c r="BZ138" s="76"/>
      <c r="CA138" s="76"/>
      <c r="CB138" s="76"/>
      <c r="CC138" s="76"/>
    </row>
    <row r="139" spans="1:81" x14ac:dyDescent="0.2">
      <c r="A139" s="8">
        <v>236</v>
      </c>
      <c r="B139" s="113" t="s">
        <v>103</v>
      </c>
      <c r="C139" s="8"/>
      <c r="D139" s="105">
        <v>5.73</v>
      </c>
      <c r="E139" s="110">
        <v>13.55</v>
      </c>
      <c r="F139" s="110">
        <f t="shared" si="39"/>
        <v>77.64</v>
      </c>
      <c r="G139" s="101" t="s">
        <v>9</v>
      </c>
      <c r="H139" s="101" t="s">
        <v>9</v>
      </c>
      <c r="I139" s="104" t="s">
        <v>9</v>
      </c>
      <c r="J139" s="104" t="s">
        <v>9</v>
      </c>
      <c r="K139" s="104" t="s">
        <v>9</v>
      </c>
      <c r="L139" s="104" t="s">
        <v>9</v>
      </c>
      <c r="M139" s="110" t="s">
        <v>9</v>
      </c>
      <c r="N139" s="110" t="s">
        <v>9</v>
      </c>
      <c r="O139" s="101" t="s">
        <v>9</v>
      </c>
      <c r="P139" s="101" t="s">
        <v>9</v>
      </c>
      <c r="Q139" s="4"/>
      <c r="T139" s="1"/>
      <c r="U139" s="1" t="s">
        <v>168</v>
      </c>
      <c r="V139" s="1" t="s">
        <v>174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BW139" s="76"/>
      <c r="BX139" s="76"/>
      <c r="BY139" s="76"/>
      <c r="BZ139" s="76"/>
      <c r="CA139" s="76"/>
      <c r="CB139" s="76"/>
      <c r="CC139" s="76"/>
    </row>
    <row r="140" spans="1:81" ht="25.5" x14ac:dyDescent="0.2">
      <c r="A140" s="8">
        <v>237</v>
      </c>
      <c r="B140" s="113" t="s">
        <v>353</v>
      </c>
      <c r="C140" s="8"/>
      <c r="D140" s="105">
        <v>3.57</v>
      </c>
      <c r="E140" s="110">
        <v>16.600000000000001</v>
      </c>
      <c r="F140" s="110">
        <f t="shared" si="39"/>
        <v>59.26</v>
      </c>
      <c r="G140" s="111" t="s">
        <v>133</v>
      </c>
      <c r="H140" s="111" t="s">
        <v>133</v>
      </c>
      <c r="I140" s="104">
        <f>60*2</f>
        <v>120</v>
      </c>
      <c r="J140" s="104" t="s">
        <v>9</v>
      </c>
      <c r="K140" s="104">
        <f>60*2</f>
        <v>120</v>
      </c>
      <c r="L140" s="104">
        <f>K140</f>
        <v>120</v>
      </c>
      <c r="M140" s="110">
        <f t="shared" ref="M140" si="59">ROUNDUP(I140/F140,2)</f>
        <v>2.0299999999999998</v>
      </c>
      <c r="N140" s="110">
        <f>ROUNDUP(L140/F140,2)</f>
        <v>2.0299999999999998</v>
      </c>
      <c r="O140" s="101" t="str">
        <f>O55</f>
        <v>П7</v>
      </c>
      <c r="P140" s="6" t="str">
        <f>P120</f>
        <v>ВЕ5</v>
      </c>
      <c r="Q140" s="7"/>
      <c r="T140" s="1"/>
      <c r="U140" s="1" t="s">
        <v>169</v>
      </c>
      <c r="V140" s="1" t="s">
        <v>175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BW140" s="76"/>
      <c r="BX140" s="76"/>
      <c r="BY140" s="76"/>
      <c r="BZ140" s="76"/>
      <c r="CA140" s="76"/>
      <c r="CB140" s="76"/>
      <c r="CC140" s="76"/>
    </row>
    <row r="141" spans="1:81" x14ac:dyDescent="0.2">
      <c r="A141" s="8">
        <v>238</v>
      </c>
      <c r="B141" s="113" t="s">
        <v>12</v>
      </c>
      <c r="C141" s="8"/>
      <c r="D141" s="105">
        <v>2.97</v>
      </c>
      <c r="E141" s="110">
        <v>3.97</v>
      </c>
      <c r="F141" s="110">
        <f t="shared" si="39"/>
        <v>11.79</v>
      </c>
      <c r="G141" s="91" t="s">
        <v>9</v>
      </c>
      <c r="H141" s="8" t="s">
        <v>105</v>
      </c>
      <c r="I141" s="104" t="s">
        <v>9</v>
      </c>
      <c r="J141" s="104" t="s">
        <v>9</v>
      </c>
      <c r="K141" s="104">
        <v>150</v>
      </c>
      <c r="L141" s="104">
        <v>150</v>
      </c>
      <c r="M141" s="110" t="s">
        <v>9</v>
      </c>
      <c r="N141" s="110">
        <f>ROUNDUP(L141/F141,2)</f>
        <v>12.73</v>
      </c>
      <c r="O141" s="6" t="s">
        <v>9</v>
      </c>
      <c r="P141" s="101" t="str">
        <f>P135</f>
        <v>В21</v>
      </c>
      <c r="Q141" s="4"/>
      <c r="T141" s="1"/>
      <c r="U141" s="1"/>
      <c r="V141" s="1" t="s">
        <v>176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BW141" s="76"/>
      <c r="BX141" s="76"/>
      <c r="BY141" s="76"/>
      <c r="BZ141" s="76"/>
      <c r="CA141" s="76"/>
      <c r="CB141" s="76"/>
      <c r="CC141" s="76"/>
    </row>
    <row r="142" spans="1:81" x14ac:dyDescent="0.2">
      <c r="A142" s="8">
        <v>239</v>
      </c>
      <c r="B142" s="113" t="s">
        <v>12</v>
      </c>
      <c r="C142" s="8"/>
      <c r="D142" s="105">
        <v>2.97</v>
      </c>
      <c r="E142" s="110">
        <v>3.35</v>
      </c>
      <c r="F142" s="110">
        <f t="shared" ref="F142" si="60">ROUND(D142*E142,2)</f>
        <v>9.9499999999999993</v>
      </c>
      <c r="G142" s="91" t="s">
        <v>9</v>
      </c>
      <c r="H142" s="8" t="s">
        <v>105</v>
      </c>
      <c r="I142" s="104" t="s">
        <v>9</v>
      </c>
      <c r="J142" s="104" t="s">
        <v>9</v>
      </c>
      <c r="K142" s="104">
        <v>150</v>
      </c>
      <c r="L142" s="104">
        <v>150</v>
      </c>
      <c r="M142" s="110" t="s">
        <v>9</v>
      </c>
      <c r="N142" s="110">
        <f>ROUNDUP(L142/F142,2)</f>
        <v>15.08</v>
      </c>
      <c r="O142" s="6" t="s">
        <v>9</v>
      </c>
      <c r="P142" s="101" t="str">
        <f>P135</f>
        <v>В21</v>
      </c>
      <c r="Q142" s="4"/>
      <c r="T142" s="1"/>
      <c r="U142" s="1"/>
      <c r="V142" s="1" t="s">
        <v>177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BW142" s="76"/>
      <c r="BX142" s="76"/>
      <c r="BY142" s="76"/>
      <c r="BZ142" s="76"/>
      <c r="CA142" s="76"/>
      <c r="CB142" s="76"/>
      <c r="CC142" s="76"/>
    </row>
    <row r="143" spans="1:81" x14ac:dyDescent="0.2">
      <c r="A143" s="138"/>
      <c r="B143" s="138"/>
      <c r="C143" s="138"/>
      <c r="D143" s="138"/>
      <c r="E143" s="138"/>
      <c r="F143" s="138"/>
      <c r="G143" s="138"/>
      <c r="H143" s="102" t="s">
        <v>311</v>
      </c>
      <c r="I143" s="8">
        <f>SUM(I104:I142)</f>
        <v>18825</v>
      </c>
      <c r="J143" s="153" t="s">
        <v>310</v>
      </c>
      <c r="K143" s="153"/>
      <c r="L143" s="8">
        <f>SUM(L104:L142)</f>
        <v>18825</v>
      </c>
      <c r="M143" s="154"/>
      <c r="N143" s="155"/>
      <c r="O143" s="155"/>
      <c r="P143" s="155"/>
      <c r="Q143" s="156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BW143" s="76"/>
      <c r="BX143" s="76"/>
      <c r="BY143" s="76"/>
      <c r="BZ143" s="76"/>
      <c r="CA143" s="76"/>
      <c r="CB143" s="76"/>
      <c r="CC143" s="76"/>
    </row>
    <row r="144" spans="1:81" x14ac:dyDescent="0.2">
      <c r="A144" s="154" t="s">
        <v>122</v>
      </c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6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BW144" s="76"/>
      <c r="BX144" s="76"/>
      <c r="BY144" s="76"/>
      <c r="BZ144" s="76"/>
      <c r="CA144" s="76"/>
      <c r="CB144" s="76"/>
      <c r="CC144" s="76"/>
    </row>
    <row r="145" spans="1:89" x14ac:dyDescent="0.2">
      <c r="A145" s="8">
        <v>301</v>
      </c>
      <c r="B145" s="93" t="s">
        <v>112</v>
      </c>
      <c r="C145" s="8"/>
      <c r="D145" s="105">
        <v>3.57</v>
      </c>
      <c r="E145" s="110">
        <v>46.43</v>
      </c>
      <c r="F145" s="110">
        <f>ROUND(D145*E145,2)</f>
        <v>165.76</v>
      </c>
      <c r="G145" s="111" t="s">
        <v>131</v>
      </c>
      <c r="H145" s="111" t="s">
        <v>131</v>
      </c>
      <c r="I145" s="104">
        <f>20*31</f>
        <v>620</v>
      </c>
      <c r="J145" s="104" t="s">
        <v>9</v>
      </c>
      <c r="K145" s="104">
        <f>I145</f>
        <v>620</v>
      </c>
      <c r="L145" s="104">
        <f>K145</f>
        <v>620</v>
      </c>
      <c r="M145" s="110">
        <f>ROUNDUP(I145/F145,2)</f>
        <v>3.75</v>
      </c>
      <c r="N145" s="110">
        <f>ROUNDUP(L145/F145,2)</f>
        <v>3.75</v>
      </c>
      <c r="O145" s="101" t="str">
        <f>O36</f>
        <v>П4</v>
      </c>
      <c r="P145" s="6" t="str">
        <f>P39</f>
        <v>ВЕ2</v>
      </c>
      <c r="Q145" s="7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BW145" s="76"/>
      <c r="BX145" s="76"/>
      <c r="BY145" s="76"/>
      <c r="BZ145" s="76"/>
      <c r="CA145" s="76"/>
      <c r="CB145" s="76"/>
      <c r="CC145" s="76"/>
    </row>
    <row r="146" spans="1:89" x14ac:dyDescent="0.2">
      <c r="A146" s="8">
        <v>302</v>
      </c>
      <c r="B146" s="93" t="s">
        <v>112</v>
      </c>
      <c r="C146" s="8"/>
      <c r="D146" s="105">
        <v>3.57</v>
      </c>
      <c r="E146" s="110">
        <v>46.29</v>
      </c>
      <c r="F146" s="110">
        <f>ROUND(D146*E146,2)</f>
        <v>165.26</v>
      </c>
      <c r="G146" s="111" t="s">
        <v>131</v>
      </c>
      <c r="H146" s="111" t="s">
        <v>131</v>
      </c>
      <c r="I146" s="104">
        <f>20*31</f>
        <v>620</v>
      </c>
      <c r="J146" s="104" t="s">
        <v>9</v>
      </c>
      <c r="K146" s="104">
        <f>I146</f>
        <v>620</v>
      </c>
      <c r="L146" s="104">
        <f>K146</f>
        <v>620</v>
      </c>
      <c r="M146" s="110">
        <f>ROUNDUP(I146/F146,2)</f>
        <v>3.76</v>
      </c>
      <c r="N146" s="110">
        <f>ROUNDUP(L146/F146,2)</f>
        <v>3.76</v>
      </c>
      <c r="O146" s="101" t="str">
        <f>O19</f>
        <v>П3</v>
      </c>
      <c r="P146" s="6" t="str">
        <f>P34</f>
        <v>ВЕ1</v>
      </c>
      <c r="Q146" s="4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BW146" s="76"/>
      <c r="BX146" s="76"/>
      <c r="BY146" s="76"/>
      <c r="BZ146" s="76"/>
      <c r="CA146" s="76"/>
      <c r="CB146" s="76"/>
      <c r="CC146" s="76"/>
    </row>
    <row r="147" spans="1:89" x14ac:dyDescent="0.2">
      <c r="A147" s="8">
        <v>303</v>
      </c>
      <c r="B147" s="113" t="s">
        <v>291</v>
      </c>
      <c r="C147" s="8"/>
      <c r="D147" s="105">
        <v>3.57</v>
      </c>
      <c r="E147" s="110">
        <v>48.78</v>
      </c>
      <c r="F147" s="110">
        <f t="shared" ref="F147:F187" si="61">ROUND(D147*E147,2)</f>
        <v>174.14</v>
      </c>
      <c r="G147" s="8" t="s">
        <v>9</v>
      </c>
      <c r="H147" s="8" t="s">
        <v>9</v>
      </c>
      <c r="I147" s="104">
        <v>480</v>
      </c>
      <c r="J147" s="104" t="s">
        <v>9</v>
      </c>
      <c r="K147" s="104"/>
      <c r="L147" s="104" t="s">
        <v>9</v>
      </c>
      <c r="M147" s="110" t="s">
        <v>9</v>
      </c>
      <c r="N147" s="110" t="s">
        <v>9</v>
      </c>
      <c r="O147" s="101" t="str">
        <f>O19</f>
        <v>П3</v>
      </c>
      <c r="P147" s="6" t="s">
        <v>9</v>
      </c>
      <c r="Q147" s="4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89" x14ac:dyDescent="0.2">
      <c r="A148" s="8">
        <v>304</v>
      </c>
      <c r="B148" s="113" t="s">
        <v>291</v>
      </c>
      <c r="C148" s="8"/>
      <c r="D148" s="105">
        <v>3.57</v>
      </c>
      <c r="E148" s="110">
        <v>91.09</v>
      </c>
      <c r="F148" s="110">
        <f t="shared" si="61"/>
        <v>325.19</v>
      </c>
      <c r="G148" s="111" t="s">
        <v>9</v>
      </c>
      <c r="H148" s="111" t="s">
        <v>9</v>
      </c>
      <c r="I148" s="104">
        <v>760</v>
      </c>
      <c r="J148" s="104" t="s">
        <v>9</v>
      </c>
      <c r="K148" s="104"/>
      <c r="L148" s="104" t="s">
        <v>9</v>
      </c>
      <c r="M148" s="110" t="s">
        <v>9</v>
      </c>
      <c r="N148" s="110" t="s">
        <v>9</v>
      </c>
      <c r="O148" s="101" t="str">
        <f>O36</f>
        <v>П4</v>
      </c>
      <c r="P148" s="101" t="s">
        <v>9</v>
      </c>
      <c r="Q148" s="4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89" s="3" customFormat="1" ht="26.25" thickBot="1" x14ac:dyDescent="0.25">
      <c r="A149" s="8">
        <v>305</v>
      </c>
      <c r="B149" s="113" t="s">
        <v>332</v>
      </c>
      <c r="C149" s="8"/>
      <c r="D149" s="105">
        <v>3.57</v>
      </c>
      <c r="E149" s="110">
        <v>14.21</v>
      </c>
      <c r="F149" s="110">
        <f t="shared" si="61"/>
        <v>50.73</v>
      </c>
      <c r="G149" s="8" t="s">
        <v>9</v>
      </c>
      <c r="H149" s="101" t="s">
        <v>9</v>
      </c>
      <c r="I149" s="104" t="s">
        <v>9</v>
      </c>
      <c r="J149" s="104" t="s">
        <v>9</v>
      </c>
      <c r="K149" s="104">
        <v>275</v>
      </c>
      <c r="L149" s="104">
        <v>275</v>
      </c>
      <c r="M149" s="110" t="s">
        <v>9</v>
      </c>
      <c r="N149" s="110">
        <f>ROUNDUP(L149/F149,2)</f>
        <v>5.43</v>
      </c>
      <c r="O149" s="101" t="s">
        <v>9</v>
      </c>
      <c r="P149" s="101" t="str">
        <f>P108</f>
        <v>В8</v>
      </c>
      <c r="Q149" s="4" t="s">
        <v>375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</row>
    <row r="150" spans="1:89" ht="13.5" thickTop="1" x14ac:dyDescent="0.2">
      <c r="A150" s="8">
        <v>306</v>
      </c>
      <c r="B150" s="113" t="s">
        <v>13</v>
      </c>
      <c r="C150" s="8"/>
      <c r="D150" s="105">
        <v>3.57</v>
      </c>
      <c r="E150" s="110">
        <v>2.71</v>
      </c>
      <c r="F150" s="110">
        <f t="shared" si="61"/>
        <v>9.67</v>
      </c>
      <c r="G150" s="111" t="s">
        <v>9</v>
      </c>
      <c r="H150" s="111">
        <v>5</v>
      </c>
      <c r="I150" s="104" t="s">
        <v>9</v>
      </c>
      <c r="J150" s="104" t="s">
        <v>9</v>
      </c>
      <c r="K150" s="104">
        <v>50</v>
      </c>
      <c r="L150" s="104">
        <v>50</v>
      </c>
      <c r="M150" s="110">
        <v>5</v>
      </c>
      <c r="N150" s="110">
        <f>ROUNDUP(L150/F150,2)</f>
        <v>5.18</v>
      </c>
      <c r="O150" s="101" t="s">
        <v>9</v>
      </c>
      <c r="P150" s="101" t="s">
        <v>187</v>
      </c>
      <c r="Q150" s="4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89" ht="39" thickBot="1" x14ac:dyDescent="0.25">
      <c r="A151" s="8">
        <v>307</v>
      </c>
      <c r="B151" s="113" t="s">
        <v>354</v>
      </c>
      <c r="C151" s="8"/>
      <c r="D151" s="105">
        <v>3.57</v>
      </c>
      <c r="E151" s="110">
        <v>64.52</v>
      </c>
      <c r="F151" s="110">
        <f t="shared" si="61"/>
        <v>230.34</v>
      </c>
      <c r="G151" s="111" t="s">
        <v>131</v>
      </c>
      <c r="H151" s="111" t="s">
        <v>131</v>
      </c>
      <c r="I151" s="104">
        <f>20*32</f>
        <v>640</v>
      </c>
      <c r="J151" s="104" t="s">
        <v>9</v>
      </c>
      <c r="K151" s="104">
        <f>I151</f>
        <v>640</v>
      </c>
      <c r="L151" s="104">
        <f t="shared" ref="L151" si="62">K151</f>
        <v>640</v>
      </c>
      <c r="M151" s="110">
        <f t="shared" ref="M151" si="63">ROUNDUP(I151/F151,2)</f>
        <v>2.78</v>
      </c>
      <c r="N151" s="110">
        <f t="shared" ref="N151" si="64">ROUNDUP(L151/F151,2)</f>
        <v>2.78</v>
      </c>
      <c r="O151" s="101" t="str">
        <f>O51</f>
        <v>П6</v>
      </c>
      <c r="P151" s="6" t="str">
        <f>P123</f>
        <v>ВЕ6</v>
      </c>
      <c r="Q151" s="4"/>
      <c r="R151" s="76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</row>
    <row r="152" spans="1:89" ht="13.5" thickTop="1" x14ac:dyDescent="0.2">
      <c r="A152" s="8">
        <v>308</v>
      </c>
      <c r="B152" s="113" t="s">
        <v>103</v>
      </c>
      <c r="C152" s="8"/>
      <c r="D152" s="105">
        <v>3.57</v>
      </c>
      <c r="E152" s="110">
        <v>25.65</v>
      </c>
      <c r="F152" s="110">
        <f t="shared" si="61"/>
        <v>91.57</v>
      </c>
      <c r="G152" s="111" t="s">
        <v>9</v>
      </c>
      <c r="H152" s="111" t="s">
        <v>9</v>
      </c>
      <c r="I152" s="104" t="s">
        <v>9</v>
      </c>
      <c r="J152" s="104" t="s">
        <v>9</v>
      </c>
      <c r="K152" s="104" t="s">
        <v>9</v>
      </c>
      <c r="L152" s="104" t="s">
        <v>9</v>
      </c>
      <c r="M152" s="110" t="s">
        <v>9</v>
      </c>
      <c r="N152" s="110" t="s">
        <v>9</v>
      </c>
      <c r="O152" s="101" t="s">
        <v>9</v>
      </c>
      <c r="P152" s="6" t="s">
        <v>9</v>
      </c>
      <c r="Q152" s="4"/>
      <c r="R152" s="76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89" ht="25.5" x14ac:dyDescent="0.2">
      <c r="A153" s="8">
        <v>309</v>
      </c>
      <c r="B153" s="113" t="s">
        <v>128</v>
      </c>
      <c r="C153" s="8"/>
      <c r="D153" s="105">
        <v>3.57</v>
      </c>
      <c r="E153" s="110">
        <v>14.18</v>
      </c>
      <c r="F153" s="110">
        <f t="shared" si="61"/>
        <v>50.62</v>
      </c>
      <c r="G153" s="111" t="s">
        <v>133</v>
      </c>
      <c r="H153" s="111" t="s">
        <v>133</v>
      </c>
      <c r="I153" s="104">
        <f>60*2</f>
        <v>120</v>
      </c>
      <c r="J153" s="104" t="s">
        <v>9</v>
      </c>
      <c r="K153" s="104">
        <f>I153</f>
        <v>120</v>
      </c>
      <c r="L153" s="104">
        <f>K153</f>
        <v>120</v>
      </c>
      <c r="M153" s="110">
        <f>ROUNDUP(I153/F153,2)</f>
        <v>2.38</v>
      </c>
      <c r="N153" s="110">
        <f>ROUNDUP(L153/F153,2)</f>
        <v>2.38</v>
      </c>
      <c r="O153" s="101" t="str">
        <f>O36</f>
        <v>П4</v>
      </c>
      <c r="P153" s="6" t="s">
        <v>25</v>
      </c>
      <c r="Q153" s="4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89" ht="12.75" customHeight="1" x14ac:dyDescent="0.2">
      <c r="A154" s="8">
        <v>310</v>
      </c>
      <c r="B154" s="113" t="s">
        <v>355</v>
      </c>
      <c r="C154" s="8"/>
      <c r="D154" s="105">
        <v>3.57</v>
      </c>
      <c r="E154" s="110">
        <v>66.959999999999994</v>
      </c>
      <c r="F154" s="110">
        <f t="shared" si="61"/>
        <v>239.05</v>
      </c>
      <c r="G154" s="111" t="s">
        <v>131</v>
      </c>
      <c r="H154" s="111" t="s">
        <v>131</v>
      </c>
      <c r="I154" s="104">
        <f>20*31</f>
        <v>620</v>
      </c>
      <c r="J154" s="104" t="s">
        <v>9</v>
      </c>
      <c r="K154" s="104">
        <f>I154</f>
        <v>620</v>
      </c>
      <c r="L154" s="104">
        <f t="shared" ref="L154:L158" si="65">K154</f>
        <v>620</v>
      </c>
      <c r="M154" s="110">
        <f t="shared" ref="M154:M158" si="66">ROUNDUP(I154/F154,2)</f>
        <v>2.5999999999999996</v>
      </c>
      <c r="N154" s="110">
        <f t="shared" ref="N154:N158" si="67">ROUNDUP(L154/F154,2)</f>
        <v>2.5999999999999996</v>
      </c>
      <c r="O154" s="101" t="str">
        <f>O55</f>
        <v>П7</v>
      </c>
      <c r="P154" s="6" t="str">
        <f>P122</f>
        <v>ВЕ5</v>
      </c>
      <c r="Q154" s="4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89" x14ac:dyDescent="0.2">
      <c r="A155" s="8">
        <v>311</v>
      </c>
      <c r="B155" s="93" t="s">
        <v>356</v>
      </c>
      <c r="C155" s="8" t="s">
        <v>33</v>
      </c>
      <c r="D155" s="105">
        <v>3.57</v>
      </c>
      <c r="E155" s="110">
        <v>16.04</v>
      </c>
      <c r="F155" s="110">
        <f t="shared" si="61"/>
        <v>57.26</v>
      </c>
      <c r="G155" s="111" t="s">
        <v>133</v>
      </c>
      <c r="H155" s="111" t="s">
        <v>133</v>
      </c>
      <c r="I155" s="104">
        <f>60*2</f>
        <v>120</v>
      </c>
      <c r="J155" s="104" t="s">
        <v>9</v>
      </c>
      <c r="K155" s="104">
        <f>60*2</f>
        <v>120</v>
      </c>
      <c r="L155" s="104">
        <f t="shared" si="65"/>
        <v>120</v>
      </c>
      <c r="M155" s="110">
        <f t="shared" si="66"/>
        <v>2.0999999999999996</v>
      </c>
      <c r="N155" s="110">
        <f t="shared" si="67"/>
        <v>2.0999999999999996</v>
      </c>
      <c r="O155" s="101" t="str">
        <f>O55</f>
        <v>П7</v>
      </c>
      <c r="P155" s="6" t="str">
        <f>P154</f>
        <v>ВЕ5</v>
      </c>
      <c r="Q155" s="4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89" x14ac:dyDescent="0.2">
      <c r="A156" s="8">
        <v>312</v>
      </c>
      <c r="B156" s="93" t="s">
        <v>357</v>
      </c>
      <c r="C156" s="8"/>
      <c r="D156" s="105">
        <v>3.57</v>
      </c>
      <c r="E156" s="110">
        <v>47.42</v>
      </c>
      <c r="F156" s="110">
        <f t="shared" si="61"/>
        <v>169.29</v>
      </c>
      <c r="G156" s="111" t="s">
        <v>131</v>
      </c>
      <c r="H156" s="111" t="s">
        <v>131</v>
      </c>
      <c r="I156" s="104">
        <f>20*32</f>
        <v>640</v>
      </c>
      <c r="J156" s="104" t="s">
        <v>9</v>
      </c>
      <c r="K156" s="104">
        <f>I156</f>
        <v>640</v>
      </c>
      <c r="L156" s="104">
        <f t="shared" si="65"/>
        <v>640</v>
      </c>
      <c r="M156" s="110">
        <f t="shared" si="66"/>
        <v>3.7899999999999996</v>
      </c>
      <c r="N156" s="110">
        <f t="shared" si="67"/>
        <v>3.7899999999999996</v>
      </c>
      <c r="O156" s="101" t="str">
        <f>O55</f>
        <v>П7</v>
      </c>
      <c r="P156" s="6" t="str">
        <f>P154</f>
        <v>ВЕ5</v>
      </c>
      <c r="Q156" s="4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89" x14ac:dyDescent="0.2">
      <c r="A157" s="8">
        <v>313</v>
      </c>
      <c r="B157" s="113" t="s">
        <v>129</v>
      </c>
      <c r="C157" s="8"/>
      <c r="D157" s="105">
        <v>3.57</v>
      </c>
      <c r="E157" s="110">
        <v>52.4</v>
      </c>
      <c r="F157" s="110">
        <f t="shared" si="61"/>
        <v>187.07</v>
      </c>
      <c r="G157" s="111" t="s">
        <v>131</v>
      </c>
      <c r="H157" s="111" t="s">
        <v>131</v>
      </c>
      <c r="I157" s="104">
        <f>20*32</f>
        <v>640</v>
      </c>
      <c r="J157" s="104" t="s">
        <v>9</v>
      </c>
      <c r="K157" s="104">
        <f>I157</f>
        <v>640</v>
      </c>
      <c r="L157" s="104">
        <f t="shared" si="65"/>
        <v>640</v>
      </c>
      <c r="M157" s="110">
        <f t="shared" si="66"/>
        <v>3.4299999999999997</v>
      </c>
      <c r="N157" s="110">
        <f t="shared" si="67"/>
        <v>3.4299999999999997</v>
      </c>
      <c r="O157" s="101" t="str">
        <f>O55</f>
        <v>П7</v>
      </c>
      <c r="P157" s="6" t="str">
        <f>P154</f>
        <v>ВЕ5</v>
      </c>
      <c r="Q157" s="4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89" x14ac:dyDescent="0.2">
      <c r="A158" s="8">
        <v>314</v>
      </c>
      <c r="B158" s="113" t="s">
        <v>358</v>
      </c>
      <c r="C158" s="8"/>
      <c r="D158" s="105">
        <v>3.57</v>
      </c>
      <c r="E158" s="110">
        <v>46.22</v>
      </c>
      <c r="F158" s="110">
        <f t="shared" si="61"/>
        <v>165.01</v>
      </c>
      <c r="G158" s="111" t="s">
        <v>131</v>
      </c>
      <c r="H158" s="111" t="s">
        <v>131</v>
      </c>
      <c r="I158" s="104">
        <f>20*32</f>
        <v>640</v>
      </c>
      <c r="J158" s="104" t="s">
        <v>9</v>
      </c>
      <c r="K158" s="104">
        <f>I158</f>
        <v>640</v>
      </c>
      <c r="L158" s="104">
        <f t="shared" si="65"/>
        <v>640</v>
      </c>
      <c r="M158" s="110">
        <f t="shared" si="66"/>
        <v>3.88</v>
      </c>
      <c r="N158" s="110">
        <f t="shared" si="67"/>
        <v>3.88</v>
      </c>
      <c r="O158" s="101" t="str">
        <f>O51</f>
        <v>П6</v>
      </c>
      <c r="P158" s="6" t="str">
        <f>P151</f>
        <v>ВЕ6</v>
      </c>
      <c r="Q158" s="4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89" ht="38.25" x14ac:dyDescent="0.2">
      <c r="A159" s="8">
        <v>315</v>
      </c>
      <c r="B159" s="113" t="s">
        <v>359</v>
      </c>
      <c r="C159" s="8"/>
      <c r="D159" s="105">
        <v>3.57</v>
      </c>
      <c r="E159" s="110">
        <v>109.26</v>
      </c>
      <c r="F159" s="110">
        <f t="shared" si="61"/>
        <v>390.06</v>
      </c>
      <c r="G159" s="111" t="s">
        <v>131</v>
      </c>
      <c r="H159" s="111" t="s">
        <v>131</v>
      </c>
      <c r="I159" s="104">
        <v>2440</v>
      </c>
      <c r="J159" s="104" t="s">
        <v>9</v>
      </c>
      <c r="K159" s="104">
        <f>640</f>
        <v>640</v>
      </c>
      <c r="L159" s="104">
        <f>K159</f>
        <v>640</v>
      </c>
      <c r="M159" s="110">
        <f t="shared" ref="M159:M176" si="68">ROUNDUP(I159/F159,2)</f>
        <v>6.26</v>
      </c>
      <c r="N159" s="110">
        <f t="shared" ref="N159:N184" si="69">ROUNDUP(L159/F159,2)</f>
        <v>1.65</v>
      </c>
      <c r="O159" s="101" t="str">
        <f>O48</f>
        <v>П5</v>
      </c>
      <c r="P159" s="6" t="s">
        <v>191</v>
      </c>
      <c r="Q159" s="4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89" x14ac:dyDescent="0.2">
      <c r="A160" s="8"/>
      <c r="B160" s="113"/>
      <c r="C160" s="8"/>
      <c r="D160" s="105"/>
      <c r="E160" s="110"/>
      <c r="F160" s="110"/>
      <c r="G160" s="111"/>
      <c r="H160" s="111"/>
      <c r="I160" s="104"/>
      <c r="J160" s="104"/>
      <c r="K160" s="104"/>
      <c r="L160" s="104"/>
      <c r="M160" s="110"/>
      <c r="N160" s="110"/>
      <c r="O160" s="101"/>
      <c r="P160" s="6" t="s">
        <v>394</v>
      </c>
      <c r="Q160" s="4" t="s">
        <v>376</v>
      </c>
      <c r="R160" s="1" t="s">
        <v>393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">
      <c r="A161" s="8"/>
      <c r="B161" s="113"/>
      <c r="C161" s="8"/>
      <c r="D161" s="105"/>
      <c r="E161" s="110"/>
      <c r="F161" s="110"/>
      <c r="G161" s="111"/>
      <c r="H161" s="111"/>
      <c r="I161" s="104"/>
      <c r="J161" s="104">
        <v>600</v>
      </c>
      <c r="K161" s="104"/>
      <c r="L161" s="104">
        <v>600</v>
      </c>
      <c r="M161" s="110"/>
      <c r="N161" s="110"/>
      <c r="O161" s="101"/>
      <c r="P161" s="6" t="s">
        <v>403</v>
      </c>
      <c r="Q161" s="4" t="s">
        <v>377</v>
      </c>
      <c r="R161" s="1" t="s">
        <v>392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">
      <c r="A162" s="8"/>
      <c r="B162" s="113"/>
      <c r="C162" s="8"/>
      <c r="D162" s="105"/>
      <c r="E162" s="110"/>
      <c r="F162" s="110"/>
      <c r="G162" s="111"/>
      <c r="H162" s="111"/>
      <c r="I162" s="104"/>
      <c r="J162" s="104">
        <v>600</v>
      </c>
      <c r="K162" s="104"/>
      <c r="L162" s="104">
        <v>600</v>
      </c>
      <c r="M162" s="110"/>
      <c r="N162" s="110"/>
      <c r="O162" s="101"/>
      <c r="P162" s="6" t="s">
        <v>404</v>
      </c>
      <c r="Q162" s="4" t="s">
        <v>377</v>
      </c>
      <c r="R162" s="1" t="s">
        <v>392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">
      <c r="A163" s="8"/>
      <c r="B163" s="113"/>
      <c r="C163" s="8"/>
      <c r="D163" s="105"/>
      <c r="E163" s="110"/>
      <c r="F163" s="110"/>
      <c r="G163" s="111"/>
      <c r="H163" s="111"/>
      <c r="I163" s="104"/>
      <c r="J163" s="104">
        <v>600</v>
      </c>
      <c r="K163" s="104"/>
      <c r="L163" s="104">
        <v>600</v>
      </c>
      <c r="M163" s="110"/>
      <c r="N163" s="110"/>
      <c r="O163" s="101"/>
      <c r="P163" s="6" t="s">
        <v>405</v>
      </c>
      <c r="Q163" s="4" t="s">
        <v>377</v>
      </c>
      <c r="R163" s="1" t="s">
        <v>392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">
      <c r="A164" s="8"/>
      <c r="B164" s="113"/>
      <c r="C164" s="8"/>
      <c r="D164" s="105"/>
      <c r="E164" s="110"/>
      <c r="F164" s="110"/>
      <c r="G164" s="111"/>
      <c r="H164" s="111"/>
      <c r="I164" s="104"/>
      <c r="J164" s="104"/>
      <c r="K164" s="104"/>
      <c r="L164" s="104"/>
      <c r="M164" s="110"/>
      <c r="N164" s="110"/>
      <c r="O164" s="101"/>
      <c r="P164" s="6" t="s">
        <v>394</v>
      </c>
      <c r="Q164" s="4" t="s">
        <v>376</v>
      </c>
      <c r="R164" s="1" t="s">
        <v>393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">
      <c r="A165" s="8"/>
      <c r="B165" s="113"/>
      <c r="C165" s="8"/>
      <c r="D165" s="105"/>
      <c r="E165" s="110"/>
      <c r="F165" s="110"/>
      <c r="G165" s="111"/>
      <c r="H165" s="111"/>
      <c r="I165" s="104"/>
      <c r="J165" s="104"/>
      <c r="K165" s="104"/>
      <c r="L165" s="104"/>
      <c r="M165" s="110"/>
      <c r="N165" s="110"/>
      <c r="O165" s="101"/>
      <c r="P165" s="6" t="s">
        <v>394</v>
      </c>
      <c r="Q165" s="4" t="s">
        <v>376</v>
      </c>
      <c r="R165" s="1" t="s">
        <v>393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">
      <c r="A166" s="8"/>
      <c r="B166" s="113"/>
      <c r="C166" s="8"/>
      <c r="D166" s="105"/>
      <c r="E166" s="110"/>
      <c r="F166" s="110"/>
      <c r="G166" s="111"/>
      <c r="H166" s="111"/>
      <c r="I166" s="104"/>
      <c r="J166" s="104"/>
      <c r="K166" s="104"/>
      <c r="L166" s="104"/>
      <c r="M166" s="110"/>
      <c r="N166" s="110"/>
      <c r="O166" s="101"/>
      <c r="P166" s="6" t="s">
        <v>394</v>
      </c>
      <c r="Q166" s="4" t="s">
        <v>376</v>
      </c>
      <c r="R166" s="1" t="s">
        <v>393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">
      <c r="A167" s="8"/>
      <c r="B167" s="113"/>
      <c r="C167" s="8"/>
      <c r="D167" s="105"/>
      <c r="E167" s="110"/>
      <c r="F167" s="110"/>
      <c r="G167" s="111"/>
      <c r="H167" s="111"/>
      <c r="I167" s="104"/>
      <c r="J167" s="104"/>
      <c r="K167" s="104"/>
      <c r="L167" s="104"/>
      <c r="M167" s="110"/>
      <c r="N167" s="110"/>
      <c r="O167" s="101"/>
      <c r="P167" s="6" t="s">
        <v>394</v>
      </c>
      <c r="Q167" s="4" t="s">
        <v>376</v>
      </c>
      <c r="R167" s="1" t="s">
        <v>393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">
      <c r="A168" s="8">
        <v>316</v>
      </c>
      <c r="B168" s="113" t="s">
        <v>333</v>
      </c>
      <c r="C168" s="8"/>
      <c r="D168" s="105">
        <v>3.57</v>
      </c>
      <c r="E168" s="110">
        <v>15.9</v>
      </c>
      <c r="F168" s="110">
        <f t="shared" si="61"/>
        <v>56.76</v>
      </c>
      <c r="G168" s="111" t="s">
        <v>9</v>
      </c>
      <c r="H168" s="111" t="s">
        <v>9</v>
      </c>
      <c r="I168" s="104" t="s">
        <v>9</v>
      </c>
      <c r="J168" s="104" t="s">
        <v>9</v>
      </c>
      <c r="K168" s="104">
        <v>150</v>
      </c>
      <c r="L168" s="104">
        <v>150</v>
      </c>
      <c r="M168" s="110">
        <v>2.65</v>
      </c>
      <c r="N168" s="110">
        <f t="shared" si="69"/>
        <v>2.65</v>
      </c>
      <c r="O168" s="101" t="s">
        <v>9</v>
      </c>
      <c r="P168" s="6" t="str">
        <f>P127</f>
        <v>В14</v>
      </c>
      <c r="Q168" s="4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47" x14ac:dyDescent="0.2">
      <c r="A169" s="8">
        <v>318</v>
      </c>
      <c r="B169" s="113" t="s">
        <v>103</v>
      </c>
      <c r="C169" s="8"/>
      <c r="D169" s="105">
        <v>3.57</v>
      </c>
      <c r="E169" s="110">
        <v>25.65</v>
      </c>
      <c r="F169" s="110">
        <f t="shared" si="61"/>
        <v>91.57</v>
      </c>
      <c r="G169" s="111" t="s">
        <v>9</v>
      </c>
      <c r="H169" s="111" t="s">
        <v>9</v>
      </c>
      <c r="I169" s="104" t="s">
        <v>9</v>
      </c>
      <c r="J169" s="104" t="s">
        <v>9</v>
      </c>
      <c r="K169" s="104" t="s">
        <v>9</v>
      </c>
      <c r="L169" s="104" t="s">
        <v>9</v>
      </c>
      <c r="M169" s="110" t="s">
        <v>9</v>
      </c>
      <c r="N169" s="110" t="s">
        <v>9</v>
      </c>
      <c r="O169" s="101" t="s">
        <v>9</v>
      </c>
      <c r="P169" s="6" t="s">
        <v>9</v>
      </c>
      <c r="Q169" s="4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">
      <c r="A170" s="8">
        <v>319</v>
      </c>
      <c r="B170" s="113" t="s">
        <v>10</v>
      </c>
      <c r="C170" s="8"/>
      <c r="D170" s="105">
        <v>3.57</v>
      </c>
      <c r="E170" s="110">
        <v>73.36</v>
      </c>
      <c r="F170" s="110">
        <f t="shared" si="61"/>
        <v>261.89999999999998</v>
      </c>
      <c r="G170" s="111" t="s">
        <v>9</v>
      </c>
      <c r="H170" s="111" t="s">
        <v>9</v>
      </c>
      <c r="I170" s="104" t="s">
        <v>9</v>
      </c>
      <c r="J170" s="104" t="s">
        <v>9</v>
      </c>
      <c r="K170" s="104" t="s">
        <v>9</v>
      </c>
      <c r="L170" s="104" t="s">
        <v>9</v>
      </c>
      <c r="M170" s="110" t="s">
        <v>9</v>
      </c>
      <c r="N170" s="110" t="s">
        <v>9</v>
      </c>
      <c r="O170" s="101" t="s">
        <v>9</v>
      </c>
      <c r="P170" s="6" t="s">
        <v>9</v>
      </c>
      <c r="Q170" s="4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">
      <c r="A171" s="8">
        <v>320</v>
      </c>
      <c r="B171" s="113" t="s">
        <v>360</v>
      </c>
      <c r="C171" s="8"/>
      <c r="D171" s="105">
        <v>3.57</v>
      </c>
      <c r="E171" s="110">
        <v>47.6</v>
      </c>
      <c r="F171" s="110">
        <f t="shared" si="61"/>
        <v>169.93</v>
      </c>
      <c r="G171" s="111" t="s">
        <v>133</v>
      </c>
      <c r="H171" s="111" t="s">
        <v>133</v>
      </c>
      <c r="I171" s="104">
        <v>2810</v>
      </c>
      <c r="J171" s="104" t="s">
        <v>9</v>
      </c>
      <c r="K171" s="104">
        <v>960</v>
      </c>
      <c r="L171" s="104">
        <f t="shared" ref="L171" si="70">K171</f>
        <v>960</v>
      </c>
      <c r="M171" s="110">
        <f t="shared" si="68"/>
        <v>16.540000000000003</v>
      </c>
      <c r="N171" s="110">
        <f t="shared" si="69"/>
        <v>5.6499999999999995</v>
      </c>
      <c r="O171" s="101" t="str">
        <f>O36</f>
        <v>П4</v>
      </c>
      <c r="P171" s="6" t="s">
        <v>192</v>
      </c>
      <c r="Q171" s="4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">
      <c r="A172" s="8"/>
      <c r="B172" s="113"/>
      <c r="C172" s="8"/>
      <c r="D172" s="105"/>
      <c r="E172" s="110"/>
      <c r="F172" s="110"/>
      <c r="G172" s="111"/>
      <c r="H172" s="111"/>
      <c r="I172" s="104"/>
      <c r="J172" s="104"/>
      <c r="K172" s="104"/>
      <c r="L172" s="104">
        <v>600</v>
      </c>
      <c r="M172" s="110"/>
      <c r="N172" s="110"/>
      <c r="O172" s="101"/>
      <c r="P172" s="6" t="s">
        <v>395</v>
      </c>
      <c r="Q172" s="4" t="s">
        <v>378</v>
      </c>
      <c r="R172" s="1" t="s">
        <v>380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">
      <c r="A173" s="8"/>
      <c r="B173" s="113"/>
      <c r="C173" s="8"/>
      <c r="D173" s="105"/>
      <c r="E173" s="110"/>
      <c r="F173" s="110"/>
      <c r="G173" s="111"/>
      <c r="H173" s="111"/>
      <c r="I173" s="104"/>
      <c r="J173" s="104"/>
      <c r="K173" s="104"/>
      <c r="L173" s="104">
        <v>600</v>
      </c>
      <c r="M173" s="110"/>
      <c r="N173" s="110"/>
      <c r="O173" s="101"/>
      <c r="P173" s="6" t="s">
        <v>396</v>
      </c>
      <c r="Q173" s="4" t="s">
        <v>379</v>
      </c>
      <c r="R173" s="1" t="s">
        <v>380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">
      <c r="A174" s="8"/>
      <c r="B174" s="113"/>
      <c r="C174" s="8"/>
      <c r="D174" s="105"/>
      <c r="E174" s="110"/>
      <c r="F174" s="110"/>
      <c r="G174" s="111"/>
      <c r="H174" s="111"/>
      <c r="I174" s="104"/>
      <c r="J174" s="104"/>
      <c r="K174" s="104"/>
      <c r="L174" s="104">
        <v>600</v>
      </c>
      <c r="M174" s="110"/>
      <c r="N174" s="110"/>
      <c r="O174" s="101"/>
      <c r="P174" s="6" t="s">
        <v>397</v>
      </c>
      <c r="Q174" s="4" t="s">
        <v>379</v>
      </c>
      <c r="R174" s="1" t="s">
        <v>380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">
      <c r="A175" s="8"/>
      <c r="B175" s="113"/>
      <c r="C175" s="8"/>
      <c r="D175" s="105"/>
      <c r="E175" s="110"/>
      <c r="F175" s="110"/>
      <c r="G175" s="111"/>
      <c r="H175" s="111"/>
      <c r="I175" s="104"/>
      <c r="J175" s="104"/>
      <c r="K175" s="104"/>
      <c r="L175" s="104">
        <v>500</v>
      </c>
      <c r="M175" s="110"/>
      <c r="N175" s="110"/>
      <c r="O175" s="101"/>
      <c r="P175" s="6" t="s">
        <v>410</v>
      </c>
      <c r="Q175" s="4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">
      <c r="A176" s="8">
        <v>321</v>
      </c>
      <c r="B176" s="113" t="s">
        <v>361</v>
      </c>
      <c r="C176" s="8"/>
      <c r="D176" s="105">
        <v>3.57</v>
      </c>
      <c r="E176" s="110">
        <v>66.239999999999995</v>
      </c>
      <c r="F176" s="110">
        <f t="shared" si="61"/>
        <v>236.48</v>
      </c>
      <c r="G176" s="111" t="s">
        <v>131</v>
      </c>
      <c r="H176" s="111" t="s">
        <v>131</v>
      </c>
      <c r="I176" s="104">
        <v>2100</v>
      </c>
      <c r="J176" s="104" t="s">
        <v>9</v>
      </c>
      <c r="K176" s="104">
        <v>600</v>
      </c>
      <c r="L176" s="104">
        <f>K176</f>
        <v>600</v>
      </c>
      <c r="M176" s="110">
        <f t="shared" si="68"/>
        <v>8.89</v>
      </c>
      <c r="N176" s="110">
        <f t="shared" si="69"/>
        <v>2.5399999999999996</v>
      </c>
      <c r="O176" s="101" t="str">
        <f>O19</f>
        <v>П3</v>
      </c>
      <c r="P176" s="6" t="str">
        <f>P171</f>
        <v>В33</v>
      </c>
      <c r="Q176" s="4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">
      <c r="A177" s="8"/>
      <c r="B177" s="113"/>
      <c r="C177" s="8"/>
      <c r="D177" s="105"/>
      <c r="E177" s="110"/>
      <c r="F177" s="110"/>
      <c r="G177" s="111"/>
      <c r="H177" s="111"/>
      <c r="I177" s="104"/>
      <c r="J177" s="104"/>
      <c r="K177" s="104"/>
      <c r="L177" s="104">
        <v>750</v>
      </c>
      <c r="M177" s="110"/>
      <c r="N177" s="110"/>
      <c r="O177" s="101"/>
      <c r="P177" s="6" t="s">
        <v>401</v>
      </c>
      <c r="Q177" s="4" t="s">
        <v>382</v>
      </c>
      <c r="R177" s="1" t="s">
        <v>381</v>
      </c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">
      <c r="A178" s="8"/>
      <c r="B178" s="113"/>
      <c r="C178" s="8"/>
      <c r="D178" s="105"/>
      <c r="E178" s="110"/>
      <c r="F178" s="110"/>
      <c r="G178" s="111"/>
      <c r="H178" s="111"/>
      <c r="I178" s="104"/>
      <c r="J178" s="104"/>
      <c r="K178" s="104"/>
      <c r="L178" s="104">
        <v>750</v>
      </c>
      <c r="M178" s="110"/>
      <c r="N178" s="110"/>
      <c r="O178" s="101"/>
      <c r="P178" s="6" t="s">
        <v>402</v>
      </c>
      <c r="Q178" s="4" t="s">
        <v>382</v>
      </c>
      <c r="R178" s="1" t="s">
        <v>381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">
      <c r="A179" s="8">
        <v>322</v>
      </c>
      <c r="B179" s="113" t="s">
        <v>126</v>
      </c>
      <c r="C179" s="8" t="s">
        <v>31</v>
      </c>
      <c r="D179" s="105">
        <v>2.87</v>
      </c>
      <c r="E179" s="110">
        <v>13.7</v>
      </c>
      <c r="F179" s="110">
        <f t="shared" si="61"/>
        <v>39.32</v>
      </c>
      <c r="G179" s="111" t="s">
        <v>133</v>
      </c>
      <c r="H179" s="111" t="s">
        <v>133</v>
      </c>
      <c r="I179" s="104">
        <f>60*2</f>
        <v>120</v>
      </c>
      <c r="J179" s="104" t="s">
        <v>9</v>
      </c>
      <c r="K179" s="104">
        <f>60*2</f>
        <v>120</v>
      </c>
      <c r="L179" s="104">
        <f>K179</f>
        <v>120</v>
      </c>
      <c r="M179" s="110">
        <f>ROUNDUP(I179/F179,2)</f>
        <v>3.0599999999999996</v>
      </c>
      <c r="N179" s="110">
        <f>ROUNDUP(L179/F179,2)</f>
        <v>3.0599999999999996</v>
      </c>
      <c r="O179" s="101" t="str">
        <f>O92</f>
        <v>П9</v>
      </c>
      <c r="P179" s="101" t="str">
        <f>P93</f>
        <v>В20</v>
      </c>
      <c r="Q179" s="4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3.5" thickBot="1" x14ac:dyDescent="0.25">
      <c r="A180" s="8">
        <v>323</v>
      </c>
      <c r="B180" s="113" t="s">
        <v>16</v>
      </c>
      <c r="C180" s="8" t="s">
        <v>31</v>
      </c>
      <c r="D180" s="105">
        <v>2.87</v>
      </c>
      <c r="E180" s="110">
        <v>6.91</v>
      </c>
      <c r="F180" s="110">
        <f t="shared" si="61"/>
        <v>19.829999999999998</v>
      </c>
      <c r="G180" s="8" t="s">
        <v>9</v>
      </c>
      <c r="H180" s="101">
        <v>2</v>
      </c>
      <c r="I180" s="104" t="s">
        <v>9</v>
      </c>
      <c r="J180" s="104" t="s">
        <v>9</v>
      </c>
      <c r="K180" s="104">
        <f>_xlfn.CEILING.MATH(H180*F180,5)</f>
        <v>40</v>
      </c>
      <c r="L180" s="104">
        <f>K180</f>
        <v>40</v>
      </c>
      <c r="M180" s="110" t="s">
        <v>9</v>
      </c>
      <c r="N180" s="110">
        <f>ROUNDUP(L180/F180,2)</f>
        <v>2.0199999999999996</v>
      </c>
      <c r="O180" s="101" t="s">
        <v>9</v>
      </c>
      <c r="P180" s="101" t="s">
        <v>411</v>
      </c>
      <c r="Q180" s="4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3.5" thickTop="1" x14ac:dyDescent="0.2">
      <c r="A181" s="8">
        <v>324</v>
      </c>
      <c r="B181" s="113" t="s">
        <v>362</v>
      </c>
      <c r="C181" s="8"/>
      <c r="D181" s="105">
        <v>2.87</v>
      </c>
      <c r="E181" s="110">
        <v>3.02</v>
      </c>
      <c r="F181" s="110">
        <f t="shared" si="61"/>
        <v>8.67</v>
      </c>
      <c r="G181" s="111" t="s">
        <v>9</v>
      </c>
      <c r="H181" s="111" t="s">
        <v>9</v>
      </c>
      <c r="I181" s="104" t="s">
        <v>9</v>
      </c>
      <c r="J181" s="104" t="s">
        <v>9</v>
      </c>
      <c r="K181" s="104">
        <v>75</v>
      </c>
      <c r="L181" s="104">
        <v>75</v>
      </c>
      <c r="M181" s="110">
        <v>8.6</v>
      </c>
      <c r="N181" s="110">
        <f t="shared" si="69"/>
        <v>8.66</v>
      </c>
      <c r="O181" s="101" t="s">
        <v>9</v>
      </c>
      <c r="P181" s="6" t="str">
        <f>P135</f>
        <v>В21</v>
      </c>
      <c r="Q181" s="4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25.5" x14ac:dyDescent="0.2">
      <c r="A182" s="8">
        <v>325</v>
      </c>
      <c r="B182" s="113" t="s">
        <v>363</v>
      </c>
      <c r="C182" s="8" t="s">
        <v>33</v>
      </c>
      <c r="D182" s="105">
        <v>2.87</v>
      </c>
      <c r="E182" s="110">
        <v>4.46</v>
      </c>
      <c r="F182" s="110">
        <f t="shared" si="61"/>
        <v>12.8</v>
      </c>
      <c r="G182" s="91" t="s">
        <v>9</v>
      </c>
      <c r="H182" s="8" t="s">
        <v>137</v>
      </c>
      <c r="I182" s="104" t="s">
        <v>9</v>
      </c>
      <c r="J182" s="104" t="s">
        <v>9</v>
      </c>
      <c r="K182" s="104">
        <v>50</v>
      </c>
      <c r="L182" s="104">
        <f>K182</f>
        <v>50</v>
      </c>
      <c r="M182" s="110" t="s">
        <v>9</v>
      </c>
      <c r="N182" s="110">
        <f>ROUNDUP(L182/F182,2)</f>
        <v>3.9099999999999997</v>
      </c>
      <c r="O182" s="104" t="s">
        <v>9</v>
      </c>
      <c r="P182" s="101" t="s">
        <v>309</v>
      </c>
      <c r="Q182" s="4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">
      <c r="A183" s="8">
        <v>326</v>
      </c>
      <c r="B183" s="113" t="s">
        <v>127</v>
      </c>
      <c r="C183" s="8"/>
      <c r="D183" s="105">
        <v>2.87</v>
      </c>
      <c r="E183" s="110">
        <v>18.170000000000002</v>
      </c>
      <c r="F183" s="110">
        <f t="shared" si="61"/>
        <v>52.15</v>
      </c>
      <c r="G183" s="111" t="s">
        <v>133</v>
      </c>
      <c r="H183" s="111" t="s">
        <v>133</v>
      </c>
      <c r="I183" s="104">
        <f>60*2</f>
        <v>120</v>
      </c>
      <c r="J183" s="104" t="s">
        <v>9</v>
      </c>
      <c r="K183" s="104">
        <f>60*2</f>
        <v>120</v>
      </c>
      <c r="L183" s="104">
        <f>K183</f>
        <v>120</v>
      </c>
      <c r="M183" s="110">
        <f>ROUNDUP(I183/F183,2)</f>
        <v>2.3099999999999996</v>
      </c>
      <c r="N183" s="110">
        <f>ROUNDUP(L183/F183,2)</f>
        <v>2.3099999999999996</v>
      </c>
      <c r="O183" s="101" t="str">
        <f>O179</f>
        <v>П9</v>
      </c>
      <c r="P183" s="101" t="str">
        <f>P129</f>
        <v>В26</v>
      </c>
      <c r="Q183" s="4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">
      <c r="A184" s="8">
        <v>327</v>
      </c>
      <c r="B184" s="113" t="s">
        <v>130</v>
      </c>
      <c r="C184" s="8"/>
      <c r="D184" s="105">
        <v>2.87</v>
      </c>
      <c r="E184" s="110">
        <v>4.9400000000000004</v>
      </c>
      <c r="F184" s="110">
        <f t="shared" si="61"/>
        <v>14.18</v>
      </c>
      <c r="G184" s="91" t="s">
        <v>9</v>
      </c>
      <c r="H184" s="8" t="s">
        <v>105</v>
      </c>
      <c r="I184" s="104" t="s">
        <v>9</v>
      </c>
      <c r="J184" s="104" t="s">
        <v>9</v>
      </c>
      <c r="K184" s="104">
        <v>150</v>
      </c>
      <c r="L184" s="104">
        <v>150</v>
      </c>
      <c r="M184" s="110" t="s">
        <v>9</v>
      </c>
      <c r="N184" s="110">
        <f t="shared" si="69"/>
        <v>10.58</v>
      </c>
      <c r="O184" s="104" t="s">
        <v>9</v>
      </c>
      <c r="P184" s="101" t="str">
        <f>P181</f>
        <v>В21</v>
      </c>
      <c r="Q184" s="4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">
      <c r="A185" s="8">
        <v>328</v>
      </c>
      <c r="B185" s="113" t="s">
        <v>103</v>
      </c>
      <c r="C185" s="8"/>
      <c r="D185" s="105">
        <v>2.87</v>
      </c>
      <c r="E185" s="110">
        <v>19.239999999999998</v>
      </c>
      <c r="F185" s="110">
        <f t="shared" si="61"/>
        <v>55.22</v>
      </c>
      <c r="G185" s="91" t="s">
        <v>9</v>
      </c>
      <c r="H185" s="8" t="s">
        <v>9</v>
      </c>
      <c r="I185" s="104" t="s">
        <v>9</v>
      </c>
      <c r="J185" s="104" t="s">
        <v>9</v>
      </c>
      <c r="K185" s="104" t="s">
        <v>9</v>
      </c>
      <c r="L185" s="104" t="s">
        <v>9</v>
      </c>
      <c r="M185" s="110" t="s">
        <v>9</v>
      </c>
      <c r="N185" s="110" t="s">
        <v>9</v>
      </c>
      <c r="O185" s="104" t="s">
        <v>9</v>
      </c>
      <c r="P185" s="101" t="s">
        <v>9</v>
      </c>
      <c r="Q185" s="4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">
      <c r="A186" s="8">
        <v>329</v>
      </c>
      <c r="B186" s="113" t="s">
        <v>10</v>
      </c>
      <c r="C186" s="8"/>
      <c r="D186" s="105">
        <v>3.57</v>
      </c>
      <c r="E186" s="110">
        <v>10.19</v>
      </c>
      <c r="F186" s="110">
        <f t="shared" si="61"/>
        <v>36.380000000000003</v>
      </c>
      <c r="G186" s="91" t="s">
        <v>9</v>
      </c>
      <c r="H186" s="8" t="s">
        <v>9</v>
      </c>
      <c r="I186" s="104" t="s">
        <v>9</v>
      </c>
      <c r="J186" s="104" t="s">
        <v>9</v>
      </c>
      <c r="K186" s="104" t="s">
        <v>9</v>
      </c>
      <c r="L186" s="104" t="s">
        <v>9</v>
      </c>
      <c r="M186" s="110" t="s">
        <v>9</v>
      </c>
      <c r="N186" s="110" t="s">
        <v>9</v>
      </c>
      <c r="O186" s="104" t="s">
        <v>9</v>
      </c>
      <c r="P186" s="101" t="s">
        <v>9</v>
      </c>
      <c r="Q186" s="4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">
      <c r="A187" s="8">
        <v>330</v>
      </c>
      <c r="B187" s="113" t="s">
        <v>14</v>
      </c>
      <c r="C187" s="8" t="s">
        <v>33</v>
      </c>
      <c r="D187" s="105">
        <v>3.57</v>
      </c>
      <c r="E187" s="110">
        <v>24.1</v>
      </c>
      <c r="F187" s="110">
        <f t="shared" si="61"/>
        <v>86.04</v>
      </c>
      <c r="G187" s="8" t="s">
        <v>9</v>
      </c>
      <c r="H187" s="8">
        <v>2</v>
      </c>
      <c r="I187" s="6">
        <v>200</v>
      </c>
      <c r="J187" s="8" t="s">
        <v>9</v>
      </c>
      <c r="K187" s="6">
        <v>200</v>
      </c>
      <c r="L187" s="6">
        <f>K187</f>
        <v>200</v>
      </c>
      <c r="M187" s="8">
        <v>2</v>
      </c>
      <c r="N187" s="8">
        <v>2</v>
      </c>
      <c r="O187" s="8" t="s">
        <v>412</v>
      </c>
      <c r="P187" s="8" t="s">
        <v>413</v>
      </c>
      <c r="Q187" s="4" t="s">
        <v>372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">
      <c r="A188" s="138"/>
      <c r="B188" s="138"/>
      <c r="C188" s="138"/>
      <c r="D188" s="138"/>
      <c r="E188" s="138"/>
      <c r="F188" s="138"/>
      <c r="G188" s="138"/>
      <c r="H188" s="102" t="s">
        <v>311</v>
      </c>
      <c r="I188" s="8">
        <f>SUM(I145:I187)</f>
        <v>13690</v>
      </c>
      <c r="J188" s="153" t="s">
        <v>310</v>
      </c>
      <c r="K188" s="153"/>
      <c r="L188" s="8">
        <f>SUM(L145:L187)</f>
        <v>13690</v>
      </c>
      <c r="M188" s="154"/>
      <c r="N188" s="155"/>
      <c r="O188" s="155"/>
      <c r="P188" s="155"/>
      <c r="Q188" s="156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"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"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"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"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0:47" x14ac:dyDescent="0.2"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0:47" x14ac:dyDescent="0.2"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0:47" x14ac:dyDescent="0.2"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0:47" x14ac:dyDescent="0.2"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0:47" x14ac:dyDescent="0.2"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0:47" x14ac:dyDescent="0.2"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20:47" x14ac:dyDescent="0.2"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20:47" x14ac:dyDescent="0.2"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20:47" x14ac:dyDescent="0.2"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20:47" x14ac:dyDescent="0.2"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20:47" x14ac:dyDescent="0.2"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20:47" x14ac:dyDescent="0.2"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20:47" x14ac:dyDescent="0.2"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20:47" x14ac:dyDescent="0.2"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20:47" x14ac:dyDescent="0.2"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20:47" x14ac:dyDescent="0.2"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89" s="3" customFormat="1" ht="13.5" thickBot="1" x14ac:dyDescent="0.25">
      <c r="A209" s="75"/>
      <c r="B209" s="10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1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</row>
    <row r="210" spans="1:89" ht="13.5" thickTop="1" x14ac:dyDescent="0.2"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89" ht="13.5" thickBot="1" x14ac:dyDescent="0.25"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</row>
    <row r="212" spans="1:89" ht="14.25" thickTop="1" thickBot="1" x14ac:dyDescent="0.25">
      <c r="R212" s="76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</row>
    <row r="213" spans="1:89" ht="13.5" thickTop="1" x14ac:dyDescent="0.2">
      <c r="R213" s="76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89" x14ac:dyDescent="0.2">
      <c r="R214" s="76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89" x14ac:dyDescent="0.2"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89" x14ac:dyDescent="0.2"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89" x14ac:dyDescent="0.2"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89" x14ac:dyDescent="0.2"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89" x14ac:dyDescent="0.2"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89" x14ac:dyDescent="0.2"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89" x14ac:dyDescent="0.2"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89" x14ac:dyDescent="0.2"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89" x14ac:dyDescent="0.2"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89" x14ac:dyDescent="0.2"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9:47" x14ac:dyDescent="0.2"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9:47" x14ac:dyDescent="0.2"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9:47" x14ac:dyDescent="0.2"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9:47" ht="13.5" thickBot="1" x14ac:dyDescent="0.25"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9:47" ht="13.5" thickTop="1" x14ac:dyDescent="0.2"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9:47" x14ac:dyDescent="0.2"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9:47" x14ac:dyDescent="0.2"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9:47" x14ac:dyDescent="0.2"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9:47" x14ac:dyDescent="0.2">
      <c r="S233" s="9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9:47" x14ac:dyDescent="0.2"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9:47" x14ac:dyDescent="0.2"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9:47" x14ac:dyDescent="0.2"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9:47" x14ac:dyDescent="0.2"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9:47" x14ac:dyDescent="0.2"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9:47" x14ac:dyDescent="0.2"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9:47" x14ac:dyDescent="0.2"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20:47" x14ac:dyDescent="0.2"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20:47" x14ac:dyDescent="0.2"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20:47" x14ac:dyDescent="0.2"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5" spans="20:47" x14ac:dyDescent="0.2"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20:47" x14ac:dyDescent="0.2"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20:47" x14ac:dyDescent="0.2"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0:47" x14ac:dyDescent="0.2"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20:47" x14ac:dyDescent="0.2"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20:47" x14ac:dyDescent="0.2"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20:47" x14ac:dyDescent="0.2"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20:47" x14ac:dyDescent="0.2"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20:47" x14ac:dyDescent="0.2"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20:47" x14ac:dyDescent="0.2"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20:47" x14ac:dyDescent="0.2"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20:47" x14ac:dyDescent="0.2"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20:47" x14ac:dyDescent="0.2"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20:47" x14ac:dyDescent="0.2"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20:47" x14ac:dyDescent="0.2"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20:47" x14ac:dyDescent="0.2"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20:47" x14ac:dyDescent="0.2"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20:47" x14ac:dyDescent="0.2"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20:47" x14ac:dyDescent="0.2"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20:47" x14ac:dyDescent="0.2"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0:47" x14ac:dyDescent="0.2"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20:47" x14ac:dyDescent="0.2"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20:47" x14ac:dyDescent="0.2"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20:47" x14ac:dyDescent="0.2"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0:47" x14ac:dyDescent="0.2"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20:47" x14ac:dyDescent="0.2"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20:47" x14ac:dyDescent="0.2"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20:47" x14ac:dyDescent="0.2"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20:47" x14ac:dyDescent="0.2"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20:47" x14ac:dyDescent="0.2"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20:47" x14ac:dyDescent="0.2"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20:47" x14ac:dyDescent="0.2"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20:47" x14ac:dyDescent="0.2"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20:47" x14ac:dyDescent="0.2"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20:47" x14ac:dyDescent="0.2"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20:47" x14ac:dyDescent="0.2"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20:47" x14ac:dyDescent="0.2"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20:47" x14ac:dyDescent="0.2"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20:47" x14ac:dyDescent="0.2"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20:47" x14ac:dyDescent="0.2"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20:47" x14ac:dyDescent="0.2"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20:47" x14ac:dyDescent="0.2"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20:47" x14ac:dyDescent="0.2"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20:47" x14ac:dyDescent="0.2"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20:47" x14ac:dyDescent="0.2"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20:47" x14ac:dyDescent="0.2"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20:47" x14ac:dyDescent="0.2"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20:47" x14ac:dyDescent="0.2"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20:47" x14ac:dyDescent="0.2"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20:47" x14ac:dyDescent="0.2"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0:47" x14ac:dyDescent="0.2"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0:47" x14ac:dyDescent="0.2"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20:47" x14ac:dyDescent="0.2"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20:47" x14ac:dyDescent="0.2"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20:47" x14ac:dyDescent="0.2"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20:47" x14ac:dyDescent="0.2"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20:47" x14ac:dyDescent="0.2"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0:47" x14ac:dyDescent="0.2"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0:47" x14ac:dyDescent="0.2"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0:47" x14ac:dyDescent="0.2"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0:38" x14ac:dyDescent="0.2"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0:38" x14ac:dyDescent="0.2"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0:38" x14ac:dyDescent="0.2"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0:38" x14ac:dyDescent="0.2"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0:38" x14ac:dyDescent="0.2"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0:38" x14ac:dyDescent="0.2"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3" spans="20:38" x14ac:dyDescent="0.2"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0:38" x14ac:dyDescent="0.2"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0:38" x14ac:dyDescent="0.2"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0:38" x14ac:dyDescent="0.2"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0:38" x14ac:dyDescent="0.2"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</sheetData>
  <autoFilter ref="P1:P319" xr:uid="{00000000-0001-0000-0000-000000000000}"/>
  <mergeCells count="129">
    <mergeCell ref="BW133:CA133"/>
    <mergeCell ref="P57:P58"/>
    <mergeCell ref="U112:U113"/>
    <mergeCell ref="I75:I78"/>
    <mergeCell ref="G69:G73"/>
    <mergeCell ref="H69:H73"/>
    <mergeCell ref="I69:I73"/>
    <mergeCell ref="A188:G188"/>
    <mergeCell ref="J188:K188"/>
    <mergeCell ref="M188:Q188"/>
    <mergeCell ref="BW117:CA117"/>
    <mergeCell ref="V112:X112"/>
    <mergeCell ref="T118:T119"/>
    <mergeCell ref="T120:T121"/>
    <mergeCell ref="T123:T125"/>
    <mergeCell ref="T93:AU93"/>
    <mergeCell ref="A144:Q144"/>
    <mergeCell ref="A103:Q103"/>
    <mergeCell ref="B69:B73"/>
    <mergeCell ref="A69:A73"/>
    <mergeCell ref="C69:C73"/>
    <mergeCell ref="D69:D73"/>
    <mergeCell ref="E69:E73"/>
    <mergeCell ref="A75:A78"/>
    <mergeCell ref="H39:H40"/>
    <mergeCell ref="I39:I40"/>
    <mergeCell ref="J39:J40"/>
    <mergeCell ref="K39:K40"/>
    <mergeCell ref="L39:L40"/>
    <mergeCell ref="M39:M40"/>
    <mergeCell ref="D75:D78"/>
    <mergeCell ref="E75:E78"/>
    <mergeCell ref="F75:F78"/>
    <mergeCell ref="A102:G102"/>
    <mergeCell ref="J102:K102"/>
    <mergeCell ref="M102:Q102"/>
    <mergeCell ref="A143:G143"/>
    <mergeCell ref="J143:K143"/>
    <mergeCell ref="M143:Q143"/>
    <mergeCell ref="H75:H78"/>
    <mergeCell ref="B37:B38"/>
    <mergeCell ref="B39:B40"/>
    <mergeCell ref="L37:L38"/>
    <mergeCell ref="M37:M38"/>
    <mergeCell ref="N37:N38"/>
    <mergeCell ref="O37:O38"/>
    <mergeCell ref="P37:P38"/>
    <mergeCell ref="Q37:Q38"/>
    <mergeCell ref="P39:P40"/>
    <mergeCell ref="O39:O40"/>
    <mergeCell ref="Q69:Q73"/>
    <mergeCell ref="L69:L73"/>
    <mergeCell ref="J69:J73"/>
    <mergeCell ref="K69:K73"/>
    <mergeCell ref="B75:B78"/>
    <mergeCell ref="C75:C78"/>
    <mergeCell ref="G39:G40"/>
    <mergeCell ref="J30:K30"/>
    <mergeCell ref="A30:G30"/>
    <mergeCell ref="M30:Q30"/>
    <mergeCell ref="G75:G78"/>
    <mergeCell ref="F69:F73"/>
    <mergeCell ref="T63:AU63"/>
    <mergeCell ref="M75:M78"/>
    <mergeCell ref="N75:N78"/>
    <mergeCell ref="O75:O78"/>
    <mergeCell ref="P75:P78"/>
    <mergeCell ref="Q75:Q78"/>
    <mergeCell ref="J75:J78"/>
    <mergeCell ref="K75:K78"/>
    <mergeCell ref="L75:L78"/>
    <mergeCell ref="E39:E40"/>
    <mergeCell ref="F39:F40"/>
    <mergeCell ref="C39:C40"/>
    <mergeCell ref="A39:A40"/>
    <mergeCell ref="M69:M73"/>
    <mergeCell ref="N69:N73"/>
    <mergeCell ref="O69:O73"/>
    <mergeCell ref="N39:N40"/>
    <mergeCell ref="J37:J38"/>
    <mergeCell ref="K37:K38"/>
    <mergeCell ref="BW61:CA61"/>
    <mergeCell ref="BW84:CA84"/>
    <mergeCell ref="F1:F2"/>
    <mergeCell ref="E1:E2"/>
    <mergeCell ref="D1:D2"/>
    <mergeCell ref="T114:T116"/>
    <mergeCell ref="A31:Q31"/>
    <mergeCell ref="A3:Q3"/>
    <mergeCell ref="A1:A2"/>
    <mergeCell ref="G1:H1"/>
    <mergeCell ref="I1:I2"/>
    <mergeCell ref="B1:B2"/>
    <mergeCell ref="C1:C2"/>
    <mergeCell ref="J1:L1"/>
    <mergeCell ref="C37:C38"/>
    <mergeCell ref="D37:D38"/>
    <mergeCell ref="E37:E38"/>
    <mergeCell ref="F37:F38"/>
    <mergeCell ref="D39:D40"/>
    <mergeCell ref="G37:G38"/>
    <mergeCell ref="H37:H38"/>
    <mergeCell ref="I37:I38"/>
    <mergeCell ref="BA16:BA17"/>
    <mergeCell ref="A37:A38"/>
    <mergeCell ref="BW130:CA130"/>
    <mergeCell ref="Q1:Q2"/>
    <mergeCell ref="O1:P1"/>
    <mergeCell ref="M1:N1"/>
    <mergeCell ref="Q39:Q40"/>
    <mergeCell ref="AP1:AR1"/>
    <mergeCell ref="AM1:AO1"/>
    <mergeCell ref="AF1:AL1"/>
    <mergeCell ref="Z1:AE1"/>
    <mergeCell ref="Y1:Y2"/>
    <mergeCell ref="X1:X2"/>
    <mergeCell ref="W1:W2"/>
    <mergeCell ref="V1:V2"/>
    <mergeCell ref="U1:U2"/>
    <mergeCell ref="T11:AU11"/>
    <mergeCell ref="T3:AU3"/>
    <mergeCell ref="T1:T2"/>
    <mergeCell ref="AS1:AU1"/>
    <mergeCell ref="BA18:BA19"/>
    <mergeCell ref="BA21:BA22"/>
    <mergeCell ref="T25:AU25"/>
    <mergeCell ref="BA12:BA14"/>
    <mergeCell ref="P69:P73"/>
    <mergeCell ref="BW17:CA17"/>
  </mergeCells>
  <phoneticPr fontId="1" type="noConversion"/>
  <pageMargins left="0.7" right="0.7" top="0.75" bottom="0.75" header="0.3" footer="0.3"/>
  <pageSetup paperSize="9" orientation="portrait" horizontalDpi="3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Kosarev</dc:creator>
  <cp:lastModifiedBy>Овчинников</cp:lastModifiedBy>
  <dcterms:created xsi:type="dcterms:W3CDTF">2024-02-17T17:11:06Z</dcterms:created>
  <dcterms:modified xsi:type="dcterms:W3CDTF">2025-09-24T10:02:26Z</dcterms:modified>
</cp:coreProperties>
</file>