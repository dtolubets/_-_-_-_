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O:\Обмен\Маркова\429 Cоколиной горы школа Строители\"/>
    </mc:Choice>
  </mc:AlternateContent>
  <xr:revisionPtr revIDLastSave="0" documentId="13_ncr:1_{82B8B8B9-0188-4506-8E92-54BEDF9442B1}" xr6:coauthVersionLast="47" xr6:coauthVersionMax="47" xr10:uidLastSave="{00000000-0000-0000-0000-000000000000}"/>
  <bookViews>
    <workbookView xWindow="-120" yWindow="-120" windowWidth="29040" windowHeight="15720" activeTab="1" xr2:uid="{8B593CBE-A07C-497C-BC49-0B753B730646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12" i="2" l="1"/>
  <c r="K113" i="2"/>
  <c r="K114" i="2"/>
  <c r="K115" i="2"/>
  <c r="K111" i="2"/>
  <c r="J116" i="2"/>
  <c r="J115" i="2"/>
  <c r="J114" i="2"/>
  <c r="J113" i="2"/>
  <c r="J112" i="2"/>
  <c r="J111" i="2"/>
  <c r="L102" i="2"/>
  <c r="K100" i="2"/>
  <c r="K101" i="2"/>
  <c r="K102" i="2"/>
  <c r="K99" i="2"/>
  <c r="L99" i="2" s="1"/>
  <c r="J103" i="2"/>
  <c r="J102" i="2"/>
  <c r="J101" i="2"/>
  <c r="J100" i="2"/>
  <c r="J99" i="2"/>
  <c r="U91" i="2"/>
  <c r="U88" i="2"/>
  <c r="S92" i="2"/>
  <c r="S91" i="2"/>
  <c r="S90" i="2"/>
  <c r="S89" i="2"/>
  <c r="S88" i="2"/>
  <c r="S87" i="2"/>
  <c r="M92" i="2"/>
  <c r="M91" i="2"/>
  <c r="M90" i="2"/>
  <c r="M89" i="2"/>
  <c r="M88" i="2"/>
  <c r="M87" i="2"/>
  <c r="T88" i="2"/>
  <c r="T89" i="2"/>
  <c r="U89" i="2" s="1"/>
  <c r="T90" i="2"/>
  <c r="U90" i="2" s="1"/>
  <c r="T91" i="2"/>
  <c r="T92" i="2"/>
  <c r="U92" i="2" s="1"/>
  <c r="T87" i="2"/>
  <c r="U87" i="2" s="1"/>
  <c r="N88" i="2"/>
  <c r="N89" i="2"/>
  <c r="N90" i="2"/>
  <c r="N91" i="2"/>
  <c r="N92" i="2"/>
  <c r="N87" i="2"/>
  <c r="K88" i="2"/>
  <c r="K89" i="2"/>
  <c r="K90" i="2"/>
  <c r="K91" i="2"/>
  <c r="K92" i="2"/>
  <c r="K87" i="2"/>
  <c r="J92" i="2"/>
  <c r="J91" i="2"/>
  <c r="J90" i="2"/>
  <c r="J89" i="2"/>
  <c r="J88" i="2"/>
  <c r="J87" i="2"/>
  <c r="S80" i="2"/>
  <c r="S79" i="2"/>
  <c r="S78" i="2"/>
  <c r="S77" i="2"/>
  <c r="S76" i="2"/>
  <c r="R77" i="2"/>
  <c r="R78" i="2"/>
  <c r="P80" i="2"/>
  <c r="P79" i="2"/>
  <c r="P78" i="2"/>
  <c r="P77" i="2"/>
  <c r="P76" i="2"/>
  <c r="O76" i="2"/>
  <c r="M80" i="2"/>
  <c r="M79" i="2"/>
  <c r="M78" i="2"/>
  <c r="M77" i="2"/>
  <c r="M76" i="2"/>
  <c r="T77" i="2"/>
  <c r="T78" i="2"/>
  <c r="T79" i="2"/>
  <c r="U79" i="2" s="1"/>
  <c r="T76" i="2"/>
  <c r="Q77" i="2"/>
  <c r="Q78" i="2"/>
  <c r="Q79" i="2"/>
  <c r="R79" i="2" s="1"/>
  <c r="Q76" i="2"/>
  <c r="R76" i="2" s="1"/>
  <c r="N77" i="2"/>
  <c r="O77" i="2" s="1"/>
  <c r="N78" i="2"/>
  <c r="O78" i="2" s="1"/>
  <c r="N79" i="2"/>
  <c r="O79" i="2" s="1"/>
  <c r="N76" i="2"/>
  <c r="K77" i="2"/>
  <c r="K78" i="2"/>
  <c r="K79" i="2"/>
  <c r="K76" i="2"/>
  <c r="J80" i="2"/>
  <c r="J79" i="2"/>
  <c r="J78" i="2"/>
  <c r="J77" i="2"/>
  <c r="J76" i="2"/>
  <c r="U68" i="2"/>
  <c r="U56" i="2"/>
  <c r="S57" i="2"/>
  <c r="S56" i="2"/>
  <c r="S55" i="2"/>
  <c r="S54" i="2"/>
  <c r="S53" i="2"/>
  <c r="U53" i="2" s="1"/>
  <c r="S52" i="2"/>
  <c r="R56" i="2"/>
  <c r="R52" i="2"/>
  <c r="P57" i="2"/>
  <c r="P56" i="2"/>
  <c r="P55" i="2"/>
  <c r="P54" i="2"/>
  <c r="P53" i="2"/>
  <c r="P52" i="2"/>
  <c r="T53" i="2"/>
  <c r="T54" i="2"/>
  <c r="U54" i="2" s="1"/>
  <c r="T55" i="2"/>
  <c r="U55" i="2" s="1"/>
  <c r="T56" i="2"/>
  <c r="T57" i="2"/>
  <c r="U57" i="2" s="1"/>
  <c r="T52" i="2"/>
  <c r="U52" i="2" s="1"/>
  <c r="Q53" i="2"/>
  <c r="R53" i="2" s="1"/>
  <c r="Q54" i="2"/>
  <c r="R54" i="2" s="1"/>
  <c r="Q55" i="2"/>
  <c r="R55" i="2" s="1"/>
  <c r="Q56" i="2"/>
  <c r="Q57" i="2"/>
  <c r="Q52" i="2"/>
  <c r="N53" i="2"/>
  <c r="N54" i="2"/>
  <c r="N55" i="2"/>
  <c r="N56" i="2"/>
  <c r="N57" i="2"/>
  <c r="N52" i="2"/>
  <c r="P69" i="2"/>
  <c r="P68" i="2"/>
  <c r="P67" i="2"/>
  <c r="P66" i="2"/>
  <c r="P65" i="2"/>
  <c r="P64" i="2"/>
  <c r="R68" i="2"/>
  <c r="O68" i="2"/>
  <c r="L68" i="2"/>
  <c r="M69" i="2"/>
  <c r="M68" i="2"/>
  <c r="M67" i="2"/>
  <c r="O67" i="2" s="1"/>
  <c r="M66" i="2"/>
  <c r="O66" i="2" s="1"/>
  <c r="M65" i="2"/>
  <c r="M64" i="2"/>
  <c r="T65" i="2"/>
  <c r="T66" i="2"/>
  <c r="U66" i="2" s="1"/>
  <c r="T67" i="2"/>
  <c r="U67" i="2" s="1"/>
  <c r="T68" i="2"/>
  <c r="T69" i="2"/>
  <c r="U69" i="2" s="1"/>
  <c r="T64" i="2"/>
  <c r="Q65" i="2"/>
  <c r="R65" i="2" s="1"/>
  <c r="Q66" i="2"/>
  <c r="R66" i="2" s="1"/>
  <c r="Q67" i="2"/>
  <c r="Q68" i="2"/>
  <c r="Q69" i="2"/>
  <c r="Q64" i="2"/>
  <c r="R64" i="2" s="1"/>
  <c r="N65" i="2"/>
  <c r="O65" i="2" s="1"/>
  <c r="N66" i="2"/>
  <c r="N67" i="2"/>
  <c r="N68" i="2"/>
  <c r="N69" i="2"/>
  <c r="N64" i="2"/>
  <c r="O64" i="2" s="1"/>
  <c r="K65" i="2"/>
  <c r="L65" i="2" s="1"/>
  <c r="K66" i="2"/>
  <c r="K67" i="2"/>
  <c r="L67" i="2" s="1"/>
  <c r="K68" i="2"/>
  <c r="K69" i="2"/>
  <c r="L69" i="2" s="1"/>
  <c r="K64" i="2"/>
  <c r="L64" i="2" s="1"/>
  <c r="J69" i="2"/>
  <c r="J68" i="2"/>
  <c r="J67" i="2"/>
  <c r="J66" i="2"/>
  <c r="J65" i="2"/>
  <c r="J64" i="2"/>
  <c r="L56" i="2"/>
  <c r="K53" i="2"/>
  <c r="L53" i="2" s="1"/>
  <c r="K54" i="2"/>
  <c r="K55" i="2"/>
  <c r="L55" i="2" s="1"/>
  <c r="K56" i="2"/>
  <c r="K57" i="2"/>
  <c r="K52" i="2"/>
  <c r="L52" i="2" s="1"/>
  <c r="J57" i="2"/>
  <c r="J56" i="2"/>
  <c r="J55" i="2"/>
  <c r="J54" i="2"/>
  <c r="J53" i="2"/>
  <c r="J52" i="2"/>
  <c r="H42" i="2"/>
  <c r="H43" i="2"/>
  <c r="H44" i="2"/>
  <c r="H41" i="2"/>
  <c r="I41" i="2" s="1"/>
  <c r="G45" i="2"/>
  <c r="G44" i="2"/>
  <c r="G43" i="2"/>
  <c r="G42" i="2"/>
  <c r="G41" i="2"/>
  <c r="G33" i="2"/>
  <c r="G32" i="2"/>
  <c r="G31" i="2"/>
  <c r="G30" i="2"/>
  <c r="G22" i="2"/>
  <c r="I22" i="2" s="1"/>
  <c r="G21" i="2"/>
  <c r="I21" i="2" s="1"/>
  <c r="G20" i="2"/>
  <c r="G10" i="2"/>
  <c r="G19" i="2"/>
  <c r="H20" i="2"/>
  <c r="H21" i="2"/>
  <c r="H22" i="2"/>
  <c r="H19" i="2"/>
  <c r="I19" i="2" s="1"/>
  <c r="H6" i="2"/>
  <c r="H8" i="2"/>
  <c r="H10" i="2"/>
  <c r="G8" i="2"/>
  <c r="G12" i="2"/>
  <c r="G6" i="2"/>
  <c r="H30" i="2"/>
  <c r="I30" i="2" s="1"/>
  <c r="S65" i="2"/>
  <c r="S66" i="2"/>
  <c r="S67" i="2"/>
  <c r="S68" i="2"/>
  <c r="S69" i="2"/>
  <c r="S64" i="2"/>
  <c r="U64" i="2" s="1"/>
  <c r="O88" i="2"/>
  <c r="O89" i="2"/>
  <c r="O90" i="2"/>
  <c r="O92" i="2"/>
  <c r="O87" i="2"/>
  <c r="M53" i="2"/>
  <c r="O53" i="2"/>
  <c r="M54" i="2"/>
  <c r="O54" i="2"/>
  <c r="M55" i="2"/>
  <c r="O55" i="2"/>
  <c r="M56" i="2"/>
  <c r="M57" i="2"/>
  <c r="O57" i="2"/>
  <c r="O52" i="2"/>
  <c r="M52" i="2"/>
  <c r="L88" i="2"/>
  <c r="L89" i="2"/>
  <c r="L90" i="2"/>
  <c r="L92" i="2"/>
  <c r="L87" i="2"/>
  <c r="L77" i="2"/>
  <c r="L78" i="2"/>
  <c r="L79" i="2"/>
  <c r="L76" i="2"/>
  <c r="G34" i="2"/>
  <c r="H31" i="2"/>
  <c r="I31" i="2" s="1"/>
  <c r="H32" i="2"/>
  <c r="I32" i="2" s="1"/>
  <c r="H33" i="2"/>
  <c r="I8" i="2" l="1"/>
  <c r="O69" i="2"/>
  <c r="U76" i="2"/>
  <c r="L111" i="2"/>
  <c r="I20" i="2"/>
  <c r="R67" i="2"/>
  <c r="L115" i="2"/>
  <c r="L57" i="2"/>
  <c r="I44" i="2"/>
  <c r="U65" i="2"/>
  <c r="L54" i="2"/>
  <c r="U78" i="2"/>
  <c r="L101" i="2"/>
  <c r="L114" i="2"/>
  <c r="I42" i="2"/>
  <c r="L66" i="2"/>
  <c r="R57" i="2"/>
  <c r="U77" i="2"/>
  <c r="L100" i="2"/>
  <c r="L113" i="2"/>
  <c r="R69" i="2"/>
  <c r="I10" i="2"/>
  <c r="I33" i="2"/>
  <c r="I6" i="2"/>
  <c r="I43" i="2"/>
  <c r="L112" i="2"/>
</calcChain>
</file>

<file path=xl/sharedStrings.xml><?xml version="1.0" encoding="utf-8"?>
<sst xmlns="http://schemas.openxmlformats.org/spreadsheetml/2006/main" count="567" uniqueCount="76">
  <si>
    <t>Тип 2</t>
  </si>
  <si>
    <t>Тип 3</t>
  </si>
  <si>
    <t>Тип 4</t>
  </si>
  <si>
    <t>Тип 5</t>
  </si>
  <si>
    <t>Усиление проема Подвал</t>
  </si>
  <si>
    <t>Кол-во</t>
  </si>
  <si>
    <t>Усиление проема 1-го этажа</t>
  </si>
  <si>
    <t>Усиление проема 2-го этажа</t>
  </si>
  <si>
    <t>Усиление проема 3-го этажа</t>
  </si>
  <si>
    <t>Усиление проема 4-го этажа</t>
  </si>
  <si>
    <t>Усиление проема Подвального этажа в/о 1-17/ Н-П</t>
  </si>
  <si>
    <t>Усиление проема 2-го этажа второго этажа в/о 1-17/Н-П</t>
  </si>
  <si>
    <t>Усиление проема  1-го этажа этажа в/о 1-17/Н-П</t>
  </si>
  <si>
    <t>Усиление проема Подвального этажа в/о 1-23/А/1-Б/1</t>
  </si>
  <si>
    <t>Усиление проема  1-го этажа в/о 1-23/А/1-Б/1</t>
  </si>
  <si>
    <t>Тип 1</t>
  </si>
  <si>
    <t xml:space="preserve">ТИП1 </t>
  </si>
  <si>
    <t>Спецификация элементов усиления проема</t>
  </si>
  <si>
    <t>Поз.</t>
  </si>
  <si>
    <t>Обозначение</t>
  </si>
  <si>
    <t>Наименование</t>
  </si>
  <si>
    <t>Кол., шт.</t>
  </si>
  <si>
    <t>Масса ед., кг</t>
  </si>
  <si>
    <t>Прим.</t>
  </si>
  <si>
    <t>L125×10</t>
  </si>
  <si>
    <t>Уголок 125×10 ГОСТ 8509-93 L=2100</t>
  </si>
  <si>
    <t>С245 ГОСТ 27772-88</t>
  </si>
  <si>
    <t>–10×100</t>
  </si>
  <si>
    <t>Лист 10×100 ГОСТ 19903-2006 L=300</t>
  </si>
  <si>
    <t>Лист 10×100 ГОСТ 19903-2006 L=510</t>
  </si>
  <si>
    <t>—</t>
  </si>
  <si>
    <t>Анкер M16×120</t>
  </si>
  <si>
    <t>ТИП2</t>
  </si>
  <si>
    <r>
      <t xml:space="preserve">Уголок </t>
    </r>
    <r>
      <rPr>
        <b/>
        <sz val="11"/>
        <color theme="1"/>
        <rFont val="Calibri"/>
        <family val="2"/>
        <charset val="204"/>
        <scheme val="minor"/>
      </rPr>
      <t>125×10</t>
    </r>
    <r>
      <rPr>
        <sz val="11"/>
        <color theme="1"/>
        <rFont val="Calibri"/>
        <family val="2"/>
        <charset val="204"/>
        <scheme val="minor"/>
      </rPr>
      <t xml:space="preserve">, ГОСТ </t>
    </r>
    <r>
      <rPr>
        <b/>
        <sz val="11"/>
        <color theme="1"/>
        <rFont val="Calibri"/>
        <family val="2"/>
        <charset val="204"/>
        <scheme val="minor"/>
      </rPr>
      <t>8509-93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L = 2100</t>
    </r>
    <r>
      <rPr>
        <sz val="11"/>
        <color theme="1"/>
        <rFont val="Calibri"/>
        <family val="2"/>
        <charset val="204"/>
        <scheme val="minor"/>
      </rPr>
      <t xml:space="preserve">, сталь </t>
    </r>
    <r>
      <rPr>
        <b/>
        <sz val="11"/>
        <color theme="1"/>
        <rFont val="Calibri"/>
        <family val="2"/>
        <charset val="204"/>
        <scheme val="minor"/>
      </rPr>
      <t>С245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27772-88</t>
    </r>
  </si>
  <si>
    <r>
      <t xml:space="preserve">Уголок </t>
    </r>
    <r>
      <rPr>
        <b/>
        <sz val="11"/>
        <color theme="1"/>
        <rFont val="Calibri"/>
        <family val="2"/>
        <charset val="204"/>
        <scheme val="minor"/>
      </rPr>
      <t>125×10</t>
    </r>
    <r>
      <rPr>
        <sz val="11"/>
        <color theme="1"/>
        <rFont val="Calibri"/>
        <family val="2"/>
        <charset val="204"/>
        <scheme val="minor"/>
      </rPr>
      <t xml:space="preserve">, ГОСТ </t>
    </r>
    <r>
      <rPr>
        <b/>
        <sz val="11"/>
        <color theme="1"/>
        <rFont val="Calibri"/>
        <family val="2"/>
        <charset val="204"/>
        <scheme val="minor"/>
      </rPr>
      <t>8509-93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L = 360</t>
    </r>
    <r>
      <rPr>
        <sz val="11"/>
        <color theme="1"/>
        <rFont val="Calibri"/>
        <family val="2"/>
        <charset val="204"/>
        <scheme val="minor"/>
      </rPr>
      <t xml:space="preserve">, сталь </t>
    </r>
    <r>
      <rPr>
        <b/>
        <sz val="11"/>
        <color theme="1"/>
        <rFont val="Calibri"/>
        <family val="2"/>
        <charset val="204"/>
        <scheme val="minor"/>
      </rPr>
      <t>С245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27772-88</t>
    </r>
  </si>
  <si>
    <r>
      <t xml:space="preserve">Лист </t>
    </r>
    <r>
      <rPr>
        <b/>
        <sz val="11"/>
        <color theme="1"/>
        <rFont val="Calibri"/>
        <family val="2"/>
        <charset val="204"/>
        <scheme val="minor"/>
      </rPr>
      <t>10×100</t>
    </r>
    <r>
      <rPr>
        <sz val="11"/>
        <color theme="1"/>
        <rFont val="Calibri"/>
        <family val="2"/>
        <charset val="204"/>
        <scheme val="minor"/>
      </rPr>
      <t xml:space="preserve">, ГОСТ </t>
    </r>
    <r>
      <rPr>
        <b/>
        <sz val="11"/>
        <color theme="1"/>
        <rFont val="Calibri"/>
        <family val="2"/>
        <charset val="204"/>
        <scheme val="minor"/>
      </rPr>
      <t>19903-2006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L = 300</t>
    </r>
    <r>
      <rPr>
        <sz val="11"/>
        <color theme="1"/>
        <rFont val="Calibri"/>
        <family val="2"/>
        <charset val="204"/>
        <scheme val="minor"/>
      </rPr>
      <t xml:space="preserve">, сталь </t>
    </r>
    <r>
      <rPr>
        <b/>
        <sz val="11"/>
        <color theme="1"/>
        <rFont val="Calibri"/>
        <family val="2"/>
        <charset val="204"/>
        <scheme val="minor"/>
      </rPr>
      <t>С245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27772-88</t>
    </r>
  </si>
  <si>
    <r>
      <t xml:space="preserve">Лист </t>
    </r>
    <r>
      <rPr>
        <b/>
        <sz val="11"/>
        <color theme="1"/>
        <rFont val="Calibri"/>
        <family val="2"/>
        <charset val="204"/>
        <scheme val="minor"/>
      </rPr>
      <t>10×100</t>
    </r>
    <r>
      <rPr>
        <sz val="11"/>
        <color theme="1"/>
        <rFont val="Calibri"/>
        <family val="2"/>
        <charset val="204"/>
        <scheme val="minor"/>
      </rPr>
      <t xml:space="preserve">, ГОСТ </t>
    </r>
    <r>
      <rPr>
        <b/>
        <sz val="11"/>
        <color theme="1"/>
        <rFont val="Calibri"/>
        <family val="2"/>
        <charset val="204"/>
        <scheme val="minor"/>
      </rPr>
      <t>19903-2006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L = 360</t>
    </r>
    <r>
      <rPr>
        <sz val="11"/>
        <color theme="1"/>
        <rFont val="Calibri"/>
        <family val="2"/>
        <charset val="204"/>
        <scheme val="minor"/>
      </rPr>
      <t xml:space="preserve">, сталь </t>
    </r>
    <r>
      <rPr>
        <b/>
        <sz val="11"/>
        <color theme="1"/>
        <rFont val="Calibri"/>
        <family val="2"/>
        <charset val="204"/>
        <scheme val="minor"/>
      </rPr>
      <t>С245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27772-88</t>
    </r>
  </si>
  <si>
    <r>
      <t xml:space="preserve">Анкер </t>
    </r>
    <r>
      <rPr>
        <b/>
        <sz val="11"/>
        <color theme="1"/>
        <rFont val="Calibri"/>
        <family val="2"/>
        <charset val="204"/>
        <scheme val="minor"/>
      </rPr>
      <t>M16×120</t>
    </r>
  </si>
  <si>
    <r>
      <t xml:space="preserve">Уголок </t>
    </r>
    <r>
      <rPr>
        <b/>
        <sz val="11"/>
        <color theme="1"/>
        <rFont val="Calibri"/>
        <family val="2"/>
        <charset val="204"/>
        <scheme val="minor"/>
      </rPr>
      <t>125×10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8509-93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L=1900</t>
    </r>
    <r>
      <rPr>
        <sz val="11"/>
        <color theme="1"/>
        <rFont val="Calibri"/>
        <family val="2"/>
        <charset val="204"/>
        <scheme val="minor"/>
      </rPr>
      <t xml:space="preserve">, сталь </t>
    </r>
    <r>
      <rPr>
        <b/>
        <sz val="11"/>
        <color theme="1"/>
        <rFont val="Calibri"/>
        <family val="2"/>
        <charset val="204"/>
        <scheme val="minor"/>
      </rPr>
      <t>С245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27772-88</t>
    </r>
  </si>
  <si>
    <r>
      <t xml:space="preserve">Уголок </t>
    </r>
    <r>
      <rPr>
        <b/>
        <sz val="11"/>
        <color theme="1"/>
        <rFont val="Calibri"/>
        <family val="2"/>
        <charset val="204"/>
        <scheme val="minor"/>
      </rPr>
      <t>125×10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8509-93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L=400</t>
    </r>
    <r>
      <rPr>
        <sz val="11"/>
        <color theme="1"/>
        <rFont val="Calibri"/>
        <family val="2"/>
        <charset val="204"/>
        <scheme val="minor"/>
      </rPr>
      <t xml:space="preserve">, сталь </t>
    </r>
    <r>
      <rPr>
        <b/>
        <sz val="11"/>
        <color theme="1"/>
        <rFont val="Calibri"/>
        <family val="2"/>
        <charset val="204"/>
        <scheme val="minor"/>
      </rPr>
      <t>С245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27772-88</t>
    </r>
  </si>
  <si>
    <r>
      <t xml:space="preserve">Лист </t>
    </r>
    <r>
      <rPr>
        <b/>
        <sz val="11"/>
        <color theme="1"/>
        <rFont val="Calibri"/>
        <family val="2"/>
        <charset val="204"/>
        <scheme val="minor"/>
      </rPr>
      <t>10×100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19903-2006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L=300</t>
    </r>
    <r>
      <rPr>
        <sz val="11"/>
        <color theme="1"/>
        <rFont val="Calibri"/>
        <family val="2"/>
        <charset val="204"/>
        <scheme val="minor"/>
      </rPr>
      <t xml:space="preserve">, сталь </t>
    </r>
    <r>
      <rPr>
        <b/>
        <sz val="11"/>
        <color theme="1"/>
        <rFont val="Calibri"/>
        <family val="2"/>
        <charset val="204"/>
        <scheme val="minor"/>
      </rPr>
      <t>С245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27772-88</t>
    </r>
  </si>
  <si>
    <t>[20П</t>
  </si>
  <si>
    <r>
      <t xml:space="preserve">Швеллер </t>
    </r>
    <r>
      <rPr>
        <b/>
        <sz val="11"/>
        <color theme="1"/>
        <rFont val="Calibri"/>
        <family val="2"/>
        <charset val="204"/>
        <scheme val="minor"/>
      </rPr>
      <t>20П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8240-97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L=2520</t>
    </r>
    <r>
      <rPr>
        <sz val="11"/>
        <color theme="1"/>
        <rFont val="Calibri"/>
        <family val="2"/>
        <charset val="204"/>
        <scheme val="minor"/>
      </rPr>
      <t xml:space="preserve">, сталь </t>
    </r>
    <r>
      <rPr>
        <b/>
        <sz val="11"/>
        <color theme="1"/>
        <rFont val="Calibri"/>
        <family val="2"/>
        <charset val="204"/>
        <scheme val="minor"/>
      </rPr>
      <t>С245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27772-88</t>
    </r>
  </si>
  <si>
    <r>
      <t xml:space="preserve">Анкер </t>
    </r>
    <r>
      <rPr>
        <b/>
        <sz val="11"/>
        <color theme="1"/>
        <rFont val="Calibri"/>
        <family val="2"/>
        <charset val="204"/>
        <scheme val="minor"/>
      </rPr>
      <t>М16×120</t>
    </r>
  </si>
  <si>
    <t>ТИП3</t>
  </si>
  <si>
    <r>
      <t xml:space="preserve">Уголок </t>
    </r>
    <r>
      <rPr>
        <b/>
        <sz val="11"/>
        <color theme="1"/>
        <rFont val="Calibri"/>
        <family val="2"/>
        <charset val="204"/>
        <scheme val="minor"/>
      </rPr>
      <t>125×10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8509-93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L=2100</t>
    </r>
    <r>
      <rPr>
        <sz val="11"/>
        <color theme="1"/>
        <rFont val="Calibri"/>
        <family val="2"/>
        <charset val="204"/>
        <scheme val="minor"/>
      </rPr>
      <t xml:space="preserve">, сталь </t>
    </r>
    <r>
      <rPr>
        <b/>
        <sz val="11"/>
        <color theme="1"/>
        <rFont val="Calibri"/>
        <family val="2"/>
        <charset val="204"/>
        <scheme val="minor"/>
      </rPr>
      <t>С245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27772-88</t>
    </r>
  </si>
  <si>
    <r>
      <t xml:space="preserve">Уголок </t>
    </r>
    <r>
      <rPr>
        <b/>
        <sz val="11"/>
        <color theme="1"/>
        <rFont val="Calibri"/>
        <family val="2"/>
        <charset val="204"/>
        <scheme val="minor"/>
      </rPr>
      <t>125×10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8509-93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L=640</t>
    </r>
    <r>
      <rPr>
        <sz val="11"/>
        <color theme="1"/>
        <rFont val="Calibri"/>
        <family val="2"/>
        <charset val="204"/>
        <scheme val="minor"/>
      </rPr>
      <t xml:space="preserve">, сталь </t>
    </r>
    <r>
      <rPr>
        <b/>
        <sz val="11"/>
        <color theme="1"/>
        <rFont val="Calibri"/>
        <family val="2"/>
        <charset val="204"/>
        <scheme val="minor"/>
      </rPr>
      <t>С245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27772-88</t>
    </r>
  </si>
  <si>
    <r>
      <t xml:space="preserve">Лист </t>
    </r>
    <r>
      <rPr>
        <b/>
        <sz val="11"/>
        <color theme="1"/>
        <rFont val="Calibri"/>
        <family val="2"/>
        <charset val="204"/>
        <scheme val="minor"/>
      </rPr>
      <t>10×100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19903-2006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L=640</t>
    </r>
    <r>
      <rPr>
        <sz val="11"/>
        <color theme="1"/>
        <rFont val="Calibri"/>
        <family val="2"/>
        <charset val="204"/>
        <scheme val="minor"/>
      </rPr>
      <t xml:space="preserve">, сталь </t>
    </r>
    <r>
      <rPr>
        <b/>
        <sz val="11"/>
        <color theme="1"/>
        <rFont val="Calibri"/>
        <family val="2"/>
        <charset val="204"/>
        <scheme val="minor"/>
      </rPr>
      <t>С245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27772-88</t>
    </r>
  </si>
  <si>
    <t>ТИП4</t>
  </si>
  <si>
    <t>L100×10</t>
  </si>
  <si>
    <r>
      <t xml:space="preserve">Уголок </t>
    </r>
    <r>
      <rPr>
        <b/>
        <sz val="11"/>
        <color theme="1"/>
        <rFont val="Calibri"/>
        <family val="2"/>
        <charset val="204"/>
        <scheme val="minor"/>
      </rPr>
      <t>100×10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8509-93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L=2290</t>
    </r>
    <r>
      <rPr>
        <sz val="11"/>
        <color theme="1"/>
        <rFont val="Calibri"/>
        <family val="2"/>
        <charset val="204"/>
        <scheme val="minor"/>
      </rPr>
      <t xml:space="preserve">, сталь </t>
    </r>
    <r>
      <rPr>
        <b/>
        <sz val="11"/>
        <color theme="1"/>
        <rFont val="Calibri"/>
        <family val="2"/>
        <charset val="204"/>
        <scheme val="minor"/>
      </rPr>
      <t>С245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27772-88</t>
    </r>
  </si>
  <si>
    <r>
      <t xml:space="preserve">Уголок </t>
    </r>
    <r>
      <rPr>
        <b/>
        <sz val="11"/>
        <color theme="1"/>
        <rFont val="Calibri"/>
        <family val="2"/>
        <charset val="204"/>
        <scheme val="minor"/>
      </rPr>
      <t>100×10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8509-93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L=2020</t>
    </r>
    <r>
      <rPr>
        <sz val="11"/>
        <color theme="1"/>
        <rFont val="Calibri"/>
        <family val="2"/>
        <charset val="204"/>
        <scheme val="minor"/>
      </rPr>
      <t xml:space="preserve">, сталь </t>
    </r>
    <r>
      <rPr>
        <b/>
        <sz val="11"/>
        <color theme="1"/>
        <rFont val="Calibri"/>
        <family val="2"/>
        <charset val="204"/>
        <scheme val="minor"/>
      </rPr>
      <t>С245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27772-88</t>
    </r>
  </si>
  <si>
    <r>
      <t xml:space="preserve">Уголок </t>
    </r>
    <r>
      <rPr>
        <b/>
        <sz val="11"/>
        <color theme="1"/>
        <rFont val="Calibri"/>
        <family val="2"/>
        <charset val="204"/>
        <scheme val="minor"/>
      </rPr>
      <t>100×10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8509-93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L=200</t>
    </r>
    <r>
      <rPr>
        <sz val="11"/>
        <color theme="1"/>
        <rFont val="Calibri"/>
        <family val="2"/>
        <charset val="204"/>
        <scheme val="minor"/>
      </rPr>
      <t xml:space="preserve">, сталь </t>
    </r>
    <r>
      <rPr>
        <b/>
        <sz val="11"/>
        <color theme="1"/>
        <rFont val="Calibri"/>
        <family val="2"/>
        <charset val="204"/>
        <scheme val="minor"/>
      </rPr>
      <t>С245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27772-88</t>
    </r>
  </si>
  <si>
    <r>
      <t xml:space="preserve">Лист </t>
    </r>
    <r>
      <rPr>
        <b/>
        <sz val="11"/>
        <color theme="1"/>
        <rFont val="Calibri"/>
        <family val="2"/>
        <charset val="204"/>
        <scheme val="minor"/>
      </rPr>
      <t>10×100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19903-2006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L=200</t>
    </r>
    <r>
      <rPr>
        <sz val="11"/>
        <color theme="1"/>
        <rFont val="Calibri"/>
        <family val="2"/>
        <charset val="204"/>
        <scheme val="minor"/>
      </rPr>
      <t xml:space="preserve">, сталь </t>
    </r>
    <r>
      <rPr>
        <b/>
        <sz val="11"/>
        <color theme="1"/>
        <rFont val="Calibri"/>
        <family val="2"/>
        <charset val="204"/>
        <scheme val="minor"/>
      </rPr>
      <t>С245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27772-88</t>
    </r>
  </si>
  <si>
    <t>ТИП5</t>
  </si>
  <si>
    <t>ТИП6</t>
  </si>
  <si>
    <r>
      <t xml:space="preserve">Уголок </t>
    </r>
    <r>
      <rPr>
        <b/>
        <sz val="11"/>
        <color theme="1"/>
        <rFont val="Calibri"/>
        <family val="2"/>
        <charset val="204"/>
        <scheme val="minor"/>
      </rPr>
      <t>100×10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8509-93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L=300</t>
    </r>
    <r>
      <rPr>
        <sz val="11"/>
        <color theme="1"/>
        <rFont val="Calibri"/>
        <family val="2"/>
        <charset val="204"/>
        <scheme val="minor"/>
      </rPr>
      <t xml:space="preserve">, сталь </t>
    </r>
    <r>
      <rPr>
        <b/>
        <sz val="11"/>
        <color theme="1"/>
        <rFont val="Calibri"/>
        <family val="2"/>
        <charset val="204"/>
        <scheme val="minor"/>
      </rPr>
      <t>С245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27772-88</t>
    </r>
  </si>
  <si>
    <t>ТИП7</t>
  </si>
  <si>
    <r>
      <t xml:space="preserve">Швеллер </t>
    </r>
    <r>
      <rPr>
        <b/>
        <sz val="11"/>
        <color theme="1"/>
        <rFont val="Calibri"/>
        <family val="2"/>
        <charset val="204"/>
        <scheme val="minor"/>
      </rPr>
      <t>20П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8240-97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L=3520</t>
    </r>
    <r>
      <rPr>
        <sz val="11"/>
        <color theme="1"/>
        <rFont val="Calibri"/>
        <family val="2"/>
        <charset val="204"/>
        <scheme val="minor"/>
      </rPr>
      <t xml:space="preserve">, сталь </t>
    </r>
    <r>
      <rPr>
        <b/>
        <sz val="11"/>
        <color theme="1"/>
        <rFont val="Calibri"/>
        <family val="2"/>
        <charset val="204"/>
        <scheme val="minor"/>
      </rPr>
      <t>С245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27772-88</t>
    </r>
  </si>
  <si>
    <t>ТИП8</t>
  </si>
  <si>
    <t>[24П</t>
  </si>
  <si>
    <r>
      <t xml:space="preserve">Швеллер </t>
    </r>
    <r>
      <rPr>
        <b/>
        <sz val="11"/>
        <color theme="1"/>
        <rFont val="Calibri"/>
        <family val="2"/>
        <charset val="204"/>
        <scheme val="minor"/>
      </rPr>
      <t>24П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8240-97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theme="1"/>
        <rFont val="Calibri"/>
        <family val="2"/>
        <charset val="204"/>
        <scheme val="minor"/>
      </rPr>
      <t>L=4260</t>
    </r>
    <r>
      <rPr>
        <sz val="11"/>
        <color theme="1"/>
        <rFont val="Calibri"/>
        <family val="2"/>
        <charset val="204"/>
        <scheme val="minor"/>
      </rPr>
      <t xml:space="preserve">, сталь </t>
    </r>
    <r>
      <rPr>
        <b/>
        <sz val="11"/>
        <color theme="1"/>
        <rFont val="Calibri"/>
        <family val="2"/>
        <charset val="204"/>
        <scheme val="minor"/>
      </rPr>
      <t>С245</t>
    </r>
    <r>
      <rPr>
        <sz val="11"/>
        <color theme="1"/>
        <rFont val="Calibri"/>
        <family val="2"/>
        <charset val="204"/>
        <scheme val="minor"/>
      </rPr>
      <t xml:space="preserve"> ГОСТ </t>
    </r>
    <r>
      <rPr>
        <b/>
        <sz val="11"/>
        <color theme="1"/>
        <rFont val="Calibri"/>
        <family val="2"/>
        <charset val="204"/>
        <scheme val="minor"/>
      </rPr>
      <t>27772-88</t>
    </r>
  </si>
  <si>
    <t>ТИП9</t>
  </si>
  <si>
    <t>ТИП10</t>
  </si>
  <si>
    <t>Перектытие</t>
  </si>
  <si>
    <t>Перекрытие</t>
  </si>
  <si>
    <t>Тип 6</t>
  </si>
  <si>
    <t>Тип 7</t>
  </si>
  <si>
    <t>Тип 8</t>
  </si>
  <si>
    <t>Тип 9</t>
  </si>
  <si>
    <t>Тип 10</t>
  </si>
  <si>
    <t>Подвал</t>
  </si>
  <si>
    <t>1 этаж</t>
  </si>
  <si>
    <t>2 этаж</t>
  </si>
  <si>
    <t>3 этаж</t>
  </si>
  <si>
    <t>4 этаж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</si>
</sst>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Fill="1" applyBorder="1"/>
    <xf numFmtId="0" fontId="1" fillId="7" borderId="1" xfId="0" applyFont="1" applyFill="1" applyBorder="1"/>
    <xf numFmtId="0" fontId="0" fillId="0" borderId="0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4" fillId="7" borderId="1" xfId="0" applyFont="1" applyFill="1" applyBorder="1"/>
    <xf numFmtId="0" fontId="5" fillId="0" borderId="5" xfId="0" applyFont="1" applyBorder="1"/>
    <xf numFmtId="0" fontId="4" fillId="7" borderId="5" xfId="0" applyFont="1" applyFill="1" applyBorder="1"/>
    <xf numFmtId="0" fontId="4" fillId="10" borderId="0" xfId="0" applyFont="1" applyFill="1"/>
    <xf numFmtId="0" fontId="0" fillId="0" borderId="2" xfId="0" applyBorder="1"/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5" fillId="0" borderId="4" xfId="0" applyFont="1" applyBorder="1"/>
    <xf numFmtId="0" fontId="5" fillId="0" borderId="6" xfId="0" applyFont="1" applyBorder="1"/>
    <xf numFmtId="0" fontId="1" fillId="0" borderId="3" xfId="0" applyFont="1" applyBorder="1" applyAlignment="1">
      <alignment horizontal="center" vertical="center" wrapText="1"/>
    </xf>
    <xf numFmtId="0" fontId="6" fillId="0" borderId="9" xfId="0" applyFont="1" applyBorder="1"/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11" xfId="0" applyFont="1" applyBorder="1"/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2" fontId="6" fillId="0" borderId="4" xfId="0" applyNumberFormat="1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6" fillId="0" borderId="24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6" fillId="0" borderId="9" xfId="0" applyFont="1" applyBorder="1" applyAlignment="1">
      <alignment vertical="center" wrapText="1"/>
    </xf>
    <xf numFmtId="0" fontId="3" fillId="8" borderId="9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2" fontId="0" fillId="0" borderId="2" xfId="0" applyNumberForma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C14E-29F8-481B-9F8F-ACA615189FCF}">
  <dimension ref="A3:L39"/>
  <sheetViews>
    <sheetView zoomScaleNormal="100" workbookViewId="0">
      <selection activeCell="A3" sqref="A3:L32"/>
    </sheetView>
  </sheetViews>
  <sheetFormatPr defaultRowHeight="15" x14ac:dyDescent="0.25"/>
  <cols>
    <col min="2" max="11" width="7.7109375" customWidth="1"/>
    <col min="12" max="12" width="12.5703125" customWidth="1"/>
  </cols>
  <sheetData>
    <row r="3" spans="1:12" ht="17.25" x14ac:dyDescent="0.3">
      <c r="A3" s="65" t="s">
        <v>4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spans="1:12" x14ac:dyDescent="0.25">
      <c r="A4" s="1" t="s">
        <v>5</v>
      </c>
      <c r="B4" s="1" t="s">
        <v>15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66</v>
      </c>
      <c r="H4" s="1" t="s">
        <v>67</v>
      </c>
      <c r="I4" s="1" t="s">
        <v>68</v>
      </c>
      <c r="J4" s="1" t="s">
        <v>69</v>
      </c>
      <c r="K4" s="1" t="s">
        <v>70</v>
      </c>
      <c r="L4" s="8" t="s">
        <v>64</v>
      </c>
    </row>
    <row r="5" spans="1:12" x14ac:dyDescent="0.25">
      <c r="A5" s="1"/>
      <c r="B5" s="9">
        <v>1</v>
      </c>
      <c r="C5" s="9">
        <v>1</v>
      </c>
      <c r="D5" s="9">
        <v>4</v>
      </c>
      <c r="E5" s="9">
        <v>5</v>
      </c>
      <c r="F5" s="1"/>
      <c r="G5" s="1"/>
      <c r="H5" s="1"/>
      <c r="I5" s="1"/>
      <c r="J5" s="1"/>
      <c r="K5" s="1"/>
      <c r="L5" s="1"/>
    </row>
    <row r="6" spans="1:12" ht="17.25" hidden="1" x14ac:dyDescent="0.3">
      <c r="A6" s="65" t="s">
        <v>10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1:12" hidden="1" x14ac:dyDescent="0.25">
      <c r="A7" s="1" t="s">
        <v>5</v>
      </c>
      <c r="B7" s="1" t="s">
        <v>15</v>
      </c>
      <c r="C7" s="1" t="s">
        <v>0</v>
      </c>
      <c r="D7" s="1" t="s">
        <v>1</v>
      </c>
      <c r="E7" s="1" t="s">
        <v>2</v>
      </c>
      <c r="F7" s="1" t="s">
        <v>3</v>
      </c>
      <c r="G7" s="1" t="s">
        <v>66</v>
      </c>
      <c r="H7" s="1" t="s">
        <v>67</v>
      </c>
      <c r="I7" s="1" t="s">
        <v>68</v>
      </c>
      <c r="J7" s="1" t="s">
        <v>69</v>
      </c>
      <c r="K7" s="1" t="s">
        <v>70</v>
      </c>
      <c r="L7" s="8" t="s">
        <v>64</v>
      </c>
    </row>
    <row r="8" spans="1:12" hidden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7.25" hidden="1" x14ac:dyDescent="0.3">
      <c r="A9" s="65" t="s">
        <v>13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</row>
    <row r="10" spans="1:12" hidden="1" x14ac:dyDescent="0.25">
      <c r="A10" s="1" t="s">
        <v>5</v>
      </c>
      <c r="B10" s="1" t="s">
        <v>15</v>
      </c>
      <c r="C10" s="1" t="s">
        <v>0</v>
      </c>
      <c r="D10" s="1" t="s">
        <v>1</v>
      </c>
      <c r="E10" s="1" t="s">
        <v>2</v>
      </c>
      <c r="F10" s="1" t="s">
        <v>3</v>
      </c>
      <c r="G10" s="1" t="s">
        <v>66</v>
      </c>
      <c r="H10" s="1" t="s">
        <v>67</v>
      </c>
      <c r="I10" s="1" t="s">
        <v>68</v>
      </c>
      <c r="J10" s="1" t="s">
        <v>69</v>
      </c>
      <c r="K10" s="1" t="s">
        <v>70</v>
      </c>
      <c r="L10" s="8" t="s">
        <v>64</v>
      </c>
    </row>
    <row r="11" spans="1:12" hidden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7.25" x14ac:dyDescent="0.3">
      <c r="A12" s="64" t="s">
        <v>6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</row>
    <row r="13" spans="1:12" x14ac:dyDescent="0.25">
      <c r="A13" s="1" t="s">
        <v>5</v>
      </c>
      <c r="B13" s="1" t="s">
        <v>15</v>
      </c>
      <c r="C13" s="1" t="s">
        <v>0</v>
      </c>
      <c r="D13" s="1" t="s">
        <v>1</v>
      </c>
      <c r="E13" s="1" t="s">
        <v>2</v>
      </c>
      <c r="F13" s="1" t="s">
        <v>3</v>
      </c>
      <c r="G13" s="1" t="s">
        <v>66</v>
      </c>
      <c r="H13" s="1" t="s">
        <v>67</v>
      </c>
      <c r="I13" s="1" t="s">
        <v>68</v>
      </c>
      <c r="J13" s="1" t="s">
        <v>69</v>
      </c>
      <c r="K13" s="1" t="s">
        <v>70</v>
      </c>
      <c r="L13" s="8" t="s">
        <v>64</v>
      </c>
    </row>
    <row r="14" spans="1:12" x14ac:dyDescent="0.25">
      <c r="A14" s="1"/>
      <c r="B14" s="1"/>
      <c r="C14" s="1"/>
      <c r="D14" s="1"/>
      <c r="E14" s="1"/>
      <c r="F14" s="9">
        <v>13</v>
      </c>
      <c r="G14" s="9">
        <v>19</v>
      </c>
      <c r="H14" s="9">
        <v>5</v>
      </c>
      <c r="I14" s="9">
        <v>3</v>
      </c>
      <c r="J14" s="9">
        <v>1</v>
      </c>
      <c r="K14" s="9">
        <v>1</v>
      </c>
      <c r="L14" s="1"/>
    </row>
    <row r="15" spans="1:12" ht="17.25" hidden="1" x14ac:dyDescent="0.3">
      <c r="A15" s="64" t="s">
        <v>12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</row>
    <row r="16" spans="1:12" hidden="1" x14ac:dyDescent="0.25">
      <c r="A16" s="1" t="s">
        <v>5</v>
      </c>
      <c r="B16" s="1" t="s">
        <v>15</v>
      </c>
      <c r="C16" s="1" t="s">
        <v>0</v>
      </c>
      <c r="D16" s="1" t="s">
        <v>1</v>
      </c>
      <c r="E16" s="1" t="s">
        <v>2</v>
      </c>
      <c r="F16" s="1" t="s">
        <v>3</v>
      </c>
      <c r="G16" s="1" t="s">
        <v>66</v>
      </c>
      <c r="H16" s="1" t="s">
        <v>67</v>
      </c>
      <c r="I16" s="1" t="s">
        <v>68</v>
      </c>
      <c r="J16" s="1" t="s">
        <v>69</v>
      </c>
      <c r="K16" s="1" t="s">
        <v>70</v>
      </c>
      <c r="L16" s="8" t="s">
        <v>64</v>
      </c>
    </row>
    <row r="17" spans="1:12" hidden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7.25" hidden="1" x14ac:dyDescent="0.3">
      <c r="A18" s="64" t="s">
        <v>14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</row>
    <row r="19" spans="1:12" hidden="1" x14ac:dyDescent="0.25">
      <c r="A19" s="1" t="s">
        <v>5</v>
      </c>
      <c r="B19" s="1" t="s">
        <v>15</v>
      </c>
      <c r="C19" s="1" t="s">
        <v>0</v>
      </c>
      <c r="D19" s="1" t="s">
        <v>1</v>
      </c>
      <c r="E19" s="1" t="s">
        <v>2</v>
      </c>
      <c r="F19" s="1" t="s">
        <v>3</v>
      </c>
      <c r="G19" s="1" t="s">
        <v>66</v>
      </c>
      <c r="H19" s="1" t="s">
        <v>67</v>
      </c>
      <c r="I19" s="1" t="s">
        <v>68</v>
      </c>
      <c r="J19" s="1" t="s">
        <v>69</v>
      </c>
      <c r="K19" s="1" t="s">
        <v>70</v>
      </c>
      <c r="L19" s="8" t="s">
        <v>64</v>
      </c>
    </row>
    <row r="20" spans="1:12" hidden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7.25" x14ac:dyDescent="0.3">
      <c r="A21" s="68" t="s">
        <v>7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</row>
    <row r="22" spans="1:12" x14ac:dyDescent="0.25">
      <c r="A22" s="1" t="s">
        <v>5</v>
      </c>
      <c r="B22" s="1" t="s">
        <v>15</v>
      </c>
      <c r="C22" s="1" t="s">
        <v>0</v>
      </c>
      <c r="D22" s="1" t="s">
        <v>1</v>
      </c>
      <c r="E22" s="1" t="s">
        <v>2</v>
      </c>
      <c r="F22" s="1" t="s">
        <v>3</v>
      </c>
      <c r="G22" s="1" t="s">
        <v>66</v>
      </c>
      <c r="H22" s="1" t="s">
        <v>67</v>
      </c>
      <c r="I22" s="1" t="s">
        <v>68</v>
      </c>
      <c r="J22" s="1" t="s">
        <v>69</v>
      </c>
      <c r="K22" s="1" t="s">
        <v>70</v>
      </c>
      <c r="L22" s="8" t="s">
        <v>64</v>
      </c>
    </row>
    <row r="23" spans="1:12" x14ac:dyDescent="0.25">
      <c r="A23" s="1"/>
      <c r="B23" s="1"/>
      <c r="C23" s="1"/>
      <c r="D23" s="1"/>
      <c r="E23" s="1"/>
      <c r="F23" s="9">
        <v>4</v>
      </c>
      <c r="G23" s="9">
        <v>4</v>
      </c>
      <c r="H23" s="9">
        <v>4</v>
      </c>
      <c r="I23" s="9">
        <v>2</v>
      </c>
      <c r="J23" s="1"/>
      <c r="K23" s="1"/>
      <c r="L23" s="1"/>
    </row>
    <row r="24" spans="1:12" ht="17.25" x14ac:dyDescent="0.3">
      <c r="A24" s="68" t="s">
        <v>11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</row>
    <row r="25" spans="1:12" x14ac:dyDescent="0.25">
      <c r="A25" s="1" t="s">
        <v>5</v>
      </c>
      <c r="B25" s="1" t="s">
        <v>15</v>
      </c>
      <c r="C25" s="1" t="s">
        <v>0</v>
      </c>
      <c r="D25" s="1" t="s">
        <v>1</v>
      </c>
      <c r="E25" s="1" t="s">
        <v>2</v>
      </c>
      <c r="F25" s="1" t="s">
        <v>3</v>
      </c>
      <c r="G25" s="1" t="s">
        <v>66</v>
      </c>
      <c r="H25" s="1" t="s">
        <v>67</v>
      </c>
      <c r="I25" s="1" t="s">
        <v>68</v>
      </c>
      <c r="J25" s="1" t="s">
        <v>69</v>
      </c>
      <c r="K25" s="1" t="s">
        <v>70</v>
      </c>
      <c r="L25" s="8" t="s">
        <v>64</v>
      </c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7.25" x14ac:dyDescent="0.3">
      <c r="A27" s="67" t="s">
        <v>8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</row>
    <row r="28" spans="1:12" x14ac:dyDescent="0.25">
      <c r="A28" s="1" t="s">
        <v>5</v>
      </c>
      <c r="B28" s="1" t="s">
        <v>15</v>
      </c>
      <c r="C28" s="1" t="s">
        <v>0</v>
      </c>
      <c r="D28" s="1" t="s">
        <v>1</v>
      </c>
      <c r="E28" s="1" t="s">
        <v>2</v>
      </c>
      <c r="F28" s="1" t="s">
        <v>3</v>
      </c>
      <c r="G28" s="1" t="s">
        <v>66</v>
      </c>
      <c r="H28" s="1" t="s">
        <v>67</v>
      </c>
      <c r="I28" s="1" t="s">
        <v>68</v>
      </c>
      <c r="J28" s="1" t="s">
        <v>69</v>
      </c>
      <c r="K28" s="1" t="s">
        <v>70</v>
      </c>
      <c r="L28" s="8" t="s">
        <v>64</v>
      </c>
    </row>
    <row r="29" spans="1:12" x14ac:dyDescent="0.25">
      <c r="A29" s="1"/>
      <c r="B29" s="1"/>
      <c r="C29" s="1"/>
      <c r="D29" s="1"/>
      <c r="E29" s="1"/>
      <c r="F29" s="9">
        <v>1</v>
      </c>
      <c r="G29" s="9">
        <v>11</v>
      </c>
      <c r="H29" s="9">
        <v>2</v>
      </c>
      <c r="I29" s="1"/>
      <c r="J29" s="1"/>
      <c r="K29" s="1"/>
      <c r="L29" s="1"/>
    </row>
    <row r="30" spans="1:12" ht="17.25" x14ac:dyDescent="0.3">
      <c r="A30" s="66" t="s">
        <v>9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</row>
    <row r="31" spans="1:12" x14ac:dyDescent="0.25">
      <c r="A31" s="1" t="s">
        <v>5</v>
      </c>
      <c r="B31" s="1" t="s">
        <v>15</v>
      </c>
      <c r="C31" s="1" t="s">
        <v>0</v>
      </c>
      <c r="D31" s="1" t="s">
        <v>1</v>
      </c>
      <c r="E31" s="1" t="s">
        <v>2</v>
      </c>
      <c r="F31" s="1" t="s">
        <v>3</v>
      </c>
      <c r="G31" s="1" t="s">
        <v>66</v>
      </c>
      <c r="H31" s="1" t="s">
        <v>67</v>
      </c>
      <c r="I31" s="1" t="s">
        <v>68</v>
      </c>
      <c r="J31" s="1" t="s">
        <v>69</v>
      </c>
      <c r="K31" s="1" t="s">
        <v>70</v>
      </c>
      <c r="L31" s="8" t="s">
        <v>64</v>
      </c>
    </row>
    <row r="32" spans="1:12" x14ac:dyDescent="0.25">
      <c r="A32" s="1"/>
      <c r="B32" s="1"/>
      <c r="C32" s="1"/>
      <c r="D32" s="1"/>
      <c r="E32" s="1"/>
      <c r="F32" s="9">
        <v>3</v>
      </c>
      <c r="G32" s="9">
        <v>7</v>
      </c>
      <c r="H32" s="9">
        <v>1</v>
      </c>
      <c r="I32" s="9">
        <v>6</v>
      </c>
      <c r="J32" s="1"/>
      <c r="K32" s="1"/>
      <c r="L32" s="1"/>
    </row>
    <row r="39" spans="8:8" x14ac:dyDescent="0.25">
      <c r="H39" s="2"/>
    </row>
  </sheetData>
  <mergeCells count="10">
    <mergeCell ref="A12:L12"/>
    <mergeCell ref="A9:L9"/>
    <mergeCell ref="A6:L6"/>
    <mergeCell ref="A3:L3"/>
    <mergeCell ref="A30:L30"/>
    <mergeCell ref="A27:L27"/>
    <mergeCell ref="A24:L24"/>
    <mergeCell ref="A21:L21"/>
    <mergeCell ref="A18:L18"/>
    <mergeCell ref="A15:L1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AE9F-A0B3-4345-9729-DF5339458382}">
  <dimension ref="A2:AG129"/>
  <sheetViews>
    <sheetView tabSelected="1" topLeftCell="A57" zoomScale="70" zoomScaleNormal="70" workbookViewId="0">
      <selection activeCell="N137" sqref="N137"/>
    </sheetView>
  </sheetViews>
  <sheetFormatPr defaultRowHeight="17.25" x14ac:dyDescent="0.3"/>
  <cols>
    <col min="3" max="3" width="40.28515625" customWidth="1"/>
    <col min="7" max="7" width="11.5703125" style="24" customWidth="1"/>
    <col min="8" max="20" width="11.5703125" style="25" customWidth="1"/>
    <col min="21" max="21" width="11.5703125" style="26" customWidth="1"/>
    <col min="33" max="33" width="17.28515625" customWidth="1"/>
  </cols>
  <sheetData>
    <row r="2" spans="1:33" ht="18.75" x14ac:dyDescent="0.3">
      <c r="A2" s="16" t="s">
        <v>16</v>
      </c>
    </row>
    <row r="3" spans="1:33" ht="23.25" x14ac:dyDescent="0.3">
      <c r="A3" s="7" t="s">
        <v>17</v>
      </c>
      <c r="G3" s="69" t="s">
        <v>71</v>
      </c>
      <c r="H3" s="70"/>
      <c r="I3" s="71"/>
      <c r="J3" s="72" t="s">
        <v>72</v>
      </c>
      <c r="K3" s="70"/>
      <c r="L3" s="71"/>
      <c r="M3" s="72" t="s">
        <v>73</v>
      </c>
      <c r="N3" s="70"/>
      <c r="O3" s="71"/>
      <c r="P3" s="72" t="s">
        <v>74</v>
      </c>
      <c r="Q3" s="70"/>
      <c r="R3" s="71"/>
      <c r="S3" s="72" t="s">
        <v>75</v>
      </c>
      <c r="T3" s="70"/>
      <c r="U3" s="73"/>
      <c r="V3" s="84" t="s">
        <v>4</v>
      </c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ht="19.5" thickBot="1" x14ac:dyDescent="0.35">
      <c r="A4" s="1"/>
      <c r="B4" s="1"/>
      <c r="C4" s="1"/>
      <c r="D4" s="1"/>
      <c r="E4" s="1"/>
      <c r="F4" s="17"/>
      <c r="G4" s="27"/>
      <c r="H4" s="28"/>
      <c r="I4" s="28"/>
      <c r="V4" s="21" t="s">
        <v>5</v>
      </c>
      <c r="W4" s="11" t="s">
        <v>15</v>
      </c>
      <c r="X4" s="11" t="s">
        <v>0</v>
      </c>
      <c r="Y4" s="11" t="s">
        <v>1</v>
      </c>
      <c r="Z4" s="11" t="s">
        <v>2</v>
      </c>
      <c r="AA4" s="11" t="s">
        <v>3</v>
      </c>
      <c r="AB4" s="11" t="s">
        <v>66</v>
      </c>
      <c r="AC4" s="11" t="s">
        <v>67</v>
      </c>
      <c r="AD4" s="11" t="s">
        <v>68</v>
      </c>
      <c r="AE4" s="11" t="s">
        <v>69</v>
      </c>
      <c r="AF4" s="11" t="s">
        <v>70</v>
      </c>
      <c r="AG4" s="12" t="s">
        <v>64</v>
      </c>
    </row>
    <row r="5" spans="1:33" ht="14.25" customHeight="1" x14ac:dyDescent="0.3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18" t="s">
        <v>23</v>
      </c>
      <c r="G5" s="29" t="s">
        <v>21</v>
      </c>
      <c r="H5" s="30" t="s">
        <v>22</v>
      </c>
      <c r="I5" s="31" t="s">
        <v>23</v>
      </c>
      <c r="J5" s="32"/>
      <c r="V5" s="21"/>
      <c r="W5" s="13">
        <v>1</v>
      </c>
      <c r="X5" s="13">
        <v>1</v>
      </c>
      <c r="Y5" s="13">
        <v>4</v>
      </c>
      <c r="Z5" s="13">
        <v>5</v>
      </c>
      <c r="AA5" s="11"/>
      <c r="AB5" s="11"/>
      <c r="AC5" s="11"/>
      <c r="AD5" s="11"/>
      <c r="AE5" s="11"/>
      <c r="AF5" s="11"/>
      <c r="AG5" s="11"/>
    </row>
    <row r="6" spans="1:33" ht="14.25" customHeight="1" x14ac:dyDescent="0.3">
      <c r="A6" s="87">
        <v>1</v>
      </c>
      <c r="B6" s="87" t="s">
        <v>24</v>
      </c>
      <c r="C6" s="4" t="s">
        <v>25</v>
      </c>
      <c r="D6" s="87">
        <v>4</v>
      </c>
      <c r="E6" s="87">
        <v>40.11</v>
      </c>
      <c r="F6" s="88">
        <v>160.44</v>
      </c>
      <c r="G6" s="74">
        <f>D6*W5</f>
        <v>4</v>
      </c>
      <c r="H6" s="77">
        <f>E6</f>
        <v>40.11</v>
      </c>
      <c r="I6" s="78">
        <f>H6*G6</f>
        <v>160.44</v>
      </c>
      <c r="J6" s="33"/>
      <c r="V6" s="86" t="s">
        <v>6</v>
      </c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</row>
    <row r="7" spans="1:33" ht="14.25" customHeight="1" x14ac:dyDescent="0.3">
      <c r="A7" s="87"/>
      <c r="B7" s="87"/>
      <c r="C7" s="4" t="s">
        <v>26</v>
      </c>
      <c r="D7" s="87"/>
      <c r="E7" s="87"/>
      <c r="F7" s="88"/>
      <c r="G7" s="74"/>
      <c r="H7" s="77"/>
      <c r="I7" s="78"/>
      <c r="J7" s="33"/>
      <c r="V7" s="21" t="s">
        <v>5</v>
      </c>
      <c r="W7" s="11" t="s">
        <v>15</v>
      </c>
      <c r="X7" s="11" t="s">
        <v>0</v>
      </c>
      <c r="Y7" s="11" t="s">
        <v>1</v>
      </c>
      <c r="Z7" s="11" t="s">
        <v>2</v>
      </c>
      <c r="AA7" s="11" t="s">
        <v>3</v>
      </c>
      <c r="AB7" s="11" t="s">
        <v>66</v>
      </c>
      <c r="AC7" s="11" t="s">
        <v>67</v>
      </c>
      <c r="AD7" s="11" t="s">
        <v>68</v>
      </c>
      <c r="AE7" s="11" t="s">
        <v>69</v>
      </c>
      <c r="AF7" s="11" t="s">
        <v>70</v>
      </c>
      <c r="AG7" s="12" t="s">
        <v>64</v>
      </c>
    </row>
    <row r="8" spans="1:33" ht="14.25" customHeight="1" x14ac:dyDescent="0.3">
      <c r="A8" s="87">
        <v>2</v>
      </c>
      <c r="B8" s="87" t="s">
        <v>27</v>
      </c>
      <c r="C8" s="4" t="s">
        <v>28</v>
      </c>
      <c r="D8" s="87">
        <v>16</v>
      </c>
      <c r="E8" s="87">
        <v>0.24</v>
      </c>
      <c r="F8" s="89">
        <v>3.84</v>
      </c>
      <c r="G8" s="74">
        <f>D8*W5</f>
        <v>16</v>
      </c>
      <c r="H8" s="77">
        <f>E8</f>
        <v>0.24</v>
      </c>
      <c r="I8" s="78">
        <f t="shared" ref="I8" si="0">H8*G8</f>
        <v>3.84</v>
      </c>
      <c r="J8" s="34"/>
      <c r="V8" s="21"/>
      <c r="W8" s="11"/>
      <c r="X8" s="11"/>
      <c r="Y8" s="11"/>
      <c r="Z8" s="11"/>
      <c r="AA8" s="13">
        <v>13</v>
      </c>
      <c r="AB8" s="13">
        <v>19</v>
      </c>
      <c r="AC8" s="13">
        <v>5</v>
      </c>
      <c r="AD8" s="13">
        <v>3</v>
      </c>
      <c r="AE8" s="13">
        <v>1</v>
      </c>
      <c r="AF8" s="13">
        <v>1</v>
      </c>
      <c r="AG8" s="11"/>
    </row>
    <row r="9" spans="1:33" ht="14.25" customHeight="1" x14ac:dyDescent="0.3">
      <c r="A9" s="87"/>
      <c r="B9" s="87"/>
      <c r="C9" s="4" t="s">
        <v>26</v>
      </c>
      <c r="D9" s="87"/>
      <c r="E9" s="87"/>
      <c r="F9" s="89"/>
      <c r="G9" s="74"/>
      <c r="H9" s="77"/>
      <c r="I9" s="78"/>
      <c r="J9" s="34"/>
      <c r="V9" s="79" t="s">
        <v>7</v>
      </c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</row>
    <row r="10" spans="1:33" ht="14.25" customHeight="1" x14ac:dyDescent="0.3">
      <c r="A10" s="87">
        <v>3</v>
      </c>
      <c r="B10" s="87" t="s">
        <v>27</v>
      </c>
      <c r="C10" s="4" t="s">
        <v>29</v>
      </c>
      <c r="D10" s="87">
        <v>8</v>
      </c>
      <c r="E10" s="87">
        <v>4</v>
      </c>
      <c r="F10" s="88">
        <v>32</v>
      </c>
      <c r="G10" s="74">
        <f>D10*W5</f>
        <v>8</v>
      </c>
      <c r="H10" s="77">
        <f>E10</f>
        <v>4</v>
      </c>
      <c r="I10" s="78">
        <f t="shared" ref="I10" si="1">H10*G10</f>
        <v>32</v>
      </c>
      <c r="J10" s="33"/>
      <c r="V10" s="21" t="s">
        <v>5</v>
      </c>
      <c r="W10" s="11" t="s">
        <v>15</v>
      </c>
      <c r="X10" s="11" t="s">
        <v>0</v>
      </c>
      <c r="Y10" s="11" t="s">
        <v>1</v>
      </c>
      <c r="Z10" s="11" t="s">
        <v>2</v>
      </c>
      <c r="AA10" s="11" t="s">
        <v>3</v>
      </c>
      <c r="AB10" s="11" t="s">
        <v>66</v>
      </c>
      <c r="AC10" s="11" t="s">
        <v>67</v>
      </c>
      <c r="AD10" s="11" t="s">
        <v>68</v>
      </c>
      <c r="AE10" s="11" t="s">
        <v>69</v>
      </c>
      <c r="AF10" s="11" t="s">
        <v>70</v>
      </c>
      <c r="AG10" s="12" t="s">
        <v>64</v>
      </c>
    </row>
    <row r="11" spans="1:33" ht="14.25" customHeight="1" x14ac:dyDescent="0.3">
      <c r="A11" s="87"/>
      <c r="B11" s="87"/>
      <c r="C11" s="4" t="s">
        <v>26</v>
      </c>
      <c r="D11" s="87"/>
      <c r="E11" s="87"/>
      <c r="F11" s="88"/>
      <c r="G11" s="74"/>
      <c r="H11" s="77"/>
      <c r="I11" s="78"/>
      <c r="J11" s="33"/>
      <c r="V11" s="21"/>
      <c r="W11" s="11"/>
      <c r="X11" s="11"/>
      <c r="Y11" s="11"/>
      <c r="Z11" s="11"/>
      <c r="AA11" s="13">
        <v>4</v>
      </c>
      <c r="AB11" s="13">
        <v>4</v>
      </c>
      <c r="AC11" s="13">
        <v>4</v>
      </c>
      <c r="AD11" s="13">
        <v>2</v>
      </c>
      <c r="AE11" s="11"/>
      <c r="AF11" s="11"/>
      <c r="AG11" s="11"/>
    </row>
    <row r="12" spans="1:33" ht="21" customHeight="1" thickBot="1" x14ac:dyDescent="0.35">
      <c r="A12" s="5">
        <v>4</v>
      </c>
      <c r="B12" s="5" t="s">
        <v>30</v>
      </c>
      <c r="C12" s="4" t="s">
        <v>31</v>
      </c>
      <c r="D12" s="5">
        <v>16</v>
      </c>
      <c r="E12" s="5" t="s">
        <v>30</v>
      </c>
      <c r="F12" s="19" t="s">
        <v>30</v>
      </c>
      <c r="G12" s="35">
        <f>W5*D12</f>
        <v>16</v>
      </c>
      <c r="H12" s="36" t="s">
        <v>30</v>
      </c>
      <c r="I12" s="37" t="s">
        <v>30</v>
      </c>
      <c r="J12" s="33"/>
      <c r="V12" s="81" t="s">
        <v>8</v>
      </c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</row>
    <row r="13" spans="1:33" ht="18.75" x14ac:dyDescent="0.3">
      <c r="G13" s="38"/>
      <c r="H13" s="39"/>
      <c r="I13" s="39"/>
      <c r="V13" s="21" t="s">
        <v>5</v>
      </c>
      <c r="W13" s="11" t="s">
        <v>15</v>
      </c>
      <c r="X13" s="11" t="s">
        <v>0</v>
      </c>
      <c r="Y13" s="11" t="s">
        <v>1</v>
      </c>
      <c r="Z13" s="11" t="s">
        <v>2</v>
      </c>
      <c r="AA13" s="11" t="s">
        <v>3</v>
      </c>
      <c r="AB13" s="11" t="s">
        <v>66</v>
      </c>
      <c r="AC13" s="11" t="s">
        <v>67</v>
      </c>
      <c r="AD13" s="11" t="s">
        <v>68</v>
      </c>
      <c r="AE13" s="11" t="s">
        <v>69</v>
      </c>
      <c r="AF13" s="11" t="s">
        <v>70</v>
      </c>
      <c r="AG13" s="12" t="s">
        <v>64</v>
      </c>
    </row>
    <row r="14" spans="1:33" ht="18.75" x14ac:dyDescent="0.3">
      <c r="V14" s="21"/>
      <c r="W14" s="11"/>
      <c r="X14" s="11"/>
      <c r="Y14" s="11"/>
      <c r="Z14" s="11"/>
      <c r="AA14" s="13">
        <v>1</v>
      </c>
      <c r="AB14" s="13">
        <v>11</v>
      </c>
      <c r="AC14" s="13">
        <v>2</v>
      </c>
      <c r="AD14" s="11"/>
      <c r="AE14" s="11"/>
      <c r="AF14" s="11"/>
      <c r="AG14" s="11"/>
    </row>
    <row r="15" spans="1:33" ht="18.75" x14ac:dyDescent="0.3">
      <c r="A15" s="16" t="s">
        <v>32</v>
      </c>
      <c r="V15" s="83" t="s">
        <v>9</v>
      </c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</row>
    <row r="16" spans="1:33" ht="23.25" x14ac:dyDescent="0.3">
      <c r="A16" s="7" t="s">
        <v>17</v>
      </c>
      <c r="B16" s="1"/>
      <c r="C16" s="1"/>
      <c r="D16" s="1"/>
      <c r="E16" s="1"/>
      <c r="F16" s="17"/>
      <c r="G16" s="69" t="s">
        <v>71</v>
      </c>
      <c r="H16" s="70"/>
      <c r="I16" s="71"/>
      <c r="J16" s="72" t="s">
        <v>72</v>
      </c>
      <c r="K16" s="70"/>
      <c r="L16" s="71"/>
      <c r="M16" s="72" t="s">
        <v>73</v>
      </c>
      <c r="N16" s="70"/>
      <c r="O16" s="71"/>
      <c r="P16" s="72" t="s">
        <v>74</v>
      </c>
      <c r="Q16" s="70"/>
      <c r="R16" s="71"/>
      <c r="S16" s="72" t="s">
        <v>75</v>
      </c>
      <c r="T16" s="70"/>
      <c r="U16" s="73"/>
      <c r="V16" s="21" t="s">
        <v>5</v>
      </c>
      <c r="W16" s="11" t="s">
        <v>15</v>
      </c>
      <c r="X16" s="11" t="s">
        <v>0</v>
      </c>
      <c r="Y16" s="11" t="s">
        <v>1</v>
      </c>
      <c r="Z16" s="11" t="s">
        <v>2</v>
      </c>
      <c r="AA16" s="11" t="s">
        <v>3</v>
      </c>
      <c r="AB16" s="11" t="s">
        <v>66</v>
      </c>
      <c r="AC16" s="11" t="s">
        <v>67</v>
      </c>
      <c r="AD16" s="11" t="s">
        <v>68</v>
      </c>
      <c r="AE16" s="11" t="s">
        <v>69</v>
      </c>
      <c r="AF16" s="11" t="s">
        <v>70</v>
      </c>
      <c r="AG16" s="12" t="s">
        <v>64</v>
      </c>
    </row>
    <row r="17" spans="1:33" ht="19.5" thickBot="1" x14ac:dyDescent="0.35">
      <c r="A17" s="1"/>
      <c r="B17" s="1"/>
      <c r="C17" s="1"/>
      <c r="D17" s="1"/>
      <c r="E17" s="1"/>
      <c r="F17" s="17"/>
      <c r="G17" s="27"/>
      <c r="H17" s="28"/>
      <c r="I17" s="28"/>
      <c r="V17" s="22"/>
      <c r="W17" s="14"/>
      <c r="X17" s="14"/>
      <c r="Y17" s="14"/>
      <c r="Z17" s="14"/>
      <c r="AA17" s="15">
        <v>3</v>
      </c>
      <c r="AB17" s="15">
        <v>7</v>
      </c>
      <c r="AC17" s="15">
        <v>1</v>
      </c>
      <c r="AD17" s="15">
        <v>6</v>
      </c>
      <c r="AE17" s="14"/>
      <c r="AF17" s="14"/>
      <c r="AG17" s="14"/>
    </row>
    <row r="18" spans="1:33" ht="34.5" x14ac:dyDescent="0.3">
      <c r="A18" s="3" t="s">
        <v>18</v>
      </c>
      <c r="B18" s="3" t="s">
        <v>19</v>
      </c>
      <c r="C18" s="3" t="s">
        <v>20</v>
      </c>
      <c r="D18" s="3" t="s">
        <v>21</v>
      </c>
      <c r="E18" s="3" t="s">
        <v>22</v>
      </c>
      <c r="F18" s="18" t="s">
        <v>23</v>
      </c>
      <c r="G18" s="29" t="s">
        <v>21</v>
      </c>
      <c r="H18" s="30" t="s">
        <v>22</v>
      </c>
      <c r="I18" s="31" t="s">
        <v>23</v>
      </c>
      <c r="J18" s="32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</row>
    <row r="19" spans="1:33" ht="30" x14ac:dyDescent="0.25">
      <c r="A19" s="5">
        <v>1</v>
      </c>
      <c r="B19" s="5" t="s">
        <v>24</v>
      </c>
      <c r="C19" s="5" t="s">
        <v>33</v>
      </c>
      <c r="D19" s="5">
        <v>4</v>
      </c>
      <c r="E19" s="5">
        <v>40.11</v>
      </c>
      <c r="F19" s="19">
        <v>160.44</v>
      </c>
      <c r="G19" s="40">
        <f>D19*X5</f>
        <v>4</v>
      </c>
      <c r="H19" s="41">
        <f>E19</f>
        <v>40.11</v>
      </c>
      <c r="I19" s="42">
        <f>H19*G19</f>
        <v>160.44</v>
      </c>
      <c r="J19" s="33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ht="30" x14ac:dyDescent="0.25">
      <c r="A20" s="5">
        <v>2</v>
      </c>
      <c r="B20" s="5" t="s">
        <v>24</v>
      </c>
      <c r="C20" s="5" t="s">
        <v>34</v>
      </c>
      <c r="D20" s="5">
        <v>4</v>
      </c>
      <c r="E20" s="5">
        <v>6.88</v>
      </c>
      <c r="F20" s="19">
        <v>27.52</v>
      </c>
      <c r="G20" s="40">
        <f>D20*X5</f>
        <v>4</v>
      </c>
      <c r="H20" s="41">
        <f t="shared" ref="H20:H22" si="2">E20</f>
        <v>6.88</v>
      </c>
      <c r="I20" s="42">
        <f t="shared" ref="I20:I22" si="3">H20*G20</f>
        <v>27.52</v>
      </c>
      <c r="J20" s="33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ht="30" x14ac:dyDescent="0.25">
      <c r="A21" s="5">
        <v>3</v>
      </c>
      <c r="B21" s="5" t="s">
        <v>27</v>
      </c>
      <c r="C21" s="5" t="s">
        <v>35</v>
      </c>
      <c r="D21" s="5">
        <v>16</v>
      </c>
      <c r="E21" s="5">
        <v>2.36</v>
      </c>
      <c r="F21" s="19">
        <v>37.76</v>
      </c>
      <c r="G21" s="40">
        <f>D21*X5</f>
        <v>16</v>
      </c>
      <c r="H21" s="41">
        <f t="shared" si="2"/>
        <v>2.36</v>
      </c>
      <c r="I21" s="42">
        <f t="shared" si="3"/>
        <v>37.76</v>
      </c>
      <c r="J21" s="33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30" x14ac:dyDescent="0.25">
      <c r="A22" s="5">
        <v>4</v>
      </c>
      <c r="B22" s="5" t="s">
        <v>27</v>
      </c>
      <c r="C22" s="5" t="s">
        <v>36</v>
      </c>
      <c r="D22" s="5">
        <v>8</v>
      </c>
      <c r="E22" s="5">
        <v>2.83</v>
      </c>
      <c r="F22" s="19">
        <v>22.64</v>
      </c>
      <c r="G22" s="40">
        <f>D22*X5</f>
        <v>8</v>
      </c>
      <c r="H22" s="41">
        <f t="shared" si="2"/>
        <v>2.83</v>
      </c>
      <c r="I22" s="42">
        <f t="shared" si="3"/>
        <v>22.64</v>
      </c>
      <c r="J22" s="33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ht="18" thickBot="1" x14ac:dyDescent="0.3">
      <c r="A23" s="5">
        <v>5</v>
      </c>
      <c r="B23" s="5" t="s">
        <v>30</v>
      </c>
      <c r="C23" s="5" t="s">
        <v>37</v>
      </c>
      <c r="D23" s="5">
        <v>16</v>
      </c>
      <c r="E23" s="5" t="s">
        <v>30</v>
      </c>
      <c r="F23" s="19" t="s">
        <v>30</v>
      </c>
      <c r="G23" s="35">
        <v>16</v>
      </c>
      <c r="H23" s="36" t="s">
        <v>30</v>
      </c>
      <c r="I23" s="37" t="s">
        <v>30</v>
      </c>
      <c r="J23" s="33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x14ac:dyDescent="0.3">
      <c r="G24" s="38"/>
      <c r="H24" s="39"/>
      <c r="I24" s="39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</row>
    <row r="25" spans="1:33" x14ac:dyDescent="0.3"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ht="18.75" x14ac:dyDescent="0.3">
      <c r="A26" s="16" t="s">
        <v>44</v>
      </c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ht="23.25" x14ac:dyDescent="0.3">
      <c r="A27" s="7" t="s">
        <v>17</v>
      </c>
      <c r="B27" s="1"/>
      <c r="C27" s="1"/>
      <c r="D27" s="1"/>
      <c r="E27" s="1"/>
      <c r="F27" s="17"/>
      <c r="H27" s="76" t="s">
        <v>71</v>
      </c>
      <c r="I27" s="76"/>
      <c r="J27" s="43"/>
      <c r="K27" s="76" t="s">
        <v>72</v>
      </c>
      <c r="L27" s="76"/>
      <c r="M27" s="72" t="s">
        <v>73</v>
      </c>
      <c r="N27" s="70"/>
      <c r="O27" s="71"/>
      <c r="P27" s="72" t="s">
        <v>74</v>
      </c>
      <c r="Q27" s="70"/>
      <c r="R27" s="71"/>
      <c r="S27" s="72" t="s">
        <v>75</v>
      </c>
      <c r="T27" s="70"/>
      <c r="U27" s="73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18" thickBot="1" x14ac:dyDescent="0.35">
      <c r="A28" s="1"/>
      <c r="B28" s="1"/>
      <c r="C28" s="1"/>
      <c r="D28" s="1"/>
      <c r="E28" s="1"/>
      <c r="F28" s="17"/>
      <c r="G28" s="27"/>
      <c r="H28" s="28"/>
      <c r="I28" s="28"/>
    </row>
    <row r="29" spans="1:33" ht="34.5" x14ac:dyDescent="0.25">
      <c r="A29" s="3" t="s">
        <v>18</v>
      </c>
      <c r="B29" s="3" t="s">
        <v>19</v>
      </c>
      <c r="C29" s="3" t="s">
        <v>20</v>
      </c>
      <c r="D29" s="3" t="s">
        <v>21</v>
      </c>
      <c r="E29" s="3" t="s">
        <v>22</v>
      </c>
      <c r="F29" s="18" t="s">
        <v>23</v>
      </c>
      <c r="G29" s="29" t="s">
        <v>21</v>
      </c>
      <c r="H29" s="30" t="s">
        <v>22</v>
      </c>
      <c r="I29" s="31" t="s">
        <v>23</v>
      </c>
      <c r="J29" s="32"/>
    </row>
    <row r="30" spans="1:33" ht="30" x14ac:dyDescent="0.25">
      <c r="A30" s="5">
        <v>1</v>
      </c>
      <c r="B30" s="5" t="s">
        <v>24</v>
      </c>
      <c r="C30" s="5" t="s">
        <v>38</v>
      </c>
      <c r="D30" s="5">
        <v>4</v>
      </c>
      <c r="E30" s="4">
        <v>36.29</v>
      </c>
      <c r="F30" s="20">
        <v>145.16</v>
      </c>
      <c r="G30" s="44">
        <f>D30*Y5</f>
        <v>16</v>
      </c>
      <c r="H30" s="25">
        <f>E30</f>
        <v>36.29</v>
      </c>
      <c r="I30" s="26">
        <f>H30*G30</f>
        <v>580.64</v>
      </c>
      <c r="J30" s="45"/>
    </row>
    <row r="31" spans="1:33" ht="30" x14ac:dyDescent="0.25">
      <c r="A31" s="5">
        <v>2</v>
      </c>
      <c r="B31" s="5" t="s">
        <v>24</v>
      </c>
      <c r="C31" s="5" t="s">
        <v>39</v>
      </c>
      <c r="D31" s="5">
        <v>8</v>
      </c>
      <c r="E31" s="4">
        <v>7.64</v>
      </c>
      <c r="F31" s="20">
        <v>61.12</v>
      </c>
      <c r="G31" s="44">
        <f>D31*Y5</f>
        <v>32</v>
      </c>
      <c r="H31" s="25">
        <f t="shared" ref="H31:H33" si="4">E31*3</f>
        <v>22.919999999999998</v>
      </c>
      <c r="I31" s="26">
        <f t="shared" ref="I31:I33" si="5">H31*G31</f>
        <v>733.43999999999994</v>
      </c>
      <c r="J31" s="45"/>
    </row>
    <row r="32" spans="1:33" ht="30" x14ac:dyDescent="0.25">
      <c r="A32" s="5">
        <v>3</v>
      </c>
      <c r="B32" s="5" t="s">
        <v>27</v>
      </c>
      <c r="C32" s="5" t="s">
        <v>40</v>
      </c>
      <c r="D32" s="5">
        <v>16</v>
      </c>
      <c r="E32" s="4">
        <v>2.36</v>
      </c>
      <c r="F32" s="20">
        <v>37.76</v>
      </c>
      <c r="G32" s="44">
        <f>D32*Y5</f>
        <v>64</v>
      </c>
      <c r="H32" s="25">
        <f t="shared" si="4"/>
        <v>7.08</v>
      </c>
      <c r="I32" s="26">
        <f t="shared" si="5"/>
        <v>453.12</v>
      </c>
      <c r="J32" s="45"/>
    </row>
    <row r="33" spans="1:21" ht="30" x14ac:dyDescent="0.25">
      <c r="A33" s="5">
        <v>4</v>
      </c>
      <c r="B33" s="5" t="s">
        <v>41</v>
      </c>
      <c r="C33" s="5" t="s">
        <v>42</v>
      </c>
      <c r="D33" s="5">
        <v>2</v>
      </c>
      <c r="E33" s="4">
        <v>46.37</v>
      </c>
      <c r="F33" s="20">
        <v>92.74</v>
      </c>
      <c r="G33" s="44">
        <f>D33*Y5</f>
        <v>8</v>
      </c>
      <c r="H33" s="25">
        <f t="shared" si="4"/>
        <v>139.10999999999999</v>
      </c>
      <c r="I33" s="26">
        <f t="shared" si="5"/>
        <v>1112.8799999999999</v>
      </c>
      <c r="J33" s="45"/>
    </row>
    <row r="34" spans="1:21" ht="18" thickBot="1" x14ac:dyDescent="0.3">
      <c r="A34" s="5">
        <v>5</v>
      </c>
      <c r="B34" s="5" t="s">
        <v>30</v>
      </c>
      <c r="C34" s="5" t="s">
        <v>43</v>
      </c>
      <c r="D34" s="5">
        <v>16</v>
      </c>
      <c r="E34" s="5" t="s">
        <v>30</v>
      </c>
      <c r="F34" s="19" t="s">
        <v>30</v>
      </c>
      <c r="G34" s="46">
        <f>D34*3</f>
        <v>48</v>
      </c>
      <c r="H34" s="36" t="s">
        <v>30</v>
      </c>
      <c r="I34" s="37" t="s">
        <v>30</v>
      </c>
      <c r="J34" s="33"/>
    </row>
    <row r="35" spans="1:21" x14ac:dyDescent="0.3">
      <c r="G35" s="38"/>
      <c r="H35" s="39"/>
      <c r="I35" s="39"/>
    </row>
    <row r="37" spans="1:21" ht="18.75" x14ac:dyDescent="0.3">
      <c r="A37" s="16" t="s">
        <v>48</v>
      </c>
    </row>
    <row r="38" spans="1:21" ht="23.25" x14ac:dyDescent="0.25">
      <c r="A38" s="7" t="s">
        <v>17</v>
      </c>
      <c r="B38" s="1"/>
      <c r="C38" s="1"/>
      <c r="D38" s="1"/>
      <c r="E38" s="1"/>
      <c r="F38" s="17"/>
      <c r="G38" s="75" t="s">
        <v>71</v>
      </c>
      <c r="H38" s="76"/>
      <c r="I38" s="76"/>
      <c r="J38" s="76" t="s">
        <v>72</v>
      </c>
      <c r="K38" s="76"/>
      <c r="L38" s="76"/>
      <c r="M38" s="72" t="s">
        <v>73</v>
      </c>
      <c r="N38" s="70"/>
      <c r="O38" s="71"/>
      <c r="P38" s="72" t="s">
        <v>74</v>
      </c>
      <c r="Q38" s="70"/>
      <c r="R38" s="71"/>
      <c r="S38" s="72" t="s">
        <v>75</v>
      </c>
      <c r="T38" s="70"/>
      <c r="U38" s="73"/>
    </row>
    <row r="39" spans="1:21" ht="18" thickBot="1" x14ac:dyDescent="0.35">
      <c r="A39" s="1"/>
      <c r="B39" s="1"/>
      <c r="C39" s="1"/>
      <c r="D39" s="1"/>
      <c r="E39" s="1"/>
      <c r="F39" s="17"/>
      <c r="G39" s="27"/>
      <c r="H39" s="28"/>
      <c r="I39" s="28"/>
    </row>
    <row r="40" spans="1:21" ht="34.5" x14ac:dyDescent="0.25">
      <c r="A40" s="3" t="s">
        <v>18</v>
      </c>
      <c r="B40" s="3" t="s">
        <v>19</v>
      </c>
      <c r="C40" s="3" t="s">
        <v>20</v>
      </c>
      <c r="D40" s="3" t="s">
        <v>21</v>
      </c>
      <c r="E40" s="3" t="s">
        <v>22</v>
      </c>
      <c r="F40" s="18" t="s">
        <v>23</v>
      </c>
      <c r="G40" s="29" t="s">
        <v>21</v>
      </c>
      <c r="H40" s="30" t="s">
        <v>22</v>
      </c>
      <c r="I40" s="31" t="s">
        <v>23</v>
      </c>
      <c r="J40" s="32"/>
    </row>
    <row r="41" spans="1:21" ht="30" x14ac:dyDescent="0.25">
      <c r="A41" s="5">
        <v>1</v>
      </c>
      <c r="B41" s="5" t="s">
        <v>24</v>
      </c>
      <c r="C41" s="5" t="s">
        <v>45</v>
      </c>
      <c r="D41" s="5">
        <v>8</v>
      </c>
      <c r="E41" s="4">
        <v>40.11</v>
      </c>
      <c r="F41" s="20">
        <v>320.88</v>
      </c>
      <c r="G41" s="44">
        <f>D41*Z5</f>
        <v>40</v>
      </c>
      <c r="H41" s="25">
        <f>E41</f>
        <v>40.11</v>
      </c>
      <c r="I41" s="26">
        <f>G41*H41</f>
        <v>1604.4</v>
      </c>
      <c r="J41" s="45"/>
    </row>
    <row r="42" spans="1:21" ht="30" x14ac:dyDescent="0.25">
      <c r="A42" s="5">
        <v>2</v>
      </c>
      <c r="B42" s="5" t="s">
        <v>24</v>
      </c>
      <c r="C42" s="5" t="s">
        <v>46</v>
      </c>
      <c r="D42" s="5">
        <v>4</v>
      </c>
      <c r="E42" s="4">
        <v>12.22</v>
      </c>
      <c r="F42" s="20">
        <v>48.88</v>
      </c>
      <c r="G42" s="44">
        <f>D42*Z5</f>
        <v>20</v>
      </c>
      <c r="H42" s="25">
        <f t="shared" ref="H42:H44" si="6">E42</f>
        <v>12.22</v>
      </c>
      <c r="I42" s="26">
        <f t="shared" ref="I42:I44" si="7">G42*H42</f>
        <v>244.4</v>
      </c>
      <c r="J42" s="45"/>
    </row>
    <row r="43" spans="1:21" ht="30" x14ac:dyDescent="0.25">
      <c r="A43" s="5">
        <v>3</v>
      </c>
      <c r="B43" s="5" t="s">
        <v>27</v>
      </c>
      <c r="C43" s="5" t="s">
        <v>47</v>
      </c>
      <c r="D43" s="5">
        <v>8</v>
      </c>
      <c r="E43" s="4">
        <v>5.0199999999999996</v>
      </c>
      <c r="F43" s="20">
        <v>40.159999999999997</v>
      </c>
      <c r="G43" s="44">
        <f>D43*Z5</f>
        <v>40</v>
      </c>
      <c r="H43" s="25">
        <f t="shared" si="6"/>
        <v>5.0199999999999996</v>
      </c>
      <c r="I43" s="26">
        <f t="shared" si="7"/>
        <v>200.79999999999998</v>
      </c>
      <c r="J43" s="45"/>
    </row>
    <row r="44" spans="1:21" ht="30" x14ac:dyDescent="0.25">
      <c r="A44" s="5">
        <v>4</v>
      </c>
      <c r="B44" s="5" t="s">
        <v>27</v>
      </c>
      <c r="C44" s="5" t="s">
        <v>40</v>
      </c>
      <c r="D44" s="5">
        <v>16</v>
      </c>
      <c r="E44" s="4">
        <v>2.36</v>
      </c>
      <c r="F44" s="20">
        <v>37.76</v>
      </c>
      <c r="G44" s="44">
        <f>D44*Z5</f>
        <v>80</v>
      </c>
      <c r="H44" s="25">
        <f t="shared" si="6"/>
        <v>2.36</v>
      </c>
      <c r="I44" s="26">
        <f t="shared" si="7"/>
        <v>188.79999999999998</v>
      </c>
      <c r="J44" s="45"/>
    </row>
    <row r="45" spans="1:21" ht="18" thickBot="1" x14ac:dyDescent="0.3">
      <c r="A45" s="5">
        <v>5</v>
      </c>
      <c r="B45" s="5" t="s">
        <v>30</v>
      </c>
      <c r="C45" s="5" t="s">
        <v>43</v>
      </c>
      <c r="D45" s="5">
        <v>16</v>
      </c>
      <c r="E45" s="5" t="s">
        <v>30</v>
      </c>
      <c r="F45" s="19" t="s">
        <v>30</v>
      </c>
      <c r="G45" s="46">
        <f>D45*Z5</f>
        <v>80</v>
      </c>
      <c r="H45" s="36" t="s">
        <v>30</v>
      </c>
      <c r="I45" s="37" t="s">
        <v>30</v>
      </c>
      <c r="J45" s="33"/>
    </row>
    <row r="46" spans="1:21" x14ac:dyDescent="0.3">
      <c r="G46" s="38"/>
      <c r="H46" s="39"/>
      <c r="I46" s="39"/>
    </row>
    <row r="48" spans="1:21" ht="18.75" x14ac:dyDescent="0.3">
      <c r="A48" s="16" t="s">
        <v>54</v>
      </c>
    </row>
    <row r="49" spans="1:21" ht="23.25" x14ac:dyDescent="0.25">
      <c r="A49" s="7" t="s">
        <v>17</v>
      </c>
      <c r="B49" s="1"/>
      <c r="C49" s="1"/>
      <c r="D49" s="1"/>
      <c r="E49" s="1"/>
      <c r="F49" s="17"/>
      <c r="G49" s="75" t="s">
        <v>71</v>
      </c>
      <c r="H49" s="76"/>
      <c r="I49" s="76"/>
      <c r="J49" s="76" t="s">
        <v>72</v>
      </c>
      <c r="K49" s="76"/>
      <c r="L49" s="76"/>
      <c r="M49" s="72" t="s">
        <v>73</v>
      </c>
      <c r="N49" s="70"/>
      <c r="O49" s="71"/>
      <c r="P49" s="72" t="s">
        <v>74</v>
      </c>
      <c r="Q49" s="70"/>
      <c r="R49" s="71"/>
      <c r="S49" s="72" t="s">
        <v>75</v>
      </c>
      <c r="T49" s="70"/>
      <c r="U49" s="73"/>
    </row>
    <row r="50" spans="1:21" ht="18" thickBot="1" x14ac:dyDescent="0.35">
      <c r="A50" s="1"/>
      <c r="B50" s="1"/>
      <c r="C50" s="1"/>
      <c r="D50" s="1"/>
      <c r="E50" s="1"/>
      <c r="F50" s="17"/>
      <c r="J50" s="28"/>
      <c r="K50" s="28"/>
      <c r="L50" s="28"/>
      <c r="M50" s="28"/>
      <c r="N50" s="28"/>
      <c r="O50" s="28"/>
    </row>
    <row r="51" spans="1:21" ht="34.5" x14ac:dyDescent="0.25">
      <c r="A51" s="3" t="s">
        <v>18</v>
      </c>
      <c r="B51" s="3" t="s">
        <v>19</v>
      </c>
      <c r="C51" s="3" t="s">
        <v>20</v>
      </c>
      <c r="D51" s="3" t="s">
        <v>21</v>
      </c>
      <c r="E51" s="3" t="s">
        <v>22</v>
      </c>
      <c r="F51" s="18" t="s">
        <v>23</v>
      </c>
      <c r="G51" s="47"/>
      <c r="I51" s="48"/>
      <c r="J51" s="29" t="s">
        <v>21</v>
      </c>
      <c r="K51" s="30" t="s">
        <v>22</v>
      </c>
      <c r="L51" s="31" t="s">
        <v>23</v>
      </c>
      <c r="M51" s="29" t="s">
        <v>21</v>
      </c>
      <c r="N51" s="30" t="s">
        <v>22</v>
      </c>
      <c r="O51" s="31" t="s">
        <v>23</v>
      </c>
      <c r="P51" s="29" t="s">
        <v>21</v>
      </c>
      <c r="Q51" s="30" t="s">
        <v>22</v>
      </c>
      <c r="R51" s="31" t="s">
        <v>23</v>
      </c>
      <c r="S51" s="29" t="s">
        <v>21</v>
      </c>
      <c r="T51" s="30" t="s">
        <v>22</v>
      </c>
      <c r="U51" s="31" t="s">
        <v>23</v>
      </c>
    </row>
    <row r="52" spans="1:21" ht="30" x14ac:dyDescent="0.25">
      <c r="A52" s="5">
        <v>1</v>
      </c>
      <c r="B52" s="5" t="s">
        <v>49</v>
      </c>
      <c r="C52" s="5" t="s">
        <v>50</v>
      </c>
      <c r="D52" s="5">
        <v>4</v>
      </c>
      <c r="E52" s="4">
        <v>34.58</v>
      </c>
      <c r="F52" s="20">
        <v>138.32</v>
      </c>
      <c r="G52" s="44"/>
      <c r="I52" s="48"/>
      <c r="J52" s="49">
        <f>D52*AA8</f>
        <v>52</v>
      </c>
      <c r="K52" s="25">
        <f>E52</f>
        <v>34.58</v>
      </c>
      <c r="L52" s="26">
        <f>K52*J52</f>
        <v>1798.1599999999999</v>
      </c>
      <c r="M52" s="49">
        <f>D52*4</f>
        <v>16</v>
      </c>
      <c r="N52" s="25">
        <f>E52</f>
        <v>34.58</v>
      </c>
      <c r="O52" s="26">
        <f>F52*4</f>
        <v>553.28</v>
      </c>
      <c r="P52" s="40">
        <f>D52*AA14</f>
        <v>4</v>
      </c>
      <c r="Q52" s="50">
        <f>E52</f>
        <v>34.58</v>
      </c>
      <c r="R52" s="51">
        <f>Q52*P52</f>
        <v>138.32</v>
      </c>
      <c r="S52" s="49">
        <f>D52*AA17</f>
        <v>12</v>
      </c>
      <c r="T52" s="25">
        <f>E52</f>
        <v>34.58</v>
      </c>
      <c r="U52" s="26">
        <f>T52*S52</f>
        <v>414.96</v>
      </c>
    </row>
    <row r="53" spans="1:21" ht="30" x14ac:dyDescent="0.25">
      <c r="A53" s="5">
        <v>2</v>
      </c>
      <c r="B53" s="5" t="s">
        <v>49</v>
      </c>
      <c r="C53" s="5" t="s">
        <v>51</v>
      </c>
      <c r="D53" s="5">
        <v>2</v>
      </c>
      <c r="E53" s="4">
        <v>30.5</v>
      </c>
      <c r="F53" s="20">
        <v>61</v>
      </c>
      <c r="G53" s="44"/>
      <c r="I53" s="48"/>
      <c r="J53" s="49">
        <f>D53*AA8</f>
        <v>26</v>
      </c>
      <c r="K53" s="25">
        <f t="shared" ref="K53:L57" si="8">E53</f>
        <v>30.5</v>
      </c>
      <c r="L53" s="26">
        <f t="shared" ref="L53:L57" si="9">K53*J53</f>
        <v>793</v>
      </c>
      <c r="M53" s="49">
        <f t="shared" ref="M53:M57" si="10">D53*4</f>
        <v>8</v>
      </c>
      <c r="N53" s="25">
        <f t="shared" ref="N53:N57" si="11">E53</f>
        <v>30.5</v>
      </c>
      <c r="O53" s="26">
        <f t="shared" ref="O53:O57" si="12">F53*4</f>
        <v>244</v>
      </c>
      <c r="P53" s="40">
        <f>D53*AA14</f>
        <v>2</v>
      </c>
      <c r="Q53" s="50">
        <f t="shared" ref="Q53:R57" si="13">E53</f>
        <v>30.5</v>
      </c>
      <c r="R53" s="51">
        <f t="shared" ref="R53:R57" si="14">Q53*P53</f>
        <v>61</v>
      </c>
      <c r="S53" s="49">
        <f>D53*AA17</f>
        <v>6</v>
      </c>
      <c r="T53" s="25">
        <f t="shared" ref="T53:U57" si="15">E53</f>
        <v>30.5</v>
      </c>
      <c r="U53" s="26">
        <f t="shared" ref="U53:U57" si="16">T53*S53</f>
        <v>183</v>
      </c>
    </row>
    <row r="54" spans="1:21" ht="30" x14ac:dyDescent="0.25">
      <c r="A54" s="5">
        <v>3</v>
      </c>
      <c r="B54" s="5" t="s">
        <v>49</v>
      </c>
      <c r="C54" s="5" t="s">
        <v>52</v>
      </c>
      <c r="D54" s="5">
        <v>4</v>
      </c>
      <c r="E54" s="4">
        <v>3.02</v>
      </c>
      <c r="F54" s="20">
        <v>12.08</v>
      </c>
      <c r="G54" s="44"/>
      <c r="I54" s="48"/>
      <c r="J54" s="49">
        <f>D54*AA8</f>
        <v>52</v>
      </c>
      <c r="K54" s="25">
        <f t="shared" si="8"/>
        <v>3.02</v>
      </c>
      <c r="L54" s="26">
        <f t="shared" si="9"/>
        <v>157.04</v>
      </c>
      <c r="M54" s="49">
        <f t="shared" si="10"/>
        <v>16</v>
      </c>
      <c r="N54" s="25">
        <f t="shared" si="11"/>
        <v>3.02</v>
      </c>
      <c r="O54" s="26">
        <f t="shared" si="12"/>
        <v>48.32</v>
      </c>
      <c r="P54" s="40">
        <f>D54*AA14</f>
        <v>4</v>
      </c>
      <c r="Q54" s="50">
        <f t="shared" si="13"/>
        <v>3.02</v>
      </c>
      <c r="R54" s="51">
        <f t="shared" si="14"/>
        <v>12.08</v>
      </c>
      <c r="S54" s="49">
        <f>D54*AA17</f>
        <v>12</v>
      </c>
      <c r="T54" s="25">
        <f t="shared" si="15"/>
        <v>3.02</v>
      </c>
      <c r="U54" s="26">
        <f t="shared" si="16"/>
        <v>36.24</v>
      </c>
    </row>
    <row r="55" spans="1:21" ht="30" x14ac:dyDescent="0.25">
      <c r="A55" s="5">
        <v>4</v>
      </c>
      <c r="B55" s="5" t="s">
        <v>27</v>
      </c>
      <c r="C55" s="5" t="s">
        <v>40</v>
      </c>
      <c r="D55" s="5">
        <v>16</v>
      </c>
      <c r="E55" s="4">
        <v>2.36</v>
      </c>
      <c r="F55" s="20">
        <v>37.76</v>
      </c>
      <c r="G55" s="44"/>
      <c r="I55" s="48"/>
      <c r="J55" s="49">
        <f>D55*AA8</f>
        <v>208</v>
      </c>
      <c r="K55" s="25">
        <f t="shared" si="8"/>
        <v>2.36</v>
      </c>
      <c r="L55" s="26">
        <f t="shared" si="9"/>
        <v>490.88</v>
      </c>
      <c r="M55" s="49">
        <f t="shared" si="10"/>
        <v>64</v>
      </c>
      <c r="N55" s="25">
        <f t="shared" si="11"/>
        <v>2.36</v>
      </c>
      <c r="O55" s="26">
        <f t="shared" si="12"/>
        <v>151.04</v>
      </c>
      <c r="P55" s="40">
        <f>D55*AA14</f>
        <v>16</v>
      </c>
      <c r="Q55" s="50">
        <f t="shared" si="13"/>
        <v>2.36</v>
      </c>
      <c r="R55" s="51">
        <f t="shared" si="14"/>
        <v>37.76</v>
      </c>
      <c r="S55" s="49">
        <f>D55*AA17</f>
        <v>48</v>
      </c>
      <c r="T55" s="25">
        <f t="shared" si="15"/>
        <v>2.36</v>
      </c>
      <c r="U55" s="26">
        <f t="shared" si="16"/>
        <v>113.28</v>
      </c>
    </row>
    <row r="56" spans="1:21" x14ac:dyDescent="0.25">
      <c r="A56" s="5">
        <v>5</v>
      </c>
      <c r="B56" s="5" t="s">
        <v>30</v>
      </c>
      <c r="C56" s="5" t="s">
        <v>43</v>
      </c>
      <c r="D56" s="5">
        <v>16</v>
      </c>
      <c r="E56" s="5" t="s">
        <v>30</v>
      </c>
      <c r="F56" s="19" t="s">
        <v>30</v>
      </c>
      <c r="G56" s="40"/>
      <c r="I56" s="48"/>
      <c r="J56" s="49">
        <f>D56*AA8</f>
        <v>208</v>
      </c>
      <c r="K56" s="25" t="str">
        <f t="shared" si="8"/>
        <v>—</v>
      </c>
      <c r="L56" s="26" t="str">
        <f t="shared" si="8"/>
        <v>—</v>
      </c>
      <c r="M56" s="49">
        <f t="shared" si="10"/>
        <v>64</v>
      </c>
      <c r="N56" s="25" t="str">
        <f t="shared" si="11"/>
        <v>—</v>
      </c>
      <c r="O56" s="42" t="s">
        <v>30</v>
      </c>
      <c r="P56" s="40">
        <f>D56*AA14</f>
        <v>16</v>
      </c>
      <c r="Q56" s="50" t="str">
        <f t="shared" si="13"/>
        <v>—</v>
      </c>
      <c r="R56" s="51" t="str">
        <f t="shared" si="13"/>
        <v>—</v>
      </c>
      <c r="S56" s="49">
        <f>D56*AA17</f>
        <v>48</v>
      </c>
      <c r="T56" s="25" t="str">
        <f t="shared" si="15"/>
        <v>—</v>
      </c>
      <c r="U56" s="26" t="str">
        <f t="shared" si="15"/>
        <v>—</v>
      </c>
    </row>
    <row r="57" spans="1:21" ht="30.75" thickBot="1" x14ac:dyDescent="0.3">
      <c r="A57" s="5">
        <v>6</v>
      </c>
      <c r="B57" s="5" t="s">
        <v>27</v>
      </c>
      <c r="C57" s="5" t="s">
        <v>53</v>
      </c>
      <c r="D57" s="5">
        <v>8</v>
      </c>
      <c r="E57" s="4">
        <v>1.57</v>
      </c>
      <c r="F57" s="20">
        <v>12.56</v>
      </c>
      <c r="G57" s="44"/>
      <c r="I57" s="48"/>
      <c r="J57" s="52">
        <f>D57*AA8</f>
        <v>104</v>
      </c>
      <c r="K57" s="53">
        <f t="shared" si="8"/>
        <v>1.57</v>
      </c>
      <c r="L57" s="54">
        <f t="shared" si="9"/>
        <v>163.28</v>
      </c>
      <c r="M57" s="52">
        <f t="shared" si="10"/>
        <v>32</v>
      </c>
      <c r="N57" s="53">
        <f t="shared" si="11"/>
        <v>1.57</v>
      </c>
      <c r="O57" s="54">
        <f t="shared" si="12"/>
        <v>50.24</v>
      </c>
      <c r="P57" s="35">
        <f>D57*AA14</f>
        <v>8</v>
      </c>
      <c r="Q57" s="55">
        <f t="shared" si="13"/>
        <v>1.57</v>
      </c>
      <c r="R57" s="56">
        <f t="shared" si="14"/>
        <v>12.56</v>
      </c>
      <c r="S57" s="52">
        <f>D57*AA17</f>
        <v>24</v>
      </c>
      <c r="T57" s="53">
        <f t="shared" si="15"/>
        <v>1.57</v>
      </c>
      <c r="U57" s="54">
        <f t="shared" si="16"/>
        <v>37.68</v>
      </c>
    </row>
    <row r="58" spans="1:21" x14ac:dyDescent="0.3"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57"/>
    </row>
    <row r="60" spans="1:21" ht="18.75" x14ac:dyDescent="0.3">
      <c r="A60" s="16" t="s">
        <v>55</v>
      </c>
    </row>
    <row r="61" spans="1:21" ht="23.25" x14ac:dyDescent="0.25">
      <c r="A61" s="7" t="s">
        <v>17</v>
      </c>
      <c r="B61" s="1"/>
      <c r="C61" s="1"/>
      <c r="D61" s="1"/>
      <c r="E61" s="1"/>
      <c r="F61" s="17"/>
      <c r="G61" s="75" t="s">
        <v>71</v>
      </c>
      <c r="H61" s="76"/>
      <c r="I61" s="76"/>
      <c r="J61" s="76" t="s">
        <v>72</v>
      </c>
      <c r="K61" s="76"/>
      <c r="L61" s="76"/>
      <c r="M61" s="72" t="s">
        <v>73</v>
      </c>
      <c r="N61" s="70"/>
      <c r="O61" s="71"/>
      <c r="P61" s="72" t="s">
        <v>74</v>
      </c>
      <c r="Q61" s="70"/>
      <c r="R61" s="71"/>
      <c r="S61" s="72" t="s">
        <v>75</v>
      </c>
      <c r="T61" s="70"/>
      <c r="U61" s="73"/>
    </row>
    <row r="62" spans="1:21" ht="18" thickBot="1" x14ac:dyDescent="0.35">
      <c r="A62" s="1"/>
      <c r="B62" s="1"/>
      <c r="C62" s="1"/>
      <c r="D62" s="1"/>
      <c r="E62" s="1"/>
      <c r="F62" s="17"/>
      <c r="J62" s="28"/>
      <c r="K62" s="28"/>
      <c r="L62" s="28"/>
      <c r="M62" s="28"/>
      <c r="N62" s="28"/>
      <c r="O62" s="28"/>
    </row>
    <row r="63" spans="1:21" ht="34.5" x14ac:dyDescent="0.25">
      <c r="A63" s="3" t="s">
        <v>18</v>
      </c>
      <c r="B63" s="3" t="s">
        <v>19</v>
      </c>
      <c r="C63" s="3" t="s">
        <v>20</v>
      </c>
      <c r="D63" s="3" t="s">
        <v>21</v>
      </c>
      <c r="E63" s="3" t="s">
        <v>22</v>
      </c>
      <c r="F63" s="18" t="s">
        <v>23</v>
      </c>
      <c r="G63" s="47"/>
      <c r="I63" s="48"/>
      <c r="J63" s="29" t="s">
        <v>21</v>
      </c>
      <c r="K63" s="30" t="s">
        <v>22</v>
      </c>
      <c r="L63" s="31" t="s">
        <v>23</v>
      </c>
      <c r="M63" s="29" t="s">
        <v>21</v>
      </c>
      <c r="N63" s="30" t="s">
        <v>22</v>
      </c>
      <c r="O63" s="31" t="s">
        <v>23</v>
      </c>
      <c r="P63" s="29" t="s">
        <v>21</v>
      </c>
      <c r="Q63" s="30" t="s">
        <v>22</v>
      </c>
      <c r="R63" s="31" t="s">
        <v>23</v>
      </c>
      <c r="S63" s="29" t="s">
        <v>21</v>
      </c>
      <c r="T63" s="30" t="s">
        <v>22</v>
      </c>
      <c r="U63" s="31" t="s">
        <v>23</v>
      </c>
    </row>
    <row r="64" spans="1:21" ht="30" x14ac:dyDescent="0.25">
      <c r="A64" s="5">
        <v>1</v>
      </c>
      <c r="B64" s="5" t="s">
        <v>49</v>
      </c>
      <c r="C64" s="5" t="s">
        <v>50</v>
      </c>
      <c r="D64" s="5">
        <v>4</v>
      </c>
      <c r="E64" s="4">
        <v>34.58</v>
      </c>
      <c r="F64" s="20">
        <v>138.32</v>
      </c>
      <c r="G64" s="44"/>
      <c r="I64" s="48"/>
      <c r="J64" s="49">
        <f>D64*AB8</f>
        <v>76</v>
      </c>
      <c r="K64" s="25">
        <f>E64</f>
        <v>34.58</v>
      </c>
      <c r="L64" s="26">
        <f>K64*J64</f>
        <v>2628.08</v>
      </c>
      <c r="M64" s="49">
        <f>D64*AB11</f>
        <v>16</v>
      </c>
      <c r="N64" s="25">
        <f>E64</f>
        <v>34.58</v>
      </c>
      <c r="O64" s="26">
        <f>N64*M64</f>
        <v>553.28</v>
      </c>
      <c r="P64" s="49">
        <f>D64*AB14</f>
        <v>44</v>
      </c>
      <c r="Q64" s="25">
        <f>E64</f>
        <v>34.58</v>
      </c>
      <c r="R64" s="26">
        <f>Q64*P64</f>
        <v>1521.52</v>
      </c>
      <c r="S64" s="49">
        <f>D64*7</f>
        <v>28</v>
      </c>
      <c r="T64" s="25">
        <f>E64</f>
        <v>34.58</v>
      </c>
      <c r="U64" s="26">
        <f>T64*S64</f>
        <v>968.24</v>
      </c>
    </row>
    <row r="65" spans="1:21" ht="30" x14ac:dyDescent="0.25">
      <c r="A65" s="5">
        <v>2</v>
      </c>
      <c r="B65" s="5" t="s">
        <v>41</v>
      </c>
      <c r="C65" s="5" t="s">
        <v>42</v>
      </c>
      <c r="D65" s="5">
        <v>2</v>
      </c>
      <c r="E65" s="4">
        <v>46.37</v>
      </c>
      <c r="F65" s="20">
        <v>92.74</v>
      </c>
      <c r="G65" s="44"/>
      <c r="I65" s="48"/>
      <c r="J65" s="49">
        <f>D65*AB8</f>
        <v>38</v>
      </c>
      <c r="K65" s="25">
        <f t="shared" ref="K65:L69" si="17">E65</f>
        <v>46.37</v>
      </c>
      <c r="L65" s="26">
        <f t="shared" ref="L65:L69" si="18">K65*J65</f>
        <v>1762.06</v>
      </c>
      <c r="M65" s="49">
        <f>D65*AB11</f>
        <v>8</v>
      </c>
      <c r="N65" s="25">
        <f t="shared" ref="N65:O69" si="19">E65</f>
        <v>46.37</v>
      </c>
      <c r="O65" s="26">
        <f t="shared" ref="O65:O69" si="20">N65*M65</f>
        <v>370.96</v>
      </c>
      <c r="P65" s="49">
        <f>D65*AB14</f>
        <v>22</v>
      </c>
      <c r="Q65" s="25">
        <f t="shared" ref="Q65:R69" si="21">E65</f>
        <v>46.37</v>
      </c>
      <c r="R65" s="26">
        <f t="shared" ref="R65:R69" si="22">Q65*P65</f>
        <v>1020.14</v>
      </c>
      <c r="S65" s="49">
        <f t="shared" ref="S65:S69" si="23">D65*7</f>
        <v>14</v>
      </c>
      <c r="T65" s="25">
        <f t="shared" ref="T65:U69" si="24">E65</f>
        <v>46.37</v>
      </c>
      <c r="U65" s="26">
        <f t="shared" ref="U65:U69" si="25">T65*S65</f>
        <v>649.17999999999995</v>
      </c>
    </row>
    <row r="66" spans="1:21" ht="30" x14ac:dyDescent="0.25">
      <c r="A66" s="5">
        <v>3</v>
      </c>
      <c r="B66" s="5" t="s">
        <v>49</v>
      </c>
      <c r="C66" s="5" t="s">
        <v>52</v>
      </c>
      <c r="D66" s="5">
        <v>4</v>
      </c>
      <c r="E66" s="4">
        <v>3.02</v>
      </c>
      <c r="F66" s="20">
        <v>12.08</v>
      </c>
      <c r="G66" s="44"/>
      <c r="I66" s="48"/>
      <c r="J66" s="49">
        <f>D66*AB8</f>
        <v>76</v>
      </c>
      <c r="K66" s="25">
        <f t="shared" si="17"/>
        <v>3.02</v>
      </c>
      <c r="L66" s="26">
        <f t="shared" si="18"/>
        <v>229.52</v>
      </c>
      <c r="M66" s="49">
        <f>D66*AB11</f>
        <v>16</v>
      </c>
      <c r="N66" s="25">
        <f t="shared" si="19"/>
        <v>3.02</v>
      </c>
      <c r="O66" s="26">
        <f t="shared" si="20"/>
        <v>48.32</v>
      </c>
      <c r="P66" s="49">
        <f>D66*AB14</f>
        <v>44</v>
      </c>
      <c r="Q66" s="25">
        <f t="shared" si="21"/>
        <v>3.02</v>
      </c>
      <c r="R66" s="26">
        <f t="shared" si="22"/>
        <v>132.88</v>
      </c>
      <c r="S66" s="49">
        <f t="shared" si="23"/>
        <v>28</v>
      </c>
      <c r="T66" s="25">
        <f t="shared" si="24"/>
        <v>3.02</v>
      </c>
      <c r="U66" s="26">
        <f t="shared" si="25"/>
        <v>84.56</v>
      </c>
    </row>
    <row r="67" spans="1:21" ht="30" x14ac:dyDescent="0.25">
      <c r="A67" s="5">
        <v>4</v>
      </c>
      <c r="B67" s="5" t="s">
        <v>27</v>
      </c>
      <c r="C67" s="5" t="s">
        <v>40</v>
      </c>
      <c r="D67" s="5">
        <v>16</v>
      </c>
      <c r="E67" s="4">
        <v>2.36</v>
      </c>
      <c r="F67" s="20">
        <v>37.76</v>
      </c>
      <c r="G67" s="44"/>
      <c r="I67" s="48"/>
      <c r="J67" s="49">
        <f>D67*AB8</f>
        <v>304</v>
      </c>
      <c r="K67" s="25">
        <f t="shared" si="17"/>
        <v>2.36</v>
      </c>
      <c r="L67" s="26">
        <f t="shared" si="18"/>
        <v>717.43999999999994</v>
      </c>
      <c r="M67" s="49">
        <f>D67*AB11</f>
        <v>64</v>
      </c>
      <c r="N67" s="25">
        <f t="shared" si="19"/>
        <v>2.36</v>
      </c>
      <c r="O67" s="26">
        <f t="shared" si="20"/>
        <v>151.04</v>
      </c>
      <c r="P67" s="49">
        <f>D67*AB14</f>
        <v>176</v>
      </c>
      <c r="Q67" s="25">
        <f t="shared" si="21"/>
        <v>2.36</v>
      </c>
      <c r="R67" s="26">
        <f t="shared" si="22"/>
        <v>415.35999999999996</v>
      </c>
      <c r="S67" s="49">
        <f t="shared" si="23"/>
        <v>112</v>
      </c>
      <c r="T67" s="25">
        <f t="shared" si="24"/>
        <v>2.36</v>
      </c>
      <c r="U67" s="26">
        <f t="shared" si="25"/>
        <v>264.32</v>
      </c>
    </row>
    <row r="68" spans="1:21" x14ac:dyDescent="0.25">
      <c r="A68" s="5">
        <v>5</v>
      </c>
      <c r="B68" s="5" t="s">
        <v>30</v>
      </c>
      <c r="C68" s="5" t="s">
        <v>43</v>
      </c>
      <c r="D68" s="5">
        <v>16</v>
      </c>
      <c r="E68" s="5" t="s">
        <v>30</v>
      </c>
      <c r="F68" s="19" t="s">
        <v>30</v>
      </c>
      <c r="G68" s="40"/>
      <c r="I68" s="48"/>
      <c r="J68" s="49">
        <f>D68*AB8</f>
        <v>304</v>
      </c>
      <c r="K68" s="25" t="str">
        <f t="shared" si="17"/>
        <v>—</v>
      </c>
      <c r="L68" s="25" t="str">
        <f t="shared" si="17"/>
        <v>—</v>
      </c>
      <c r="M68" s="49">
        <f>D68*AB11</f>
        <v>64</v>
      </c>
      <c r="N68" s="25" t="str">
        <f t="shared" si="19"/>
        <v>—</v>
      </c>
      <c r="O68" s="25" t="str">
        <f t="shared" si="19"/>
        <v>—</v>
      </c>
      <c r="P68" s="49">
        <f>D68*AB14</f>
        <v>176</v>
      </c>
      <c r="Q68" s="25" t="str">
        <f t="shared" si="21"/>
        <v>—</v>
      </c>
      <c r="R68" s="26" t="str">
        <f t="shared" si="21"/>
        <v>—</v>
      </c>
      <c r="S68" s="49">
        <f t="shared" si="23"/>
        <v>112</v>
      </c>
      <c r="T68" s="25" t="str">
        <f t="shared" si="24"/>
        <v>—</v>
      </c>
      <c r="U68" s="26" t="str">
        <f t="shared" si="24"/>
        <v>—</v>
      </c>
    </row>
    <row r="69" spans="1:21" ht="30.75" thickBot="1" x14ac:dyDescent="0.3">
      <c r="A69" s="5">
        <v>6</v>
      </c>
      <c r="B69" s="5" t="s">
        <v>27</v>
      </c>
      <c r="C69" s="5" t="s">
        <v>53</v>
      </c>
      <c r="D69" s="5">
        <v>8</v>
      </c>
      <c r="E69" s="4">
        <v>1.57</v>
      </c>
      <c r="F69" s="20">
        <v>12.56</v>
      </c>
      <c r="G69" s="44"/>
      <c r="I69" s="48"/>
      <c r="J69" s="52">
        <f>D69*AB8</f>
        <v>152</v>
      </c>
      <c r="K69" s="53">
        <f t="shared" si="17"/>
        <v>1.57</v>
      </c>
      <c r="L69" s="54">
        <f t="shared" si="18"/>
        <v>238.64000000000001</v>
      </c>
      <c r="M69" s="52">
        <f>D69*AB11</f>
        <v>32</v>
      </c>
      <c r="N69" s="53">
        <f t="shared" si="19"/>
        <v>1.57</v>
      </c>
      <c r="O69" s="54">
        <f t="shared" si="20"/>
        <v>50.24</v>
      </c>
      <c r="P69" s="52">
        <f>D69*AB14</f>
        <v>88</v>
      </c>
      <c r="Q69" s="53">
        <f t="shared" si="21"/>
        <v>1.57</v>
      </c>
      <c r="R69" s="54">
        <f t="shared" si="22"/>
        <v>138.16</v>
      </c>
      <c r="S69" s="52">
        <f t="shared" si="23"/>
        <v>56</v>
      </c>
      <c r="T69" s="53">
        <f t="shared" si="24"/>
        <v>1.57</v>
      </c>
      <c r="U69" s="54">
        <f t="shared" si="25"/>
        <v>87.92</v>
      </c>
    </row>
    <row r="70" spans="1:21" x14ac:dyDescent="0.3"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57"/>
    </row>
    <row r="72" spans="1:21" ht="18.75" x14ac:dyDescent="0.3">
      <c r="A72" s="16" t="s">
        <v>57</v>
      </c>
    </row>
    <row r="73" spans="1:21" ht="23.25" x14ac:dyDescent="0.25">
      <c r="A73" s="6" t="s">
        <v>17</v>
      </c>
      <c r="B73" s="1"/>
      <c r="C73" s="1"/>
      <c r="D73" s="1"/>
      <c r="E73" s="1"/>
      <c r="G73" s="69" t="s">
        <v>71</v>
      </c>
      <c r="H73" s="70"/>
      <c r="I73" s="71"/>
      <c r="J73" s="72" t="s">
        <v>72</v>
      </c>
      <c r="K73" s="70"/>
      <c r="L73" s="71"/>
      <c r="M73" s="72" t="s">
        <v>73</v>
      </c>
      <c r="N73" s="70"/>
      <c r="O73" s="71"/>
      <c r="P73" s="72" t="s">
        <v>74</v>
      </c>
      <c r="Q73" s="70"/>
      <c r="R73" s="71"/>
      <c r="S73" s="72" t="s">
        <v>75</v>
      </c>
      <c r="T73" s="70"/>
      <c r="U73" s="73"/>
    </row>
    <row r="74" spans="1:21" ht="18" thickBot="1" x14ac:dyDescent="0.35">
      <c r="B74" s="1"/>
      <c r="C74" s="1"/>
      <c r="D74" s="1"/>
      <c r="E74" s="1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59"/>
    </row>
    <row r="75" spans="1:21" ht="34.5" x14ac:dyDescent="0.25">
      <c r="A75" s="18" t="s">
        <v>18</v>
      </c>
      <c r="B75" s="3" t="s">
        <v>19</v>
      </c>
      <c r="C75" s="3" t="s">
        <v>20</v>
      </c>
      <c r="D75" s="3" t="s">
        <v>21</v>
      </c>
      <c r="E75" s="3" t="s">
        <v>22</v>
      </c>
      <c r="F75" s="23" t="s">
        <v>23</v>
      </c>
      <c r="G75" s="47"/>
      <c r="I75" s="48"/>
      <c r="J75" s="29" t="s">
        <v>21</v>
      </c>
      <c r="K75" s="30" t="s">
        <v>22</v>
      </c>
      <c r="L75" s="31" t="s">
        <v>23</v>
      </c>
      <c r="M75" s="29" t="s">
        <v>21</v>
      </c>
      <c r="N75" s="30" t="s">
        <v>22</v>
      </c>
      <c r="O75" s="60" t="s">
        <v>23</v>
      </c>
      <c r="P75" s="29" t="s">
        <v>21</v>
      </c>
      <c r="Q75" s="30" t="s">
        <v>22</v>
      </c>
      <c r="R75" s="31" t="s">
        <v>23</v>
      </c>
      <c r="S75" s="58" t="s">
        <v>21</v>
      </c>
      <c r="T75" s="30" t="s">
        <v>22</v>
      </c>
      <c r="U75" s="61" t="s">
        <v>23</v>
      </c>
    </row>
    <row r="76" spans="1:21" ht="30" x14ac:dyDescent="0.25">
      <c r="A76" s="5">
        <v>1</v>
      </c>
      <c r="B76" s="5" t="s">
        <v>49</v>
      </c>
      <c r="C76" s="5" t="s">
        <v>50</v>
      </c>
      <c r="D76" s="5">
        <v>4</v>
      </c>
      <c r="E76" s="4">
        <v>34.58</v>
      </c>
      <c r="F76" s="20">
        <v>138.32</v>
      </c>
      <c r="G76" s="44"/>
      <c r="I76" s="48"/>
      <c r="J76" s="49">
        <f>D76*AC8</f>
        <v>20</v>
      </c>
      <c r="K76" s="25">
        <f>E76</f>
        <v>34.58</v>
      </c>
      <c r="L76" s="26">
        <f>F76*5</f>
        <v>691.59999999999991</v>
      </c>
      <c r="M76" s="49">
        <f>D76*AC11</f>
        <v>16</v>
      </c>
      <c r="N76" s="25">
        <f>E76</f>
        <v>34.58</v>
      </c>
      <c r="O76" s="48">
        <f>N76*M76</f>
        <v>553.28</v>
      </c>
      <c r="P76" s="49">
        <f>D76*AC14</f>
        <v>8</v>
      </c>
      <c r="Q76" s="25">
        <f>E76</f>
        <v>34.58</v>
      </c>
      <c r="R76" s="26">
        <f>Q76*P76</f>
        <v>276.64</v>
      </c>
      <c r="S76" s="33">
        <f>D76*AC17</f>
        <v>4</v>
      </c>
      <c r="T76" s="50">
        <f>E76</f>
        <v>34.58</v>
      </c>
      <c r="U76" s="51">
        <f>T76*S76</f>
        <v>138.32</v>
      </c>
    </row>
    <row r="77" spans="1:21" ht="30" x14ac:dyDescent="0.25">
      <c r="A77" s="5">
        <v>2</v>
      </c>
      <c r="B77" s="5" t="s">
        <v>41</v>
      </c>
      <c r="C77" s="5" t="s">
        <v>42</v>
      </c>
      <c r="D77" s="5">
        <v>2</v>
      </c>
      <c r="E77" s="4">
        <v>46.37</v>
      </c>
      <c r="F77" s="20">
        <v>92.74</v>
      </c>
      <c r="G77" s="44"/>
      <c r="I77" s="48"/>
      <c r="J77" s="49">
        <f>D77*AC8</f>
        <v>10</v>
      </c>
      <c r="K77" s="25">
        <f t="shared" ref="K77:K79" si="26">E77</f>
        <v>46.37</v>
      </c>
      <c r="L77" s="26">
        <f t="shared" ref="L77:L79" si="27">F77*5</f>
        <v>463.7</v>
      </c>
      <c r="M77" s="49">
        <f>D77*AC11</f>
        <v>8</v>
      </c>
      <c r="N77" s="25">
        <f t="shared" ref="N77:N79" si="28">E77</f>
        <v>46.37</v>
      </c>
      <c r="O77" s="48">
        <f t="shared" ref="O77:O79" si="29">N77*M77</f>
        <v>370.96</v>
      </c>
      <c r="P77" s="49">
        <f>D77*AC14</f>
        <v>4</v>
      </c>
      <c r="Q77" s="25">
        <f t="shared" ref="Q77:Q79" si="30">E77</f>
        <v>46.37</v>
      </c>
      <c r="R77" s="26">
        <f t="shared" ref="R77:R79" si="31">Q77*P77</f>
        <v>185.48</v>
      </c>
      <c r="S77" s="33">
        <f>D77*AC17</f>
        <v>2</v>
      </c>
      <c r="T77" s="50">
        <f t="shared" ref="T77:T79" si="32">E77</f>
        <v>46.37</v>
      </c>
      <c r="U77" s="51">
        <f t="shared" ref="U77:U79" si="33">T77*S77</f>
        <v>92.74</v>
      </c>
    </row>
    <row r="78" spans="1:21" ht="30" x14ac:dyDescent="0.25">
      <c r="A78" s="5">
        <v>3</v>
      </c>
      <c r="B78" s="5" t="s">
        <v>49</v>
      </c>
      <c r="C78" s="5" t="s">
        <v>56</v>
      </c>
      <c r="D78" s="5">
        <v>4</v>
      </c>
      <c r="E78" s="4">
        <v>3.02</v>
      </c>
      <c r="F78" s="20">
        <v>12.08</v>
      </c>
      <c r="G78" s="44"/>
      <c r="I78" s="48"/>
      <c r="J78" s="49">
        <f>D78*AC8</f>
        <v>20</v>
      </c>
      <c r="K78" s="25">
        <f t="shared" si="26"/>
        <v>3.02</v>
      </c>
      <c r="L78" s="26">
        <f t="shared" si="27"/>
        <v>60.4</v>
      </c>
      <c r="M78" s="49">
        <f>D78*AC11</f>
        <v>16</v>
      </c>
      <c r="N78" s="25">
        <f t="shared" si="28"/>
        <v>3.02</v>
      </c>
      <c r="O78" s="48">
        <f t="shared" si="29"/>
        <v>48.32</v>
      </c>
      <c r="P78" s="49">
        <f>D78*AC14</f>
        <v>8</v>
      </c>
      <c r="Q78" s="25">
        <f t="shared" si="30"/>
        <v>3.02</v>
      </c>
      <c r="R78" s="26">
        <f t="shared" si="31"/>
        <v>24.16</v>
      </c>
      <c r="S78" s="33">
        <f>D78*AC17</f>
        <v>4</v>
      </c>
      <c r="T78" s="50">
        <f t="shared" si="32"/>
        <v>3.02</v>
      </c>
      <c r="U78" s="51">
        <f t="shared" si="33"/>
        <v>12.08</v>
      </c>
    </row>
    <row r="79" spans="1:21" ht="30" x14ac:dyDescent="0.25">
      <c r="A79" s="5">
        <v>4</v>
      </c>
      <c r="B79" s="5" t="s">
        <v>27</v>
      </c>
      <c r="C79" s="5" t="s">
        <v>40</v>
      </c>
      <c r="D79" s="5">
        <v>24</v>
      </c>
      <c r="E79" s="4">
        <v>2.36</v>
      </c>
      <c r="F79" s="20">
        <v>56.64</v>
      </c>
      <c r="G79" s="44"/>
      <c r="I79" s="48"/>
      <c r="J79" s="49">
        <f>D79*AC8</f>
        <v>120</v>
      </c>
      <c r="K79" s="25">
        <f t="shared" si="26"/>
        <v>2.36</v>
      </c>
      <c r="L79" s="26">
        <f t="shared" si="27"/>
        <v>283.2</v>
      </c>
      <c r="M79" s="49">
        <f>D79*AC11</f>
        <v>96</v>
      </c>
      <c r="N79" s="25">
        <f t="shared" si="28"/>
        <v>2.36</v>
      </c>
      <c r="O79" s="48">
        <f t="shared" si="29"/>
        <v>226.56</v>
      </c>
      <c r="P79" s="49">
        <f>D79*AC14</f>
        <v>48</v>
      </c>
      <c r="Q79" s="25">
        <f t="shared" si="30"/>
        <v>2.36</v>
      </c>
      <c r="R79" s="26">
        <f t="shared" si="31"/>
        <v>113.28</v>
      </c>
      <c r="S79" s="33">
        <f>D79*AC17</f>
        <v>24</v>
      </c>
      <c r="T79" s="50">
        <f t="shared" si="32"/>
        <v>2.36</v>
      </c>
      <c r="U79" s="51">
        <f t="shared" si="33"/>
        <v>56.64</v>
      </c>
    </row>
    <row r="80" spans="1:21" ht="18" thickBot="1" x14ac:dyDescent="0.3">
      <c r="A80" s="5">
        <v>5</v>
      </c>
      <c r="B80" s="5" t="s">
        <v>30</v>
      </c>
      <c r="C80" s="5" t="s">
        <v>43</v>
      </c>
      <c r="D80" s="5">
        <v>16</v>
      </c>
      <c r="E80" s="5" t="s">
        <v>30</v>
      </c>
      <c r="F80" s="19" t="s">
        <v>30</v>
      </c>
      <c r="G80" s="40"/>
      <c r="I80" s="48"/>
      <c r="J80" s="52">
        <f>D80*AC8</f>
        <v>80</v>
      </c>
      <c r="K80" s="36" t="s">
        <v>30</v>
      </c>
      <c r="L80" s="37" t="s">
        <v>30</v>
      </c>
      <c r="M80" s="52">
        <f>D80*AC11</f>
        <v>64</v>
      </c>
      <c r="N80" s="36" t="s">
        <v>30</v>
      </c>
      <c r="O80" s="62" t="s">
        <v>30</v>
      </c>
      <c r="P80" s="52">
        <f>D80*AC14</f>
        <v>32</v>
      </c>
      <c r="Q80" s="36" t="s">
        <v>30</v>
      </c>
      <c r="R80" s="37" t="s">
        <v>30</v>
      </c>
      <c r="S80" s="63">
        <f>D80*AC17</f>
        <v>16</v>
      </c>
      <c r="T80" s="36" t="s">
        <v>30</v>
      </c>
      <c r="U80" s="37" t="s">
        <v>30</v>
      </c>
    </row>
    <row r="81" spans="1:21" x14ac:dyDescent="0.3"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57"/>
    </row>
    <row r="83" spans="1:21" ht="18.75" x14ac:dyDescent="0.3">
      <c r="A83" s="16" t="s">
        <v>59</v>
      </c>
    </row>
    <row r="84" spans="1:21" ht="23.25" x14ac:dyDescent="0.25">
      <c r="A84" s="7" t="s">
        <v>17</v>
      </c>
      <c r="B84" s="1"/>
      <c r="C84" s="1"/>
      <c r="D84" s="1"/>
      <c r="E84" s="1"/>
      <c r="F84" s="17"/>
      <c r="G84" s="69" t="s">
        <v>71</v>
      </c>
      <c r="H84" s="70"/>
      <c r="I84" s="71"/>
      <c r="J84" s="72" t="s">
        <v>72</v>
      </c>
      <c r="K84" s="70"/>
      <c r="L84" s="71"/>
      <c r="M84" s="72" t="s">
        <v>73</v>
      </c>
      <c r="N84" s="70"/>
      <c r="O84" s="71"/>
      <c r="P84" s="72" t="s">
        <v>74</v>
      </c>
      <c r="Q84" s="70"/>
      <c r="R84" s="71"/>
      <c r="S84" s="72" t="s">
        <v>75</v>
      </c>
      <c r="T84" s="70"/>
      <c r="U84" s="73"/>
    </row>
    <row r="85" spans="1:21" ht="18" thickBot="1" x14ac:dyDescent="0.35">
      <c r="A85" s="1"/>
      <c r="B85" s="1"/>
      <c r="C85" s="1"/>
      <c r="D85" s="1"/>
      <c r="E85" s="1"/>
      <c r="F85" s="17"/>
      <c r="J85" s="28"/>
      <c r="K85" s="28"/>
      <c r="L85" s="28"/>
      <c r="M85" s="28"/>
      <c r="N85" s="28"/>
      <c r="O85" s="28"/>
    </row>
    <row r="86" spans="1:21" ht="34.5" x14ac:dyDescent="0.25">
      <c r="A86" s="3" t="s">
        <v>18</v>
      </c>
      <c r="B86" s="3" t="s">
        <v>19</v>
      </c>
      <c r="C86" s="3" t="s">
        <v>20</v>
      </c>
      <c r="D86" s="3" t="s">
        <v>21</v>
      </c>
      <c r="E86" s="3" t="s">
        <v>22</v>
      </c>
      <c r="F86" s="18" t="s">
        <v>23</v>
      </c>
      <c r="G86" s="47"/>
      <c r="I86" s="48"/>
      <c r="J86" s="29" t="s">
        <v>21</v>
      </c>
      <c r="K86" s="30" t="s">
        <v>22</v>
      </c>
      <c r="L86" s="31" t="s">
        <v>23</v>
      </c>
      <c r="M86" s="29" t="s">
        <v>21</v>
      </c>
      <c r="N86" s="30" t="s">
        <v>22</v>
      </c>
      <c r="O86" s="31" t="s">
        <v>23</v>
      </c>
      <c r="P86" s="45"/>
      <c r="R86" s="48"/>
      <c r="S86" s="29" t="s">
        <v>21</v>
      </c>
      <c r="T86" s="30" t="s">
        <v>22</v>
      </c>
      <c r="U86" s="61" t="s">
        <v>23</v>
      </c>
    </row>
    <row r="87" spans="1:21" ht="30" x14ac:dyDescent="0.25">
      <c r="A87" s="5">
        <v>1</v>
      </c>
      <c r="B87" s="5" t="s">
        <v>49</v>
      </c>
      <c r="C87" s="5" t="s">
        <v>50</v>
      </c>
      <c r="D87" s="5">
        <v>4</v>
      </c>
      <c r="E87" s="4">
        <v>34.58</v>
      </c>
      <c r="F87" s="20">
        <v>138.32</v>
      </c>
      <c r="G87" s="44"/>
      <c r="I87" s="48"/>
      <c r="J87" s="49">
        <f>D87*AD8</f>
        <v>12</v>
      </c>
      <c r="K87" s="25">
        <f>E87</f>
        <v>34.58</v>
      </c>
      <c r="L87" s="26">
        <f>F87*3</f>
        <v>414.96</v>
      </c>
      <c r="M87" s="49">
        <f>D87*AD11</f>
        <v>8</v>
      </c>
      <c r="N87" s="25">
        <f>E87</f>
        <v>34.58</v>
      </c>
      <c r="O87" s="26">
        <f>F87*2</f>
        <v>276.64</v>
      </c>
      <c r="P87" s="45"/>
      <c r="R87" s="48"/>
      <c r="S87" s="49">
        <f>D87*AD17</f>
        <v>24</v>
      </c>
      <c r="T87" s="25">
        <f>E87</f>
        <v>34.58</v>
      </c>
      <c r="U87" s="26">
        <f>T87*S87</f>
        <v>829.92</v>
      </c>
    </row>
    <row r="88" spans="1:21" ht="30" x14ac:dyDescent="0.25">
      <c r="A88" s="5">
        <v>2</v>
      </c>
      <c r="B88" s="5" t="s">
        <v>41</v>
      </c>
      <c r="C88" s="5" t="s">
        <v>42</v>
      </c>
      <c r="D88" s="5">
        <v>2</v>
      </c>
      <c r="E88" s="4">
        <v>46.37</v>
      </c>
      <c r="F88" s="20">
        <v>92.74</v>
      </c>
      <c r="G88" s="44"/>
      <c r="I88" s="48"/>
      <c r="J88" s="49">
        <f>D88*AD8</f>
        <v>6</v>
      </c>
      <c r="K88" s="25">
        <f t="shared" ref="K88:K92" si="34">E88</f>
        <v>46.37</v>
      </c>
      <c r="L88" s="26">
        <f t="shared" ref="L88:L92" si="35">F88*3</f>
        <v>278.21999999999997</v>
      </c>
      <c r="M88" s="49">
        <f>D88*AD11</f>
        <v>4</v>
      </c>
      <c r="N88" s="25">
        <f t="shared" ref="N88:N92" si="36">E88</f>
        <v>46.37</v>
      </c>
      <c r="O88" s="26">
        <f t="shared" ref="O88:O92" si="37">F88*2</f>
        <v>185.48</v>
      </c>
      <c r="P88" s="45"/>
      <c r="R88" s="48"/>
      <c r="S88" s="49">
        <f>D88*AD17</f>
        <v>12</v>
      </c>
      <c r="T88" s="25">
        <f t="shared" ref="T88:U92" si="38">E88</f>
        <v>46.37</v>
      </c>
      <c r="U88" s="26">
        <f t="shared" ref="U88:U92" si="39">T88*S88</f>
        <v>556.43999999999994</v>
      </c>
    </row>
    <row r="89" spans="1:21" ht="30" x14ac:dyDescent="0.25">
      <c r="A89" s="5">
        <v>3</v>
      </c>
      <c r="B89" s="5" t="s">
        <v>49</v>
      </c>
      <c r="C89" s="5" t="s">
        <v>52</v>
      </c>
      <c r="D89" s="5">
        <v>4</v>
      </c>
      <c r="E89" s="4">
        <v>3.02</v>
      </c>
      <c r="F89" s="20">
        <v>12.08</v>
      </c>
      <c r="G89" s="44"/>
      <c r="I89" s="48"/>
      <c r="J89" s="49">
        <f>D89*AD8</f>
        <v>12</v>
      </c>
      <c r="K89" s="25">
        <f t="shared" si="34"/>
        <v>3.02</v>
      </c>
      <c r="L89" s="26">
        <f t="shared" si="35"/>
        <v>36.24</v>
      </c>
      <c r="M89" s="49">
        <f>D89*AD11</f>
        <v>8</v>
      </c>
      <c r="N89" s="25">
        <f t="shared" si="36"/>
        <v>3.02</v>
      </c>
      <c r="O89" s="26">
        <f t="shared" si="37"/>
        <v>24.16</v>
      </c>
      <c r="P89" s="45"/>
      <c r="R89" s="48"/>
      <c r="S89" s="49">
        <f>D89*AD17</f>
        <v>24</v>
      </c>
      <c r="T89" s="25">
        <f t="shared" si="38"/>
        <v>3.02</v>
      </c>
      <c r="U89" s="26">
        <f t="shared" si="39"/>
        <v>72.48</v>
      </c>
    </row>
    <row r="90" spans="1:21" ht="30" x14ac:dyDescent="0.25">
      <c r="A90" s="5">
        <v>4</v>
      </c>
      <c r="B90" s="5" t="s">
        <v>27</v>
      </c>
      <c r="C90" s="5" t="s">
        <v>40</v>
      </c>
      <c r="D90" s="5">
        <v>16</v>
      </c>
      <c r="E90" s="4">
        <v>2.36</v>
      </c>
      <c r="F90" s="20">
        <v>37.76</v>
      </c>
      <c r="G90" s="44"/>
      <c r="I90" s="48"/>
      <c r="J90" s="49">
        <f>D90*AD8</f>
        <v>48</v>
      </c>
      <c r="K90" s="25">
        <f t="shared" si="34"/>
        <v>2.36</v>
      </c>
      <c r="L90" s="26">
        <f t="shared" si="35"/>
        <v>113.28</v>
      </c>
      <c r="M90" s="49">
        <f>D90*AD11</f>
        <v>32</v>
      </c>
      <c r="N90" s="25">
        <f t="shared" si="36"/>
        <v>2.36</v>
      </c>
      <c r="O90" s="26">
        <f t="shared" si="37"/>
        <v>75.52</v>
      </c>
      <c r="P90" s="45"/>
      <c r="R90" s="48"/>
      <c r="S90" s="49">
        <f>D90*AD17</f>
        <v>96</v>
      </c>
      <c r="T90" s="25">
        <f t="shared" si="38"/>
        <v>2.36</v>
      </c>
      <c r="U90" s="26">
        <f t="shared" si="39"/>
        <v>226.56</v>
      </c>
    </row>
    <row r="91" spans="1:21" x14ac:dyDescent="0.25">
      <c r="A91" s="5">
        <v>5</v>
      </c>
      <c r="B91" s="5" t="s">
        <v>30</v>
      </c>
      <c r="C91" s="5" t="s">
        <v>43</v>
      </c>
      <c r="D91" s="5">
        <v>16</v>
      </c>
      <c r="E91" s="5" t="s">
        <v>30</v>
      </c>
      <c r="F91" s="19" t="s">
        <v>30</v>
      </c>
      <c r="G91" s="40"/>
      <c r="I91" s="48"/>
      <c r="J91" s="49">
        <f>D91*AD8</f>
        <v>48</v>
      </c>
      <c r="K91" s="25" t="str">
        <f t="shared" si="34"/>
        <v>—</v>
      </c>
      <c r="L91" s="42" t="s">
        <v>30</v>
      </c>
      <c r="M91" s="49">
        <f>D91*AD11</f>
        <v>32</v>
      </c>
      <c r="N91" s="25" t="str">
        <f t="shared" si="36"/>
        <v>—</v>
      </c>
      <c r="O91" s="42" t="s">
        <v>30</v>
      </c>
      <c r="P91" s="45"/>
      <c r="R91" s="48"/>
      <c r="S91" s="49">
        <f>D91*AD17</f>
        <v>96</v>
      </c>
      <c r="T91" s="25" t="str">
        <f t="shared" si="38"/>
        <v>—</v>
      </c>
      <c r="U91" s="26" t="str">
        <f t="shared" si="38"/>
        <v>—</v>
      </c>
    </row>
    <row r="92" spans="1:21" ht="30.75" thickBot="1" x14ac:dyDescent="0.3">
      <c r="A92" s="5">
        <v>6</v>
      </c>
      <c r="B92" s="5" t="s">
        <v>27</v>
      </c>
      <c r="C92" s="5" t="s">
        <v>53</v>
      </c>
      <c r="D92" s="5">
        <v>11</v>
      </c>
      <c r="E92" s="4">
        <v>1.57</v>
      </c>
      <c r="F92" s="20">
        <v>17.27</v>
      </c>
      <c r="G92" s="44"/>
      <c r="I92" s="48"/>
      <c r="J92" s="52">
        <f>D92*AD8</f>
        <v>33</v>
      </c>
      <c r="K92" s="53">
        <f t="shared" si="34"/>
        <v>1.57</v>
      </c>
      <c r="L92" s="54">
        <f t="shared" si="35"/>
        <v>51.81</v>
      </c>
      <c r="M92" s="52">
        <f>D92*AD11</f>
        <v>22</v>
      </c>
      <c r="N92" s="53">
        <f t="shared" si="36"/>
        <v>1.57</v>
      </c>
      <c r="O92" s="54">
        <f t="shared" si="37"/>
        <v>34.54</v>
      </c>
      <c r="P92" s="45"/>
      <c r="R92" s="48"/>
      <c r="S92" s="52">
        <f>D92*AD17</f>
        <v>66</v>
      </c>
      <c r="T92" s="53">
        <f t="shared" si="38"/>
        <v>1.57</v>
      </c>
      <c r="U92" s="54">
        <f t="shared" si="39"/>
        <v>103.62</v>
      </c>
    </row>
    <row r="93" spans="1:21" x14ac:dyDescent="0.3">
      <c r="J93" s="39"/>
      <c r="K93" s="39"/>
      <c r="L93" s="39"/>
      <c r="M93" s="39"/>
      <c r="N93" s="39"/>
      <c r="O93" s="39"/>
      <c r="S93" s="39"/>
      <c r="T93" s="39"/>
      <c r="U93" s="57"/>
    </row>
    <row r="95" spans="1:21" ht="18.75" x14ac:dyDescent="0.3">
      <c r="A95" s="16" t="s">
        <v>62</v>
      </c>
    </row>
    <row r="96" spans="1:21" ht="23.25" x14ac:dyDescent="0.25">
      <c r="A96" s="7" t="s">
        <v>17</v>
      </c>
      <c r="B96" s="1"/>
      <c r="C96" s="1"/>
      <c r="D96" s="1"/>
      <c r="E96" s="1"/>
      <c r="F96" s="17"/>
      <c r="G96" s="69" t="s">
        <v>71</v>
      </c>
      <c r="H96" s="70"/>
      <c r="I96" s="71"/>
      <c r="J96" s="72" t="s">
        <v>72</v>
      </c>
      <c r="K96" s="70"/>
      <c r="L96" s="71"/>
      <c r="M96" s="72" t="s">
        <v>73</v>
      </c>
      <c r="N96" s="70"/>
      <c r="O96" s="71"/>
      <c r="P96" s="72" t="s">
        <v>74</v>
      </c>
      <c r="Q96" s="70"/>
      <c r="R96" s="71"/>
      <c r="S96" s="72" t="s">
        <v>75</v>
      </c>
      <c r="T96" s="70"/>
      <c r="U96" s="73"/>
    </row>
    <row r="97" spans="1:21" ht="18" thickBot="1" x14ac:dyDescent="0.35">
      <c r="A97" s="1"/>
      <c r="B97" s="1"/>
      <c r="C97" s="1"/>
      <c r="D97" s="1"/>
      <c r="E97" s="1"/>
      <c r="F97" s="17"/>
      <c r="J97" s="28"/>
      <c r="K97" s="28"/>
      <c r="L97" s="28"/>
    </row>
    <row r="98" spans="1:21" ht="34.5" x14ac:dyDescent="0.25">
      <c r="A98" s="3" t="s">
        <v>18</v>
      </c>
      <c r="B98" s="3" t="s">
        <v>19</v>
      </c>
      <c r="C98" s="3" t="s">
        <v>20</v>
      </c>
      <c r="D98" s="3" t="s">
        <v>21</v>
      </c>
      <c r="E98" s="3" t="s">
        <v>22</v>
      </c>
      <c r="F98" s="18" t="s">
        <v>23</v>
      </c>
      <c r="G98" s="47"/>
      <c r="I98" s="48"/>
      <c r="J98" s="29" t="s">
        <v>21</v>
      </c>
      <c r="K98" s="30" t="s">
        <v>22</v>
      </c>
      <c r="L98" s="31" t="s">
        <v>23</v>
      </c>
      <c r="M98" s="45"/>
    </row>
    <row r="99" spans="1:21" ht="30" x14ac:dyDescent="0.25">
      <c r="A99" s="5">
        <v>1</v>
      </c>
      <c r="B99" s="5" t="s">
        <v>49</v>
      </c>
      <c r="C99" s="5" t="s">
        <v>50</v>
      </c>
      <c r="D99" s="5">
        <v>4</v>
      </c>
      <c r="E99" s="4">
        <v>34.58</v>
      </c>
      <c r="F99" s="20">
        <v>138.32</v>
      </c>
      <c r="G99" s="44"/>
      <c r="I99" s="48"/>
      <c r="J99" s="40">
        <f>D99*AE8</f>
        <v>4</v>
      </c>
      <c r="K99" s="50">
        <f>E99</f>
        <v>34.58</v>
      </c>
      <c r="L99" s="51">
        <f>K99*J99</f>
        <v>138.32</v>
      </c>
      <c r="M99" s="45"/>
    </row>
    <row r="100" spans="1:21" ht="30" x14ac:dyDescent="0.25">
      <c r="A100" s="5">
        <v>2</v>
      </c>
      <c r="B100" s="5" t="s">
        <v>41</v>
      </c>
      <c r="C100" s="5" t="s">
        <v>58</v>
      </c>
      <c r="D100" s="5">
        <v>2</v>
      </c>
      <c r="E100" s="4">
        <v>64.77</v>
      </c>
      <c r="F100" s="20">
        <v>129.54</v>
      </c>
      <c r="G100" s="44"/>
      <c r="I100" s="48"/>
      <c r="J100" s="40">
        <f>D100*AE8</f>
        <v>2</v>
      </c>
      <c r="K100" s="50">
        <f t="shared" ref="K100:K102" si="40">E100</f>
        <v>64.77</v>
      </c>
      <c r="L100" s="51">
        <f t="shared" ref="L100:L102" si="41">K100*J100</f>
        <v>129.54</v>
      </c>
      <c r="M100" s="45"/>
    </row>
    <row r="101" spans="1:21" ht="30" x14ac:dyDescent="0.25">
      <c r="A101" s="5">
        <v>3</v>
      </c>
      <c r="B101" s="5" t="s">
        <v>49</v>
      </c>
      <c r="C101" s="5" t="s">
        <v>52</v>
      </c>
      <c r="D101" s="5">
        <v>4</v>
      </c>
      <c r="E101" s="4">
        <v>3.02</v>
      </c>
      <c r="F101" s="20">
        <v>12.08</v>
      </c>
      <c r="G101" s="44"/>
      <c r="I101" s="48"/>
      <c r="J101" s="40">
        <f>D101*AE8</f>
        <v>4</v>
      </c>
      <c r="K101" s="50">
        <f t="shared" si="40"/>
        <v>3.02</v>
      </c>
      <c r="L101" s="51">
        <f t="shared" si="41"/>
        <v>12.08</v>
      </c>
      <c r="M101" s="45"/>
    </row>
    <row r="102" spans="1:21" ht="30" x14ac:dyDescent="0.25">
      <c r="A102" s="5">
        <v>4</v>
      </c>
      <c r="B102" s="5" t="s">
        <v>27</v>
      </c>
      <c r="C102" s="5" t="s">
        <v>40</v>
      </c>
      <c r="D102" s="5">
        <v>27</v>
      </c>
      <c r="E102" s="4">
        <v>2.36</v>
      </c>
      <c r="F102" s="20">
        <v>63.72</v>
      </c>
      <c r="G102" s="44"/>
      <c r="I102" s="48"/>
      <c r="J102" s="40">
        <f>D102*AE8</f>
        <v>27</v>
      </c>
      <c r="K102" s="50">
        <f t="shared" si="40"/>
        <v>2.36</v>
      </c>
      <c r="L102" s="51">
        <f t="shared" si="41"/>
        <v>63.72</v>
      </c>
      <c r="M102" s="45"/>
    </row>
    <row r="103" spans="1:21" ht="18" thickBot="1" x14ac:dyDescent="0.3">
      <c r="A103" s="5">
        <v>5</v>
      </c>
      <c r="B103" s="5" t="s">
        <v>30</v>
      </c>
      <c r="C103" s="5" t="s">
        <v>43</v>
      </c>
      <c r="D103" s="5">
        <v>16</v>
      </c>
      <c r="E103" s="5" t="s">
        <v>30</v>
      </c>
      <c r="F103" s="19" t="s">
        <v>30</v>
      </c>
      <c r="G103" s="40"/>
      <c r="I103" s="48"/>
      <c r="J103" s="35">
        <f>D103*AE8</f>
        <v>16</v>
      </c>
      <c r="K103" s="36" t="s">
        <v>30</v>
      </c>
      <c r="L103" s="37" t="s">
        <v>30</v>
      </c>
      <c r="M103" s="45"/>
    </row>
    <row r="104" spans="1:21" x14ac:dyDescent="0.3">
      <c r="J104" s="39"/>
      <c r="K104" s="39"/>
      <c r="L104" s="39"/>
    </row>
    <row r="107" spans="1:21" ht="18.75" x14ac:dyDescent="0.3">
      <c r="A107" s="16" t="s">
        <v>63</v>
      </c>
    </row>
    <row r="108" spans="1:21" ht="23.25" x14ac:dyDescent="0.25">
      <c r="A108" s="7" t="s">
        <v>17</v>
      </c>
      <c r="B108" s="1"/>
      <c r="C108" s="1"/>
      <c r="D108" s="1"/>
      <c r="E108" s="1"/>
      <c r="F108" s="17"/>
      <c r="G108" s="69" t="s">
        <v>71</v>
      </c>
      <c r="H108" s="70"/>
      <c r="I108" s="71"/>
      <c r="J108" s="72" t="s">
        <v>72</v>
      </c>
      <c r="K108" s="70"/>
      <c r="L108" s="71"/>
      <c r="M108" s="72" t="s">
        <v>73</v>
      </c>
      <c r="N108" s="70"/>
      <c r="O108" s="71"/>
      <c r="P108" s="72" t="s">
        <v>74</v>
      </c>
      <c r="Q108" s="70"/>
      <c r="R108" s="71"/>
      <c r="S108" s="72" t="s">
        <v>75</v>
      </c>
      <c r="T108" s="70"/>
      <c r="U108" s="73"/>
    </row>
    <row r="109" spans="1:21" ht="18" thickBot="1" x14ac:dyDescent="0.35">
      <c r="A109" s="1"/>
      <c r="B109" s="1"/>
      <c r="C109" s="1"/>
      <c r="D109" s="1"/>
      <c r="E109" s="1"/>
      <c r="F109" s="17"/>
      <c r="J109" s="28"/>
      <c r="K109" s="28"/>
      <c r="L109" s="28"/>
    </row>
    <row r="110" spans="1:21" ht="34.5" x14ac:dyDescent="0.25">
      <c r="A110" s="3" t="s">
        <v>18</v>
      </c>
      <c r="B110" s="3" t="s">
        <v>19</v>
      </c>
      <c r="C110" s="3" t="s">
        <v>20</v>
      </c>
      <c r="D110" s="3" t="s">
        <v>21</v>
      </c>
      <c r="E110" s="3" t="s">
        <v>22</v>
      </c>
      <c r="F110" s="18" t="s">
        <v>23</v>
      </c>
      <c r="G110" s="47"/>
      <c r="I110" s="48"/>
      <c r="J110" s="29" t="s">
        <v>21</v>
      </c>
      <c r="K110" s="30" t="s">
        <v>22</v>
      </c>
      <c r="L110" s="31" t="s">
        <v>23</v>
      </c>
      <c r="M110" s="45"/>
    </row>
    <row r="111" spans="1:21" ht="30" x14ac:dyDescent="0.25">
      <c r="A111" s="5">
        <v>1</v>
      </c>
      <c r="B111" s="5" t="s">
        <v>49</v>
      </c>
      <c r="C111" s="5" t="s">
        <v>50</v>
      </c>
      <c r="D111" s="5">
        <v>4</v>
      </c>
      <c r="E111" s="4">
        <v>34.58</v>
      </c>
      <c r="F111" s="20">
        <v>138.32</v>
      </c>
      <c r="G111" s="44"/>
      <c r="I111" s="48"/>
      <c r="J111" s="40">
        <f>D111*AF8</f>
        <v>4</v>
      </c>
      <c r="K111" s="50">
        <f>E111</f>
        <v>34.58</v>
      </c>
      <c r="L111" s="51">
        <f>K111*J111</f>
        <v>138.32</v>
      </c>
      <c r="M111" s="45"/>
    </row>
    <row r="112" spans="1:21" ht="30" x14ac:dyDescent="0.25">
      <c r="A112" s="5">
        <v>2</v>
      </c>
      <c r="B112" s="5" t="s">
        <v>60</v>
      </c>
      <c r="C112" s="5" t="s">
        <v>61</v>
      </c>
      <c r="D112" s="5">
        <v>2</v>
      </c>
      <c r="E112" s="4">
        <v>102.24</v>
      </c>
      <c r="F112" s="20">
        <v>204.48</v>
      </c>
      <c r="G112" s="44"/>
      <c r="I112" s="48"/>
      <c r="J112" s="40">
        <f>D112*AF8</f>
        <v>2</v>
      </c>
      <c r="K112" s="50">
        <f t="shared" ref="K112:K115" si="42">E112</f>
        <v>102.24</v>
      </c>
      <c r="L112" s="51">
        <f t="shared" ref="L112:L115" si="43">K112*J112</f>
        <v>204.48</v>
      </c>
      <c r="M112" s="45"/>
    </row>
    <row r="113" spans="1:21" ht="30" x14ac:dyDescent="0.25">
      <c r="A113" s="5">
        <v>3</v>
      </c>
      <c r="B113" s="5" t="s">
        <v>49</v>
      </c>
      <c r="C113" s="5" t="s">
        <v>52</v>
      </c>
      <c r="D113" s="5">
        <v>4</v>
      </c>
      <c r="E113" s="4">
        <v>3.02</v>
      </c>
      <c r="F113" s="20">
        <v>12.08</v>
      </c>
      <c r="G113" s="44"/>
      <c r="I113" s="48"/>
      <c r="J113" s="40">
        <f>D113*AF8</f>
        <v>4</v>
      </c>
      <c r="K113" s="50">
        <f t="shared" si="42"/>
        <v>3.02</v>
      </c>
      <c r="L113" s="51">
        <f t="shared" si="43"/>
        <v>12.08</v>
      </c>
      <c r="M113" s="45"/>
    </row>
    <row r="114" spans="1:21" ht="30" x14ac:dyDescent="0.25">
      <c r="A114" s="5">
        <v>4</v>
      </c>
      <c r="B114" s="5" t="s">
        <v>27</v>
      </c>
      <c r="C114" s="5" t="s">
        <v>40</v>
      </c>
      <c r="D114" s="5">
        <v>16</v>
      </c>
      <c r="E114" s="4">
        <v>2.36</v>
      </c>
      <c r="F114" s="20">
        <v>37.76</v>
      </c>
      <c r="G114" s="44"/>
      <c r="I114" s="48"/>
      <c r="J114" s="40">
        <f>D114*AF8</f>
        <v>16</v>
      </c>
      <c r="K114" s="50">
        <f t="shared" si="42"/>
        <v>2.36</v>
      </c>
      <c r="L114" s="51">
        <f t="shared" si="43"/>
        <v>37.76</v>
      </c>
      <c r="M114" s="45"/>
    </row>
    <row r="115" spans="1:21" ht="30" x14ac:dyDescent="0.25">
      <c r="A115" s="5">
        <v>5</v>
      </c>
      <c r="B115" s="5" t="s">
        <v>27</v>
      </c>
      <c r="C115" s="5" t="s">
        <v>53</v>
      </c>
      <c r="D115" s="5">
        <v>8</v>
      </c>
      <c r="E115" s="4">
        <v>1.57</v>
      </c>
      <c r="F115" s="20">
        <v>12.56</v>
      </c>
      <c r="G115" s="44"/>
      <c r="I115" s="48"/>
      <c r="J115" s="40">
        <f>D115*AF8</f>
        <v>8</v>
      </c>
      <c r="K115" s="50">
        <f t="shared" si="42"/>
        <v>1.57</v>
      </c>
      <c r="L115" s="51">
        <f t="shared" si="43"/>
        <v>12.56</v>
      </c>
      <c r="M115" s="45"/>
    </row>
    <row r="116" spans="1:21" ht="18" thickBot="1" x14ac:dyDescent="0.3">
      <c r="A116" s="5">
        <v>6</v>
      </c>
      <c r="B116" s="5" t="s">
        <v>30</v>
      </c>
      <c r="C116" s="5" t="s">
        <v>43</v>
      </c>
      <c r="D116" s="5">
        <v>16</v>
      </c>
      <c r="E116" s="5" t="s">
        <v>30</v>
      </c>
      <c r="F116" s="19" t="s">
        <v>30</v>
      </c>
      <c r="G116" s="40"/>
      <c r="I116" s="48"/>
      <c r="J116" s="35">
        <f>D116*AF8</f>
        <v>16</v>
      </c>
      <c r="K116" s="36" t="s">
        <v>30</v>
      </c>
      <c r="L116" s="37" t="s">
        <v>30</v>
      </c>
      <c r="M116" s="45"/>
    </row>
    <row r="117" spans="1:21" x14ac:dyDescent="0.3">
      <c r="J117" s="39"/>
      <c r="K117" s="39"/>
      <c r="L117" s="39"/>
    </row>
    <row r="120" spans="1:21" x14ac:dyDescent="0.3">
      <c r="A120" t="s">
        <v>65</v>
      </c>
    </row>
    <row r="121" spans="1:21" ht="23.25" x14ac:dyDescent="0.25">
      <c r="A121" s="7" t="s">
        <v>17</v>
      </c>
      <c r="B121" s="1"/>
      <c r="C121" s="1"/>
      <c r="D121" s="1"/>
      <c r="E121" s="1"/>
      <c r="F121" s="17"/>
      <c r="G121" s="69" t="s">
        <v>71</v>
      </c>
      <c r="H121" s="70"/>
      <c r="I121" s="71"/>
      <c r="J121" s="72" t="s">
        <v>72</v>
      </c>
      <c r="K121" s="70"/>
      <c r="L121" s="71"/>
      <c r="M121" s="72" t="s">
        <v>73</v>
      </c>
      <c r="N121" s="70"/>
      <c r="O121" s="71"/>
      <c r="P121" s="72" t="s">
        <v>74</v>
      </c>
      <c r="Q121" s="70"/>
      <c r="R121" s="71"/>
      <c r="S121" s="72" t="s">
        <v>75</v>
      </c>
      <c r="T121" s="70"/>
      <c r="U121" s="73"/>
    </row>
    <row r="122" spans="1:21" x14ac:dyDescent="0.3">
      <c r="A122" s="1"/>
      <c r="B122" s="1"/>
      <c r="C122" s="1"/>
      <c r="D122" s="1"/>
      <c r="E122" s="1"/>
      <c r="F122" s="17"/>
    </row>
    <row r="123" spans="1:21" ht="30" x14ac:dyDescent="0.25">
      <c r="A123" s="3" t="s">
        <v>18</v>
      </c>
      <c r="B123" s="3" t="s">
        <v>19</v>
      </c>
      <c r="C123" s="3" t="s">
        <v>20</v>
      </c>
      <c r="D123" s="3" t="s">
        <v>21</v>
      </c>
      <c r="E123" s="3" t="s">
        <v>22</v>
      </c>
      <c r="F123" s="18" t="s">
        <v>23</v>
      </c>
      <c r="G123" s="47"/>
    </row>
    <row r="124" spans="1:21" ht="30" x14ac:dyDescent="0.25">
      <c r="A124" s="5">
        <v>1</v>
      </c>
      <c r="B124" s="5" t="s">
        <v>49</v>
      </c>
      <c r="C124" s="5" t="s">
        <v>50</v>
      </c>
      <c r="D124" s="5">
        <v>4</v>
      </c>
      <c r="E124" s="4">
        <v>34.58</v>
      </c>
      <c r="F124" s="20">
        <v>138.32</v>
      </c>
      <c r="G124" s="44"/>
    </row>
    <row r="125" spans="1:21" ht="30" x14ac:dyDescent="0.25">
      <c r="A125" s="5">
        <v>2</v>
      </c>
      <c r="B125" s="5" t="s">
        <v>60</v>
      </c>
      <c r="C125" s="5" t="s">
        <v>61</v>
      </c>
      <c r="D125" s="5">
        <v>2</v>
      </c>
      <c r="E125" s="4">
        <v>102.24</v>
      </c>
      <c r="F125" s="20">
        <v>204.48</v>
      </c>
      <c r="G125" s="44"/>
    </row>
    <row r="126" spans="1:21" ht="30" x14ac:dyDescent="0.25">
      <c r="A126" s="5">
        <v>3</v>
      </c>
      <c r="B126" s="5" t="s">
        <v>49</v>
      </c>
      <c r="C126" s="5" t="s">
        <v>52</v>
      </c>
      <c r="D126" s="5">
        <v>4</v>
      </c>
      <c r="E126" s="4">
        <v>3.02</v>
      </c>
      <c r="F126" s="20">
        <v>12.08</v>
      </c>
      <c r="G126" s="44"/>
    </row>
    <row r="127" spans="1:21" ht="30" x14ac:dyDescent="0.25">
      <c r="A127" s="5">
        <v>4</v>
      </c>
      <c r="B127" s="5" t="s">
        <v>27</v>
      </c>
      <c r="C127" s="5" t="s">
        <v>40</v>
      </c>
      <c r="D127" s="5">
        <v>16</v>
      </c>
      <c r="E127" s="4">
        <v>2.36</v>
      </c>
      <c r="F127" s="20">
        <v>37.76</v>
      </c>
      <c r="G127" s="44"/>
    </row>
    <row r="128" spans="1:21" ht="30" x14ac:dyDescent="0.25">
      <c r="A128" s="5">
        <v>5</v>
      </c>
      <c r="B128" s="5" t="s">
        <v>27</v>
      </c>
      <c r="C128" s="5" t="s">
        <v>53</v>
      </c>
      <c r="D128" s="5">
        <v>8</v>
      </c>
      <c r="E128" s="4">
        <v>1.57</v>
      </c>
      <c r="F128" s="20">
        <v>12.56</v>
      </c>
      <c r="G128" s="44"/>
    </row>
    <row r="129" spans="1:7" x14ac:dyDescent="0.25">
      <c r="A129" s="5">
        <v>6</v>
      </c>
      <c r="B129" s="5" t="s">
        <v>30</v>
      </c>
      <c r="C129" s="5" t="s">
        <v>43</v>
      </c>
      <c r="D129" s="5">
        <v>16</v>
      </c>
      <c r="E129" s="5" t="s">
        <v>30</v>
      </c>
      <c r="F129" s="19" t="s">
        <v>30</v>
      </c>
      <c r="G129" s="40"/>
    </row>
  </sheetData>
  <mergeCells count="86">
    <mergeCell ref="A8:A9"/>
    <mergeCell ref="B8:B9"/>
    <mergeCell ref="D8:D9"/>
    <mergeCell ref="E8:E9"/>
    <mergeCell ref="F8:F9"/>
    <mergeCell ref="A6:A7"/>
    <mergeCell ref="B6:B7"/>
    <mergeCell ref="D6:D7"/>
    <mergeCell ref="E6:E7"/>
    <mergeCell ref="F6:F7"/>
    <mergeCell ref="A10:A11"/>
    <mergeCell ref="B10:B11"/>
    <mergeCell ref="D10:D11"/>
    <mergeCell ref="E10:E11"/>
    <mergeCell ref="F10:F11"/>
    <mergeCell ref="V9:AG9"/>
    <mergeCell ref="V24:AG24"/>
    <mergeCell ref="V12:AG12"/>
    <mergeCell ref="V15:AG15"/>
    <mergeCell ref="V3:AG3"/>
    <mergeCell ref="V6:AG6"/>
    <mergeCell ref="V18:AG18"/>
    <mergeCell ref="J3:L3"/>
    <mergeCell ref="G16:I16"/>
    <mergeCell ref="G3:I3"/>
    <mergeCell ref="G61:I61"/>
    <mergeCell ref="J61:L61"/>
    <mergeCell ref="J49:L49"/>
    <mergeCell ref="G49:I49"/>
    <mergeCell ref="G38:I38"/>
    <mergeCell ref="J38:L38"/>
    <mergeCell ref="H6:H7"/>
    <mergeCell ref="I6:I7"/>
    <mergeCell ref="H8:H9"/>
    <mergeCell ref="I8:I9"/>
    <mergeCell ref="H10:H11"/>
    <mergeCell ref="H27:I27"/>
    <mergeCell ref="K27:L27"/>
    <mergeCell ref="M27:O27"/>
    <mergeCell ref="P27:R27"/>
    <mergeCell ref="S27:U27"/>
    <mergeCell ref="G6:G7"/>
    <mergeCell ref="G8:G9"/>
    <mergeCell ref="G10:G11"/>
    <mergeCell ref="J16:L16"/>
    <mergeCell ref="I10:I11"/>
    <mergeCell ref="P3:R3"/>
    <mergeCell ref="S3:U3"/>
    <mergeCell ref="M16:O16"/>
    <mergeCell ref="P16:R16"/>
    <mergeCell ref="S16:U16"/>
    <mergeCell ref="M3:O3"/>
    <mergeCell ref="M38:O38"/>
    <mergeCell ref="P38:R38"/>
    <mergeCell ref="S38:U38"/>
    <mergeCell ref="M49:O49"/>
    <mergeCell ref="P49:R49"/>
    <mergeCell ref="S49:U49"/>
    <mergeCell ref="M61:O61"/>
    <mergeCell ref="P61:R61"/>
    <mergeCell ref="S61:U61"/>
    <mergeCell ref="M73:O73"/>
    <mergeCell ref="P73:R73"/>
    <mergeCell ref="S73:U73"/>
    <mergeCell ref="M84:O84"/>
    <mergeCell ref="P84:R84"/>
    <mergeCell ref="S84:U84"/>
    <mergeCell ref="M96:O96"/>
    <mergeCell ref="P96:R96"/>
    <mergeCell ref="S96:U96"/>
    <mergeCell ref="M108:O108"/>
    <mergeCell ref="P108:R108"/>
    <mergeCell ref="S108:U108"/>
    <mergeCell ref="M121:O121"/>
    <mergeCell ref="P121:R121"/>
    <mergeCell ref="S121:U121"/>
    <mergeCell ref="G84:I84"/>
    <mergeCell ref="J84:L84"/>
    <mergeCell ref="G73:I73"/>
    <mergeCell ref="J73:L73"/>
    <mergeCell ref="G121:I121"/>
    <mergeCell ref="J121:L121"/>
    <mergeCell ref="G108:I108"/>
    <mergeCell ref="J108:L108"/>
    <mergeCell ref="G96:I96"/>
    <mergeCell ref="J96:L9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АО РТКомм.Ру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Шершова Мария Валерьевна</dc:creator>
  <cp:lastModifiedBy>Маркова Наталия Владимировна</cp:lastModifiedBy>
  <dcterms:created xsi:type="dcterms:W3CDTF">2026-07-13T08:22:38Z</dcterms:created>
  <dcterms:modified xsi:type="dcterms:W3CDTF">2026-07-13T13:34:47Z</dcterms:modified>
</cp:coreProperties>
</file>