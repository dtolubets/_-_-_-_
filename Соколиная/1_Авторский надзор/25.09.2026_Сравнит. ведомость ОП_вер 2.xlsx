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Оля Карманова\Работа\_ИВАН\Школа\_РД _ Отопление\21.09.2026\"/>
    </mc:Choice>
  </mc:AlternateContent>
  <xr:revisionPtr revIDLastSave="0" documentId="13_ncr:1_{9D11EA53-5599-46BF-A993-3A6124039CBD}" xr6:coauthVersionLast="47" xr6:coauthVersionMax="47" xr10:uidLastSave="{00000000-0000-0000-0000-000000000000}"/>
  <bookViews>
    <workbookView xWindow="-120" yWindow="-120" windowWidth="29040" windowHeight="15840" xr2:uid="{8A521433-3F2E-4257-B6A8-713DE8D50AB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3" i="1" l="1"/>
  <c r="H35" i="1"/>
  <c r="G36" i="1"/>
  <c r="G26" i="1"/>
  <c r="G34" i="1"/>
  <c r="G27" i="1"/>
  <c r="G5" i="1"/>
  <c r="G6" i="1"/>
  <c r="G8" i="1"/>
  <c r="H9" i="1"/>
  <c r="G10" i="1"/>
  <c r="G12" i="1"/>
  <c r="G13" i="1"/>
  <c r="G14" i="1"/>
  <c r="H15" i="1"/>
  <c r="G16" i="1"/>
  <c r="G17" i="1"/>
  <c r="H18" i="1"/>
  <c r="H19" i="1"/>
  <c r="G20" i="1"/>
  <c r="G21" i="1"/>
  <c r="G22" i="1"/>
  <c r="G23" i="1"/>
  <c r="G25" i="1"/>
  <c r="G28" i="1"/>
  <c r="G29" i="1"/>
  <c r="G31" i="1"/>
  <c r="G32" i="1"/>
  <c r="G33" i="1"/>
  <c r="G39" i="1"/>
  <c r="G40" i="1"/>
  <c r="H41" i="1"/>
  <c r="H42" i="1"/>
  <c r="H43" i="1"/>
  <c r="H44" i="1"/>
  <c r="H46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G7" i="1"/>
</calcChain>
</file>

<file path=xl/sharedStrings.xml><?xml version="1.0" encoding="utf-8"?>
<sst xmlns="http://schemas.openxmlformats.org/spreadsheetml/2006/main" count="142" uniqueCount="80">
  <si>
    <t>1.    Отопительный прибор стальной панельный EVRA Compact C22, высота H =500мм</t>
  </si>
  <si>
    <t>EVRA C22-50-400</t>
  </si>
  <si>
    <t>шт.</t>
  </si>
  <si>
    <t>EVRA C22-50-700</t>
  </si>
  <si>
    <t>EVRA C22-50-900</t>
  </si>
  <si>
    <t>EVRA C22-50-1000</t>
  </si>
  <si>
    <t>EVRA C22-50-1100</t>
  </si>
  <si>
    <t>EVRA C22-50-1200</t>
  </si>
  <si>
    <t>2.    Отопительный прибор стальной панельный EVRA Compact C22, высота H =400мм</t>
  </si>
  <si>
    <t>EVRA C22-40-1200</t>
  </si>
  <si>
    <t>3.    Отопительный прибор стальной панельный EVRA Compact C33, высота H =500мм</t>
  </si>
  <si>
    <t>EVRA C33-50-1100</t>
  </si>
  <si>
    <t>4.          Отопительный прибор стальной панельный EVRA Compact C33, высота H =600мм</t>
  </si>
  <si>
    <t>EVRA C33-60-1200</t>
  </si>
  <si>
    <t>EVRA C33-60-1600</t>
  </si>
  <si>
    <t>5.    Отопительный прибор стальной панельный EVRA Ventil Compact, тип CV22, высота H = 500 мм, с встроенным термостатическим вентилем.</t>
  </si>
  <si>
    <t>EVRA CV22-50-400</t>
  </si>
  <si>
    <t>EVRA CV22-50-500</t>
  </si>
  <si>
    <t>EVRA CV22-50-600</t>
  </si>
  <si>
    <t>EVRA CV22-50-700</t>
  </si>
  <si>
    <t>EVRA CV22-50-800</t>
  </si>
  <si>
    <t>EVRA CV22-50-900</t>
  </si>
  <si>
    <t>EVRA CV22-50-1000</t>
  </si>
  <si>
    <t>EVRA CV22-50-1100</t>
  </si>
  <si>
    <t>EVRA CV22-50-1200</t>
  </si>
  <si>
    <t>EVRA CV22-50-1300</t>
  </si>
  <si>
    <t>EVRA CV22-50-1400</t>
  </si>
  <si>
    <t>EVRA CV22-50-1600</t>
  </si>
  <si>
    <t>6.    Отопительный прибор стальной панельный EVRA Ventil Compact, тип CV33, высота H = 600 мм, с встроенным термостатическим вентилем.</t>
  </si>
  <si>
    <t>EVRA CV33-60-1600</t>
  </si>
  <si>
    <t>7.    Отопительный прибор стальной панельный EVRA Ventil Compact, тип CV33, высота H = 500 мм, с встроенным термостатическим вентилем.</t>
  </si>
  <si>
    <t>EVRA CV33-50-1200</t>
  </si>
  <si>
    <t>EVRA CV33-50-1400</t>
  </si>
  <si>
    <t>8.    Отопительный прибор стальной панельный гигиенического исполнения EVRA Ventil Hygiene, с встроенным термостатическим вентилем.</t>
  </si>
  <si>
    <t>EVRA HV30-60-1600</t>
  </si>
  <si>
    <t>EVRA HV30-60-1800</t>
  </si>
  <si>
    <t>EVRA HV20-50-1100</t>
  </si>
  <si>
    <t>EVRA HV20-50-700</t>
  </si>
  <si>
    <t>EVRA HV20-50-900</t>
  </si>
  <si>
    <t>EVRA HV20-50-1300</t>
  </si>
  <si>
    <t>EVRA HV10-50-400</t>
  </si>
  <si>
    <t>9.    Трубчатый дизайн-радиатор EVRA DELTA RING с круглым профилем диаметром 42 мм:</t>
  </si>
  <si>
    <t>- EVRA DELTA RING H, 22сек, высота 500мм, RAL 9011 (боковое подключение) (длина 1092мм)</t>
  </si>
  <si>
    <t>Стало</t>
  </si>
  <si>
    <t>Было</t>
  </si>
  <si>
    <t>EVRA C22-50-500</t>
  </si>
  <si>
    <t>EVRA C22-50-600</t>
  </si>
  <si>
    <t>EVRA C22-50-1300</t>
  </si>
  <si>
    <t>EVRA C22-50-1400</t>
  </si>
  <si>
    <t>EVRA C22-50-1600</t>
  </si>
  <si>
    <t>EVRA C33-50-1000</t>
  </si>
  <si>
    <t>EVRA CV33-50-1000</t>
  </si>
  <si>
    <t>EVRA CV33-60-1200</t>
  </si>
  <si>
    <t>.- EVRA DELTA RING H, 28сек, высота 500мм RAL 9011 (боковое подключение) (длина 1392мм)</t>
  </si>
  <si>
    <t>.- EVRA DELTA RING H, 16сек, высота 500мм RAL 9011 (боковое подключение) (длина 792мм)</t>
  </si>
  <si>
    <t>.- EVRA DELTA RING H, 39сек, высота 500мм RAL 9010 (боковое подключение) (длина 1942мм)</t>
  </si>
  <si>
    <t xml:space="preserve"> </t>
  </si>
  <si>
    <t>.- EVRA DELTA RING H, 32сек, высота 500мм RAL 9010 (боковое подключение) (длина 1592мм)</t>
  </si>
  <si>
    <t>.- EVRA DELTA RING H, 34сек, высота 500мм RAL 9010 (боковое подключение) (длина 1692мм)</t>
  </si>
  <si>
    <t>.- EVRA DELTA RING V, 21сек, высота 900мм RAL 9011 (нижне подключение) (длина 1042мм) +  EVRA DELTA SMART DUO M30x1,5 (Черный, RAL 9005)</t>
  </si>
  <si>
    <t>- EVRA DELTA RING H, 20сек, высота 500мм RAL 9011 (боковое подключение) (длина 992мм)</t>
  </si>
  <si>
    <t>- EVRA DELTA RING H, 22сек, высота 500мм RAL 9011 (боковое подключение) (длина 1092мм)</t>
  </si>
  <si>
    <t>- EVRA DELTA RING H, 23сек, высота 500мм RAL 9010 (боковое подключение) (длина 1142мм)</t>
  </si>
  <si>
    <t>- EVRA DELTA RING H, 22сек, высота 900мм RAL 9011 (боковое подключение) (длина 1092мм)</t>
  </si>
  <si>
    <t>- EVRA DELTA RING V, 20сек, высота 500мм RAL 9011 (нижнее подключение) (длина 992мм) + EVRA DELTA SMART DUO M30x1,5 (Черный, RAL 9005)</t>
  </si>
  <si>
    <t>- EVRA DELTA RING H, 33сек, высота 500мм RAL 9010 (боковое подключение) (длина 1642мм)</t>
  </si>
  <si>
    <t>- EVRA DELTA RING H, 17сек, высота 500мм RAL 9010 (боковое подключение) (длина 842мм)</t>
  </si>
  <si>
    <t>- EVRA DELTA RING H, 19сек, высота 500мм RAL 9010 (боковое подключение) (длина 942мм)</t>
  </si>
  <si>
    <t>- EVRA DELTA RING H, 16сек, высота 500мм RAL 9010 (боковое подключение) (длина 792мм)</t>
  </si>
  <si>
    <t>- EVRA DELTA RING H, 15сек, высота 500мм RAL 9011 (боковое подключение) (длина 742мм)</t>
  </si>
  <si>
    <t>- EVRA DELTA RING H,  33сек, высота 500мм RAL 9010 (боковое подключение)  (длина 1642мм)</t>
  </si>
  <si>
    <t>- EVRA DELTA RING H, 15сек, высота 500мм RAL 9010 (боковое подключение) (длина 742мм)</t>
  </si>
  <si>
    <t>- EVRA DELTA RING H, 14сек, высота 500мм RAL 9011 (боковое подключение) (длина 692мм)</t>
  </si>
  <si>
    <t>- EVRA DELTA RING H, 14сек, высота 500мм RAL 9010 (боковое подключение) (длина 692мм)</t>
  </si>
  <si>
    <t>- EVRA DELTA RING H, 27сек, высота 500мм RAL 9011 (боковое подключение) (длина 1342мм)</t>
  </si>
  <si>
    <t>Наименование</t>
  </si>
  <si>
    <t>Марка</t>
  </si>
  <si>
    <t>Ед. изм.</t>
  </si>
  <si>
    <t>Лишние</t>
  </si>
  <si>
    <t>Докупить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</si>
</sst>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8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b/>
      <sz val="12"/>
      <color rgb="FF00B050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1" fillId="0" borderId="2" xfId="0" applyFont="1" applyBorder="1" applyAlignment="1">
      <alignment wrapText="1"/>
    </xf>
    <xf numFmtId="49" fontId="1" fillId="0" borderId="2" xfId="0" applyNumberFormat="1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B22E-E9FB-460E-A79B-7C794DD17630}">
  <dimension ref="A2:V77"/>
  <sheetViews>
    <sheetView tabSelected="1" workbookViewId="0">
      <selection activeCell="O15" sqref="O15"/>
    </sheetView>
  </sheetViews>
  <sheetFormatPr defaultRowHeight="15.75" x14ac:dyDescent="0.2"/>
  <cols>
    <col min="1" max="1" width="9.140625" style="1"/>
    <col min="2" max="2" width="74.28515625" style="2" customWidth="1"/>
    <col min="3" max="3" width="28.140625" style="15" customWidth="1"/>
    <col min="4" max="4" width="9.140625" style="15" customWidth="1"/>
    <col min="5" max="5" width="9.140625" style="16"/>
    <col min="6" max="6" width="9.140625" style="16" customWidth="1"/>
    <col min="7" max="7" width="13" style="15" customWidth="1"/>
    <col min="8" max="8" width="13.7109375" style="15" customWidth="1"/>
    <col min="9" max="9" width="9.140625" style="1"/>
    <col min="10" max="10" width="9.140625" style="10"/>
    <col min="11" max="15" width="9.140625" style="11"/>
    <col min="16" max="22" width="9.140625" style="1"/>
  </cols>
  <sheetData>
    <row r="2" spans="2:15" ht="16.5" thickBot="1" x14ac:dyDescent="0.25"/>
    <row r="3" spans="2:15" ht="34.5" customHeight="1" thickBot="1" x14ac:dyDescent="0.25">
      <c r="B3" s="9" t="s">
        <v>75</v>
      </c>
      <c r="C3" s="17" t="s">
        <v>76</v>
      </c>
      <c r="D3" s="17" t="s">
        <v>77</v>
      </c>
      <c r="E3" s="18" t="s">
        <v>43</v>
      </c>
      <c r="F3" s="18" t="s">
        <v>44</v>
      </c>
      <c r="G3" s="17" t="s">
        <v>78</v>
      </c>
      <c r="H3" s="17" t="s">
        <v>79</v>
      </c>
    </row>
    <row r="4" spans="2:15" ht="30" x14ac:dyDescent="0.2">
      <c r="B4" s="8" t="s">
        <v>0</v>
      </c>
      <c r="C4" s="19" t="s">
        <v>1</v>
      </c>
      <c r="D4" s="19" t="s">
        <v>2</v>
      </c>
      <c r="E4" s="20">
        <v>2</v>
      </c>
      <c r="F4" s="20">
        <v>2</v>
      </c>
      <c r="G4" s="21"/>
      <c r="H4" s="21"/>
    </row>
    <row r="5" spans="2:15" x14ac:dyDescent="0.2">
      <c r="B5" s="4"/>
      <c r="C5" s="22" t="s">
        <v>45</v>
      </c>
      <c r="D5" s="22" t="s">
        <v>2</v>
      </c>
      <c r="E5" s="14">
        <v>0</v>
      </c>
      <c r="F5" s="14">
        <v>2</v>
      </c>
      <c r="G5" s="22">
        <f>E5-F5</f>
        <v>-2</v>
      </c>
      <c r="H5" s="22"/>
    </row>
    <row r="6" spans="2:15" x14ac:dyDescent="0.2">
      <c r="B6" s="4"/>
      <c r="C6" s="22" t="s">
        <v>46</v>
      </c>
      <c r="D6" s="22" t="s">
        <v>2</v>
      </c>
      <c r="E6" s="14">
        <v>0</v>
      </c>
      <c r="F6" s="14">
        <v>2</v>
      </c>
      <c r="G6" s="22">
        <f>E6-F6</f>
        <v>-2</v>
      </c>
      <c r="H6" s="22"/>
    </row>
    <row r="7" spans="2:15" x14ac:dyDescent="0.2">
      <c r="B7" s="4"/>
      <c r="C7" s="22" t="s">
        <v>3</v>
      </c>
      <c r="D7" s="22" t="s">
        <v>2</v>
      </c>
      <c r="E7" s="14">
        <v>2</v>
      </c>
      <c r="F7" s="14">
        <v>4</v>
      </c>
      <c r="G7" s="22">
        <f>E7-F7</f>
        <v>-2</v>
      </c>
      <c r="H7" s="22"/>
    </row>
    <row r="8" spans="2:15" x14ac:dyDescent="0.2">
      <c r="B8" s="4"/>
      <c r="C8" s="22" t="s">
        <v>4</v>
      </c>
      <c r="D8" s="22" t="s">
        <v>2</v>
      </c>
      <c r="E8" s="14">
        <v>5</v>
      </c>
      <c r="F8" s="14">
        <v>6</v>
      </c>
      <c r="G8" s="22">
        <f>E8-F8</f>
        <v>-1</v>
      </c>
      <c r="H8" s="22"/>
    </row>
    <row r="9" spans="2:15" x14ac:dyDescent="0.2">
      <c r="B9" s="4"/>
      <c r="C9" s="22" t="s">
        <v>5</v>
      </c>
      <c r="D9" s="22" t="s">
        <v>2</v>
      </c>
      <c r="E9" s="14">
        <v>19</v>
      </c>
      <c r="F9" s="14">
        <v>17</v>
      </c>
      <c r="G9" s="22"/>
      <c r="H9" s="22">
        <f>E9-F9</f>
        <v>2</v>
      </c>
    </row>
    <row r="10" spans="2:15" x14ac:dyDescent="0.2">
      <c r="B10" s="4"/>
      <c r="C10" s="22" t="s">
        <v>6</v>
      </c>
      <c r="D10" s="22" t="s">
        <v>2</v>
      </c>
      <c r="E10" s="14">
        <v>0</v>
      </c>
      <c r="F10" s="14">
        <v>1</v>
      </c>
      <c r="G10" s="22">
        <f>E10-F10</f>
        <v>-1</v>
      </c>
      <c r="H10" s="22"/>
    </row>
    <row r="11" spans="2:15" x14ac:dyDescent="0.2">
      <c r="B11" s="4"/>
      <c r="C11" s="23" t="s">
        <v>7</v>
      </c>
      <c r="D11" s="23" t="s">
        <v>2</v>
      </c>
      <c r="E11" s="24">
        <v>5</v>
      </c>
      <c r="F11" s="25">
        <v>4</v>
      </c>
      <c r="G11" s="22"/>
      <c r="H11" s="26">
        <v>1</v>
      </c>
      <c r="O11" s="12"/>
    </row>
    <row r="12" spans="2:15" x14ac:dyDescent="0.2">
      <c r="B12" s="4"/>
      <c r="C12" s="22" t="s">
        <v>47</v>
      </c>
      <c r="D12" s="22" t="s">
        <v>2</v>
      </c>
      <c r="E12" s="14">
        <v>0</v>
      </c>
      <c r="F12" s="14">
        <v>1</v>
      </c>
      <c r="G12" s="22">
        <f>E12-F12</f>
        <v>-1</v>
      </c>
      <c r="H12" s="22"/>
      <c r="O12" s="13"/>
    </row>
    <row r="13" spans="2:15" x14ac:dyDescent="0.2">
      <c r="B13" s="4"/>
      <c r="C13" s="22" t="s">
        <v>48</v>
      </c>
      <c r="D13" s="22" t="s">
        <v>2</v>
      </c>
      <c r="E13" s="14">
        <v>0</v>
      </c>
      <c r="F13" s="14">
        <v>1</v>
      </c>
      <c r="G13" s="22">
        <f>E13-F13</f>
        <v>-1</v>
      </c>
      <c r="H13" s="22"/>
      <c r="O13" s="13"/>
    </row>
    <row r="14" spans="2:15" x14ac:dyDescent="0.2">
      <c r="B14" s="4"/>
      <c r="C14" s="22" t="s">
        <v>49</v>
      </c>
      <c r="D14" s="22" t="s">
        <v>2</v>
      </c>
      <c r="E14" s="14">
        <v>0</v>
      </c>
      <c r="F14" s="14">
        <v>1</v>
      </c>
      <c r="G14" s="22">
        <f>E14-F14</f>
        <v>-1</v>
      </c>
      <c r="H14" s="22"/>
      <c r="O14" s="12"/>
    </row>
    <row r="15" spans="2:15" ht="30" x14ac:dyDescent="0.2">
      <c r="B15" s="4" t="s">
        <v>8</v>
      </c>
      <c r="C15" s="22" t="s">
        <v>9</v>
      </c>
      <c r="D15" s="22" t="s">
        <v>2</v>
      </c>
      <c r="E15" s="14">
        <v>1</v>
      </c>
      <c r="F15" s="14">
        <v>0</v>
      </c>
      <c r="G15" s="22"/>
      <c r="H15" s="22">
        <f>E15-F15</f>
        <v>1</v>
      </c>
      <c r="O15" s="13"/>
    </row>
    <row r="16" spans="2:15" ht="30" x14ac:dyDescent="0.2">
      <c r="B16" s="4" t="s">
        <v>10</v>
      </c>
      <c r="C16" s="22" t="s">
        <v>50</v>
      </c>
      <c r="D16" s="22" t="s">
        <v>2</v>
      </c>
      <c r="E16" s="14">
        <v>0</v>
      </c>
      <c r="F16" s="14">
        <v>3</v>
      </c>
      <c r="G16" s="22">
        <f>E16-F16</f>
        <v>-3</v>
      </c>
      <c r="H16" s="22"/>
      <c r="O16" s="12"/>
    </row>
    <row r="17" spans="2:15" x14ac:dyDescent="0.2">
      <c r="B17" s="4"/>
      <c r="C17" s="22" t="s">
        <v>11</v>
      </c>
      <c r="D17" s="22" t="s">
        <v>2</v>
      </c>
      <c r="E17" s="14">
        <v>0</v>
      </c>
      <c r="F17" s="14">
        <v>3</v>
      </c>
      <c r="G17" s="22">
        <f>E17-F17</f>
        <v>-3</v>
      </c>
      <c r="H17" s="22"/>
      <c r="O17" s="13"/>
    </row>
    <row r="18" spans="2:15" ht="30" x14ac:dyDescent="0.2">
      <c r="B18" s="4" t="s">
        <v>12</v>
      </c>
      <c r="C18" s="22" t="s">
        <v>13</v>
      </c>
      <c r="D18" s="22" t="s">
        <v>2</v>
      </c>
      <c r="E18" s="14">
        <v>1</v>
      </c>
      <c r="F18" s="14">
        <v>0</v>
      </c>
      <c r="G18" s="22"/>
      <c r="H18" s="22">
        <f>E18-F18</f>
        <v>1</v>
      </c>
    </row>
    <row r="19" spans="2:15" x14ac:dyDescent="0.2">
      <c r="B19" s="4"/>
      <c r="C19" s="22" t="s">
        <v>14</v>
      </c>
      <c r="D19" s="22" t="s">
        <v>2</v>
      </c>
      <c r="E19" s="14">
        <v>2</v>
      </c>
      <c r="F19" s="14">
        <v>0</v>
      </c>
      <c r="G19" s="22"/>
      <c r="H19" s="22">
        <f>E19-F19</f>
        <v>2</v>
      </c>
    </row>
    <row r="20" spans="2:15" ht="45" x14ac:dyDescent="0.2">
      <c r="B20" s="4" t="s">
        <v>15</v>
      </c>
      <c r="C20" s="22" t="s">
        <v>16</v>
      </c>
      <c r="D20" s="22" t="s">
        <v>2</v>
      </c>
      <c r="E20" s="24">
        <v>0</v>
      </c>
      <c r="F20" s="14">
        <v>4</v>
      </c>
      <c r="G20" s="26">
        <f t="shared" ref="G20:G36" si="0">E20-F20</f>
        <v>-4</v>
      </c>
      <c r="H20" s="22"/>
    </row>
    <row r="21" spans="2:15" x14ac:dyDescent="0.2">
      <c r="B21" s="4"/>
      <c r="C21" s="22" t="s">
        <v>17</v>
      </c>
      <c r="D21" s="22" t="s">
        <v>2</v>
      </c>
      <c r="E21" s="14">
        <v>13</v>
      </c>
      <c r="F21" s="14">
        <v>14</v>
      </c>
      <c r="G21" s="22">
        <f t="shared" si="0"/>
        <v>-1</v>
      </c>
      <c r="H21" s="22"/>
    </row>
    <row r="22" spans="2:15" x14ac:dyDescent="0.2">
      <c r="B22" s="4"/>
      <c r="C22" s="22" t="s">
        <v>18</v>
      </c>
      <c r="D22" s="22" t="s">
        <v>2</v>
      </c>
      <c r="E22" s="14">
        <v>43</v>
      </c>
      <c r="F22" s="14">
        <v>45</v>
      </c>
      <c r="G22" s="22">
        <f t="shared" si="0"/>
        <v>-2</v>
      </c>
      <c r="H22" s="22"/>
    </row>
    <row r="23" spans="2:15" x14ac:dyDescent="0.2">
      <c r="B23" s="4"/>
      <c r="C23" s="22" t="s">
        <v>19</v>
      </c>
      <c r="D23" s="22" t="s">
        <v>2</v>
      </c>
      <c r="E23" s="14">
        <v>56</v>
      </c>
      <c r="F23" s="14">
        <v>58</v>
      </c>
      <c r="G23" s="22">
        <f t="shared" si="0"/>
        <v>-2</v>
      </c>
      <c r="H23" s="22"/>
    </row>
    <row r="24" spans="2:15" x14ac:dyDescent="0.2">
      <c r="B24" s="4"/>
      <c r="C24" s="27" t="s">
        <v>20</v>
      </c>
      <c r="D24" s="27" t="s">
        <v>2</v>
      </c>
      <c r="E24" s="24">
        <v>37</v>
      </c>
      <c r="F24" s="28">
        <v>37</v>
      </c>
      <c r="G24" s="22"/>
      <c r="H24" s="22"/>
    </row>
    <row r="25" spans="2:15" x14ac:dyDescent="0.2">
      <c r="B25" s="4"/>
      <c r="C25" s="22" t="s">
        <v>21</v>
      </c>
      <c r="D25" s="22" t="s">
        <v>2</v>
      </c>
      <c r="E25" s="14">
        <v>40</v>
      </c>
      <c r="F25" s="14">
        <v>54</v>
      </c>
      <c r="G25" s="22">
        <f t="shared" si="0"/>
        <v>-14</v>
      </c>
      <c r="H25" s="22"/>
    </row>
    <row r="26" spans="2:15" x14ac:dyDescent="0.2">
      <c r="B26" s="4"/>
      <c r="C26" s="22" t="s">
        <v>22</v>
      </c>
      <c r="D26" s="22" t="s">
        <v>2</v>
      </c>
      <c r="E26" s="24">
        <v>23</v>
      </c>
      <c r="F26" s="14">
        <v>31</v>
      </c>
      <c r="G26" s="26">
        <f t="shared" si="0"/>
        <v>-8</v>
      </c>
      <c r="H26" s="22"/>
    </row>
    <row r="27" spans="2:15" x14ac:dyDescent="0.2">
      <c r="B27" s="4"/>
      <c r="C27" s="22" t="s">
        <v>23</v>
      </c>
      <c r="D27" s="22" t="s">
        <v>2</v>
      </c>
      <c r="E27" s="24">
        <v>29</v>
      </c>
      <c r="F27" s="14">
        <v>30</v>
      </c>
      <c r="G27" s="26">
        <f t="shared" si="0"/>
        <v>-1</v>
      </c>
      <c r="H27" s="22"/>
    </row>
    <row r="28" spans="2:15" x14ac:dyDescent="0.2">
      <c r="B28" s="4"/>
      <c r="C28" s="22" t="s">
        <v>24</v>
      </c>
      <c r="D28" s="22" t="s">
        <v>2</v>
      </c>
      <c r="E28" s="24">
        <v>22</v>
      </c>
      <c r="F28" s="14">
        <v>27</v>
      </c>
      <c r="G28" s="26">
        <f t="shared" si="0"/>
        <v>-5</v>
      </c>
      <c r="H28" s="22"/>
    </row>
    <row r="29" spans="2:15" x14ac:dyDescent="0.2">
      <c r="B29" s="4"/>
      <c r="C29" s="22" t="s">
        <v>25</v>
      </c>
      <c r="D29" s="22" t="s">
        <v>2</v>
      </c>
      <c r="E29" s="14">
        <v>20</v>
      </c>
      <c r="F29" s="14">
        <v>21</v>
      </c>
      <c r="G29" s="22">
        <f t="shared" si="0"/>
        <v>-1</v>
      </c>
      <c r="H29" s="22"/>
    </row>
    <row r="30" spans="2:15" x14ac:dyDescent="0.2">
      <c r="B30" s="4"/>
      <c r="C30" s="27" t="s">
        <v>26</v>
      </c>
      <c r="D30" s="27" t="s">
        <v>2</v>
      </c>
      <c r="E30" s="24">
        <v>5</v>
      </c>
      <c r="F30" s="28">
        <v>5</v>
      </c>
      <c r="G30" s="22"/>
      <c r="H30" s="22"/>
    </row>
    <row r="31" spans="2:15" x14ac:dyDescent="0.2">
      <c r="B31" s="4"/>
      <c r="C31" s="22" t="s">
        <v>27</v>
      </c>
      <c r="D31" s="22" t="s">
        <v>2</v>
      </c>
      <c r="E31" s="14">
        <v>12</v>
      </c>
      <c r="F31" s="14">
        <v>14</v>
      </c>
      <c r="G31" s="22">
        <f t="shared" si="0"/>
        <v>-2</v>
      </c>
      <c r="H31" s="22"/>
    </row>
    <row r="32" spans="2:15" ht="45" x14ac:dyDescent="0.2">
      <c r="B32" s="4" t="s">
        <v>28</v>
      </c>
      <c r="C32" s="22" t="s">
        <v>29</v>
      </c>
      <c r="D32" s="22" t="s">
        <v>2</v>
      </c>
      <c r="E32" s="14">
        <v>19</v>
      </c>
      <c r="F32" s="14">
        <v>21</v>
      </c>
      <c r="G32" s="22">
        <f t="shared" si="0"/>
        <v>-2</v>
      </c>
      <c r="H32" s="22"/>
    </row>
    <row r="33" spans="2:8" x14ac:dyDescent="0.2">
      <c r="B33" s="4"/>
      <c r="C33" s="22" t="s">
        <v>52</v>
      </c>
      <c r="D33" s="22" t="s">
        <v>2</v>
      </c>
      <c r="E33" s="14">
        <v>0</v>
      </c>
      <c r="F33" s="14">
        <v>1</v>
      </c>
      <c r="G33" s="22">
        <f t="shared" si="0"/>
        <v>-1</v>
      </c>
      <c r="H33" s="22"/>
    </row>
    <row r="34" spans="2:8" ht="45" x14ac:dyDescent="0.2">
      <c r="B34" s="4" t="s">
        <v>30</v>
      </c>
      <c r="C34" s="27" t="s">
        <v>51</v>
      </c>
      <c r="D34" s="27" t="s">
        <v>2</v>
      </c>
      <c r="E34" s="28">
        <v>7</v>
      </c>
      <c r="F34" s="28">
        <v>7</v>
      </c>
      <c r="G34" s="22">
        <f t="shared" si="0"/>
        <v>0</v>
      </c>
      <c r="H34" s="22"/>
    </row>
    <row r="35" spans="2:8" x14ac:dyDescent="0.2">
      <c r="B35" s="4"/>
      <c r="C35" s="22" t="s">
        <v>31</v>
      </c>
      <c r="D35" s="22" t="s">
        <v>2</v>
      </c>
      <c r="E35" s="14">
        <v>4</v>
      </c>
      <c r="F35" s="14">
        <v>0</v>
      </c>
      <c r="G35" s="22"/>
      <c r="H35" s="22">
        <f>E35-F35</f>
        <v>4</v>
      </c>
    </row>
    <row r="36" spans="2:8" x14ac:dyDescent="0.2">
      <c r="B36" s="4"/>
      <c r="C36" s="27" t="s">
        <v>32</v>
      </c>
      <c r="D36" s="27" t="s">
        <v>2</v>
      </c>
      <c r="E36" s="28">
        <v>4</v>
      </c>
      <c r="F36" s="28">
        <v>4</v>
      </c>
      <c r="G36" s="22">
        <f t="shared" si="0"/>
        <v>0</v>
      </c>
      <c r="H36" s="22"/>
    </row>
    <row r="37" spans="2:8" x14ac:dyDescent="0.2">
      <c r="B37" s="4"/>
      <c r="C37" s="22"/>
      <c r="D37" s="22"/>
      <c r="E37" s="14"/>
      <c r="F37" s="14"/>
      <c r="G37" s="22"/>
      <c r="H37" s="22"/>
    </row>
    <row r="38" spans="2:8" x14ac:dyDescent="0.2">
      <c r="B38" s="4"/>
      <c r="C38" s="22"/>
      <c r="D38" s="22"/>
      <c r="E38" s="14"/>
      <c r="F38" s="14"/>
      <c r="G38" s="22"/>
      <c r="H38" s="22"/>
    </row>
    <row r="39" spans="2:8" ht="45" x14ac:dyDescent="0.2">
      <c r="B39" s="4" t="s">
        <v>33</v>
      </c>
      <c r="C39" s="27" t="s">
        <v>34</v>
      </c>
      <c r="D39" s="27" t="s">
        <v>2</v>
      </c>
      <c r="E39" s="28">
        <v>2</v>
      </c>
      <c r="F39" s="28">
        <v>2</v>
      </c>
      <c r="G39" s="22">
        <f>E39-F39</f>
        <v>0</v>
      </c>
      <c r="H39" s="22"/>
    </row>
    <row r="40" spans="2:8" ht="16.5" thickBot="1" x14ac:dyDescent="0.25">
      <c r="B40" s="6"/>
      <c r="C40" s="29" t="s">
        <v>35</v>
      </c>
      <c r="D40" s="29" t="s">
        <v>2</v>
      </c>
      <c r="E40" s="30">
        <v>2</v>
      </c>
      <c r="F40" s="30">
        <v>2</v>
      </c>
      <c r="G40" s="31">
        <f>E40-F40</f>
        <v>0</v>
      </c>
      <c r="H40" s="31"/>
    </row>
    <row r="41" spans="2:8" x14ac:dyDescent="0.2">
      <c r="B41" s="7"/>
      <c r="C41" s="32" t="s">
        <v>36</v>
      </c>
      <c r="D41" s="32" t="s">
        <v>2</v>
      </c>
      <c r="E41" s="33">
        <v>1</v>
      </c>
      <c r="F41" s="33">
        <v>0</v>
      </c>
      <c r="G41" s="32"/>
      <c r="H41" s="32">
        <f>E41-F41</f>
        <v>1</v>
      </c>
    </row>
    <row r="42" spans="2:8" x14ac:dyDescent="0.2">
      <c r="B42" s="4"/>
      <c r="C42" s="22" t="s">
        <v>37</v>
      </c>
      <c r="D42" s="22" t="s">
        <v>2</v>
      </c>
      <c r="E42" s="14">
        <v>1</v>
      </c>
      <c r="F42" s="14">
        <v>0</v>
      </c>
      <c r="G42" s="22"/>
      <c r="H42" s="22">
        <f>E42-F42</f>
        <v>1</v>
      </c>
    </row>
    <row r="43" spans="2:8" x14ac:dyDescent="0.2">
      <c r="B43" s="4"/>
      <c r="C43" s="22" t="s">
        <v>38</v>
      </c>
      <c r="D43" s="22" t="s">
        <v>2</v>
      </c>
      <c r="E43" s="14">
        <v>1</v>
      </c>
      <c r="F43" s="14">
        <v>0</v>
      </c>
      <c r="G43" s="22"/>
      <c r="H43" s="22">
        <f>E43-F43</f>
        <v>1</v>
      </c>
    </row>
    <row r="44" spans="2:8" x14ac:dyDescent="0.2">
      <c r="B44" s="4"/>
      <c r="C44" s="22" t="s">
        <v>39</v>
      </c>
      <c r="D44" s="22" t="s">
        <v>2</v>
      </c>
      <c r="E44" s="14">
        <v>2</v>
      </c>
      <c r="F44" s="14">
        <v>0</v>
      </c>
      <c r="G44" s="22"/>
      <c r="H44" s="22">
        <f>E44-F44</f>
        <v>2</v>
      </c>
    </row>
    <row r="45" spans="2:8" x14ac:dyDescent="0.2">
      <c r="B45" s="4"/>
      <c r="C45" s="22"/>
      <c r="D45" s="22"/>
      <c r="E45" s="14"/>
      <c r="F45" s="14"/>
      <c r="G45" s="22"/>
      <c r="H45" s="22"/>
    </row>
    <row r="46" spans="2:8" x14ac:dyDescent="0.2">
      <c r="B46" s="4"/>
      <c r="C46" s="22" t="s">
        <v>40</v>
      </c>
      <c r="D46" s="22" t="s">
        <v>2</v>
      </c>
      <c r="E46" s="14">
        <v>1</v>
      </c>
      <c r="F46" s="14">
        <v>0</v>
      </c>
      <c r="G46" s="22"/>
      <c r="H46" s="22">
        <f>E46-F46</f>
        <v>1</v>
      </c>
    </row>
    <row r="47" spans="2:8" x14ac:dyDescent="0.2">
      <c r="B47" s="4"/>
      <c r="C47" s="22"/>
      <c r="D47" s="22"/>
      <c r="E47" s="14"/>
      <c r="F47" s="14"/>
      <c r="G47" s="22"/>
      <c r="H47" s="22"/>
    </row>
    <row r="48" spans="2:8" ht="30" x14ac:dyDescent="0.2">
      <c r="B48" s="4" t="s">
        <v>41</v>
      </c>
      <c r="C48" s="22"/>
      <c r="D48" s="22"/>
      <c r="E48" s="14"/>
      <c r="F48" s="14"/>
      <c r="G48" s="22"/>
      <c r="H48" s="22"/>
    </row>
    <row r="49" spans="2:8" ht="30" x14ac:dyDescent="0.2">
      <c r="B49" s="4" t="s">
        <v>42</v>
      </c>
      <c r="C49" s="22"/>
      <c r="D49" s="22" t="s">
        <v>2</v>
      </c>
      <c r="E49" s="14">
        <v>1</v>
      </c>
      <c r="F49" s="14">
        <v>0</v>
      </c>
      <c r="G49" s="22"/>
      <c r="H49" s="22">
        <f t="shared" ref="H49:H70" si="1">E49-F49</f>
        <v>1</v>
      </c>
    </row>
    <row r="50" spans="2:8" ht="30" x14ac:dyDescent="0.2">
      <c r="B50" s="4" t="s">
        <v>53</v>
      </c>
      <c r="C50" s="22"/>
      <c r="D50" s="22" t="s">
        <v>2</v>
      </c>
      <c r="E50" s="14">
        <v>2</v>
      </c>
      <c r="F50" s="14">
        <v>0</v>
      </c>
      <c r="G50" s="22"/>
      <c r="H50" s="22">
        <f t="shared" si="1"/>
        <v>2</v>
      </c>
    </row>
    <row r="51" spans="2:8" ht="30" x14ac:dyDescent="0.2">
      <c r="B51" s="4" t="s">
        <v>54</v>
      </c>
      <c r="C51" s="22"/>
      <c r="D51" s="22" t="s">
        <v>2</v>
      </c>
      <c r="E51" s="14">
        <v>2</v>
      </c>
      <c r="F51" s="14">
        <v>0</v>
      </c>
      <c r="G51" s="22"/>
      <c r="H51" s="22">
        <f t="shared" si="1"/>
        <v>2</v>
      </c>
    </row>
    <row r="52" spans="2:8" ht="30" x14ac:dyDescent="0.2">
      <c r="B52" s="4" t="s">
        <v>55</v>
      </c>
      <c r="C52" s="22"/>
      <c r="D52" s="22" t="s">
        <v>2</v>
      </c>
      <c r="E52" s="14">
        <v>2</v>
      </c>
      <c r="F52" s="14">
        <v>0</v>
      </c>
      <c r="G52" s="22"/>
      <c r="H52" s="22">
        <f t="shared" si="1"/>
        <v>2</v>
      </c>
    </row>
    <row r="53" spans="2:8" ht="30" x14ac:dyDescent="0.2">
      <c r="B53" s="4" t="s">
        <v>57</v>
      </c>
      <c r="C53" s="22"/>
      <c r="D53" s="22" t="s">
        <v>2</v>
      </c>
      <c r="E53" s="14">
        <v>4</v>
      </c>
      <c r="F53" s="14">
        <v>0</v>
      </c>
      <c r="G53" s="22"/>
      <c r="H53" s="22">
        <f t="shared" si="1"/>
        <v>4</v>
      </c>
    </row>
    <row r="54" spans="2:8" ht="30" x14ac:dyDescent="0.2">
      <c r="B54" s="4" t="s">
        <v>58</v>
      </c>
      <c r="C54" s="22"/>
      <c r="D54" s="22" t="s">
        <v>2</v>
      </c>
      <c r="E54" s="14">
        <v>2</v>
      </c>
      <c r="F54" s="14">
        <v>0</v>
      </c>
      <c r="G54" s="22"/>
      <c r="H54" s="22">
        <f t="shared" si="1"/>
        <v>2</v>
      </c>
    </row>
    <row r="55" spans="2:8" ht="45" x14ac:dyDescent="0.2">
      <c r="B55" s="4" t="s">
        <v>59</v>
      </c>
      <c r="C55" s="22"/>
      <c r="D55" s="22" t="s">
        <v>2</v>
      </c>
      <c r="E55" s="14">
        <v>1</v>
      </c>
      <c r="F55" s="14">
        <v>0</v>
      </c>
      <c r="G55" s="22"/>
      <c r="H55" s="22">
        <f t="shared" si="1"/>
        <v>1</v>
      </c>
    </row>
    <row r="56" spans="2:8" ht="30" x14ac:dyDescent="0.2">
      <c r="B56" s="5" t="s">
        <v>60</v>
      </c>
      <c r="C56" s="22"/>
      <c r="D56" s="22" t="s">
        <v>2</v>
      </c>
      <c r="E56" s="14">
        <v>2</v>
      </c>
      <c r="F56" s="14">
        <v>0</v>
      </c>
      <c r="G56" s="22"/>
      <c r="H56" s="22">
        <f t="shared" si="1"/>
        <v>2</v>
      </c>
    </row>
    <row r="57" spans="2:8" ht="30" x14ac:dyDescent="0.2">
      <c r="B57" s="5" t="s">
        <v>61</v>
      </c>
      <c r="C57" s="22"/>
      <c r="D57" s="22" t="s">
        <v>2</v>
      </c>
      <c r="E57" s="14">
        <v>9</v>
      </c>
      <c r="F57" s="14">
        <v>0</v>
      </c>
      <c r="G57" s="22"/>
      <c r="H57" s="22">
        <f t="shared" si="1"/>
        <v>9</v>
      </c>
    </row>
    <row r="58" spans="2:8" ht="30" x14ac:dyDescent="0.2">
      <c r="B58" s="5" t="s">
        <v>62</v>
      </c>
      <c r="C58" s="22"/>
      <c r="D58" s="22" t="s">
        <v>2</v>
      </c>
      <c r="E58" s="14">
        <v>2</v>
      </c>
      <c r="F58" s="14">
        <v>0</v>
      </c>
      <c r="G58" s="22"/>
      <c r="H58" s="22">
        <f t="shared" si="1"/>
        <v>2</v>
      </c>
    </row>
    <row r="59" spans="2:8" ht="30" x14ac:dyDescent="0.2">
      <c r="B59" s="5" t="s">
        <v>63</v>
      </c>
      <c r="C59" s="22"/>
      <c r="D59" s="22" t="s">
        <v>2</v>
      </c>
      <c r="E59" s="14">
        <v>2</v>
      </c>
      <c r="F59" s="14">
        <v>0</v>
      </c>
      <c r="G59" s="22"/>
      <c r="H59" s="22">
        <f t="shared" si="1"/>
        <v>2</v>
      </c>
    </row>
    <row r="60" spans="2:8" ht="45" x14ac:dyDescent="0.2">
      <c r="B60" s="5" t="s">
        <v>64</v>
      </c>
      <c r="C60" s="22"/>
      <c r="D60" s="22" t="s">
        <v>2</v>
      </c>
      <c r="E60" s="14">
        <v>1</v>
      </c>
      <c r="F60" s="14">
        <v>0</v>
      </c>
      <c r="G60" s="22"/>
      <c r="H60" s="22">
        <f t="shared" si="1"/>
        <v>1</v>
      </c>
    </row>
    <row r="61" spans="2:8" ht="30" x14ac:dyDescent="0.2">
      <c r="B61" s="5" t="s">
        <v>65</v>
      </c>
      <c r="C61" s="22"/>
      <c r="D61" s="22" t="s">
        <v>2</v>
      </c>
      <c r="E61" s="14">
        <v>3</v>
      </c>
      <c r="F61" s="14">
        <v>0</v>
      </c>
      <c r="G61" s="22"/>
      <c r="H61" s="22">
        <f t="shared" si="1"/>
        <v>3</v>
      </c>
    </row>
    <row r="62" spans="2:8" ht="30" x14ac:dyDescent="0.2">
      <c r="B62" s="5" t="s">
        <v>66</v>
      </c>
      <c r="C62" s="22"/>
      <c r="D62" s="22" t="s">
        <v>2</v>
      </c>
      <c r="E62" s="14">
        <v>1</v>
      </c>
      <c r="F62" s="14">
        <v>0</v>
      </c>
      <c r="G62" s="22"/>
      <c r="H62" s="22">
        <f t="shared" si="1"/>
        <v>1</v>
      </c>
    </row>
    <row r="63" spans="2:8" ht="30" x14ac:dyDescent="0.2">
      <c r="B63" s="5" t="s">
        <v>67</v>
      </c>
      <c r="C63" s="22"/>
      <c r="D63" s="22" t="s">
        <v>2</v>
      </c>
      <c r="E63" s="14">
        <v>3</v>
      </c>
      <c r="F63" s="14">
        <v>0</v>
      </c>
      <c r="G63" s="22"/>
      <c r="H63" s="22">
        <f t="shared" si="1"/>
        <v>3</v>
      </c>
    </row>
    <row r="64" spans="2:8" ht="30" x14ac:dyDescent="0.2">
      <c r="B64" s="5" t="s">
        <v>68</v>
      </c>
      <c r="C64" s="22"/>
      <c r="D64" s="22" t="s">
        <v>2</v>
      </c>
      <c r="E64" s="14">
        <v>4</v>
      </c>
      <c r="F64" s="14">
        <v>0</v>
      </c>
      <c r="G64" s="22"/>
      <c r="H64" s="22">
        <f t="shared" si="1"/>
        <v>4</v>
      </c>
    </row>
    <row r="65" spans="2:8" ht="30" x14ac:dyDescent="0.2">
      <c r="B65" s="5" t="s">
        <v>69</v>
      </c>
      <c r="C65" s="22"/>
      <c r="D65" s="22" t="s">
        <v>2</v>
      </c>
      <c r="E65" s="14">
        <v>2</v>
      </c>
      <c r="F65" s="14">
        <v>0</v>
      </c>
      <c r="G65" s="22"/>
      <c r="H65" s="22">
        <f t="shared" si="1"/>
        <v>2</v>
      </c>
    </row>
    <row r="66" spans="2:8" ht="30" x14ac:dyDescent="0.2">
      <c r="B66" s="5" t="s">
        <v>70</v>
      </c>
      <c r="C66" s="22"/>
      <c r="D66" s="22" t="s">
        <v>2</v>
      </c>
      <c r="E66" s="14">
        <v>1</v>
      </c>
      <c r="F66" s="14">
        <v>0</v>
      </c>
      <c r="G66" s="22"/>
      <c r="H66" s="22">
        <f t="shared" si="1"/>
        <v>1</v>
      </c>
    </row>
    <row r="67" spans="2:8" ht="30" x14ac:dyDescent="0.2">
      <c r="B67" s="5" t="s">
        <v>71</v>
      </c>
      <c r="C67" s="22"/>
      <c r="D67" s="22" t="s">
        <v>2</v>
      </c>
      <c r="E67" s="14">
        <v>2</v>
      </c>
      <c r="F67" s="14">
        <v>0</v>
      </c>
      <c r="G67" s="22"/>
      <c r="H67" s="22">
        <f t="shared" si="1"/>
        <v>2</v>
      </c>
    </row>
    <row r="68" spans="2:8" ht="30" x14ac:dyDescent="0.2">
      <c r="B68" s="5" t="s">
        <v>72</v>
      </c>
      <c r="C68" s="22"/>
      <c r="D68" s="22" t="s">
        <v>2</v>
      </c>
      <c r="E68" s="14">
        <v>2</v>
      </c>
      <c r="F68" s="14">
        <v>0</v>
      </c>
      <c r="G68" s="22"/>
      <c r="H68" s="22">
        <f t="shared" si="1"/>
        <v>2</v>
      </c>
    </row>
    <row r="69" spans="2:8" ht="30" x14ac:dyDescent="0.2">
      <c r="B69" s="5" t="s">
        <v>73</v>
      </c>
      <c r="C69" s="22"/>
      <c r="D69" s="22" t="s">
        <v>2</v>
      </c>
      <c r="E69" s="14">
        <v>2</v>
      </c>
      <c r="F69" s="14">
        <v>0</v>
      </c>
      <c r="G69" s="22"/>
      <c r="H69" s="22">
        <f t="shared" si="1"/>
        <v>2</v>
      </c>
    </row>
    <row r="70" spans="2:8" ht="30" x14ac:dyDescent="0.2">
      <c r="B70" s="5" t="s">
        <v>74</v>
      </c>
      <c r="C70" s="22"/>
      <c r="D70" s="22" t="s">
        <v>2</v>
      </c>
      <c r="E70" s="14">
        <v>1</v>
      </c>
      <c r="F70" s="14">
        <v>0</v>
      </c>
      <c r="G70" s="22"/>
      <c r="H70" s="22">
        <f t="shared" si="1"/>
        <v>1</v>
      </c>
    </row>
    <row r="71" spans="2:8" x14ac:dyDescent="0.2">
      <c r="B71" s="3" t="s">
        <v>56</v>
      </c>
    </row>
    <row r="72" spans="2:8" x14ac:dyDescent="0.2">
      <c r="B72" s="3" t="s">
        <v>56</v>
      </c>
    </row>
    <row r="73" spans="2:8" x14ac:dyDescent="0.2">
      <c r="B73" s="3"/>
      <c r="E73" s="16">
        <f>SUM(E4:E70)</f>
        <v>432</v>
      </c>
    </row>
    <row r="74" spans="2:8" x14ac:dyDescent="0.2">
      <c r="B74" s="3"/>
    </row>
    <row r="75" spans="2:8" x14ac:dyDescent="0.2">
      <c r="B75" s="3"/>
    </row>
    <row r="76" spans="2:8" x14ac:dyDescent="0.2">
      <c r="B76" s="3"/>
    </row>
    <row r="77" spans="2:8" x14ac:dyDescent="0.2">
      <c r="B77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7</cp:lastModifiedBy>
  <dcterms:created xsi:type="dcterms:W3CDTF">2026-09-24T11:42:37Z</dcterms:created>
  <dcterms:modified xsi:type="dcterms:W3CDTF">2026-09-25T09:07:00Z</dcterms:modified>
</cp:coreProperties>
</file>