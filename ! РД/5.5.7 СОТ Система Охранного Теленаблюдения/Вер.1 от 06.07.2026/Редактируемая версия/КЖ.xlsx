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R:\Объекты Кап. Ремонты\Московская школа 2026 ОЭК\429 5-я ул Соколиной горы 14_Инд проект\4.2 ПД\Том 5.5.7  СОТ ситема охранного теленаблюдения\V2\Редактируемая версия\"/>
    </mc:Choice>
  </mc:AlternateContent>
  <xr:revisionPtr revIDLastSave="0" documentId="13_ncr:1_{B1547CB1-2F6F-46DC-987E-7BFAADBA2D3D}" xr6:coauthVersionLast="47" xr6:coauthVersionMax="47" xr10:uidLastSave="{00000000-0000-0000-0000-000000000000}"/>
  <bookViews>
    <workbookView xWindow="-28920" yWindow="-120" windowWidth="29040" windowHeight="15840" xr2:uid="{DAEF09F0-CB9D-4C7D-BAFF-AD254669DE73}"/>
  </bookViews>
  <sheets>
    <sheet name="Summary" sheetId="1" r:id="rId1"/>
  </sheets>
  <definedNames>
    <definedName name="Summary">Summary!$A$1:$F$37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F22" i="1"/>
  <c r="F23" i="1"/>
  <c r="F24" i="1"/>
  <c r="F25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6" i="1"/>
  <c r="F27" i="1"/>
  <c r="F28" i="1"/>
  <c r="F29" i="1"/>
  <c r="F30" i="1"/>
  <c r="F31" i="1"/>
  <c r="F108" i="1"/>
  <c r="F10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39" i="1"/>
  <c r="F38" i="1"/>
  <c r="F33" i="1"/>
  <c r="F34" i="1"/>
  <c r="F35" i="1"/>
  <c r="F36" i="1"/>
  <c r="F37" i="1"/>
  <c r="F32" i="1"/>
  <c r="F78" i="1"/>
  <c r="F70" i="1"/>
  <c r="F68" i="1"/>
  <c r="F75" i="1"/>
  <c r="F73" i="1"/>
  <c r="F81" i="1"/>
  <c r="F67" i="1"/>
  <c r="F77" i="1"/>
  <c r="F76" i="1"/>
  <c r="F80" i="1"/>
  <c r="F66" i="1"/>
  <c r="F71" i="1"/>
  <c r="F72" i="1"/>
  <c r="F69" i="1"/>
  <c r="F74" i="1"/>
  <c r="F79" i="1"/>
  <c r="F119" i="1"/>
  <c r="F118" i="1"/>
  <c r="F112" i="1"/>
  <c r="F113" i="1"/>
  <c r="F107" i="1"/>
  <c r="F117" i="1"/>
  <c r="F115" i="1"/>
  <c r="F114" i="1"/>
  <c r="F116" i="1"/>
  <c r="F111" i="1"/>
  <c r="F106" i="1"/>
  <c r="F105" i="1"/>
  <c r="F110" i="1"/>
</calcChain>
</file>

<file path=xl/sharedStrings.xml><?xml version="1.0" encoding="utf-8"?>
<sst xmlns="http://schemas.openxmlformats.org/spreadsheetml/2006/main" count="789" uniqueCount="177">
  <si>
    <t>Номер_кабеля</t>
  </si>
  <si>
    <t>Откуда_идет</t>
  </si>
  <si>
    <t>Куда_приходит</t>
  </si>
  <si>
    <t>Марка_кабеля</t>
  </si>
  <si>
    <t>Длина</t>
  </si>
  <si>
    <t>-</t>
  </si>
  <si>
    <t>U/UTPcat5нг(А)-HF LSZH 4x2х0,51</t>
  </si>
  <si>
    <t>Столбец1</t>
  </si>
  <si>
    <t>Столбец2</t>
  </si>
  <si>
    <t>Столбец3</t>
  </si>
  <si>
    <t>ВК 0.1</t>
  </si>
  <si>
    <t>ВК 0.2</t>
  </si>
  <si>
    <t>ВК 0.3</t>
  </si>
  <si>
    <t>ВК 0.4</t>
  </si>
  <si>
    <t>ВК 0.5</t>
  </si>
  <si>
    <t>ВК 0.6</t>
  </si>
  <si>
    <t>ВК 0.7</t>
  </si>
  <si>
    <t>ВК 1.1</t>
  </si>
  <si>
    <t>ВК 1.2</t>
  </si>
  <si>
    <t>ВК 1.3</t>
  </si>
  <si>
    <t>ВК 1.4</t>
  </si>
  <si>
    <t>ВК 1.5</t>
  </si>
  <si>
    <t>ВК 1.6</t>
  </si>
  <si>
    <t>ВК 1.7</t>
  </si>
  <si>
    <t>ВК 1.8</t>
  </si>
  <si>
    <t>ВК 1.9</t>
  </si>
  <si>
    <t>ВК 1.10</t>
  </si>
  <si>
    <t>ВК 1.11</t>
  </si>
  <si>
    <t>ВК 1.12</t>
  </si>
  <si>
    <t>ВК 1.13</t>
  </si>
  <si>
    <t>ВК 1.14</t>
  </si>
  <si>
    <t>ВК 1.15</t>
  </si>
  <si>
    <t>ВК 1.16</t>
  </si>
  <si>
    <t>ВК 1.17</t>
  </si>
  <si>
    <t>ВК 1.18</t>
  </si>
  <si>
    <t>ВК 1.19</t>
  </si>
  <si>
    <t>ВК 1.20</t>
  </si>
  <si>
    <t>ВК 1.21</t>
  </si>
  <si>
    <t>ВК 1.22</t>
  </si>
  <si>
    <t>ВК 1.23</t>
  </si>
  <si>
    <t>ВК 1.24</t>
  </si>
  <si>
    <t>ВК 1.25</t>
  </si>
  <si>
    <t>ВК 1.26</t>
  </si>
  <si>
    <t>ВК 1.27</t>
  </si>
  <si>
    <t>ВК 1.28</t>
  </si>
  <si>
    <t>ВК 1.29</t>
  </si>
  <si>
    <t>ВК 1.30</t>
  </si>
  <si>
    <t>ВК 1.31</t>
  </si>
  <si>
    <t>ВК 1.32</t>
  </si>
  <si>
    <t>ВК 1.33</t>
  </si>
  <si>
    <t>ВК 1.34</t>
  </si>
  <si>
    <t>ВК 1.35</t>
  </si>
  <si>
    <t>ВКУ 1.1</t>
  </si>
  <si>
    <t>ВКУ 1.2</t>
  </si>
  <si>
    <t>ВКУ 1.3</t>
  </si>
  <si>
    <t>ВКУ 1.4</t>
  </si>
  <si>
    <t>ВКУ 1.5</t>
  </si>
  <si>
    <t>ВКУ 1.6</t>
  </si>
  <si>
    <t>ВКУ 1.7</t>
  </si>
  <si>
    <t>ВКУ 1.8</t>
  </si>
  <si>
    <t>ВКУ 1.9</t>
  </si>
  <si>
    <t>ВКУ 1.10</t>
  </si>
  <si>
    <t>ВКУ 1.11</t>
  </si>
  <si>
    <t>ВКУ 1.12</t>
  </si>
  <si>
    <t>ВКУ 1.13</t>
  </si>
  <si>
    <t>ВКУ 1.14</t>
  </si>
  <si>
    <t>ВКУ 1.15</t>
  </si>
  <si>
    <t>ВКУ 1.16</t>
  </si>
  <si>
    <t>ВКУ 1.17</t>
  </si>
  <si>
    <t>ВКУ 1.18</t>
  </si>
  <si>
    <t>ВКУ 1.19</t>
  </si>
  <si>
    <t>ВКУ 1.20</t>
  </si>
  <si>
    <t>ВКУ 1.21</t>
  </si>
  <si>
    <t>ВКУ 1.22</t>
  </si>
  <si>
    <t>ВКУ 1.23</t>
  </si>
  <si>
    <t>ВКУ 1.24</t>
  </si>
  <si>
    <t>ВКУ 1.25</t>
  </si>
  <si>
    <t>ВКУ 1.26</t>
  </si>
  <si>
    <t>ВКУ 1.27</t>
  </si>
  <si>
    <t>ВКУ 1.28</t>
  </si>
  <si>
    <t>ВКУ 1.29</t>
  </si>
  <si>
    <t>ВКУ 1.30</t>
  </si>
  <si>
    <t>ВКУ 1.31</t>
  </si>
  <si>
    <t>ВКУ 1.32</t>
  </si>
  <si>
    <t>ВКУ 1.33</t>
  </si>
  <si>
    <t>ВКУ 1.34</t>
  </si>
  <si>
    <t>ВКУ 1.35</t>
  </si>
  <si>
    <t>ВКУ 1.36</t>
  </si>
  <si>
    <t>ВКУ 1.37</t>
  </si>
  <si>
    <t>ВКУ 1.38</t>
  </si>
  <si>
    <t>ВК 2.1</t>
  </si>
  <si>
    <t>ВК 2.2</t>
  </si>
  <si>
    <t>ВК 2.3</t>
  </si>
  <si>
    <t>ВК 2.4</t>
  </si>
  <si>
    <t>ВК 2.5</t>
  </si>
  <si>
    <t>ВК 2.6</t>
  </si>
  <si>
    <t>ВК 2.7</t>
  </si>
  <si>
    <t>ВК 2.8</t>
  </si>
  <si>
    <t>ВК 2.9</t>
  </si>
  <si>
    <t>ВК 2.10</t>
  </si>
  <si>
    <t>ВК 2.11</t>
  </si>
  <si>
    <t>ВК 2.12</t>
  </si>
  <si>
    <t>ВК 2.13</t>
  </si>
  <si>
    <t>ВК 2.14</t>
  </si>
  <si>
    <t>ВК 2.15</t>
  </si>
  <si>
    <t>ВК 2.16</t>
  </si>
  <si>
    <t>ВК 2.17</t>
  </si>
  <si>
    <t>ВК 2.18</t>
  </si>
  <si>
    <t>ВК 2.19</t>
  </si>
  <si>
    <t>ВК 2.20</t>
  </si>
  <si>
    <t>ВК 2.21</t>
  </si>
  <si>
    <t>ВК 2.22</t>
  </si>
  <si>
    <t>ВК 2.23</t>
  </si>
  <si>
    <t>ВК 3.1</t>
  </si>
  <si>
    <t>ВК 3.2</t>
  </si>
  <si>
    <t>ВК 3.3</t>
  </si>
  <si>
    <t>ВК 3.4</t>
  </si>
  <si>
    <t>ВК 3.5</t>
  </si>
  <si>
    <t>ВК 3.6</t>
  </si>
  <si>
    <t>ВК 3.7</t>
  </si>
  <si>
    <t>ВК 3.8</t>
  </si>
  <si>
    <t>ВК 3.9</t>
  </si>
  <si>
    <t>ВК 3.10</t>
  </si>
  <si>
    <t>ВК 3.11</t>
  </si>
  <si>
    <t>ВК 3.12</t>
  </si>
  <si>
    <t>ВК 3.13</t>
  </si>
  <si>
    <t>ВК 3.14</t>
  </si>
  <si>
    <t>ВК 3.15</t>
  </si>
  <si>
    <t>ВК 3.16</t>
  </si>
  <si>
    <t>ВК 3.17</t>
  </si>
  <si>
    <t>ВК 3.18</t>
  </si>
  <si>
    <t>ВК 3.19</t>
  </si>
  <si>
    <t>ВК 3.20</t>
  </si>
  <si>
    <t>ВК 3.21</t>
  </si>
  <si>
    <t>ВК 3.22</t>
  </si>
  <si>
    <t>ВК 3.23</t>
  </si>
  <si>
    <t>ВК 3.24</t>
  </si>
  <si>
    <t>ВК 3.25</t>
  </si>
  <si>
    <t>ВК 3.26</t>
  </si>
  <si>
    <t>ВК 4.1</t>
  </si>
  <si>
    <t>ВК 4.2</t>
  </si>
  <si>
    <t>ВК 4.3</t>
  </si>
  <si>
    <t>ВК 4.4</t>
  </si>
  <si>
    <t>ВК 4.5</t>
  </si>
  <si>
    <t>ВК 4.6</t>
  </si>
  <si>
    <t>ВК 4.7</t>
  </si>
  <si>
    <t>ВК 4.8</t>
  </si>
  <si>
    <t>ВК 4.9</t>
  </si>
  <si>
    <t>ВК 4.10</t>
  </si>
  <si>
    <t>ВК 4.11</t>
  </si>
  <si>
    <t>ВК 4.12</t>
  </si>
  <si>
    <t>ВК 4.13</t>
  </si>
  <si>
    <t>ВК 4.14</t>
  </si>
  <si>
    <t>ВК 4.15</t>
  </si>
  <si>
    <t>ВК 4.16</t>
  </si>
  <si>
    <t>ВК 4.17</t>
  </si>
  <si>
    <t>ОБР-В-нг(А)-LSLTx 4 G.651-400H (OM3)</t>
  </si>
  <si>
    <t>СОТ-АРМ</t>
  </si>
  <si>
    <t>АРМ СОТ пом. №122(Помещение охраны)</t>
  </si>
  <si>
    <t>СОТ-СБ1.2</t>
  </si>
  <si>
    <t>СОТ-СБ2.1</t>
  </si>
  <si>
    <t>СОТ-СБ2.2</t>
  </si>
  <si>
    <t>СОТ-СБ3.1</t>
  </si>
  <si>
    <t>СОТ-СБ3.2</t>
  </si>
  <si>
    <t>СОТ-СБ4.1</t>
  </si>
  <si>
    <t>ВК 1.36</t>
  </si>
  <si>
    <t>ВК 4.18</t>
  </si>
  <si>
    <t>ВК 4.19</t>
  </si>
  <si>
    <t>Пом. №124 (Серверная), ТШ1.1 СБ</t>
  </si>
  <si>
    <t>Пом. №141 (Кроссовая), ТШ 1.2 СБ</t>
  </si>
  <si>
    <t>Пом. №220 (Кроссовая), ТШ 2.1 СБ</t>
  </si>
  <si>
    <t>Пом. №228 (Кроссовая), ТШ 2.2 СБ</t>
  </si>
  <si>
    <t>Пом. №322 (Кроссовая), ТШ 3.1 СБ</t>
  </si>
  <si>
    <t>Пом. №328 (Кроссовая), ТШ 3.2 СБ</t>
  </si>
  <si>
    <t>Пом. №422 (Кроссовая), ТШ 4.1 СБ</t>
  </si>
  <si>
    <t>Пом. №422 (Кроссовая), ТШ 4.1 СС (СКС)</t>
  </si>
  <si>
    <t>Таблица пропуска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</si>
</sst>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MS Sans Serif"/>
    </font>
    <font>
      <sz val="8"/>
      <name val="MS Sans Serif"/>
    </font>
    <font>
      <sz val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quotePrefix="1" applyFont="1"/>
    <xf numFmtId="0" fontId="2" fillId="0" borderId="0" xfId="0" applyFont="1"/>
    <xf numFmtId="0" fontId="2" fillId="0" borderId="0" xfId="0" quotePrefix="1" applyFont="1" applyAlignment="1">
      <alignment horizontal="center" vertical="center"/>
    </xf>
    <xf numFmtId="0" fontId="2" fillId="2" borderId="0" xfId="0" quotePrefix="1" applyFont="1" applyFill="1"/>
    <xf numFmtId="0" fontId="2" fillId="2" borderId="0" xfId="0" applyFont="1" applyFill="1"/>
  </cellXfs>
  <cellStyles count="1">
    <cellStyle name="Обычный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F90DEB-96A4-493E-95F2-E57E82964DC2}" name="Таблица1" displayName="Таблица1" ref="A1:H187" totalsRowShown="0" headerRowDxfId="16" dataDxfId="15">
  <autoFilter ref="A1:H187" xr:uid="{95F90DEB-96A4-493E-95F2-E57E82964DC2}"/>
  <tableColumns count="8">
    <tableColumn id="1" xr3:uid="{579F0E38-FC90-47A2-9F77-29A0677ACF21}" name="Номер_кабеля" dataDxfId="14" totalsRowDxfId="13"/>
    <tableColumn id="2" xr3:uid="{C604D0B1-DBCC-42B2-9035-15E55999D7BF}" name="Откуда_идет" dataDxfId="12" totalsRowDxfId="11"/>
    <tableColumn id="3" xr3:uid="{9ABD2BFB-2F36-4317-A299-B3698F95A81F}" name="Куда_приходит" dataDxfId="10" totalsRowDxfId="9"/>
    <tableColumn id="4" xr3:uid="{B9A49F7C-0C27-4756-B11A-43B0B557F95E}" name="Столбец1" dataDxfId="8" totalsRowDxfId="7"/>
    <tableColumn id="5" xr3:uid="{E75E99CC-2E0C-4F50-8E95-283BA9367E2C}" name="Марка_кабеля" dataDxfId="6" totalsRowDxfId="5"/>
    <tableColumn id="6" xr3:uid="{5CCCC9BF-0814-47C6-BE97-DC7087715CFE}" name="Длина" dataDxfId="4">
      <calculatedColumnFormula>ROUNDUP(Таблица1[[#This Row],[Столбец2]]*1.2,0)+5</calculatedColumnFormula>
    </tableColumn>
    <tableColumn id="7" xr3:uid="{3532E2BE-6A9D-4C8F-AE24-457691F36106}" name="Столбец2" dataDxfId="3" totalsRowDxfId="2"/>
    <tableColumn id="8" xr3:uid="{3BDB6298-B53A-435C-8A05-4A54BE84DFD7}" name="Столбец3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6E557-3E98-4064-A0AC-C3F3C194A1F8}">
  <dimension ref="A1:H187"/>
  <sheetViews>
    <sheetView tabSelected="1" zoomScale="115" zoomScaleNormal="115" workbookViewId="0">
      <selection activeCell="K15" sqref="K15"/>
    </sheetView>
  </sheetViews>
  <sheetFormatPr defaultRowHeight="12.75" x14ac:dyDescent="0.2"/>
  <cols>
    <col min="1" max="1" width="14.85546875" style="2" bestFit="1" customWidth="1"/>
    <col min="2" max="2" width="52" style="2" customWidth="1"/>
    <col min="3" max="3" width="45.140625" style="2" customWidth="1"/>
    <col min="4" max="4" width="15.42578125" style="2" customWidth="1"/>
    <col min="5" max="5" width="32.28515625" style="2" customWidth="1"/>
    <col min="6" max="6" width="7.42578125" style="2" customWidth="1"/>
    <col min="7" max="8" width="9.85546875" style="2" customWidth="1"/>
    <col min="9" max="16384" width="9.140625" style="2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  <c r="G1" s="2" t="s">
        <v>8</v>
      </c>
      <c r="H1" s="2" t="s">
        <v>9</v>
      </c>
    </row>
    <row r="2" spans="1:8" x14ac:dyDescent="0.2">
      <c r="A2" s="4"/>
      <c r="B2" s="4"/>
      <c r="C2" s="4"/>
      <c r="D2" s="4"/>
      <c r="E2" s="4"/>
      <c r="F2" s="4">
        <f>ROUNDUP(Таблица1[[#This Row],[Столбец2]]*1.2,0)+5</f>
        <v>5</v>
      </c>
      <c r="G2" s="5"/>
      <c r="H2" s="5"/>
    </row>
    <row r="3" spans="1:8" x14ac:dyDescent="0.2">
      <c r="A3" s="1"/>
      <c r="B3" s="1"/>
      <c r="C3" s="1"/>
      <c r="D3" s="1"/>
      <c r="E3" s="1"/>
      <c r="F3" s="1">
        <f>ROUNDUP(Таблица1[[#This Row],[Столбец2]]*1.2,0)+5</f>
        <v>5</v>
      </c>
    </row>
    <row r="4" spans="1:8" x14ac:dyDescent="0.2">
      <c r="A4" s="1"/>
      <c r="B4" s="1"/>
      <c r="C4" s="1"/>
      <c r="D4" s="1"/>
      <c r="E4" s="1"/>
      <c r="F4" s="1">
        <f>ROUNDUP(Таблица1[[#This Row],[Столбец2]]*1.2,0)+5</f>
        <v>5</v>
      </c>
    </row>
    <row r="5" spans="1:8" x14ac:dyDescent="0.2">
      <c r="A5" s="1"/>
      <c r="B5" s="1"/>
      <c r="C5" s="1"/>
      <c r="D5" s="1"/>
      <c r="E5" s="1"/>
      <c r="F5" s="1">
        <f>ROUNDUP(Таблица1[[#This Row],[Столбец2]]*1.2,0)+5</f>
        <v>5</v>
      </c>
    </row>
    <row r="6" spans="1:8" x14ac:dyDescent="0.2">
      <c r="A6" s="1"/>
      <c r="B6" s="1"/>
      <c r="C6" s="1"/>
      <c r="D6" s="1"/>
      <c r="E6" s="1"/>
      <c r="F6" s="1">
        <f>ROUNDUP(Таблица1[[#This Row],[Столбец2]]*1.2,0)+5</f>
        <v>5</v>
      </c>
    </row>
    <row r="7" spans="1:8" x14ac:dyDescent="0.2">
      <c r="A7" s="1"/>
      <c r="B7" s="1"/>
      <c r="C7" s="1"/>
      <c r="D7" s="1"/>
      <c r="E7" s="1"/>
      <c r="F7" s="1">
        <f>ROUNDUP(Таблица1[[#This Row],[Столбец2]]*1.2,0)+5</f>
        <v>5</v>
      </c>
    </row>
    <row r="8" spans="1:8" x14ac:dyDescent="0.2">
      <c r="A8" s="1"/>
      <c r="B8" s="1"/>
      <c r="C8" s="1"/>
      <c r="D8" s="1"/>
      <c r="E8" s="1"/>
      <c r="F8" s="1">
        <f>ROUNDUP(Таблица1[[#This Row],[Столбец2]]*1.2,0)+5</f>
        <v>5</v>
      </c>
    </row>
    <row r="9" spans="1:8" x14ac:dyDescent="0.2">
      <c r="A9" s="1"/>
      <c r="B9" s="1" t="s">
        <v>176</v>
      </c>
      <c r="C9" s="1"/>
      <c r="D9" s="1"/>
      <c r="E9" s="1"/>
      <c r="F9" s="1">
        <f>ROUNDUP(Таблица1[[#This Row],[Столбец2]]*1.2,0)+5</f>
        <v>5</v>
      </c>
    </row>
    <row r="10" spans="1:8" x14ac:dyDescent="0.2">
      <c r="A10" s="1"/>
      <c r="B10" s="1"/>
      <c r="C10" s="1"/>
      <c r="D10" s="1"/>
      <c r="E10" s="1"/>
      <c r="F10" s="1">
        <f>ROUNDUP(Таблица1[[#This Row],[Столбец2]]*1.2,0)+5</f>
        <v>5</v>
      </c>
    </row>
    <row r="11" spans="1:8" x14ac:dyDescent="0.2">
      <c r="A11" s="1"/>
      <c r="B11" s="1"/>
      <c r="C11" s="1"/>
      <c r="D11" s="1"/>
      <c r="E11" s="1"/>
      <c r="F11" s="1">
        <f>ROUNDUP(Таблица1[[#This Row],[Столбец2]]*1.2,0)+5</f>
        <v>5</v>
      </c>
    </row>
    <row r="12" spans="1:8" x14ac:dyDescent="0.2">
      <c r="A12" s="1"/>
      <c r="B12" s="1"/>
      <c r="C12" s="1"/>
      <c r="D12" s="1"/>
      <c r="E12" s="1"/>
      <c r="F12" s="1">
        <f>ROUNDUP(Таблица1[[#This Row],[Столбец2]]*1.2,0)+5</f>
        <v>5</v>
      </c>
    </row>
    <row r="13" spans="1:8" x14ac:dyDescent="0.2">
      <c r="A13" s="1"/>
      <c r="B13" s="1"/>
      <c r="C13" s="1"/>
      <c r="D13" s="1"/>
      <c r="E13" s="1"/>
      <c r="F13" s="1">
        <f>ROUNDUP(Таблица1[[#This Row],[Столбец2]]*1.2,0)+5</f>
        <v>5</v>
      </c>
    </row>
    <row r="14" spans="1:8" x14ac:dyDescent="0.2">
      <c r="A14" s="1"/>
      <c r="B14" s="1"/>
      <c r="C14" s="1"/>
      <c r="D14" s="1"/>
      <c r="E14" s="1"/>
      <c r="F14" s="1">
        <f>ROUNDUP(Таблица1[[#This Row],[Столбец2]]*1.2,0)+5</f>
        <v>5</v>
      </c>
    </row>
    <row r="15" spans="1:8" x14ac:dyDescent="0.2">
      <c r="A15" s="1"/>
      <c r="B15" s="1"/>
      <c r="C15" s="1"/>
      <c r="D15" s="1"/>
      <c r="E15" s="1"/>
      <c r="F15" s="1">
        <f>ROUNDUP(Таблица1[[#This Row],[Столбец2]]*1.2,0)+5</f>
        <v>5</v>
      </c>
    </row>
    <row r="16" spans="1:8" x14ac:dyDescent="0.2">
      <c r="A16" s="1"/>
      <c r="B16" s="1"/>
      <c r="C16" s="1"/>
      <c r="D16" s="1"/>
      <c r="E16" s="1"/>
      <c r="F16" s="1">
        <f>ROUNDUP(Таблица1[[#This Row],[Столбец2]]*1.2,0)+5</f>
        <v>5</v>
      </c>
    </row>
    <row r="17" spans="1:8" x14ac:dyDescent="0.2">
      <c r="A17" s="1"/>
      <c r="B17" s="1"/>
      <c r="C17" s="1"/>
      <c r="D17" s="1"/>
      <c r="E17" s="1"/>
      <c r="F17" s="1">
        <f>ROUNDUP(Таблица1[[#This Row],[Столбец2]]*1.2,0)+5</f>
        <v>5</v>
      </c>
    </row>
    <row r="18" spans="1:8" x14ac:dyDescent="0.2">
      <c r="A18" s="1"/>
      <c r="B18" s="1"/>
      <c r="C18" s="1"/>
      <c r="D18" s="1"/>
      <c r="E18" s="1"/>
      <c r="F18" s="1">
        <f>ROUNDUP(Таблица1[[#This Row],[Столбец2]]*1.2,0)+5</f>
        <v>5</v>
      </c>
    </row>
    <row r="19" spans="1:8" x14ac:dyDescent="0.2">
      <c r="A19" s="1"/>
      <c r="B19" s="1"/>
      <c r="C19" s="1"/>
      <c r="D19" s="1"/>
      <c r="E19" s="1"/>
      <c r="F19" s="1">
        <f>ROUNDUP(Таблица1[[#This Row],[Столбец2]]*1.2,0)+5</f>
        <v>5</v>
      </c>
    </row>
    <row r="20" spans="1:8" x14ac:dyDescent="0.2">
      <c r="A20" s="1"/>
      <c r="B20" s="1"/>
      <c r="C20" s="1"/>
      <c r="D20" s="1"/>
      <c r="E20" s="1"/>
      <c r="F20" s="1">
        <f>ROUNDUP(Таблица1[[#This Row],[Столбец2]]*1.2,0)+5</f>
        <v>5</v>
      </c>
    </row>
    <row r="21" spans="1:8" x14ac:dyDescent="0.2">
      <c r="A21" s="1"/>
      <c r="B21" s="1"/>
      <c r="C21" s="1"/>
      <c r="D21" s="1"/>
      <c r="E21" s="1"/>
      <c r="F21" s="1">
        <f>ROUNDUP(Таблица1[[#This Row],[Столбец2]]*1.2,0)+5</f>
        <v>5</v>
      </c>
    </row>
    <row r="22" spans="1:8" x14ac:dyDescent="0.2">
      <c r="A22" s="1"/>
      <c r="B22" s="1"/>
      <c r="C22" s="1"/>
      <c r="D22" s="1"/>
      <c r="E22" s="1"/>
      <c r="F22" s="1">
        <f>ROUNDUP(Таблица1[[#This Row],[Столбец2]]*1.2,0)+5</f>
        <v>5</v>
      </c>
    </row>
    <row r="23" spans="1:8" x14ac:dyDescent="0.2">
      <c r="A23" s="1"/>
      <c r="B23" s="1"/>
      <c r="C23" s="1"/>
      <c r="D23" s="1"/>
      <c r="E23" s="1"/>
      <c r="F23" s="1">
        <f>ROUNDUP(Таблица1[[#This Row],[Столбец2]]*1.2,0)+5</f>
        <v>5</v>
      </c>
    </row>
    <row r="24" spans="1:8" x14ac:dyDescent="0.2">
      <c r="A24" s="1"/>
      <c r="B24" s="1"/>
      <c r="C24" s="1"/>
      <c r="D24" s="1"/>
      <c r="E24" s="1"/>
      <c r="F24" s="1">
        <f>ROUNDUP(Таблица1[[#This Row],[Столбец2]]*1.2,0)+5</f>
        <v>5</v>
      </c>
    </row>
    <row r="25" spans="1:8" x14ac:dyDescent="0.2">
      <c r="A25" s="1"/>
      <c r="B25" s="1"/>
      <c r="C25" s="1"/>
      <c r="D25" s="1"/>
      <c r="E25" s="1"/>
      <c r="F25" s="1">
        <f>ROUNDUP(Таблица1[[#This Row],[Столбец2]]*1.2,0)+5</f>
        <v>5</v>
      </c>
    </row>
    <row r="26" spans="1:8" x14ac:dyDescent="0.2">
      <c r="A26" s="1"/>
      <c r="B26" s="1"/>
      <c r="C26" s="1"/>
      <c r="D26" s="1"/>
      <c r="E26" s="1"/>
      <c r="F26" s="1">
        <f>ROUNDUP(Таблица1[[#This Row],[Столбец2]]*1.2,0)+5</f>
        <v>5</v>
      </c>
    </row>
    <row r="27" spans="1:8" x14ac:dyDescent="0.2">
      <c r="A27" s="1"/>
      <c r="B27" s="1"/>
      <c r="C27" s="1"/>
      <c r="D27" s="1"/>
      <c r="E27" s="1"/>
      <c r="F27" s="1">
        <f>ROUNDUP(Таблица1[[#This Row],[Столбец2]]*1.2,0)+5</f>
        <v>5</v>
      </c>
    </row>
    <row r="28" spans="1:8" x14ac:dyDescent="0.2">
      <c r="A28" s="1"/>
      <c r="B28" s="1"/>
      <c r="C28" s="1"/>
      <c r="D28" s="1"/>
      <c r="E28" s="1"/>
      <c r="F28" s="1">
        <f>ROUNDUP(Таблица1[[#This Row],[Столбец2]]*1.2,0)+5</f>
        <v>5</v>
      </c>
    </row>
    <row r="29" spans="1:8" x14ac:dyDescent="0.2">
      <c r="A29" s="1"/>
      <c r="B29" s="1"/>
      <c r="C29" s="1"/>
      <c r="D29" s="1"/>
      <c r="E29" s="1"/>
      <c r="F29" s="1">
        <f>ROUNDUP(Таблица1[[#This Row],[Столбец2]]*1.2,0)+5</f>
        <v>5</v>
      </c>
    </row>
    <row r="30" spans="1:8" x14ac:dyDescent="0.2">
      <c r="A30" s="1"/>
      <c r="B30" s="1"/>
      <c r="C30" s="1"/>
      <c r="D30" s="1"/>
      <c r="E30" s="1"/>
      <c r="F30" s="1">
        <f>ROUNDUP(Таблица1[[#This Row],[Столбец2]]*1.2,0)+5</f>
        <v>5</v>
      </c>
    </row>
    <row r="31" spans="1:8" x14ac:dyDescent="0.2">
      <c r="A31" s="4"/>
      <c r="B31" s="4"/>
      <c r="C31" s="4"/>
      <c r="D31" s="4"/>
      <c r="E31" s="4"/>
      <c r="F31" s="4">
        <f>ROUNDUP(Таблица1[[#This Row],[Столбец2]]*1.2,0)+5</f>
        <v>5</v>
      </c>
      <c r="G31" s="5"/>
      <c r="H31" s="5"/>
    </row>
    <row r="32" spans="1:8" x14ac:dyDescent="0.2">
      <c r="A32" s="2" t="s">
        <v>159</v>
      </c>
      <c r="B32" s="2" t="s">
        <v>168</v>
      </c>
      <c r="C32" s="2" t="s">
        <v>169</v>
      </c>
      <c r="D32" s="3" t="s">
        <v>5</v>
      </c>
      <c r="E32" s="1" t="s">
        <v>156</v>
      </c>
      <c r="F32" s="2">
        <f>ROUNDUP(Таблица1[[#This Row],[Столбец2]]*1.2,0)+30</f>
        <v>96</v>
      </c>
      <c r="G32" s="2">
        <v>55</v>
      </c>
    </row>
    <row r="33" spans="1:7" x14ac:dyDescent="0.2">
      <c r="A33" s="2" t="s">
        <v>160</v>
      </c>
      <c r="B33" s="2" t="s">
        <v>168</v>
      </c>
      <c r="C33" s="2" t="s">
        <v>170</v>
      </c>
      <c r="D33" s="3" t="s">
        <v>5</v>
      </c>
      <c r="E33" s="1" t="s">
        <v>156</v>
      </c>
      <c r="F33" s="2">
        <f>ROUNDUP(Таблица1[[#This Row],[Столбец2]]*1.2,0)+30</f>
        <v>48</v>
      </c>
      <c r="G33" s="2">
        <v>15</v>
      </c>
    </row>
    <row r="34" spans="1:7" x14ac:dyDescent="0.2">
      <c r="A34" s="2" t="s">
        <v>161</v>
      </c>
      <c r="B34" s="2" t="s">
        <v>168</v>
      </c>
      <c r="C34" s="2" t="s">
        <v>171</v>
      </c>
      <c r="D34" s="3" t="s">
        <v>5</v>
      </c>
      <c r="E34" s="1" t="s">
        <v>156</v>
      </c>
      <c r="F34" s="2">
        <f>ROUNDUP(Таблица1[[#This Row],[Столбец2]]*1.2,0)+30</f>
        <v>60</v>
      </c>
      <c r="G34" s="2">
        <v>25</v>
      </c>
    </row>
    <row r="35" spans="1:7" x14ac:dyDescent="0.2">
      <c r="A35" s="2" t="s">
        <v>162</v>
      </c>
      <c r="B35" s="2" t="s">
        <v>168</v>
      </c>
      <c r="C35" s="2" t="s">
        <v>172</v>
      </c>
      <c r="D35" s="3" t="s">
        <v>5</v>
      </c>
      <c r="E35" s="1" t="s">
        <v>156</v>
      </c>
      <c r="F35" s="2">
        <f>ROUNDUP(Таблица1[[#This Row],[Столбец2]]*1.2,0)+30</f>
        <v>54</v>
      </c>
      <c r="G35" s="2">
        <v>20</v>
      </c>
    </row>
    <row r="36" spans="1:7" x14ac:dyDescent="0.2">
      <c r="A36" s="2" t="s">
        <v>163</v>
      </c>
      <c r="B36" s="2" t="s">
        <v>168</v>
      </c>
      <c r="C36" s="2" t="s">
        <v>173</v>
      </c>
      <c r="D36" s="3" t="s">
        <v>5</v>
      </c>
      <c r="E36" s="1" t="s">
        <v>156</v>
      </c>
      <c r="F36" s="2">
        <f>ROUNDUP(Таблица1[[#This Row],[Столбец2]]*1.2,0)+30</f>
        <v>48</v>
      </c>
      <c r="G36" s="2">
        <v>15</v>
      </c>
    </row>
    <row r="37" spans="1:7" x14ac:dyDescent="0.2">
      <c r="A37" s="2" t="s">
        <v>164</v>
      </c>
      <c r="B37" s="2" t="s">
        <v>168</v>
      </c>
      <c r="C37" s="2" t="s">
        <v>174</v>
      </c>
      <c r="D37" s="3" t="s">
        <v>5</v>
      </c>
      <c r="E37" s="1" t="s">
        <v>156</v>
      </c>
      <c r="F37" s="2">
        <f>ROUNDUP(Таблица1[[#This Row],[Столбец2]]*1.2,0)+30</f>
        <v>60</v>
      </c>
      <c r="G37" s="2">
        <v>25</v>
      </c>
    </row>
    <row r="38" spans="1:7" x14ac:dyDescent="0.2">
      <c r="A38" s="2" t="s">
        <v>157</v>
      </c>
      <c r="B38" s="2" t="s">
        <v>168</v>
      </c>
      <c r="C38" s="2" t="s">
        <v>158</v>
      </c>
      <c r="D38" s="3" t="s">
        <v>5</v>
      </c>
      <c r="E38" s="1" t="s">
        <v>6</v>
      </c>
      <c r="F38" s="2">
        <f>ROUNDUP(Таблица1[[#This Row],[Столбец2]]*1.2,0)+15</f>
        <v>35</v>
      </c>
      <c r="G38" s="2">
        <v>16</v>
      </c>
    </row>
    <row r="39" spans="1:7" x14ac:dyDescent="0.2">
      <c r="A39" s="2" t="s">
        <v>10</v>
      </c>
      <c r="B39" s="2" t="s">
        <v>169</v>
      </c>
      <c r="C39" s="2" t="s">
        <v>10</v>
      </c>
      <c r="D39" s="3" t="s">
        <v>5</v>
      </c>
      <c r="E39" s="1" t="s">
        <v>6</v>
      </c>
      <c r="F39" s="2">
        <f>ROUNDUP(Таблица1[[#This Row],[Столбец2]]*1.2,0)+7</f>
        <v>48</v>
      </c>
      <c r="G39" s="2">
        <v>34</v>
      </c>
    </row>
    <row r="40" spans="1:7" x14ac:dyDescent="0.2">
      <c r="A40" s="2" t="s">
        <v>11</v>
      </c>
      <c r="B40" s="2" t="s">
        <v>169</v>
      </c>
      <c r="C40" s="2" t="s">
        <v>11</v>
      </c>
      <c r="D40" s="3" t="s">
        <v>5</v>
      </c>
      <c r="E40" s="1" t="s">
        <v>6</v>
      </c>
      <c r="F40" s="2">
        <f>ROUNDUP(Таблица1[[#This Row],[Столбец2]]*1.2,0)+7</f>
        <v>97</v>
      </c>
      <c r="G40" s="2">
        <v>75</v>
      </c>
    </row>
    <row r="41" spans="1:7" x14ac:dyDescent="0.2">
      <c r="A41" s="2" t="s">
        <v>12</v>
      </c>
      <c r="B41" s="2" t="s">
        <v>168</v>
      </c>
      <c r="C41" s="2" t="s">
        <v>12</v>
      </c>
      <c r="D41" s="3" t="s">
        <v>5</v>
      </c>
      <c r="E41" s="1" t="s">
        <v>6</v>
      </c>
      <c r="F41" s="2">
        <f>ROUNDUP(Таблица1[[#This Row],[Столбец2]]*1.2,0)+7</f>
        <v>64</v>
      </c>
      <c r="G41" s="2">
        <v>47</v>
      </c>
    </row>
    <row r="42" spans="1:7" x14ac:dyDescent="0.2">
      <c r="A42" s="2" t="s">
        <v>13</v>
      </c>
      <c r="B42" s="2" t="s">
        <v>168</v>
      </c>
      <c r="C42" s="2" t="s">
        <v>13</v>
      </c>
      <c r="D42" s="3" t="s">
        <v>5</v>
      </c>
      <c r="E42" s="1" t="s">
        <v>6</v>
      </c>
      <c r="F42" s="2">
        <f>ROUNDUP(Таблица1[[#This Row],[Столбец2]]*1.2,0)+7</f>
        <v>61</v>
      </c>
      <c r="G42" s="2">
        <v>45</v>
      </c>
    </row>
    <row r="43" spans="1:7" x14ac:dyDescent="0.2">
      <c r="A43" s="2" t="s">
        <v>14</v>
      </c>
      <c r="B43" s="2" t="s">
        <v>168</v>
      </c>
      <c r="C43" s="2" t="s">
        <v>14</v>
      </c>
      <c r="D43" s="3" t="s">
        <v>5</v>
      </c>
      <c r="E43" s="1" t="s">
        <v>6</v>
      </c>
      <c r="F43" s="2">
        <f>ROUNDUP(Таблица1[[#This Row],[Столбец2]]*1.2,0)+7</f>
        <v>40</v>
      </c>
      <c r="G43" s="2">
        <v>27</v>
      </c>
    </row>
    <row r="44" spans="1:7" x14ac:dyDescent="0.2">
      <c r="A44" s="2" t="s">
        <v>15</v>
      </c>
      <c r="B44" s="2" t="s">
        <v>168</v>
      </c>
      <c r="C44" s="2" t="s">
        <v>15</v>
      </c>
      <c r="D44" s="3" t="s">
        <v>5</v>
      </c>
      <c r="E44" s="1" t="s">
        <v>6</v>
      </c>
      <c r="F44" s="2">
        <f>ROUNDUP(Таблица1[[#This Row],[Столбец2]]*1.2,0)+7</f>
        <v>75</v>
      </c>
      <c r="G44" s="2">
        <v>56</v>
      </c>
    </row>
    <row r="45" spans="1:7" x14ac:dyDescent="0.2">
      <c r="A45" s="2" t="s">
        <v>16</v>
      </c>
      <c r="B45" s="2" t="s">
        <v>168</v>
      </c>
      <c r="C45" s="2" t="s">
        <v>16</v>
      </c>
      <c r="D45" s="3" t="s">
        <v>5</v>
      </c>
      <c r="E45" s="1" t="s">
        <v>6</v>
      </c>
      <c r="F45" s="2">
        <f>ROUNDUP(Таблица1[[#This Row],[Столбец2]]*1.2,0)+7</f>
        <v>87</v>
      </c>
      <c r="G45" s="2">
        <v>66</v>
      </c>
    </row>
    <row r="46" spans="1:7" x14ac:dyDescent="0.2">
      <c r="A46" s="2" t="s">
        <v>17</v>
      </c>
      <c r="B46" s="2" t="s">
        <v>168</v>
      </c>
      <c r="C46" s="2" t="s">
        <v>17</v>
      </c>
      <c r="D46" s="3" t="s">
        <v>5</v>
      </c>
      <c r="E46" s="1" t="s">
        <v>6</v>
      </c>
      <c r="F46" s="2">
        <f>ROUNDUP(Таблица1[[#This Row],[Столбец2]]*1.2,0)+7</f>
        <v>23</v>
      </c>
      <c r="G46" s="2">
        <v>13</v>
      </c>
    </row>
    <row r="47" spans="1:7" x14ac:dyDescent="0.2">
      <c r="A47" s="2" t="s">
        <v>18</v>
      </c>
      <c r="B47" s="2" t="s">
        <v>168</v>
      </c>
      <c r="C47" s="2" t="s">
        <v>18</v>
      </c>
      <c r="D47" s="3" t="s">
        <v>5</v>
      </c>
      <c r="E47" s="1" t="s">
        <v>6</v>
      </c>
      <c r="F47" s="2">
        <f>ROUNDUP(Таблица1[[#This Row],[Столбец2]]*1.2,0)+7</f>
        <v>31</v>
      </c>
      <c r="G47" s="2">
        <v>20</v>
      </c>
    </row>
    <row r="48" spans="1:7" x14ac:dyDescent="0.2">
      <c r="A48" s="2" t="s">
        <v>19</v>
      </c>
      <c r="B48" s="2" t="s">
        <v>168</v>
      </c>
      <c r="C48" s="2" t="s">
        <v>19</v>
      </c>
      <c r="D48" s="3" t="s">
        <v>5</v>
      </c>
      <c r="E48" s="1" t="s">
        <v>6</v>
      </c>
      <c r="F48" s="2">
        <f>ROUNDUP(Таблица1[[#This Row],[Столбец2]]*1.2,0)+7</f>
        <v>13</v>
      </c>
      <c r="G48" s="2">
        <v>5</v>
      </c>
    </row>
    <row r="49" spans="1:7" x14ac:dyDescent="0.2">
      <c r="A49" s="2" t="s">
        <v>20</v>
      </c>
      <c r="B49" s="2" t="s">
        <v>168</v>
      </c>
      <c r="C49" s="2" t="s">
        <v>20</v>
      </c>
      <c r="D49" s="3" t="s">
        <v>5</v>
      </c>
      <c r="E49" s="1" t="s">
        <v>6</v>
      </c>
      <c r="F49" s="2">
        <f>ROUNDUP(Таблица1[[#This Row],[Столбец2]]*1.2,0)+7</f>
        <v>22</v>
      </c>
      <c r="G49" s="2">
        <v>12</v>
      </c>
    </row>
    <row r="50" spans="1:7" x14ac:dyDescent="0.2">
      <c r="A50" s="2" t="s">
        <v>21</v>
      </c>
      <c r="B50" s="2" t="s">
        <v>168</v>
      </c>
      <c r="C50" s="2" t="s">
        <v>21</v>
      </c>
      <c r="D50" s="3" t="s">
        <v>5</v>
      </c>
      <c r="E50" s="1" t="s">
        <v>6</v>
      </c>
      <c r="F50" s="2">
        <f>ROUNDUP(Таблица1[[#This Row],[Столбец2]]*1.2,0)+7</f>
        <v>42</v>
      </c>
      <c r="G50" s="2">
        <v>29</v>
      </c>
    </row>
    <row r="51" spans="1:7" x14ac:dyDescent="0.2">
      <c r="A51" s="2" t="s">
        <v>22</v>
      </c>
      <c r="B51" s="2" t="s">
        <v>168</v>
      </c>
      <c r="C51" s="2" t="s">
        <v>22</v>
      </c>
      <c r="D51" s="3" t="s">
        <v>5</v>
      </c>
      <c r="E51" s="1" t="s">
        <v>6</v>
      </c>
      <c r="F51" s="2">
        <f>ROUNDUP(Таблица1[[#This Row],[Столбец2]]*1.2,0)+7</f>
        <v>35</v>
      </c>
      <c r="G51" s="2">
        <v>23</v>
      </c>
    </row>
    <row r="52" spans="1:7" x14ac:dyDescent="0.2">
      <c r="A52" s="2" t="s">
        <v>23</v>
      </c>
      <c r="B52" s="2" t="s">
        <v>168</v>
      </c>
      <c r="C52" s="2" t="s">
        <v>23</v>
      </c>
      <c r="D52" s="3" t="s">
        <v>5</v>
      </c>
      <c r="E52" s="1" t="s">
        <v>6</v>
      </c>
      <c r="F52" s="2">
        <f>ROUNDUP(Таблица1[[#This Row],[Столбец2]]*1.2,0)+7</f>
        <v>40</v>
      </c>
      <c r="G52" s="2">
        <v>27</v>
      </c>
    </row>
    <row r="53" spans="1:7" x14ac:dyDescent="0.2">
      <c r="A53" s="2" t="s">
        <v>24</v>
      </c>
      <c r="B53" s="2" t="s">
        <v>168</v>
      </c>
      <c r="C53" s="2" t="s">
        <v>24</v>
      </c>
      <c r="D53" s="3" t="s">
        <v>5</v>
      </c>
      <c r="E53" s="1" t="s">
        <v>6</v>
      </c>
      <c r="F53" s="2">
        <f>ROUNDUP(Таблица1[[#This Row],[Столбец2]]*1.2,0)+7</f>
        <v>40</v>
      </c>
      <c r="G53" s="2">
        <v>27</v>
      </c>
    </row>
    <row r="54" spans="1:7" x14ac:dyDescent="0.2">
      <c r="A54" s="2" t="s">
        <v>25</v>
      </c>
      <c r="B54" s="2" t="s">
        <v>168</v>
      </c>
      <c r="C54" s="2" t="s">
        <v>25</v>
      </c>
      <c r="D54" s="3" t="s">
        <v>5</v>
      </c>
      <c r="E54" s="1" t="s">
        <v>6</v>
      </c>
      <c r="F54" s="2">
        <f>ROUNDUP(Таблица1[[#This Row],[Столбец2]]*1.2,0)+7</f>
        <v>49</v>
      </c>
      <c r="G54" s="2">
        <v>35</v>
      </c>
    </row>
    <row r="55" spans="1:7" x14ac:dyDescent="0.2">
      <c r="A55" s="2" t="s">
        <v>26</v>
      </c>
      <c r="B55" s="2" t="s">
        <v>168</v>
      </c>
      <c r="C55" s="2" t="s">
        <v>26</v>
      </c>
      <c r="D55" s="3" t="s">
        <v>5</v>
      </c>
      <c r="E55" s="1" t="s">
        <v>6</v>
      </c>
      <c r="F55" s="2">
        <f>ROUNDUP(Таблица1[[#This Row],[Столбец2]]*1.2,0)+7</f>
        <v>48</v>
      </c>
      <c r="G55" s="2">
        <v>34</v>
      </c>
    </row>
    <row r="56" spans="1:7" x14ac:dyDescent="0.2">
      <c r="A56" s="2" t="s">
        <v>27</v>
      </c>
      <c r="B56" s="2" t="s">
        <v>168</v>
      </c>
      <c r="C56" s="2" t="s">
        <v>27</v>
      </c>
      <c r="D56" s="3" t="s">
        <v>5</v>
      </c>
      <c r="E56" s="1" t="s">
        <v>6</v>
      </c>
      <c r="F56" s="2">
        <f>ROUNDUP(Таблица1[[#This Row],[Столбец2]]*1.2,0)+7</f>
        <v>55</v>
      </c>
      <c r="G56" s="2">
        <v>40</v>
      </c>
    </row>
    <row r="57" spans="1:7" x14ac:dyDescent="0.2">
      <c r="A57" s="2" t="s">
        <v>28</v>
      </c>
      <c r="B57" s="2" t="s">
        <v>168</v>
      </c>
      <c r="C57" s="2" t="s">
        <v>28</v>
      </c>
      <c r="D57" s="3" t="s">
        <v>5</v>
      </c>
      <c r="E57" s="1" t="s">
        <v>6</v>
      </c>
      <c r="F57" s="2">
        <f>ROUNDUP(Таблица1[[#This Row],[Столбец2]]*1.2,0)+7</f>
        <v>69</v>
      </c>
      <c r="G57" s="2">
        <v>51</v>
      </c>
    </row>
    <row r="58" spans="1:7" x14ac:dyDescent="0.2">
      <c r="A58" s="2" t="s">
        <v>29</v>
      </c>
      <c r="B58" s="2" t="s">
        <v>168</v>
      </c>
      <c r="C58" s="2" t="s">
        <v>29</v>
      </c>
      <c r="D58" s="3" t="s">
        <v>5</v>
      </c>
      <c r="E58" s="1" t="s">
        <v>6</v>
      </c>
      <c r="F58" s="2">
        <f>ROUNDUP(Таблица1[[#This Row],[Столбец2]]*1.2,0)+7</f>
        <v>73</v>
      </c>
      <c r="G58" s="2">
        <v>55</v>
      </c>
    </row>
    <row r="59" spans="1:7" x14ac:dyDescent="0.2">
      <c r="A59" s="2" t="s">
        <v>30</v>
      </c>
      <c r="B59" s="2" t="s">
        <v>168</v>
      </c>
      <c r="C59" s="2" t="s">
        <v>30</v>
      </c>
      <c r="D59" s="3" t="s">
        <v>5</v>
      </c>
      <c r="E59" s="1" t="s">
        <v>6</v>
      </c>
      <c r="F59" s="2">
        <f>ROUNDUP(Таблица1[[#This Row],[Столбец2]]*1.2,0)+7</f>
        <v>67</v>
      </c>
      <c r="G59" s="2">
        <v>50</v>
      </c>
    </row>
    <row r="60" spans="1:7" x14ac:dyDescent="0.2">
      <c r="A60" s="2" t="s">
        <v>31</v>
      </c>
      <c r="B60" s="2" t="s">
        <v>168</v>
      </c>
      <c r="C60" s="2" t="s">
        <v>31</v>
      </c>
      <c r="D60" s="3" t="s">
        <v>5</v>
      </c>
      <c r="E60" s="1" t="s">
        <v>6</v>
      </c>
      <c r="F60" s="2">
        <f>ROUNDUP(Таблица1[[#This Row],[Столбец2]]*1.2,0)+7</f>
        <v>82</v>
      </c>
      <c r="G60" s="2">
        <v>62</v>
      </c>
    </row>
    <row r="61" spans="1:7" x14ac:dyDescent="0.2">
      <c r="A61" s="2" t="s">
        <v>32</v>
      </c>
      <c r="B61" s="2" t="s">
        <v>168</v>
      </c>
      <c r="C61" s="2" t="s">
        <v>32</v>
      </c>
      <c r="D61" s="3" t="s">
        <v>5</v>
      </c>
      <c r="E61" s="1" t="s">
        <v>6</v>
      </c>
      <c r="F61" s="2">
        <f>ROUNDUP(Таблица1[[#This Row],[Столбец2]]*1.2,0)+7</f>
        <v>88</v>
      </c>
      <c r="G61" s="2">
        <v>67</v>
      </c>
    </row>
    <row r="62" spans="1:7" x14ac:dyDescent="0.2">
      <c r="A62" s="2" t="s">
        <v>33</v>
      </c>
      <c r="B62" s="2" t="s">
        <v>169</v>
      </c>
      <c r="C62" s="2" t="s">
        <v>33</v>
      </c>
      <c r="D62" s="3" t="s">
        <v>5</v>
      </c>
      <c r="E62" s="1" t="s">
        <v>6</v>
      </c>
      <c r="F62" s="2">
        <f>ROUNDUP(Таблица1[[#This Row],[Столбец2]]*1.2,0)+7</f>
        <v>35</v>
      </c>
      <c r="G62" s="2">
        <v>23</v>
      </c>
    </row>
    <row r="63" spans="1:7" x14ac:dyDescent="0.2">
      <c r="A63" s="2" t="s">
        <v>34</v>
      </c>
      <c r="B63" s="2" t="s">
        <v>169</v>
      </c>
      <c r="C63" s="2" t="s">
        <v>34</v>
      </c>
      <c r="D63" s="3" t="s">
        <v>5</v>
      </c>
      <c r="E63" s="1" t="s">
        <v>6</v>
      </c>
      <c r="F63" s="2">
        <f>ROUNDUP(Таблица1[[#This Row],[Столбец2]]*1.2,0)+7</f>
        <v>23</v>
      </c>
      <c r="G63" s="2">
        <v>13</v>
      </c>
    </row>
    <row r="64" spans="1:7" x14ac:dyDescent="0.2">
      <c r="A64" s="2" t="s">
        <v>35</v>
      </c>
      <c r="B64" s="2" t="s">
        <v>169</v>
      </c>
      <c r="C64" s="2" t="s">
        <v>35</v>
      </c>
      <c r="D64" s="3" t="s">
        <v>5</v>
      </c>
      <c r="E64" s="1" t="s">
        <v>6</v>
      </c>
      <c r="F64" s="2">
        <f>ROUNDUP(Таблица1[[#This Row],[Столбец2]]*1.2,0)+7</f>
        <v>35</v>
      </c>
      <c r="G64" s="2">
        <v>23</v>
      </c>
    </row>
    <row r="65" spans="1:7" x14ac:dyDescent="0.2">
      <c r="A65" s="2" t="s">
        <v>36</v>
      </c>
      <c r="B65" s="2" t="s">
        <v>169</v>
      </c>
      <c r="C65" s="2" t="s">
        <v>36</v>
      </c>
      <c r="D65" s="3" t="s">
        <v>5</v>
      </c>
      <c r="E65" s="1" t="s">
        <v>6</v>
      </c>
      <c r="F65" s="2">
        <f>ROUNDUP(Таблица1[[#This Row],[Столбец2]]*1.2,0)+7</f>
        <v>13</v>
      </c>
      <c r="G65" s="2">
        <v>5</v>
      </c>
    </row>
    <row r="66" spans="1:7" x14ac:dyDescent="0.2">
      <c r="A66" s="2" t="s">
        <v>37</v>
      </c>
      <c r="B66" s="2" t="s">
        <v>169</v>
      </c>
      <c r="C66" s="2" t="s">
        <v>37</v>
      </c>
      <c r="D66" s="3" t="s">
        <v>5</v>
      </c>
      <c r="E66" s="1" t="s">
        <v>6</v>
      </c>
      <c r="F66" s="2">
        <f>ROUNDUP(Таблица1[[#This Row],[Столбец2]]*1.2,0)+7</f>
        <v>20</v>
      </c>
      <c r="G66" s="2">
        <v>10.5</v>
      </c>
    </row>
    <row r="67" spans="1:7" x14ac:dyDescent="0.2">
      <c r="A67" s="2" t="s">
        <v>38</v>
      </c>
      <c r="B67" s="2" t="s">
        <v>169</v>
      </c>
      <c r="C67" s="2" t="s">
        <v>38</v>
      </c>
      <c r="D67" s="3" t="s">
        <v>5</v>
      </c>
      <c r="E67" s="1" t="s">
        <v>6</v>
      </c>
      <c r="F67" s="2">
        <f>ROUNDUP(Таблица1[[#This Row],[Столбец2]]*1.2,0)+7</f>
        <v>18</v>
      </c>
      <c r="G67" s="2">
        <v>8.5</v>
      </c>
    </row>
    <row r="68" spans="1:7" x14ac:dyDescent="0.2">
      <c r="A68" s="2" t="s">
        <v>39</v>
      </c>
      <c r="B68" s="2" t="s">
        <v>169</v>
      </c>
      <c r="C68" s="2" t="s">
        <v>39</v>
      </c>
      <c r="D68" s="3" t="s">
        <v>5</v>
      </c>
      <c r="E68" s="1" t="s">
        <v>6</v>
      </c>
      <c r="F68" s="2">
        <f>ROUNDUP(Таблица1[[#This Row],[Столбец2]]*1.2,0)+7</f>
        <v>58</v>
      </c>
      <c r="G68" s="2">
        <v>42.5</v>
      </c>
    </row>
    <row r="69" spans="1:7" x14ac:dyDescent="0.2">
      <c r="A69" s="2" t="s">
        <v>40</v>
      </c>
      <c r="B69" s="2" t="s">
        <v>169</v>
      </c>
      <c r="C69" s="2" t="s">
        <v>40</v>
      </c>
      <c r="D69" s="3" t="s">
        <v>5</v>
      </c>
      <c r="E69" s="1" t="s">
        <v>6</v>
      </c>
      <c r="F69" s="2">
        <f>ROUNDUP(Таблица1[[#This Row],[Столбец2]]*1.2,0)+7</f>
        <v>55</v>
      </c>
      <c r="G69" s="2">
        <v>39.5</v>
      </c>
    </row>
    <row r="70" spans="1:7" x14ac:dyDescent="0.2">
      <c r="A70" s="2" t="s">
        <v>41</v>
      </c>
      <c r="B70" s="2" t="s">
        <v>169</v>
      </c>
      <c r="C70" s="2" t="s">
        <v>41</v>
      </c>
      <c r="D70" s="3" t="s">
        <v>5</v>
      </c>
      <c r="E70" s="1" t="s">
        <v>6</v>
      </c>
      <c r="F70" s="2">
        <f>ROUNDUP(Таблица1[[#This Row],[Столбец2]]*1.2,0)+7</f>
        <v>56</v>
      </c>
      <c r="G70" s="2">
        <v>40.5</v>
      </c>
    </row>
    <row r="71" spans="1:7" x14ac:dyDescent="0.2">
      <c r="A71" s="2" t="s">
        <v>42</v>
      </c>
      <c r="B71" s="2" t="s">
        <v>169</v>
      </c>
      <c r="C71" s="2" t="s">
        <v>42</v>
      </c>
      <c r="D71" s="3" t="s">
        <v>5</v>
      </c>
      <c r="E71" s="1" t="s">
        <v>6</v>
      </c>
      <c r="F71" s="2">
        <f>ROUNDUP(Таблица1[[#This Row],[Столбец2]]*1.2,0)+7</f>
        <v>54</v>
      </c>
      <c r="G71" s="2">
        <v>38.5</v>
      </c>
    </row>
    <row r="72" spans="1:7" x14ac:dyDescent="0.2">
      <c r="A72" s="2" t="s">
        <v>43</v>
      </c>
      <c r="B72" s="2" t="s">
        <v>169</v>
      </c>
      <c r="C72" s="2" t="s">
        <v>43</v>
      </c>
      <c r="D72" s="3" t="s">
        <v>5</v>
      </c>
      <c r="E72" s="1" t="s">
        <v>6</v>
      </c>
      <c r="F72" s="2">
        <f>ROUNDUP(Таблица1[[#This Row],[Столбец2]]*1.2,0)+7</f>
        <v>45</v>
      </c>
      <c r="G72" s="2">
        <v>31.5</v>
      </c>
    </row>
    <row r="73" spans="1:7" x14ac:dyDescent="0.2">
      <c r="A73" s="2" t="s">
        <v>44</v>
      </c>
      <c r="B73" s="2" t="s">
        <v>169</v>
      </c>
      <c r="C73" s="2" t="s">
        <v>44</v>
      </c>
      <c r="D73" s="3" t="s">
        <v>5</v>
      </c>
      <c r="E73" s="1" t="s">
        <v>6</v>
      </c>
      <c r="F73" s="2">
        <f>ROUNDUP(Таблица1[[#This Row],[Столбец2]]*1.2,0)+7</f>
        <v>61</v>
      </c>
      <c r="G73" s="2">
        <v>44.5</v>
      </c>
    </row>
    <row r="74" spans="1:7" x14ac:dyDescent="0.2">
      <c r="A74" s="2" t="s">
        <v>45</v>
      </c>
      <c r="B74" s="2" t="s">
        <v>169</v>
      </c>
      <c r="C74" s="2" t="s">
        <v>45</v>
      </c>
      <c r="D74" s="3" t="s">
        <v>5</v>
      </c>
      <c r="E74" s="1" t="s">
        <v>6</v>
      </c>
      <c r="F74" s="2">
        <f>ROUNDUP(Таблица1[[#This Row],[Столбец2]]*1.2,0)+7</f>
        <v>61</v>
      </c>
      <c r="G74" s="2">
        <v>44.5</v>
      </c>
    </row>
    <row r="75" spans="1:7" x14ac:dyDescent="0.2">
      <c r="A75" s="2" t="s">
        <v>46</v>
      </c>
      <c r="B75" s="2" t="s">
        <v>169</v>
      </c>
      <c r="C75" s="2" t="s">
        <v>46</v>
      </c>
      <c r="D75" s="3" t="s">
        <v>5</v>
      </c>
      <c r="E75" s="1" t="s">
        <v>6</v>
      </c>
      <c r="F75" s="2">
        <f>ROUNDUP(Таблица1[[#This Row],[Столбец2]]*1.2,0)+7</f>
        <v>51</v>
      </c>
      <c r="G75" s="2">
        <v>36.5</v>
      </c>
    </row>
    <row r="76" spans="1:7" x14ac:dyDescent="0.2">
      <c r="A76" s="2" t="s">
        <v>47</v>
      </c>
      <c r="B76" s="2" t="s">
        <v>169</v>
      </c>
      <c r="C76" s="2" t="s">
        <v>47</v>
      </c>
      <c r="D76" s="3" t="s">
        <v>5</v>
      </c>
      <c r="E76" s="1" t="s">
        <v>6</v>
      </c>
      <c r="F76" s="2">
        <f>ROUNDUP(Таблица1[[#This Row],[Столбец2]]*1.2,0)+7</f>
        <v>37</v>
      </c>
      <c r="G76" s="2">
        <v>24.5</v>
      </c>
    </row>
    <row r="77" spans="1:7" x14ac:dyDescent="0.2">
      <c r="A77" s="2" t="s">
        <v>48</v>
      </c>
      <c r="B77" s="2" t="s">
        <v>169</v>
      </c>
      <c r="C77" s="2" t="s">
        <v>48</v>
      </c>
      <c r="D77" s="3" t="s">
        <v>5</v>
      </c>
      <c r="E77" s="1" t="s">
        <v>6</v>
      </c>
      <c r="F77" s="2">
        <f>ROUNDUP(Таблица1[[#This Row],[Столбец2]]*1.2,0)+7</f>
        <v>50</v>
      </c>
      <c r="G77" s="2">
        <v>35.5</v>
      </c>
    </row>
    <row r="78" spans="1:7" x14ac:dyDescent="0.2">
      <c r="A78" s="2" t="s">
        <v>49</v>
      </c>
      <c r="B78" s="2" t="s">
        <v>169</v>
      </c>
      <c r="C78" s="2" t="s">
        <v>49</v>
      </c>
      <c r="D78" s="3" t="s">
        <v>5</v>
      </c>
      <c r="E78" s="1" t="s">
        <v>6</v>
      </c>
      <c r="F78" s="2">
        <f>ROUNDUP(Таблица1[[#This Row],[Столбец2]]*1.2,0)+7</f>
        <v>62</v>
      </c>
      <c r="G78" s="2">
        <v>45.5</v>
      </c>
    </row>
    <row r="79" spans="1:7" x14ac:dyDescent="0.2">
      <c r="A79" s="2" t="s">
        <v>50</v>
      </c>
      <c r="B79" s="2" t="s">
        <v>169</v>
      </c>
      <c r="C79" s="2" t="s">
        <v>50</v>
      </c>
      <c r="D79" s="3" t="s">
        <v>5</v>
      </c>
      <c r="E79" s="1" t="s">
        <v>6</v>
      </c>
      <c r="F79" s="2">
        <f>ROUNDUP(Таблица1[[#This Row],[Столбец2]]*1.2,0)+7</f>
        <v>63</v>
      </c>
      <c r="G79" s="2">
        <v>46.5</v>
      </c>
    </row>
    <row r="80" spans="1:7" x14ac:dyDescent="0.2">
      <c r="A80" s="2" t="s">
        <v>51</v>
      </c>
      <c r="B80" s="2" t="s">
        <v>169</v>
      </c>
      <c r="C80" s="2" t="s">
        <v>51</v>
      </c>
      <c r="D80" s="3" t="s">
        <v>5</v>
      </c>
      <c r="E80" s="1" t="s">
        <v>6</v>
      </c>
      <c r="F80" s="2">
        <f>ROUNDUP(Таблица1[[#This Row],[Столбец2]]*1.2,0)+7</f>
        <v>58</v>
      </c>
      <c r="G80" s="2">
        <v>42.5</v>
      </c>
    </row>
    <row r="81" spans="1:7" x14ac:dyDescent="0.2">
      <c r="A81" s="2" t="s">
        <v>165</v>
      </c>
      <c r="B81" s="2" t="s">
        <v>169</v>
      </c>
      <c r="C81" s="2" t="s">
        <v>165</v>
      </c>
      <c r="D81" s="3" t="s">
        <v>5</v>
      </c>
      <c r="E81" s="1" t="s">
        <v>6</v>
      </c>
      <c r="F81" s="2">
        <f>ROUNDUP(Таблица1[[#This Row],[Столбец2]]*1.2,0)+7</f>
        <v>91</v>
      </c>
      <c r="G81" s="2">
        <v>69.5</v>
      </c>
    </row>
    <row r="82" spans="1:7" x14ac:dyDescent="0.2">
      <c r="A82" s="2" t="s">
        <v>52</v>
      </c>
      <c r="B82" s="2" t="s">
        <v>168</v>
      </c>
      <c r="C82" s="2" t="s">
        <v>52</v>
      </c>
      <c r="D82" s="3" t="s">
        <v>5</v>
      </c>
      <c r="E82" s="1" t="s">
        <v>6</v>
      </c>
      <c r="F82" s="2">
        <f>ROUNDUP(Таблица1[[#This Row],[Столбец2]]*1.2,0)+7</f>
        <v>43</v>
      </c>
      <c r="G82" s="2">
        <v>30</v>
      </c>
    </row>
    <row r="83" spans="1:7" x14ac:dyDescent="0.2">
      <c r="A83" s="2" t="s">
        <v>53</v>
      </c>
      <c r="B83" s="2" t="s">
        <v>168</v>
      </c>
      <c r="C83" s="2" t="s">
        <v>53</v>
      </c>
      <c r="D83" s="3" t="s">
        <v>5</v>
      </c>
      <c r="E83" s="1" t="s">
        <v>6</v>
      </c>
      <c r="F83" s="2">
        <f>ROUNDUP(Таблица1[[#This Row],[Столбец2]]*1.2,0)+7</f>
        <v>49</v>
      </c>
      <c r="G83" s="2">
        <v>35</v>
      </c>
    </row>
    <row r="84" spans="1:7" x14ac:dyDescent="0.2">
      <c r="A84" s="2" t="s">
        <v>54</v>
      </c>
      <c r="B84" s="2" t="s">
        <v>168</v>
      </c>
      <c r="C84" s="2" t="s">
        <v>54</v>
      </c>
      <c r="D84" s="3" t="s">
        <v>5</v>
      </c>
      <c r="E84" s="1" t="s">
        <v>6</v>
      </c>
      <c r="F84" s="2">
        <f>ROUNDUP(Таблица1[[#This Row],[Столбец2]]*1.2,0)+7</f>
        <v>57</v>
      </c>
      <c r="G84" s="2">
        <v>41</v>
      </c>
    </row>
    <row r="85" spans="1:7" x14ac:dyDescent="0.2">
      <c r="A85" s="2" t="s">
        <v>55</v>
      </c>
      <c r="B85" s="2" t="s">
        <v>168</v>
      </c>
      <c r="C85" s="2" t="s">
        <v>55</v>
      </c>
      <c r="D85" s="3" t="s">
        <v>5</v>
      </c>
      <c r="E85" s="1" t="s">
        <v>6</v>
      </c>
      <c r="F85" s="2">
        <f>ROUNDUP(Таблица1[[#This Row],[Столбец2]]*1.2,0)+7</f>
        <v>57</v>
      </c>
      <c r="G85" s="2">
        <v>41</v>
      </c>
    </row>
    <row r="86" spans="1:7" x14ac:dyDescent="0.2">
      <c r="A86" s="2" t="s">
        <v>56</v>
      </c>
      <c r="B86" s="2" t="s">
        <v>168</v>
      </c>
      <c r="C86" s="2" t="s">
        <v>56</v>
      </c>
      <c r="D86" s="3" t="s">
        <v>5</v>
      </c>
      <c r="E86" s="1" t="s">
        <v>6</v>
      </c>
      <c r="F86" s="2">
        <f>ROUNDUP(Таблица1[[#This Row],[Столбец2]]*1.2,0)+7</f>
        <v>43</v>
      </c>
      <c r="G86" s="2">
        <v>30</v>
      </c>
    </row>
    <row r="87" spans="1:7" x14ac:dyDescent="0.2">
      <c r="A87" s="2" t="s">
        <v>57</v>
      </c>
      <c r="B87" s="2" t="s">
        <v>168</v>
      </c>
      <c r="C87" s="2" t="s">
        <v>57</v>
      </c>
      <c r="D87" s="3" t="s">
        <v>5</v>
      </c>
      <c r="E87" s="1" t="s">
        <v>6</v>
      </c>
      <c r="F87" s="2">
        <f>ROUNDUP(Таблица1[[#This Row],[Столбец2]]*1.2,0)+7</f>
        <v>43</v>
      </c>
      <c r="G87" s="2">
        <v>30</v>
      </c>
    </row>
    <row r="88" spans="1:7" x14ac:dyDescent="0.2">
      <c r="A88" s="2" t="s">
        <v>58</v>
      </c>
      <c r="B88" s="2" t="s">
        <v>168</v>
      </c>
      <c r="C88" s="2" t="s">
        <v>58</v>
      </c>
      <c r="D88" s="3" t="s">
        <v>5</v>
      </c>
      <c r="E88" s="1" t="s">
        <v>6</v>
      </c>
      <c r="F88" s="2">
        <f>ROUNDUP(Таблица1[[#This Row],[Столбец2]]*1.2,0)+7</f>
        <v>39</v>
      </c>
      <c r="G88" s="2">
        <v>26</v>
      </c>
    </row>
    <row r="89" spans="1:7" x14ac:dyDescent="0.2">
      <c r="A89" s="2" t="s">
        <v>59</v>
      </c>
      <c r="B89" s="2" t="s">
        <v>168</v>
      </c>
      <c r="C89" s="2" t="s">
        <v>59</v>
      </c>
      <c r="D89" s="3" t="s">
        <v>5</v>
      </c>
      <c r="E89" s="1" t="s">
        <v>6</v>
      </c>
      <c r="F89" s="2">
        <f>ROUNDUP(Таблица1[[#This Row],[Столбец2]]*1.2,0)+7</f>
        <v>39</v>
      </c>
      <c r="G89" s="2">
        <v>26</v>
      </c>
    </row>
    <row r="90" spans="1:7" x14ac:dyDescent="0.2">
      <c r="A90" s="2" t="s">
        <v>60</v>
      </c>
      <c r="B90" s="2" t="s">
        <v>168</v>
      </c>
      <c r="C90" s="2" t="s">
        <v>60</v>
      </c>
      <c r="D90" s="3" t="s">
        <v>5</v>
      </c>
      <c r="E90" s="1" t="s">
        <v>6</v>
      </c>
      <c r="F90" s="2">
        <f>ROUNDUP(Таблица1[[#This Row],[Столбец2]]*1.2,0)+7</f>
        <v>73</v>
      </c>
      <c r="G90" s="2">
        <v>55</v>
      </c>
    </row>
    <row r="91" spans="1:7" x14ac:dyDescent="0.2">
      <c r="A91" s="2" t="s">
        <v>61</v>
      </c>
      <c r="B91" s="2" t="s">
        <v>168</v>
      </c>
      <c r="C91" s="2" t="s">
        <v>61</v>
      </c>
      <c r="D91" s="3" t="s">
        <v>5</v>
      </c>
      <c r="E91" s="1" t="s">
        <v>6</v>
      </c>
      <c r="F91" s="2">
        <f>ROUNDUP(Таблица1[[#This Row],[Столбец2]]*1.2,0)+7</f>
        <v>73</v>
      </c>
      <c r="G91" s="2">
        <v>55</v>
      </c>
    </row>
    <row r="92" spans="1:7" x14ac:dyDescent="0.2">
      <c r="A92" s="2" t="s">
        <v>62</v>
      </c>
      <c r="B92" s="2" t="s">
        <v>168</v>
      </c>
      <c r="C92" s="2" t="s">
        <v>62</v>
      </c>
      <c r="D92" s="3" t="s">
        <v>5</v>
      </c>
      <c r="E92" s="1" t="s">
        <v>6</v>
      </c>
      <c r="F92" s="2">
        <f>ROUNDUP(Таблица1[[#This Row],[Столбец2]]*1.2,0)+7</f>
        <v>82</v>
      </c>
      <c r="G92" s="2">
        <v>62</v>
      </c>
    </row>
    <row r="93" spans="1:7" x14ac:dyDescent="0.2">
      <c r="A93" s="2" t="s">
        <v>63</v>
      </c>
      <c r="B93" s="2" t="s">
        <v>168</v>
      </c>
      <c r="C93" s="2" t="s">
        <v>63</v>
      </c>
      <c r="D93" s="3" t="s">
        <v>5</v>
      </c>
      <c r="E93" s="1" t="s">
        <v>6</v>
      </c>
      <c r="F93" s="2">
        <f>ROUNDUP(Таблица1[[#This Row],[Столбец2]]*1.2,0)+7</f>
        <v>82</v>
      </c>
      <c r="G93" s="2">
        <v>62</v>
      </c>
    </row>
    <row r="94" spans="1:7" x14ac:dyDescent="0.2">
      <c r="A94" s="2" t="s">
        <v>64</v>
      </c>
      <c r="B94" s="2" t="s">
        <v>168</v>
      </c>
      <c r="C94" s="2" t="s">
        <v>64</v>
      </c>
      <c r="D94" s="3" t="s">
        <v>5</v>
      </c>
      <c r="E94" s="1" t="s">
        <v>6</v>
      </c>
      <c r="F94" s="2">
        <f>ROUNDUP(Таблица1[[#This Row],[Столбец2]]*1.2,0)+7</f>
        <v>93</v>
      </c>
      <c r="G94" s="2">
        <v>71</v>
      </c>
    </row>
    <row r="95" spans="1:7" x14ac:dyDescent="0.2">
      <c r="A95" s="2" t="s">
        <v>65</v>
      </c>
      <c r="B95" s="2" t="s">
        <v>168</v>
      </c>
      <c r="C95" s="2" t="s">
        <v>65</v>
      </c>
      <c r="D95" s="3" t="s">
        <v>5</v>
      </c>
      <c r="E95" s="1" t="s">
        <v>6</v>
      </c>
      <c r="F95" s="2">
        <f>ROUNDUP(Таблица1[[#This Row],[Столбец2]]*1.2,0)+7</f>
        <v>93</v>
      </c>
      <c r="G95" s="2">
        <v>71</v>
      </c>
    </row>
    <row r="96" spans="1:7" x14ac:dyDescent="0.2">
      <c r="A96" s="2" t="s">
        <v>66</v>
      </c>
      <c r="B96" s="2" t="s">
        <v>168</v>
      </c>
      <c r="C96" s="2" t="s">
        <v>66</v>
      </c>
      <c r="D96" s="3" t="s">
        <v>5</v>
      </c>
      <c r="E96" s="1" t="s">
        <v>6</v>
      </c>
      <c r="F96" s="2">
        <f>ROUNDUP(Таблица1[[#This Row],[Столбец2]]*1.2,0)+7</f>
        <v>85</v>
      </c>
      <c r="G96" s="2">
        <v>65</v>
      </c>
    </row>
    <row r="97" spans="1:7" x14ac:dyDescent="0.2">
      <c r="A97" s="2" t="s">
        <v>67</v>
      </c>
      <c r="B97" s="2" t="s">
        <v>168</v>
      </c>
      <c r="C97" s="2" t="s">
        <v>67</v>
      </c>
      <c r="D97" s="3" t="s">
        <v>5</v>
      </c>
      <c r="E97" s="1" t="s">
        <v>6</v>
      </c>
      <c r="F97" s="2">
        <f>ROUNDUP(Таблица1[[#This Row],[Столбец2]]*1.2,0)+7</f>
        <v>85</v>
      </c>
      <c r="G97" s="2">
        <v>65</v>
      </c>
    </row>
    <row r="98" spans="1:7" x14ac:dyDescent="0.2">
      <c r="A98" s="2" t="s">
        <v>68</v>
      </c>
      <c r="B98" s="2" t="s">
        <v>168</v>
      </c>
      <c r="C98" s="2" t="s">
        <v>68</v>
      </c>
      <c r="D98" s="3" t="s">
        <v>5</v>
      </c>
      <c r="E98" s="1" t="s">
        <v>6</v>
      </c>
      <c r="F98" s="2">
        <f>ROUNDUP(Таблица1[[#This Row],[Столбец2]]*1.2,0)+7</f>
        <v>77</v>
      </c>
      <c r="G98" s="2">
        <v>58</v>
      </c>
    </row>
    <row r="99" spans="1:7" x14ac:dyDescent="0.2">
      <c r="A99" s="2" t="s">
        <v>69</v>
      </c>
      <c r="B99" s="2" t="s">
        <v>168</v>
      </c>
      <c r="C99" s="2" t="s">
        <v>69</v>
      </c>
      <c r="D99" s="3" t="s">
        <v>5</v>
      </c>
      <c r="E99" s="1" t="s">
        <v>6</v>
      </c>
      <c r="F99" s="2">
        <f>ROUNDUP(Таблица1[[#This Row],[Столбец2]]*1.2,0)+7</f>
        <v>77</v>
      </c>
      <c r="G99" s="2">
        <v>58</v>
      </c>
    </row>
    <row r="100" spans="1:7" x14ac:dyDescent="0.2">
      <c r="A100" s="2" t="s">
        <v>70</v>
      </c>
      <c r="B100" s="2" t="s">
        <v>168</v>
      </c>
      <c r="C100" s="2" t="s">
        <v>70</v>
      </c>
      <c r="D100" s="3" t="s">
        <v>5</v>
      </c>
      <c r="E100" s="1" t="s">
        <v>6</v>
      </c>
      <c r="F100" s="2">
        <f>ROUNDUP(Таблица1[[#This Row],[Столбец2]]*1.2,0)+7</f>
        <v>67</v>
      </c>
      <c r="G100" s="2">
        <v>50</v>
      </c>
    </row>
    <row r="101" spans="1:7" x14ac:dyDescent="0.2">
      <c r="A101" s="2" t="s">
        <v>71</v>
      </c>
      <c r="B101" s="2" t="s">
        <v>168</v>
      </c>
      <c r="C101" s="2" t="s">
        <v>71</v>
      </c>
      <c r="D101" s="3" t="s">
        <v>5</v>
      </c>
      <c r="E101" s="1" t="s">
        <v>6</v>
      </c>
      <c r="F101" s="2">
        <f>ROUNDUP(Таблица1[[#This Row],[Столбец2]]*1.2,0)+7</f>
        <v>67</v>
      </c>
      <c r="G101" s="2">
        <v>50</v>
      </c>
    </row>
    <row r="102" spans="1:7" x14ac:dyDescent="0.2">
      <c r="A102" s="2" t="s">
        <v>72</v>
      </c>
      <c r="B102" s="2" t="s">
        <v>168</v>
      </c>
      <c r="C102" s="2" t="s">
        <v>72</v>
      </c>
      <c r="D102" s="3" t="s">
        <v>5</v>
      </c>
      <c r="E102" s="1" t="s">
        <v>6</v>
      </c>
      <c r="F102" s="2">
        <f>ROUNDUP(Таблица1[[#This Row],[Столбец2]]*1.2,0)+7</f>
        <v>41</v>
      </c>
      <c r="G102" s="2">
        <v>28</v>
      </c>
    </row>
    <row r="103" spans="1:7" x14ac:dyDescent="0.2">
      <c r="A103" s="2" t="s">
        <v>73</v>
      </c>
      <c r="B103" s="2" t="s">
        <v>168</v>
      </c>
      <c r="C103" s="2" t="s">
        <v>73</v>
      </c>
      <c r="D103" s="3" t="s">
        <v>5</v>
      </c>
      <c r="E103" s="1" t="s">
        <v>6</v>
      </c>
      <c r="F103" s="2">
        <f>ROUNDUP(Таблица1[[#This Row],[Столбец2]]*1.2,0)+7</f>
        <v>35</v>
      </c>
      <c r="G103" s="2">
        <v>23</v>
      </c>
    </row>
    <row r="104" spans="1:7" x14ac:dyDescent="0.2">
      <c r="A104" s="2" t="s">
        <v>74</v>
      </c>
      <c r="B104" s="2" t="s">
        <v>169</v>
      </c>
      <c r="C104" s="2" t="s">
        <v>74</v>
      </c>
      <c r="D104" s="3" t="s">
        <v>5</v>
      </c>
      <c r="E104" s="1" t="s">
        <v>6</v>
      </c>
      <c r="F104" s="2">
        <f>ROUNDUP(Таблица1[[#This Row],[Столбец2]]*1.2,0)+7</f>
        <v>31</v>
      </c>
      <c r="G104" s="2">
        <v>20</v>
      </c>
    </row>
    <row r="105" spans="1:7" x14ac:dyDescent="0.2">
      <c r="A105" s="2" t="s">
        <v>75</v>
      </c>
      <c r="B105" s="2" t="s">
        <v>169</v>
      </c>
      <c r="C105" s="2" t="s">
        <v>75</v>
      </c>
      <c r="D105" s="3" t="s">
        <v>5</v>
      </c>
      <c r="E105" s="1" t="s">
        <v>6</v>
      </c>
      <c r="F105" s="2">
        <f>ROUNDUP(Таблица1[[#This Row],[Столбец2]]*1.2,0)+7</f>
        <v>54</v>
      </c>
      <c r="G105" s="2">
        <v>38.5</v>
      </c>
    </row>
    <row r="106" spans="1:7" x14ac:dyDescent="0.2">
      <c r="A106" s="2" t="s">
        <v>76</v>
      </c>
      <c r="B106" s="2" t="s">
        <v>169</v>
      </c>
      <c r="C106" s="2" t="s">
        <v>76</v>
      </c>
      <c r="D106" s="3" t="s">
        <v>5</v>
      </c>
      <c r="E106" s="1" t="s">
        <v>6</v>
      </c>
      <c r="F106" s="2">
        <f>ROUNDUP(Таблица1[[#This Row],[Столбец2]]*1.2,0)+7</f>
        <v>87</v>
      </c>
      <c r="G106" s="2">
        <v>66.5</v>
      </c>
    </row>
    <row r="107" spans="1:7" x14ac:dyDescent="0.2">
      <c r="A107" s="2" t="s">
        <v>77</v>
      </c>
      <c r="B107" s="2" t="s">
        <v>169</v>
      </c>
      <c r="C107" s="2" t="s">
        <v>77</v>
      </c>
      <c r="D107" s="3" t="s">
        <v>5</v>
      </c>
      <c r="E107" s="1" t="s">
        <v>6</v>
      </c>
      <c r="F107" s="2">
        <f>ROUNDUP(Таблица1[[#This Row],[Столбец2]]*1.2,0)+7</f>
        <v>87</v>
      </c>
      <c r="G107" s="2">
        <v>66.5</v>
      </c>
    </row>
    <row r="108" spans="1:7" x14ac:dyDescent="0.2">
      <c r="A108" s="2" t="s">
        <v>78</v>
      </c>
      <c r="B108" s="2" t="s">
        <v>169</v>
      </c>
      <c r="C108" s="2" t="s">
        <v>78</v>
      </c>
      <c r="D108" s="3" t="s">
        <v>5</v>
      </c>
      <c r="E108" s="1" t="s">
        <v>6</v>
      </c>
      <c r="F108" s="2">
        <f>ROUNDUP(Таблица1[[#This Row],[Столбец2]]*1.2,0)+7</f>
        <v>94</v>
      </c>
      <c r="G108" s="2">
        <v>72</v>
      </c>
    </row>
    <row r="109" spans="1:7" x14ac:dyDescent="0.2">
      <c r="A109" s="2" t="s">
        <v>79</v>
      </c>
      <c r="B109" s="2" t="s">
        <v>169</v>
      </c>
      <c r="C109" s="2" t="s">
        <v>79</v>
      </c>
      <c r="D109" s="3" t="s">
        <v>5</v>
      </c>
      <c r="E109" s="1" t="s">
        <v>6</v>
      </c>
      <c r="F109" s="2">
        <f>ROUNDUP(Таблица1[[#This Row],[Столбец2]]*1.2,0)+7</f>
        <v>94</v>
      </c>
      <c r="G109" s="2">
        <v>72</v>
      </c>
    </row>
    <row r="110" spans="1:7" x14ac:dyDescent="0.2">
      <c r="A110" s="2" t="s">
        <v>80</v>
      </c>
      <c r="B110" s="2" t="s">
        <v>169</v>
      </c>
      <c r="C110" s="2" t="s">
        <v>80</v>
      </c>
      <c r="D110" s="3" t="s">
        <v>5</v>
      </c>
      <c r="E110" s="1" t="s">
        <v>6</v>
      </c>
      <c r="F110" s="2">
        <f>ROUNDUP(Таблица1[[#This Row],[Столбец2]]*1.2,0)+7</f>
        <v>78</v>
      </c>
      <c r="G110" s="2">
        <v>58.5</v>
      </c>
    </row>
    <row r="111" spans="1:7" x14ac:dyDescent="0.2">
      <c r="A111" s="2" t="s">
        <v>81</v>
      </c>
      <c r="B111" s="2" t="s">
        <v>169</v>
      </c>
      <c r="C111" s="2" t="s">
        <v>81</v>
      </c>
      <c r="D111" s="3" t="s">
        <v>5</v>
      </c>
      <c r="E111" s="1" t="s">
        <v>6</v>
      </c>
      <c r="F111" s="2">
        <f>ROUNDUP(Таблица1[[#This Row],[Столбец2]]*1.2,0)+7</f>
        <v>78</v>
      </c>
      <c r="G111" s="2">
        <v>58.5</v>
      </c>
    </row>
    <row r="112" spans="1:7" x14ac:dyDescent="0.2">
      <c r="A112" s="2" t="s">
        <v>82</v>
      </c>
      <c r="B112" s="2" t="s">
        <v>169</v>
      </c>
      <c r="C112" s="2" t="s">
        <v>82</v>
      </c>
      <c r="D112" s="3" t="s">
        <v>5</v>
      </c>
      <c r="E112" s="1" t="s">
        <v>6</v>
      </c>
      <c r="F112" s="2">
        <f>ROUNDUP(Таблица1[[#This Row],[Столбец2]]*1.2,0)+7</f>
        <v>68</v>
      </c>
      <c r="G112" s="2">
        <v>50.5</v>
      </c>
    </row>
    <row r="113" spans="1:7" x14ac:dyDescent="0.2">
      <c r="A113" s="2" t="s">
        <v>83</v>
      </c>
      <c r="B113" s="2" t="s">
        <v>169</v>
      </c>
      <c r="C113" s="2" t="s">
        <v>83</v>
      </c>
      <c r="D113" s="3" t="s">
        <v>5</v>
      </c>
      <c r="E113" s="1" t="s">
        <v>6</v>
      </c>
      <c r="F113" s="2">
        <f>ROUNDUP(Таблица1[[#This Row],[Столбец2]]*1.2,0)+7</f>
        <v>61</v>
      </c>
      <c r="G113" s="2">
        <v>44.5</v>
      </c>
    </row>
    <row r="114" spans="1:7" x14ac:dyDescent="0.2">
      <c r="A114" s="2" t="s">
        <v>84</v>
      </c>
      <c r="B114" s="2" t="s">
        <v>169</v>
      </c>
      <c r="C114" s="2" t="s">
        <v>84</v>
      </c>
      <c r="D114" s="3" t="s">
        <v>5</v>
      </c>
      <c r="E114" s="1" t="s">
        <v>6</v>
      </c>
      <c r="F114" s="2">
        <f>ROUNDUP(Таблица1[[#This Row],[Столбец2]]*1.2,0)+7</f>
        <v>56</v>
      </c>
      <c r="G114" s="2">
        <v>40.5</v>
      </c>
    </row>
    <row r="115" spans="1:7" x14ac:dyDescent="0.2">
      <c r="A115" s="2" t="s">
        <v>85</v>
      </c>
      <c r="B115" s="2" t="s">
        <v>169</v>
      </c>
      <c r="C115" s="2" t="s">
        <v>85</v>
      </c>
      <c r="D115" s="3" t="s">
        <v>5</v>
      </c>
      <c r="E115" s="1" t="s">
        <v>6</v>
      </c>
      <c r="F115" s="2">
        <f>ROUNDUP(Таблица1[[#This Row],[Столбец2]]*1.2,0)+7</f>
        <v>61</v>
      </c>
      <c r="G115" s="2">
        <v>44.5</v>
      </c>
    </row>
    <row r="116" spans="1:7" x14ac:dyDescent="0.2">
      <c r="A116" s="2" t="s">
        <v>86</v>
      </c>
      <c r="B116" s="2" t="s">
        <v>169</v>
      </c>
      <c r="C116" s="2" t="s">
        <v>86</v>
      </c>
      <c r="D116" s="3" t="s">
        <v>5</v>
      </c>
      <c r="E116" s="1" t="s">
        <v>6</v>
      </c>
      <c r="F116" s="2">
        <f>ROUNDUP(Таблица1[[#This Row],[Столбец2]]*1.2,0)+7</f>
        <v>61</v>
      </c>
      <c r="G116" s="2">
        <v>44.5</v>
      </c>
    </row>
    <row r="117" spans="1:7" x14ac:dyDescent="0.2">
      <c r="A117" s="2" t="s">
        <v>87</v>
      </c>
      <c r="B117" s="2" t="s">
        <v>169</v>
      </c>
      <c r="C117" s="2" t="s">
        <v>87</v>
      </c>
      <c r="D117" s="3" t="s">
        <v>5</v>
      </c>
      <c r="E117" s="1" t="s">
        <v>6</v>
      </c>
      <c r="F117" s="2">
        <f>ROUNDUP(Таблица1[[#This Row],[Столбец2]]*1.2,0)+7</f>
        <v>56</v>
      </c>
      <c r="G117" s="2">
        <v>40.5</v>
      </c>
    </row>
    <row r="118" spans="1:7" x14ac:dyDescent="0.2">
      <c r="A118" s="2" t="s">
        <v>88</v>
      </c>
      <c r="B118" s="2" t="s">
        <v>169</v>
      </c>
      <c r="C118" s="2" t="s">
        <v>88</v>
      </c>
      <c r="D118" s="3" t="s">
        <v>5</v>
      </c>
      <c r="E118" s="1" t="s">
        <v>6</v>
      </c>
      <c r="F118" s="2">
        <f>ROUNDUP(Таблица1[[#This Row],[Столбец2]]*1.2,0)+7</f>
        <v>56</v>
      </c>
      <c r="G118" s="2">
        <v>40.5</v>
      </c>
    </row>
    <row r="119" spans="1:7" x14ac:dyDescent="0.2">
      <c r="A119" s="2" t="s">
        <v>89</v>
      </c>
      <c r="B119" s="2" t="s">
        <v>169</v>
      </c>
      <c r="C119" s="2" t="s">
        <v>89</v>
      </c>
      <c r="D119" s="3" t="s">
        <v>5</v>
      </c>
      <c r="E119" s="1" t="s">
        <v>6</v>
      </c>
      <c r="F119" s="2">
        <f>ROUNDUP(Таблица1[[#This Row],[Столбец2]]*1.2,0)+7</f>
        <v>37</v>
      </c>
      <c r="G119" s="2">
        <v>24.5</v>
      </c>
    </row>
    <row r="120" spans="1:7" x14ac:dyDescent="0.2">
      <c r="A120" s="2" t="s">
        <v>90</v>
      </c>
      <c r="B120" s="2" t="s">
        <v>170</v>
      </c>
      <c r="C120" s="2" t="s">
        <v>90</v>
      </c>
      <c r="D120" s="3" t="s">
        <v>5</v>
      </c>
      <c r="E120" s="1" t="s">
        <v>6</v>
      </c>
      <c r="F120" s="2">
        <f>ROUNDUP(Таблица1[[#This Row],[Столбец2]]*1.2,0)+7</f>
        <v>17</v>
      </c>
      <c r="G120" s="2">
        <v>8</v>
      </c>
    </row>
    <row r="121" spans="1:7" x14ac:dyDescent="0.2">
      <c r="A121" s="2" t="s">
        <v>91</v>
      </c>
      <c r="B121" s="2" t="s">
        <v>170</v>
      </c>
      <c r="C121" s="2" t="s">
        <v>91</v>
      </c>
      <c r="D121" s="3" t="s">
        <v>5</v>
      </c>
      <c r="E121" s="1" t="s">
        <v>6</v>
      </c>
      <c r="F121" s="2">
        <f>ROUNDUP(Таблица1[[#This Row],[Столбец2]]*1.2,0)+7</f>
        <v>13</v>
      </c>
      <c r="G121" s="2">
        <v>5</v>
      </c>
    </row>
    <row r="122" spans="1:7" x14ac:dyDescent="0.2">
      <c r="A122" s="2" t="s">
        <v>92</v>
      </c>
      <c r="B122" s="2" t="s">
        <v>170</v>
      </c>
      <c r="C122" s="2" t="s">
        <v>92</v>
      </c>
      <c r="D122" s="3" t="s">
        <v>5</v>
      </c>
      <c r="E122" s="1" t="s">
        <v>6</v>
      </c>
      <c r="F122" s="2">
        <f>ROUNDUP(Таблица1[[#This Row],[Столбец2]]*1.2,0)+7</f>
        <v>72</v>
      </c>
      <c r="G122" s="2">
        <v>54</v>
      </c>
    </row>
    <row r="123" spans="1:7" x14ac:dyDescent="0.2">
      <c r="A123" s="2" t="s">
        <v>93</v>
      </c>
      <c r="B123" s="2" t="s">
        <v>170</v>
      </c>
      <c r="C123" s="2" t="s">
        <v>93</v>
      </c>
      <c r="D123" s="3" t="s">
        <v>5</v>
      </c>
      <c r="E123" s="1" t="s">
        <v>6</v>
      </c>
      <c r="F123" s="2">
        <f>ROUNDUP(Таблица1[[#This Row],[Столбец2]]*1.2,0)+7</f>
        <v>54</v>
      </c>
      <c r="G123" s="2">
        <v>39</v>
      </c>
    </row>
    <row r="124" spans="1:7" x14ac:dyDescent="0.2">
      <c r="A124" s="2" t="s">
        <v>94</v>
      </c>
      <c r="B124" s="2" t="s">
        <v>170</v>
      </c>
      <c r="C124" s="2" t="s">
        <v>94</v>
      </c>
      <c r="D124" s="3" t="s">
        <v>5</v>
      </c>
      <c r="E124" s="1" t="s">
        <v>6</v>
      </c>
      <c r="F124" s="2">
        <f>ROUNDUP(Таблица1[[#This Row],[Столбец2]]*1.2,0)+7</f>
        <v>23</v>
      </c>
      <c r="G124" s="2">
        <v>13</v>
      </c>
    </row>
    <row r="125" spans="1:7" x14ac:dyDescent="0.2">
      <c r="A125" s="2" t="s">
        <v>95</v>
      </c>
      <c r="B125" s="2" t="s">
        <v>170</v>
      </c>
      <c r="C125" s="2" t="s">
        <v>95</v>
      </c>
      <c r="D125" s="3" t="s">
        <v>5</v>
      </c>
      <c r="E125" s="1" t="s">
        <v>6</v>
      </c>
      <c r="F125" s="2">
        <f>ROUNDUP(Таблица1[[#This Row],[Столбец2]]*1.2,0)+7</f>
        <v>46</v>
      </c>
      <c r="G125" s="2">
        <v>32</v>
      </c>
    </row>
    <row r="126" spans="1:7" x14ac:dyDescent="0.2">
      <c r="A126" s="2" t="s">
        <v>96</v>
      </c>
      <c r="B126" s="2" t="s">
        <v>170</v>
      </c>
      <c r="C126" s="2" t="s">
        <v>96</v>
      </c>
      <c r="D126" s="3" t="s">
        <v>5</v>
      </c>
      <c r="E126" s="1" t="s">
        <v>6</v>
      </c>
      <c r="F126" s="2">
        <f>ROUNDUP(Таблица1[[#This Row],[Столбец2]]*1.2,0)+7</f>
        <v>30</v>
      </c>
      <c r="G126" s="2">
        <v>19</v>
      </c>
    </row>
    <row r="127" spans="1:7" x14ac:dyDescent="0.2">
      <c r="A127" s="2" t="s">
        <v>97</v>
      </c>
      <c r="B127" s="2" t="s">
        <v>170</v>
      </c>
      <c r="C127" s="2" t="s">
        <v>97</v>
      </c>
      <c r="D127" s="3" t="s">
        <v>5</v>
      </c>
      <c r="E127" s="1" t="s">
        <v>6</v>
      </c>
      <c r="F127" s="2">
        <f>ROUNDUP(Таблица1[[#This Row],[Столбец2]]*1.2,0)+7</f>
        <v>28</v>
      </c>
      <c r="G127" s="2">
        <v>17</v>
      </c>
    </row>
    <row r="128" spans="1:7" x14ac:dyDescent="0.2">
      <c r="A128" s="2" t="s">
        <v>98</v>
      </c>
      <c r="B128" s="2" t="s">
        <v>170</v>
      </c>
      <c r="C128" s="2" t="s">
        <v>98</v>
      </c>
      <c r="D128" s="3" t="s">
        <v>5</v>
      </c>
      <c r="E128" s="1" t="s">
        <v>6</v>
      </c>
      <c r="F128" s="2">
        <f>ROUNDUP(Таблица1[[#This Row],[Столбец2]]*1.2,0)+7</f>
        <v>66</v>
      </c>
      <c r="G128" s="2">
        <v>49</v>
      </c>
    </row>
    <row r="129" spans="1:7" x14ac:dyDescent="0.2">
      <c r="A129" s="2" t="s">
        <v>99</v>
      </c>
      <c r="B129" s="2" t="s">
        <v>170</v>
      </c>
      <c r="C129" s="2" t="s">
        <v>99</v>
      </c>
      <c r="D129" s="3" t="s">
        <v>5</v>
      </c>
      <c r="E129" s="1" t="s">
        <v>6</v>
      </c>
      <c r="F129" s="2">
        <f>ROUNDUP(Таблица1[[#This Row],[Столбец2]]*1.2,0)+7</f>
        <v>52</v>
      </c>
      <c r="G129" s="2">
        <v>37</v>
      </c>
    </row>
    <row r="130" spans="1:7" x14ac:dyDescent="0.2">
      <c r="A130" s="2" t="s">
        <v>100</v>
      </c>
      <c r="B130" s="2" t="s">
        <v>170</v>
      </c>
      <c r="C130" s="2" t="s">
        <v>100</v>
      </c>
      <c r="D130" s="3" t="s">
        <v>5</v>
      </c>
      <c r="E130" s="1" t="s">
        <v>6</v>
      </c>
      <c r="F130" s="2">
        <f>ROUNDUP(Таблица1[[#This Row],[Столбец2]]*1.2,0)+7</f>
        <v>76</v>
      </c>
      <c r="G130" s="2">
        <v>57</v>
      </c>
    </row>
    <row r="131" spans="1:7" x14ac:dyDescent="0.2">
      <c r="A131" s="2" t="s">
        <v>101</v>
      </c>
      <c r="B131" s="2" t="s">
        <v>170</v>
      </c>
      <c r="C131" s="2" t="s">
        <v>101</v>
      </c>
      <c r="D131" s="3" t="s">
        <v>5</v>
      </c>
      <c r="E131" s="1" t="s">
        <v>6</v>
      </c>
      <c r="F131" s="2">
        <f>ROUNDUP(Таблица1[[#This Row],[Столбец2]]*1.2,0)+7</f>
        <v>99</v>
      </c>
      <c r="G131" s="2">
        <v>76</v>
      </c>
    </row>
    <row r="132" spans="1:7" x14ac:dyDescent="0.2">
      <c r="A132" s="2" t="s">
        <v>102</v>
      </c>
      <c r="B132" s="2" t="s">
        <v>170</v>
      </c>
      <c r="C132" s="2" t="s">
        <v>102</v>
      </c>
      <c r="D132" s="3" t="s">
        <v>5</v>
      </c>
      <c r="E132" s="1" t="s">
        <v>6</v>
      </c>
      <c r="F132" s="2">
        <f>ROUNDUP(Таблица1[[#This Row],[Столбец2]]*1.2,0)+7</f>
        <v>96</v>
      </c>
      <c r="G132" s="2">
        <v>74</v>
      </c>
    </row>
    <row r="133" spans="1:7" x14ac:dyDescent="0.2">
      <c r="A133" s="2" t="s">
        <v>103</v>
      </c>
      <c r="B133" s="2" t="s">
        <v>171</v>
      </c>
      <c r="C133" s="2" t="s">
        <v>103</v>
      </c>
      <c r="D133" s="3" t="s">
        <v>5</v>
      </c>
      <c r="E133" s="1" t="s">
        <v>6</v>
      </c>
      <c r="F133" s="2">
        <f>ROUNDUP(Таблица1[[#This Row],[Столбец2]]*1.2,0)+7</f>
        <v>42</v>
      </c>
      <c r="G133" s="2">
        <v>29</v>
      </c>
    </row>
    <row r="134" spans="1:7" x14ac:dyDescent="0.2">
      <c r="A134" s="2" t="s">
        <v>104</v>
      </c>
      <c r="B134" s="2" t="s">
        <v>171</v>
      </c>
      <c r="C134" s="2" t="s">
        <v>104</v>
      </c>
      <c r="D134" s="3" t="s">
        <v>5</v>
      </c>
      <c r="E134" s="1" t="s">
        <v>6</v>
      </c>
      <c r="F134" s="2">
        <f>ROUNDUP(Таблица1[[#This Row],[Столбец2]]*1.2,0)+7</f>
        <v>46</v>
      </c>
      <c r="G134" s="2">
        <v>32</v>
      </c>
    </row>
    <row r="135" spans="1:7" x14ac:dyDescent="0.2">
      <c r="A135" s="2" t="s">
        <v>105</v>
      </c>
      <c r="B135" s="2" t="s">
        <v>171</v>
      </c>
      <c r="C135" s="2" t="s">
        <v>105</v>
      </c>
      <c r="D135" s="3" t="s">
        <v>5</v>
      </c>
      <c r="E135" s="1" t="s">
        <v>6</v>
      </c>
      <c r="F135" s="2">
        <f>ROUNDUP(Таблица1[[#This Row],[Столбец2]]*1.2,0)+7</f>
        <v>17</v>
      </c>
      <c r="G135" s="2">
        <v>8</v>
      </c>
    </row>
    <row r="136" spans="1:7" x14ac:dyDescent="0.2">
      <c r="A136" s="2" t="s">
        <v>106</v>
      </c>
      <c r="B136" s="2" t="s">
        <v>171</v>
      </c>
      <c r="C136" s="2" t="s">
        <v>106</v>
      </c>
      <c r="D136" s="3" t="s">
        <v>5</v>
      </c>
      <c r="E136" s="1" t="s">
        <v>6</v>
      </c>
      <c r="F136" s="2">
        <f>ROUNDUP(Таблица1[[#This Row],[Столбец2]]*1.2,0)+7</f>
        <v>29</v>
      </c>
      <c r="G136" s="2">
        <v>18</v>
      </c>
    </row>
    <row r="137" spans="1:7" x14ac:dyDescent="0.2">
      <c r="A137" s="2" t="s">
        <v>107</v>
      </c>
      <c r="B137" s="2" t="s">
        <v>171</v>
      </c>
      <c r="C137" s="2" t="s">
        <v>107</v>
      </c>
      <c r="D137" s="3" t="s">
        <v>5</v>
      </c>
      <c r="E137" s="1" t="s">
        <v>6</v>
      </c>
      <c r="F137" s="2">
        <f>ROUNDUP(Таблица1[[#This Row],[Столбец2]]*1.2,0)+7</f>
        <v>37</v>
      </c>
      <c r="G137" s="2">
        <v>25</v>
      </c>
    </row>
    <row r="138" spans="1:7" x14ac:dyDescent="0.2">
      <c r="A138" s="2" t="s">
        <v>108</v>
      </c>
      <c r="B138" s="2" t="s">
        <v>171</v>
      </c>
      <c r="C138" s="2" t="s">
        <v>108</v>
      </c>
      <c r="D138" s="3" t="s">
        <v>5</v>
      </c>
      <c r="E138" s="1" t="s">
        <v>6</v>
      </c>
      <c r="F138" s="2">
        <f>ROUNDUP(Таблица1[[#This Row],[Столбец2]]*1.2,0)+7</f>
        <v>17</v>
      </c>
      <c r="G138" s="2">
        <v>8</v>
      </c>
    </row>
    <row r="139" spans="1:7" x14ac:dyDescent="0.2">
      <c r="A139" s="2" t="s">
        <v>109</v>
      </c>
      <c r="B139" s="2" t="s">
        <v>171</v>
      </c>
      <c r="C139" s="2" t="s">
        <v>109</v>
      </c>
      <c r="D139" s="3" t="s">
        <v>5</v>
      </c>
      <c r="E139" s="1" t="s">
        <v>6</v>
      </c>
      <c r="F139" s="2">
        <f>ROUNDUP(Таблица1[[#This Row],[Столбец2]]*1.2,0)+7</f>
        <v>34</v>
      </c>
      <c r="G139" s="2">
        <v>22</v>
      </c>
    </row>
    <row r="140" spans="1:7" x14ac:dyDescent="0.2">
      <c r="A140" s="2" t="s">
        <v>110</v>
      </c>
      <c r="B140" s="2" t="s">
        <v>171</v>
      </c>
      <c r="C140" s="2" t="s">
        <v>110</v>
      </c>
      <c r="D140" s="3" t="s">
        <v>5</v>
      </c>
      <c r="E140" s="1" t="s">
        <v>6</v>
      </c>
      <c r="F140" s="2">
        <f>ROUNDUP(Таблица1[[#This Row],[Столбец2]]*1.2,0)+7</f>
        <v>49</v>
      </c>
      <c r="G140" s="2">
        <v>35</v>
      </c>
    </row>
    <row r="141" spans="1:7" x14ac:dyDescent="0.2">
      <c r="A141" s="2" t="s">
        <v>111</v>
      </c>
      <c r="B141" s="2" t="s">
        <v>171</v>
      </c>
      <c r="C141" s="2" t="s">
        <v>111</v>
      </c>
      <c r="D141" s="3" t="s">
        <v>5</v>
      </c>
      <c r="E141" s="1" t="s">
        <v>6</v>
      </c>
      <c r="F141" s="2">
        <f>ROUNDUP(Таблица1[[#This Row],[Столбец2]]*1.2,0)+7</f>
        <v>29</v>
      </c>
      <c r="G141" s="2">
        <v>18</v>
      </c>
    </row>
    <row r="142" spans="1:7" x14ac:dyDescent="0.2">
      <c r="A142" s="2" t="s">
        <v>112</v>
      </c>
      <c r="B142" s="2" t="s">
        <v>171</v>
      </c>
      <c r="C142" s="2" t="s">
        <v>112</v>
      </c>
      <c r="D142" s="3" t="s">
        <v>5</v>
      </c>
      <c r="E142" s="1" t="s">
        <v>6</v>
      </c>
      <c r="F142" s="2">
        <f>ROUNDUP(Таблица1[[#This Row],[Столбец2]]*1.2,0)+7</f>
        <v>15</v>
      </c>
      <c r="G142" s="2">
        <v>6</v>
      </c>
    </row>
    <row r="143" spans="1:7" x14ac:dyDescent="0.2">
      <c r="A143" s="2" t="s">
        <v>113</v>
      </c>
      <c r="B143" s="2" t="s">
        <v>172</v>
      </c>
      <c r="C143" s="2" t="s">
        <v>113</v>
      </c>
      <c r="D143" s="3" t="s">
        <v>5</v>
      </c>
      <c r="E143" s="1" t="s">
        <v>6</v>
      </c>
      <c r="F143" s="2">
        <f>ROUNDUP(Таблица1[[#This Row],[Столбец2]]*1.2,0)+7</f>
        <v>22</v>
      </c>
      <c r="G143" s="2">
        <v>12</v>
      </c>
    </row>
    <row r="144" spans="1:7" x14ac:dyDescent="0.2">
      <c r="A144" s="2" t="s">
        <v>114</v>
      </c>
      <c r="B144" s="2" t="s">
        <v>172</v>
      </c>
      <c r="C144" s="2" t="s">
        <v>114</v>
      </c>
      <c r="D144" s="3" t="s">
        <v>5</v>
      </c>
      <c r="E144" s="1" t="s">
        <v>6</v>
      </c>
      <c r="F144" s="2">
        <f>ROUNDUP(Таблица1[[#This Row],[Столбец2]]*1.2,0)+7</f>
        <v>23</v>
      </c>
      <c r="G144" s="2">
        <v>13</v>
      </c>
    </row>
    <row r="145" spans="1:7" x14ac:dyDescent="0.2">
      <c r="A145" s="2" t="s">
        <v>115</v>
      </c>
      <c r="B145" s="2" t="s">
        <v>172</v>
      </c>
      <c r="C145" s="2" t="s">
        <v>115</v>
      </c>
      <c r="D145" s="3" t="s">
        <v>5</v>
      </c>
      <c r="E145" s="1" t="s">
        <v>6</v>
      </c>
      <c r="F145" s="2">
        <f>ROUNDUP(Таблица1[[#This Row],[Столбец2]]*1.2,0)+7</f>
        <v>39</v>
      </c>
      <c r="G145" s="2">
        <v>26</v>
      </c>
    </row>
    <row r="146" spans="1:7" x14ac:dyDescent="0.2">
      <c r="A146" s="2" t="s">
        <v>116</v>
      </c>
      <c r="B146" s="2" t="s">
        <v>172</v>
      </c>
      <c r="C146" s="2" t="s">
        <v>116</v>
      </c>
      <c r="D146" s="3" t="s">
        <v>5</v>
      </c>
      <c r="E146" s="1" t="s">
        <v>6</v>
      </c>
      <c r="F146" s="2">
        <f>ROUNDUP(Таблица1[[#This Row],[Столбец2]]*1.2,0)+7</f>
        <v>78</v>
      </c>
      <c r="G146" s="2">
        <v>59</v>
      </c>
    </row>
    <row r="147" spans="1:7" x14ac:dyDescent="0.2">
      <c r="A147" s="2" t="s">
        <v>117</v>
      </c>
      <c r="B147" s="2" t="s">
        <v>172</v>
      </c>
      <c r="C147" s="2" t="s">
        <v>117</v>
      </c>
      <c r="D147" s="3" t="s">
        <v>5</v>
      </c>
      <c r="E147" s="1" t="s">
        <v>6</v>
      </c>
      <c r="F147" s="2">
        <f>ROUNDUP(Таблица1[[#This Row],[Столбец2]]*1.2,0)+7</f>
        <v>52</v>
      </c>
      <c r="G147" s="2">
        <v>37</v>
      </c>
    </row>
    <row r="148" spans="1:7" x14ac:dyDescent="0.2">
      <c r="A148" s="2" t="s">
        <v>118</v>
      </c>
      <c r="B148" s="2" t="s">
        <v>172</v>
      </c>
      <c r="C148" s="2" t="s">
        <v>118</v>
      </c>
      <c r="D148" s="3" t="s">
        <v>5</v>
      </c>
      <c r="E148" s="1" t="s">
        <v>6</v>
      </c>
      <c r="F148" s="2">
        <f>ROUNDUP(Таблица1[[#This Row],[Столбец2]]*1.2,0)+7</f>
        <v>46</v>
      </c>
      <c r="G148" s="2">
        <v>32</v>
      </c>
    </row>
    <row r="149" spans="1:7" x14ac:dyDescent="0.2">
      <c r="A149" s="2" t="s">
        <v>119</v>
      </c>
      <c r="B149" s="2" t="s">
        <v>172</v>
      </c>
      <c r="C149" s="2" t="s">
        <v>119</v>
      </c>
      <c r="D149" s="3" t="s">
        <v>5</v>
      </c>
      <c r="E149" s="1" t="s">
        <v>6</v>
      </c>
      <c r="F149" s="2">
        <f>ROUNDUP(Таблица1[[#This Row],[Столбец2]]*1.2,0)+7</f>
        <v>66</v>
      </c>
      <c r="G149" s="2">
        <v>49</v>
      </c>
    </row>
    <row r="150" spans="1:7" x14ac:dyDescent="0.2">
      <c r="A150" s="2" t="s">
        <v>120</v>
      </c>
      <c r="B150" s="2" t="s">
        <v>172</v>
      </c>
      <c r="C150" s="2" t="s">
        <v>120</v>
      </c>
      <c r="D150" s="3" t="s">
        <v>5</v>
      </c>
      <c r="E150" s="1" t="s">
        <v>6</v>
      </c>
      <c r="F150" s="2">
        <f>ROUNDUP(Таблица1[[#This Row],[Столбец2]]*1.2,0)+7</f>
        <v>48</v>
      </c>
      <c r="G150" s="2">
        <v>34</v>
      </c>
    </row>
    <row r="151" spans="1:7" x14ac:dyDescent="0.2">
      <c r="A151" s="2" t="s">
        <v>121</v>
      </c>
      <c r="B151" s="2" t="s">
        <v>172</v>
      </c>
      <c r="C151" s="2" t="s">
        <v>121</v>
      </c>
      <c r="D151" s="3" t="s">
        <v>5</v>
      </c>
      <c r="E151" s="1" t="s">
        <v>6</v>
      </c>
      <c r="F151" s="2">
        <f>ROUNDUP(Таблица1[[#This Row],[Столбец2]]*1.2,0)+7</f>
        <v>48</v>
      </c>
      <c r="G151" s="2">
        <v>34</v>
      </c>
    </row>
    <row r="152" spans="1:7" x14ac:dyDescent="0.2">
      <c r="A152" s="2" t="s">
        <v>122</v>
      </c>
      <c r="B152" s="2" t="s">
        <v>172</v>
      </c>
      <c r="C152" s="2" t="s">
        <v>122</v>
      </c>
      <c r="D152" s="3" t="s">
        <v>5</v>
      </c>
      <c r="E152" s="1" t="s">
        <v>6</v>
      </c>
      <c r="F152" s="2">
        <f>ROUNDUP(Таблица1[[#This Row],[Столбец2]]*1.2,0)+7</f>
        <v>61</v>
      </c>
      <c r="G152" s="2">
        <v>45</v>
      </c>
    </row>
    <row r="153" spans="1:7" x14ac:dyDescent="0.2">
      <c r="A153" s="2" t="s">
        <v>123</v>
      </c>
      <c r="B153" s="2" t="s">
        <v>172</v>
      </c>
      <c r="C153" s="2" t="s">
        <v>123</v>
      </c>
      <c r="D153" s="3" t="s">
        <v>5</v>
      </c>
      <c r="E153" s="1" t="s">
        <v>6</v>
      </c>
      <c r="F153" s="2">
        <f>ROUNDUP(Таблица1[[#This Row],[Столбец2]]*1.2,0)+7</f>
        <v>60</v>
      </c>
      <c r="G153" s="2">
        <v>44</v>
      </c>
    </row>
    <row r="154" spans="1:7" x14ac:dyDescent="0.2">
      <c r="A154" s="2" t="s">
        <v>124</v>
      </c>
      <c r="B154" s="2" t="s">
        <v>172</v>
      </c>
      <c r="C154" s="2" t="s">
        <v>124</v>
      </c>
      <c r="D154" s="3" t="s">
        <v>5</v>
      </c>
      <c r="E154" s="1" t="s">
        <v>6</v>
      </c>
      <c r="F154" s="2">
        <f>ROUNDUP(Таблица1[[#This Row],[Столбец2]]*1.2,0)+7</f>
        <v>34</v>
      </c>
      <c r="G154" s="2">
        <v>22</v>
      </c>
    </row>
    <row r="155" spans="1:7" x14ac:dyDescent="0.2">
      <c r="A155" s="2" t="s">
        <v>125</v>
      </c>
      <c r="B155" s="2" t="s">
        <v>172</v>
      </c>
      <c r="C155" s="2" t="s">
        <v>125</v>
      </c>
      <c r="D155" s="3" t="s">
        <v>5</v>
      </c>
      <c r="E155" s="1" t="s">
        <v>6</v>
      </c>
      <c r="F155" s="2">
        <f>ROUNDUP(Таблица1[[#This Row],[Столбец2]]*1.2,0)+7</f>
        <v>49</v>
      </c>
      <c r="G155" s="2">
        <v>35</v>
      </c>
    </row>
    <row r="156" spans="1:7" x14ac:dyDescent="0.2">
      <c r="A156" s="2" t="s">
        <v>126</v>
      </c>
      <c r="B156" s="2" t="s">
        <v>173</v>
      </c>
      <c r="C156" s="2" t="s">
        <v>126</v>
      </c>
      <c r="D156" s="3" t="s">
        <v>5</v>
      </c>
      <c r="E156" s="1" t="s">
        <v>6</v>
      </c>
      <c r="F156" s="2">
        <f>ROUNDUP(Таблица1[[#This Row],[Столбец2]]*1.2,0)+7</f>
        <v>64</v>
      </c>
      <c r="G156" s="2">
        <v>47</v>
      </c>
    </row>
    <row r="157" spans="1:7" x14ac:dyDescent="0.2">
      <c r="A157" s="2" t="s">
        <v>127</v>
      </c>
      <c r="B157" s="2" t="s">
        <v>173</v>
      </c>
      <c r="C157" s="2" t="s">
        <v>127</v>
      </c>
      <c r="D157" s="3" t="s">
        <v>5</v>
      </c>
      <c r="E157" s="1" t="s">
        <v>6</v>
      </c>
      <c r="F157" s="2">
        <f>ROUNDUP(Таблица1[[#This Row],[Столбец2]]*1.2,0)+7</f>
        <v>39</v>
      </c>
      <c r="G157" s="2">
        <v>26</v>
      </c>
    </row>
    <row r="158" spans="1:7" x14ac:dyDescent="0.2">
      <c r="A158" s="2" t="s">
        <v>128</v>
      </c>
      <c r="B158" s="2" t="s">
        <v>173</v>
      </c>
      <c r="C158" s="2" t="s">
        <v>128</v>
      </c>
      <c r="D158" s="3" t="s">
        <v>5</v>
      </c>
      <c r="E158" s="1" t="s">
        <v>6</v>
      </c>
      <c r="F158" s="2">
        <f>ROUNDUP(Таблица1[[#This Row],[Столбец2]]*1.2,0)+7</f>
        <v>21</v>
      </c>
      <c r="G158" s="2">
        <v>11</v>
      </c>
    </row>
    <row r="159" spans="1:7" x14ac:dyDescent="0.2">
      <c r="A159" s="2" t="s">
        <v>129</v>
      </c>
      <c r="B159" s="2" t="s">
        <v>173</v>
      </c>
      <c r="C159" s="2" t="s">
        <v>129</v>
      </c>
      <c r="D159" s="3" t="s">
        <v>5</v>
      </c>
      <c r="E159" s="1" t="s">
        <v>6</v>
      </c>
      <c r="F159" s="2">
        <f>ROUNDUP(Таблица1[[#This Row],[Столбец2]]*1.2,0)+7</f>
        <v>23</v>
      </c>
      <c r="G159" s="2">
        <v>13</v>
      </c>
    </row>
    <row r="160" spans="1:7" x14ac:dyDescent="0.2">
      <c r="A160" s="2" t="s">
        <v>130</v>
      </c>
      <c r="B160" s="2" t="s">
        <v>173</v>
      </c>
      <c r="C160" s="2" t="s">
        <v>130</v>
      </c>
      <c r="D160" s="3" t="s">
        <v>5</v>
      </c>
      <c r="E160" s="1" t="s">
        <v>6</v>
      </c>
      <c r="F160" s="2">
        <f>ROUNDUP(Таблица1[[#This Row],[Столбец2]]*1.2,0)+7</f>
        <v>37</v>
      </c>
      <c r="G160" s="2">
        <v>25</v>
      </c>
    </row>
    <row r="161" spans="1:7" x14ac:dyDescent="0.2">
      <c r="A161" s="2" t="s">
        <v>131</v>
      </c>
      <c r="B161" s="2" t="s">
        <v>173</v>
      </c>
      <c r="C161" s="2" t="s">
        <v>131</v>
      </c>
      <c r="D161" s="3" t="s">
        <v>5</v>
      </c>
      <c r="E161" s="1" t="s">
        <v>6</v>
      </c>
      <c r="F161" s="2">
        <f>ROUNDUP(Таблица1[[#This Row],[Столбец2]]*1.2,0)+7</f>
        <v>17</v>
      </c>
      <c r="G161" s="2">
        <v>8</v>
      </c>
    </row>
    <row r="162" spans="1:7" x14ac:dyDescent="0.2">
      <c r="A162" s="2" t="s">
        <v>132</v>
      </c>
      <c r="B162" s="2" t="s">
        <v>173</v>
      </c>
      <c r="C162" s="2" t="s">
        <v>132</v>
      </c>
      <c r="D162" s="3" t="s">
        <v>5</v>
      </c>
      <c r="E162" s="1" t="s">
        <v>6</v>
      </c>
      <c r="F162" s="2">
        <f>ROUNDUP(Таблица1[[#This Row],[Столбец2]]*1.2,0)+7</f>
        <v>48</v>
      </c>
      <c r="G162" s="2">
        <v>34</v>
      </c>
    </row>
    <row r="163" spans="1:7" x14ac:dyDescent="0.2">
      <c r="A163" s="2" t="s">
        <v>133</v>
      </c>
      <c r="B163" s="2" t="s">
        <v>173</v>
      </c>
      <c r="C163" s="2" t="s">
        <v>133</v>
      </c>
      <c r="D163" s="3" t="s">
        <v>5</v>
      </c>
      <c r="E163" s="1" t="s">
        <v>6</v>
      </c>
      <c r="F163" s="2">
        <f>ROUNDUP(Таблица1[[#This Row],[Столбец2]]*1.2,0)+7</f>
        <v>39</v>
      </c>
      <c r="G163" s="2">
        <v>26</v>
      </c>
    </row>
    <row r="164" spans="1:7" x14ac:dyDescent="0.2">
      <c r="A164" s="2" t="s">
        <v>134</v>
      </c>
      <c r="B164" s="2" t="s">
        <v>173</v>
      </c>
      <c r="C164" s="2" t="s">
        <v>134</v>
      </c>
      <c r="D164" s="3" t="s">
        <v>5</v>
      </c>
      <c r="E164" s="1" t="s">
        <v>6</v>
      </c>
      <c r="F164" s="2">
        <f>ROUNDUP(Таблица1[[#This Row],[Столбец2]]*1.2,0)+7</f>
        <v>30</v>
      </c>
      <c r="G164" s="2">
        <v>19</v>
      </c>
    </row>
    <row r="165" spans="1:7" x14ac:dyDescent="0.2">
      <c r="A165" s="2" t="s">
        <v>135</v>
      </c>
      <c r="B165" s="2" t="s">
        <v>173</v>
      </c>
      <c r="C165" s="2" t="s">
        <v>135</v>
      </c>
      <c r="D165" s="3" t="s">
        <v>5</v>
      </c>
      <c r="E165" s="1" t="s">
        <v>6</v>
      </c>
      <c r="F165" s="2">
        <f>ROUNDUP(Таблица1[[#This Row],[Столбец2]]*1.2,0)+7</f>
        <v>69</v>
      </c>
      <c r="G165" s="2">
        <v>51</v>
      </c>
    </row>
    <row r="166" spans="1:7" x14ac:dyDescent="0.2">
      <c r="A166" s="2" t="s">
        <v>136</v>
      </c>
      <c r="B166" s="2" t="s">
        <v>173</v>
      </c>
      <c r="C166" s="2" t="s">
        <v>136</v>
      </c>
      <c r="D166" s="3" t="s">
        <v>5</v>
      </c>
      <c r="E166" s="1" t="s">
        <v>6</v>
      </c>
      <c r="F166" s="2">
        <f>ROUNDUP(Таблица1[[#This Row],[Столбец2]]*1.2,0)+7</f>
        <v>60</v>
      </c>
      <c r="G166" s="2">
        <v>44</v>
      </c>
    </row>
    <row r="167" spans="1:7" x14ac:dyDescent="0.2">
      <c r="A167" s="2" t="s">
        <v>137</v>
      </c>
      <c r="B167" s="2" t="s">
        <v>173</v>
      </c>
      <c r="C167" s="2" t="s">
        <v>137</v>
      </c>
      <c r="D167" s="3" t="s">
        <v>5</v>
      </c>
      <c r="E167" s="1" t="s">
        <v>6</v>
      </c>
      <c r="F167" s="2">
        <f>ROUNDUP(Таблица1[[#This Row],[Столбец2]]*1.2,0)+7</f>
        <v>61</v>
      </c>
      <c r="G167" s="2">
        <v>45</v>
      </c>
    </row>
    <row r="168" spans="1:7" x14ac:dyDescent="0.2">
      <c r="A168" s="2" t="s">
        <v>138</v>
      </c>
      <c r="B168" s="2" t="s">
        <v>173</v>
      </c>
      <c r="C168" s="2" t="s">
        <v>138</v>
      </c>
      <c r="D168" s="3" t="s">
        <v>5</v>
      </c>
      <c r="E168" s="1" t="s">
        <v>6</v>
      </c>
      <c r="F168" s="2">
        <f>ROUNDUP(Таблица1[[#This Row],[Столбец2]]*1.2,0)+7</f>
        <v>66</v>
      </c>
      <c r="G168" s="2">
        <v>49</v>
      </c>
    </row>
    <row r="169" spans="1:7" x14ac:dyDescent="0.2">
      <c r="A169" s="2" t="s">
        <v>139</v>
      </c>
      <c r="B169" s="2" t="s">
        <v>175</v>
      </c>
      <c r="C169" s="2" t="s">
        <v>139</v>
      </c>
      <c r="D169" s="3" t="s">
        <v>5</v>
      </c>
      <c r="E169" s="1" t="s">
        <v>6</v>
      </c>
      <c r="F169" s="2">
        <f>ROUNDUP(Таблица1[[#This Row],[Столбец2]]*1.2,0)+7</f>
        <v>22</v>
      </c>
      <c r="G169" s="2">
        <v>12</v>
      </c>
    </row>
    <row r="170" spans="1:7" x14ac:dyDescent="0.2">
      <c r="A170" s="2" t="s">
        <v>140</v>
      </c>
      <c r="B170" s="2" t="s">
        <v>175</v>
      </c>
      <c r="C170" s="2" t="s">
        <v>140</v>
      </c>
      <c r="D170" s="3" t="s">
        <v>5</v>
      </c>
      <c r="E170" s="1" t="s">
        <v>6</v>
      </c>
      <c r="F170" s="2">
        <f>ROUNDUP(Таблица1[[#This Row],[Столбец2]]*1.2,0)+7</f>
        <v>28</v>
      </c>
      <c r="G170" s="2">
        <v>17</v>
      </c>
    </row>
    <row r="171" spans="1:7" x14ac:dyDescent="0.2">
      <c r="A171" s="2" t="s">
        <v>141</v>
      </c>
      <c r="B171" s="2" t="s">
        <v>175</v>
      </c>
      <c r="C171" s="2" t="s">
        <v>141</v>
      </c>
      <c r="D171" s="3" t="s">
        <v>5</v>
      </c>
      <c r="E171" s="1" t="s">
        <v>6</v>
      </c>
      <c r="F171" s="2">
        <f>ROUNDUP(Таблица1[[#This Row],[Столбец2]]*1.2,0)+7</f>
        <v>22</v>
      </c>
      <c r="G171" s="2">
        <v>12</v>
      </c>
    </row>
    <row r="172" spans="1:7" x14ac:dyDescent="0.2">
      <c r="A172" s="2" t="s">
        <v>142</v>
      </c>
      <c r="B172" s="2" t="s">
        <v>175</v>
      </c>
      <c r="C172" s="2" t="s">
        <v>142</v>
      </c>
      <c r="D172" s="3" t="s">
        <v>5</v>
      </c>
      <c r="E172" s="1" t="s">
        <v>6</v>
      </c>
      <c r="F172" s="2">
        <f>ROUNDUP(Таблица1[[#This Row],[Столбец2]]*1.2,0)+7</f>
        <v>23</v>
      </c>
      <c r="G172" s="2">
        <v>13</v>
      </c>
    </row>
    <row r="173" spans="1:7" x14ac:dyDescent="0.2">
      <c r="A173" s="2" t="s">
        <v>143</v>
      </c>
      <c r="B173" s="2" t="s">
        <v>174</v>
      </c>
      <c r="C173" s="2" t="s">
        <v>143</v>
      </c>
      <c r="D173" s="3" t="s">
        <v>5</v>
      </c>
      <c r="E173" s="1" t="s">
        <v>6</v>
      </c>
      <c r="F173" s="2">
        <f>ROUNDUP(Таблица1[[#This Row],[Столбец2]]*1.2,0)+7</f>
        <v>37</v>
      </c>
      <c r="G173" s="2">
        <v>25</v>
      </c>
    </row>
    <row r="174" spans="1:7" x14ac:dyDescent="0.2">
      <c r="A174" s="2" t="s">
        <v>144</v>
      </c>
      <c r="B174" s="2" t="s">
        <v>174</v>
      </c>
      <c r="C174" s="2" t="s">
        <v>144</v>
      </c>
      <c r="D174" s="3" t="s">
        <v>5</v>
      </c>
      <c r="E174" s="1" t="s">
        <v>6</v>
      </c>
      <c r="F174" s="2">
        <f>ROUNDUP(Таблица1[[#This Row],[Столбец2]]*1.2,0)+7</f>
        <v>17</v>
      </c>
      <c r="G174" s="2">
        <v>8</v>
      </c>
    </row>
    <row r="175" spans="1:7" x14ac:dyDescent="0.2">
      <c r="A175" s="2" t="s">
        <v>145</v>
      </c>
      <c r="B175" s="2" t="s">
        <v>174</v>
      </c>
      <c r="C175" s="2" t="s">
        <v>145</v>
      </c>
      <c r="D175" s="3" t="s">
        <v>5</v>
      </c>
      <c r="E175" s="1" t="s">
        <v>6</v>
      </c>
      <c r="F175" s="2">
        <f>ROUNDUP(Таблица1[[#This Row],[Столбец2]]*1.2,0)+7</f>
        <v>13</v>
      </c>
      <c r="G175" s="2">
        <v>5</v>
      </c>
    </row>
    <row r="176" spans="1:7" x14ac:dyDescent="0.2">
      <c r="A176" s="2" t="s">
        <v>146</v>
      </c>
      <c r="B176" s="2" t="s">
        <v>174</v>
      </c>
      <c r="C176" s="2" t="s">
        <v>146</v>
      </c>
      <c r="D176" s="3" t="s">
        <v>5</v>
      </c>
      <c r="E176" s="1" t="s">
        <v>6</v>
      </c>
      <c r="F176" s="2">
        <f>ROUNDUP(Таблица1[[#This Row],[Столбец2]]*1.2,0)+7</f>
        <v>101</v>
      </c>
      <c r="G176" s="2">
        <v>78</v>
      </c>
    </row>
    <row r="177" spans="1:7" x14ac:dyDescent="0.2">
      <c r="A177" s="2" t="s">
        <v>147</v>
      </c>
      <c r="B177" s="2" t="s">
        <v>174</v>
      </c>
      <c r="C177" s="2" t="s">
        <v>147</v>
      </c>
      <c r="D177" s="3" t="s">
        <v>5</v>
      </c>
      <c r="E177" s="1" t="s">
        <v>6</v>
      </c>
      <c r="F177" s="2">
        <f>ROUNDUP(Таблица1[[#This Row],[Столбец2]]*1.2,0)+7</f>
        <v>29</v>
      </c>
      <c r="G177" s="2">
        <v>18</v>
      </c>
    </row>
    <row r="178" spans="1:7" x14ac:dyDescent="0.2">
      <c r="A178" s="2" t="s">
        <v>148</v>
      </c>
      <c r="B178" s="2" t="s">
        <v>174</v>
      </c>
      <c r="C178" s="2" t="s">
        <v>148</v>
      </c>
      <c r="D178" s="3" t="s">
        <v>5</v>
      </c>
      <c r="E178" s="1" t="s">
        <v>6</v>
      </c>
      <c r="F178" s="2">
        <f>ROUNDUP(Таблица1[[#This Row],[Столбец2]]*1.2,0)+7</f>
        <v>15</v>
      </c>
      <c r="G178" s="2">
        <v>6</v>
      </c>
    </row>
    <row r="179" spans="1:7" x14ac:dyDescent="0.2">
      <c r="A179" s="2" t="s">
        <v>149</v>
      </c>
      <c r="B179" s="2" t="s">
        <v>174</v>
      </c>
      <c r="C179" s="2" t="s">
        <v>149</v>
      </c>
      <c r="D179" s="3" t="s">
        <v>5</v>
      </c>
      <c r="E179" s="1" t="s">
        <v>6</v>
      </c>
      <c r="F179" s="2">
        <f>ROUNDUP(Таблица1[[#This Row],[Столбец2]]*1.2,0)+7</f>
        <v>49</v>
      </c>
      <c r="G179" s="2">
        <v>35</v>
      </c>
    </row>
    <row r="180" spans="1:7" x14ac:dyDescent="0.2">
      <c r="A180" s="2" t="s">
        <v>150</v>
      </c>
      <c r="B180" s="2" t="s">
        <v>174</v>
      </c>
      <c r="C180" s="2" t="s">
        <v>150</v>
      </c>
      <c r="D180" s="3" t="s">
        <v>5</v>
      </c>
      <c r="E180" s="1" t="s">
        <v>6</v>
      </c>
      <c r="F180" s="2">
        <f>ROUNDUP(Таблица1[[#This Row],[Столбец2]]*1.2,0)+7</f>
        <v>61</v>
      </c>
      <c r="G180" s="2">
        <v>45</v>
      </c>
    </row>
    <row r="181" spans="1:7" x14ac:dyDescent="0.2">
      <c r="A181" s="2" t="s">
        <v>151</v>
      </c>
      <c r="B181" s="2" t="s">
        <v>174</v>
      </c>
      <c r="C181" s="2" t="s">
        <v>151</v>
      </c>
      <c r="D181" s="3" t="s">
        <v>5</v>
      </c>
      <c r="E181" s="1" t="s">
        <v>6</v>
      </c>
      <c r="F181" s="2">
        <f>ROUNDUP(Таблица1[[#This Row],[Столбец2]]*1.2,0)+7</f>
        <v>60</v>
      </c>
      <c r="G181" s="2">
        <v>44</v>
      </c>
    </row>
    <row r="182" spans="1:7" x14ac:dyDescent="0.2">
      <c r="A182" s="2" t="s">
        <v>152</v>
      </c>
      <c r="B182" s="2" t="s">
        <v>174</v>
      </c>
      <c r="C182" s="2" t="s">
        <v>152</v>
      </c>
      <c r="D182" s="3" t="s">
        <v>5</v>
      </c>
      <c r="E182" s="1" t="s">
        <v>6</v>
      </c>
      <c r="F182" s="2">
        <f>ROUNDUP(Таблица1[[#This Row],[Столбец2]]*1.2,0)+7</f>
        <v>29</v>
      </c>
      <c r="G182" s="2">
        <v>18</v>
      </c>
    </row>
    <row r="183" spans="1:7" x14ac:dyDescent="0.2">
      <c r="A183" s="2" t="s">
        <v>153</v>
      </c>
      <c r="B183" s="2" t="s">
        <v>174</v>
      </c>
      <c r="C183" s="2" t="s">
        <v>153</v>
      </c>
      <c r="D183" s="3" t="s">
        <v>5</v>
      </c>
      <c r="E183" s="1" t="s">
        <v>6</v>
      </c>
      <c r="F183" s="2">
        <f>ROUNDUP(Таблица1[[#This Row],[Столбец2]]*1.2,0)+7</f>
        <v>15</v>
      </c>
      <c r="G183" s="2">
        <v>6</v>
      </c>
    </row>
    <row r="184" spans="1:7" x14ac:dyDescent="0.2">
      <c r="A184" s="2" t="s">
        <v>154</v>
      </c>
      <c r="B184" s="2" t="s">
        <v>174</v>
      </c>
      <c r="C184" s="2" t="s">
        <v>154</v>
      </c>
      <c r="D184" s="3" t="s">
        <v>5</v>
      </c>
      <c r="E184" s="1" t="s">
        <v>6</v>
      </c>
      <c r="F184" s="2">
        <f>ROUNDUP(Таблица1[[#This Row],[Столбец2]]*1.2,0)+7</f>
        <v>39</v>
      </c>
      <c r="G184" s="2">
        <v>26</v>
      </c>
    </row>
    <row r="185" spans="1:7" x14ac:dyDescent="0.2">
      <c r="A185" s="2" t="s">
        <v>155</v>
      </c>
      <c r="B185" s="2" t="s">
        <v>174</v>
      </c>
      <c r="C185" s="2" t="s">
        <v>155</v>
      </c>
      <c r="D185" s="3" t="s">
        <v>5</v>
      </c>
      <c r="E185" s="1" t="s">
        <v>6</v>
      </c>
      <c r="F185" s="2">
        <f>ROUNDUP(Таблица1[[#This Row],[Столбец2]]*1.2,0)+7</f>
        <v>34</v>
      </c>
      <c r="G185" s="2">
        <v>22</v>
      </c>
    </row>
    <row r="186" spans="1:7" x14ac:dyDescent="0.2">
      <c r="A186" s="2" t="s">
        <v>166</v>
      </c>
      <c r="B186" s="2" t="s">
        <v>175</v>
      </c>
      <c r="C186" s="2" t="s">
        <v>166</v>
      </c>
      <c r="D186" s="3" t="s">
        <v>5</v>
      </c>
      <c r="E186" s="1" t="s">
        <v>6</v>
      </c>
      <c r="F186" s="2">
        <f>ROUNDUP(Таблица1[[#This Row],[Столбец2]]*1.2,0)+7</f>
        <v>64</v>
      </c>
      <c r="G186" s="2">
        <v>47</v>
      </c>
    </row>
    <row r="187" spans="1:7" x14ac:dyDescent="0.2">
      <c r="A187" s="2" t="s">
        <v>167</v>
      </c>
      <c r="B187" s="2" t="s">
        <v>175</v>
      </c>
      <c r="C187" s="2" t="s">
        <v>167</v>
      </c>
      <c r="D187" s="3" t="s">
        <v>5</v>
      </c>
      <c r="E187" s="1" t="s">
        <v>6</v>
      </c>
      <c r="F187" s="2">
        <f>ROUNDUP(Таблица1[[#This Row],[Столбец2]]*1.2,0)+7</f>
        <v>69</v>
      </c>
      <c r="G187" s="2">
        <v>51</v>
      </c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>
    <oddHeader>&amp;A</oddHeader>
    <oddFooter>Page &amp;P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Summary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Панфилов Павел Александрович</dc:creator>
  <cp:lastModifiedBy>Панфилов Павел Александрович</cp:lastModifiedBy>
  <dcterms:created xsi:type="dcterms:W3CDTF">2026-06-26T13:54:24Z</dcterms:created>
  <dcterms:modified xsi:type="dcterms:W3CDTF">2026-06-29T10:46:57Z</dcterms:modified>
</cp:coreProperties>
</file>