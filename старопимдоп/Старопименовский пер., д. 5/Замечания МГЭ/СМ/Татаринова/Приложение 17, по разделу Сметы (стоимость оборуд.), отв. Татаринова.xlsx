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ЭКСПЕРТИЗА\Школы-IT\2026 год\57945-1-9 Кап рем школы 1574 Старопименовский пер д.5\02_Замечания\для согласования\"/>
    </mc:Choice>
  </mc:AlternateContent>
  <bookViews>
    <workbookView xWindow="0" yWindow="0" windowWidth="20490" windowHeight="7620"/>
  </bookViews>
  <sheets>
    <sheet name="Лист1" sheetId="1" r:id="rId1"/>
  </sheets>
  <definedNames>
    <definedName name="_xlnm._FilterDatabase" localSheetId="0" hidden="1">Лист1!$B$2:$B$1628</definedName>
  </definedNames>
  <calcPr calcId="162913"/>
</workbook>
</file>

<file path=xl/calcChain.xml><?xml version="1.0" encoding="utf-8"?>
<calcChain xmlns="http://schemas.openxmlformats.org/spreadsheetml/2006/main">
  <c r="O1437" i="1" l="1"/>
  <c r="O143" i="1"/>
  <c r="O137" i="1"/>
  <c r="O134" i="1"/>
  <c r="O131" i="1"/>
  <c r="O1614" i="1" l="1"/>
  <c r="O1598" i="1"/>
  <c r="O1585" i="1"/>
  <c r="O1476" i="1"/>
  <c r="O1408" i="1"/>
  <c r="O1405" i="1"/>
  <c r="O1402" i="1"/>
  <c r="O1399" i="1"/>
  <c r="O1383" i="1" l="1"/>
  <c r="O1380" i="1"/>
  <c r="O1065" i="1"/>
  <c r="O1062" i="1"/>
  <c r="O1059" i="1"/>
  <c r="O1056" i="1"/>
  <c r="O1053" i="1"/>
  <c r="O1050" i="1"/>
  <c r="O1047" i="1"/>
  <c r="O1044" i="1"/>
  <c r="O1041" i="1"/>
  <c r="O1038" i="1"/>
  <c r="O1035" i="1"/>
  <c r="O1032" i="1"/>
  <c r="O1029" i="1"/>
  <c r="O1026" i="1"/>
  <c r="O1023" i="1"/>
  <c r="O1020" i="1"/>
  <c r="O851" i="1"/>
  <c r="O848" i="1"/>
  <c r="O845" i="1"/>
  <c r="O830" i="1"/>
  <c r="O827" i="1"/>
  <c r="O824" i="1"/>
  <c r="O821" i="1"/>
  <c r="O818" i="1"/>
  <c r="O789" i="1"/>
  <c r="O774" i="1"/>
  <c r="O771" i="1"/>
  <c r="O768" i="1"/>
  <c r="O765" i="1"/>
  <c r="O762" i="1"/>
  <c r="O697" i="1"/>
  <c r="O682" i="1"/>
  <c r="O679" i="1"/>
  <c r="O676" i="1"/>
  <c r="O673" i="1"/>
  <c r="O670" i="1"/>
  <c r="O654" i="1"/>
  <c r="O651" i="1"/>
  <c r="O648" i="1"/>
  <c r="O645" i="1"/>
  <c r="O642" i="1"/>
  <c r="O639" i="1"/>
  <c r="O636" i="1"/>
  <c r="O633" i="1"/>
  <c r="O630" i="1"/>
  <c r="O627" i="1"/>
  <c r="O624" i="1"/>
  <c r="O621" i="1"/>
  <c r="O618" i="1"/>
  <c r="O615" i="1"/>
  <c r="O612" i="1"/>
  <c r="O609" i="1"/>
  <c r="O606" i="1"/>
  <c r="O603" i="1"/>
  <c r="O600" i="1"/>
  <c r="O597" i="1"/>
  <c r="O594" i="1"/>
  <c r="O575" i="1"/>
  <c r="O572" i="1"/>
  <c r="O569" i="1"/>
  <c r="O566" i="1"/>
  <c r="O280" i="1"/>
  <c r="O262" i="1" l="1"/>
  <c r="O247" i="1"/>
  <c r="O244" i="1"/>
  <c r="O241" i="1"/>
  <c r="O238" i="1"/>
  <c r="O235" i="1"/>
  <c r="O232" i="1"/>
  <c r="O229" i="1"/>
  <c r="O226" i="1"/>
  <c r="O223" i="1"/>
  <c r="O220" i="1"/>
  <c r="O217" i="1"/>
  <c r="O214" i="1"/>
  <c r="O211" i="1" l="1"/>
  <c r="O208" i="1"/>
  <c r="O205" i="1"/>
  <c r="O202" i="1"/>
  <c r="O199" i="1"/>
  <c r="O196" i="1"/>
  <c r="O193" i="1"/>
  <c r="O190" i="1"/>
  <c r="O187" i="1"/>
  <c r="O184" i="1"/>
  <c r="O181" i="1"/>
  <c r="O178" i="1"/>
  <c r="O175" i="1"/>
  <c r="O172" i="1"/>
  <c r="O169" i="1"/>
  <c r="O166" i="1"/>
  <c r="O163" i="1"/>
  <c r="O160" i="1"/>
  <c r="O113" i="1"/>
  <c r="O98" i="1"/>
  <c r="O95" i="1"/>
  <c r="O92" i="1"/>
  <c r="O89" i="1"/>
  <c r="O86" i="1"/>
  <c r="O83" i="1"/>
  <c r="O80" i="1"/>
  <c r="O77" i="1"/>
  <c r="O74" i="1"/>
  <c r="O71" i="1"/>
  <c r="O68" i="1"/>
  <c r="O65" i="1"/>
  <c r="O62" i="1"/>
  <c r="O59" i="1"/>
  <c r="O56" i="1"/>
  <c r="O53" i="1"/>
</calcChain>
</file>

<file path=xl/sharedStrings.xml><?xml version="1.0" encoding="utf-8"?>
<sst xmlns="http://schemas.openxmlformats.org/spreadsheetml/2006/main" count="2913" uniqueCount="793">
  <si>
    <t xml:space="preserve"> - Не найдено в сборнике ТСН</t>
  </si>
  <si>
    <t xml:space="preserve"> - Не совпадает со значением в ТСН</t>
  </si>
  <si>
    <t xml:space="preserve"> - Некорректный расчет</t>
  </si>
  <si>
    <t>Красный шрифт в наименовании работ и затрат</t>
  </si>
  <si>
    <t xml:space="preserve"> - Состав расценки/ресурса не
соответствует ТСН</t>
  </si>
  <si>
    <t>Smeta.RU 12.1.0.5</t>
  </si>
  <si>
    <t>Период используемых справочников: 1 кв. 2026
Индекс 219 Дополнение № 81, Индекс 64 Оборудование дополнение № 47</t>
  </si>
  <si>
    <t>Форма № 4б</t>
  </si>
  <si>
    <t>Капитальный ремонт здания Государственного
бюджетного общеобразовательного учреждения города
Москвы «Школа №1574» по адресу: г. Москва,
Старопименовский пер., д. №5</t>
  </si>
  <si>
    <t>(наименование стройки и/или объекта)</t>
  </si>
  <si>
    <t>ЛОКАЛЬНЫЙ СМЕТНЫЙ РАСЧЕТ № 02-01-07</t>
  </si>
  <si>
    <t>Вентиляция и кондиционирование воздуха</t>
  </si>
  <si>
    <t>(наименование работ и затрат)</t>
  </si>
  <si>
    <t>Основание: 2024-00375-01-0-ИОС4.2</t>
  </si>
  <si>
    <t>В базисном
уровне
цен</t>
  </si>
  <si>
    <t>В текущем
уровне
цен</t>
  </si>
  <si>
    <t>Сметная стоимость</t>
  </si>
  <si>
    <t>тыс.руб.</t>
  </si>
  <si>
    <t>Строительные работы</t>
  </si>
  <si>
    <t>Работы по монтажу
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</si>
  <si>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</si>
  <si>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</si>
  <si>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</si>
  <si>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</si>
  <si>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>чел.-ч.</t>
  </si>
  <si>
    <t>Составлен(а) по Территориальные сметные нормативы для
Москвы (ТСН-2001) с учетом Дополнения №: 81</t>
  </si>
  <si>
    <t>№ и период сборника коэффициентов (индексов) пересчета:
Коэффициенты к ТСН-2001 МГЭ Дополнение 81, ремонт №
219/81 I квартал 2026 года и Коэффициенты к
ТСН-2001.13-2 Дополнение 47 № 64/47 I квартал 2026 года</t>
  </si>
  <si>
    <t>№
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</si>
  <si>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</si>
  <si>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</si>
  <si>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</si>
  <si>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</si>
  <si>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</si>
  <si>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</si>
  <si>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</si>
  <si>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Всего в
ценах на
январь 2000 года,
руб.</t>
  </si>
  <si>
    <t>Коэффи-
циенты
(индек-
сы) пере-
счета,
нормы
НР и СП</t>
  </si>
  <si>
    <t>ВСЕГО
затрат в
текущем
уровне цен,
руб.</t>
  </si>
  <si>
    <t>Раздел 1 Вентиляция</t>
  </si>
  <si>
    <t>Подраздел: Приточные установки</t>
  </si>
  <si>
    <t>3.20-40-1
Поправка:
Гл.12.Прил.8.п.8.
3_12.00.01.11.001
Поправка:
Гл.6.Прил.2.2.п.2.2.6_06.00.01.07.001</t>
  </si>
  <si>
    <t>Установка камер приточных типовых без
секции орошения и установок приточных
производительностью до 10 тыс.м3/час
Поправка: Гл.12.Прил.8.п.8.
3_12.00.01.11.001 Поправка:
Гл.6.Прил.2.2.п.2.2.6_06.00.01.07.001</t>
  </si>
  <si>
    <t>1 камера</t>
  </si>
  <si>
    <t>ЗП</t>
  </si>
  <si>
    <t>*1.2)*1.15)*1.05)</t>
  </si>
  <si>
    <t>ЭМ</t>
  </si>
  <si>
    <t>*1.2)*1.25)*1.05)</t>
  </si>
  <si>
    <t>в т.ч. ЗПМ</t>
  </si>
  <si>
    <t>МР</t>
  </si>
  <si>
    <t>*1)*1)</t>
  </si>
  <si>
    <t/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</si>
  <si>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</si>
  <si>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</si>
  <si>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</si>
  <si>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</si>
  <si>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</si>
  <si>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</si>
  <si>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</si>
  <si>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</si>
  <si>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t>КА, п.1</t>
  </si>
  <si>
    <t>ОБОРУДОВАНИЕ: Приточная установка П1
(L=1890 м3/ч, Pc=500 Па)
38705,03 = [342 930 / 1,22 /  7,57] +  3% Трансп +  1,2% Заг.скл</t>
  </si>
  <si>
    <t>шт</t>
  </si>
  <si>
    <t>КА, п.3</t>
  </si>
  <si>
    <t>ОБОРУДОВАНИЕ: Приточная установка П2
(L=3600 м3/ч, Pc=500 Па)
45981,50 = [407 400 / 1,22 /  7,57] +  3% Трансп +  1,2% Заг.скл</t>
  </si>
  <si>
    <t>КА, п.5</t>
  </si>
  <si>
    <t>ОБОРУДОВАНИЕ: Приточная установка П3
(L=700 м3/ч, Pc=400 Па)
64350,39 = [570 150 / 1,22 /  7,57] +  3% Трансп +  1,2% Заг.скл</t>
  </si>
  <si>
    <t>КА, п.7</t>
  </si>
  <si>
    <t>ОБОРУДОВАНИЕ: Приточная установка П4
(L=4970 м3/ч, Pc=500 Па)
59491,52 = [527 100 / 1,22 /  7,57] +  3% Трансп +  1,2% Заг.скл</t>
  </si>
  <si>
    <t>КА, п.8</t>
  </si>
  <si>
    <t>ОБОРУДОВАНИЕ: Приточная установка П5
(L=8010 м3/ч, Pc=700 Па)
143952,88 = [1 275 435 / 1,22 /  7,57] +  3% Трансп +  1,2% Заг.скл</t>
  </si>
  <si>
    <t>КА, п.10</t>
  </si>
  <si>
    <t>ОБОРУДОВАНИЕ: Приточная установка П6
(L=620 м3/ч, Pc=400 Па)
31120,46 = [275 730 / 1,22 /  7,57] +  3% Трансп +  1,2% Заг.скл</t>
  </si>
  <si>
    <t>КА, п.11</t>
  </si>
  <si>
    <t>ОБОРУДОВАНИЕ: Приточная установка П7
(L=110 м3/ч, Pc=300 Па)
10701,35 = [94 815 / 1,22 /  7,57] +  3% Трансп +  1,2% Заг.скл</t>
  </si>
  <si>
    <t>КА, п.12</t>
  </si>
  <si>
    <t>ОБОРУДОВАНИЕ: Приточная установка П8
(L=1540 м3/ч, Pc=400 Па)
34249,11 = [303 450 / 1,22 /  7,57] +  3% Трансп +  1,2% Заг.скл</t>
  </si>
  <si>
    <t>КА, п.14</t>
  </si>
  <si>
    <t>ОБОРУДОВАНИЕ: Приточная установка П10
(L=4540 м3/ч, Pc=500 Па)
59491,52 = [527 100 / 1,22 /  7,57] +  3% Трансп +  1,2% Заг.скл</t>
  </si>
  <si>
    <t>КА, п.15</t>
  </si>
  <si>
    <t>ОБОРУДОВАНИЕ: Приточная установка П11
(L=3800 м3/ч, Pc=700 Па)
57476,86 = [509 250 / 1,22 /  7,57] +  3% Трансп +  1,2% Заг.скл</t>
  </si>
  <si>
    <t>КА, п.16</t>
  </si>
  <si>
    <t>ОБОРУДОВАНИЕ: Приточная установка П12
(L=3400 м3/ч, Pc=700 Па)
45981,50 = [407 400 / 1,22 /  7,57] +  3% Трансп +  1,2% Заг.скл</t>
  </si>
  <si>
    <t>КА, п.17</t>
  </si>
  <si>
    <t>ОБОРУДОВАНИЕ: Приточная установка П13
(L=2000 м3/ч, Pc=500 Па)
39842,72 = [353 010 / 1,22 /  7,57] +  3% Трансп +  1,2% Заг.скл</t>
  </si>
  <si>
    <t>КА, п.18</t>
  </si>
  <si>
    <t>ОБОРУДОВАНИЕ: Приточная установка КМО1
(L=1200 м3/ч, Pc=400 Па)
34249,11 = [303 450 / 1,22 /  7,57] +  3% Трансп +  1,2% Заг.скл</t>
  </si>
  <si>
    <t>КА, п.20</t>
  </si>
  <si>
    <t>ОБОРУДОВАНИЕ: Приточная установка КМО2
(L=180 м3/ч, Pc=300 Па)
12253,83 = [108 570 / 1,22 /  7,57] +  3% Трансп +  1,2% Заг.скл</t>
  </si>
  <si>
    <t>КА, п.21</t>
  </si>
  <si>
    <t>ОБОРУДОВАНИЕ: Приточная установка КМО3
(L=120 м3/ч, Pc=300 Па)
10701,35 = [94 815 / 1,22 /  7,57] +  3% Трансп +  1,2% Заг.скл</t>
  </si>
  <si>
    <t>КА, п.22</t>
  </si>
  <si>
    <t>ОБОРУДОВАНИЕ: Приточная установка КМО4
(L=950 м3/ч, Pc=300 Па)
31120,46 = [275 730 / 1,22 /  7,57] +  3% Трансп +  1,2% Заг.скл</t>
  </si>
  <si>
    <t>3.20-40-2
Поправка: 3-20.
О.П. п.1.5
Поправка:
Гл.6.Прил.2.2.п.2.2.6_06.00.01.07.001
Поправка:
Гл.12.Прил.8.п.8.
3_12.00.01.11.001</t>
  </si>
  <si>
    <t>Установка камер приточных типовых и
установок приточных без секции орошения
производительностью до 20 тыс.м3/час
Поправка: 3-20. О.П. п.1.5 Поправка:
Гл.6.Прил.2.2.п.2.2.6_06.00.01.07.001
Поправка: Гл.12.Прил.8.п.8.
3_12.00.01.11.001</t>
  </si>
  <si>
    <t>*1.05)*1.15)*1.2)</t>
  </si>
  <si>
    <t>*1.05)*1.25)*1.2)</t>
  </si>
  <si>
    <t>*1)*1)*1)</t>
  </si>
  <si>
    <t>КА, п.13</t>
  </si>
  <si>
    <t>ОБОРУДОВАНИЕ: Приточная установка П9
(L=2045м3/ч, Pc=500 Па)
39842,72 = [353 010 / 1,22 /  7,57] +  3% Трансп +  1,2% Заг.скл</t>
  </si>
  <si>
    <t>Подраздел: Смесительный узел</t>
  </si>
  <si>
    <t>3.20-52-1
Поправка:
Гл.6.Прил.2.2.п.2.2.6_06.00.01.07.001
Поправка: 3-20.
О.П. п.1.5
Поправка:
Гл.12.Прил.8.п.8.
3_12.00.01.11.001</t>
  </si>
  <si>
    <t>Присоединение трубопроводов к
оросительной системе блока
тепломассобмена производительностью до
20 тыс.м3/час Поправка:
Гл.6.Прил.2.2.п.2.2.6_06.00.01.07.001
Поправка: 3-20. О.П. п.1.5 Поправка:
Гл.12.Прил.8.п.8. 3_12.00.01.11.001</t>
  </si>
  <si>
    <t>1 блок</t>
  </si>
  <si>
    <t>Объем: 14
=
4+5+3+1+1</t>
  </si>
  <si>
    <t>*1.15)*1.05)*1.2)</t>
  </si>
  <si>
    <t>*1.25)*1.05)*1.2)</t>
  </si>
  <si>
    <t>КА, п.2</t>
  </si>
  <si>
    <t>ОБОРУДОВАНИЕ: П1, П8, П9, П13
Смесительный узел SURP 40-2.5
12739,71 = [112 875 / 1,22 /  7,57] +  3% Трансп +  1,2% Заг.скл</t>
  </si>
  <si>
    <t>КА, п.4</t>
  </si>
  <si>
    <t>ОБОРУДОВАНИЕ: П2, П4,П10, П11, П12
Смесительный узел SURP 80-6.3
16188,33 = [143 430 / 1,22 /  7,57] +  3% Трансп +  1,2% Заг.скл</t>
  </si>
  <si>
    <t>КА, п.6</t>
  </si>
  <si>
    <t>ОБОРУДОВАНИЕ: П3, П6,КМО4 Смесительный
узел SURP 40-1.0
12739,71 = [112 875 / 1,22 /  7,57] +  3% Трансп +  1,2% Заг.скл</t>
  </si>
  <si>
    <t>КА, п.9</t>
  </si>
  <si>
    <t>ОБОРУДОВАНИЕ: П5 Смесительный узел SURP
80-10.0 (для 1-го водяного нагревателя)
16792,72 = [148 785 / 1,22 /  7,57] +  3% Трансп +  1,2% Заг.скл</t>
  </si>
  <si>
    <t>КА, п.19</t>
  </si>
  <si>
    <t>ОБОРУДОВАНИЕ: КМО1 Смесительный узел
SURP 40-1.6
12739,71 = [112 875 / 1,22 /  7,57] +  3% Трансп +  1,2% Заг.скл</t>
  </si>
  <si>
    <t>Подраздел: Вытяжные установки</t>
  </si>
  <si>
    <t>3.20-53-1
Поправка: 3-20.
О.П. п.1.5
Поправка:
Гл.6.Прил.2.2.п.2.2.6_06.00.01.07.001
Поправка:
Гл.12.Прил.8.п.8.
3_12.00.01.11.001</t>
  </si>
  <si>
    <t>Установка агрегатов вентиляторных
производительностью до 10 тыс.м3/час
Поправка: 3-20. О.П. п.1.5 Поправка:
Гл.6.Прил.2.2.п.2.2.6_06.00.01.07.001
Поправка: Гл.12.Прил.8.п.8.
3_12.00.01.11.001</t>
  </si>
  <si>
    <t>1 агрегат</t>
  </si>
  <si>
    <t>КА, п.24</t>
  </si>
  <si>
    <t>ОБОРУДОВАНИЕ: Вытяжная установка В1
(L=1600 м3/ч, Pc=400 Па)
23832,16 = [211 155 / 1,22 /  7,57] +  3% Трансп +  1,2% Заг.скл</t>
  </si>
  <si>
    <t>КА, п.25</t>
  </si>
  <si>
    <t>ОБОРУДОВАНИЕ: Вытяжная установка В2
(L=3600 м3/ч, Pc=500 Па)
28596,22 = [253 365 / 1,22 /  7,57] +  3% Трансп +  1,2% Заг.скл</t>
  </si>
  <si>
    <t>КА, п.26</t>
  </si>
  <si>
    <t>ОБОРУДОВАНИЕ: Вытяжная установка В3
(L=700 м3/ч, Pc=300 Па)
8449,69 = [74 865 / 1,22 /  7,57] +  3% Трансп +  1,2% Заг.скл</t>
  </si>
  <si>
    <t>КА, п.27</t>
  </si>
  <si>
    <t>ОБОРУДОВАНИЕ: Вытяжная установка В4
(L=4400 м3/ч, Pc=450 Па)
32732,19 = [290 010 / 1,22 /  7,57] +  3% Трансп +  1,2% Заг.скл</t>
  </si>
  <si>
    <t>КА, п.28</t>
  </si>
  <si>
    <t>ОБОРУДОВАНИЕ: Вытяжная установка В5
(L=1370 м3/ч, Pc=400 Па)
22433,75 = [198 765 / 1,22 /  7,57] +  3% Трансп +  1,2% Заг.скл</t>
  </si>
  <si>
    <t>КА, п.29</t>
  </si>
  <si>
    <t>ОБОРУДОВАНИЕ: Вытяжная установка В6
(L=490 м3/ч, Pc=350 Па)
6885,37 = [61 005 / 1,22 /  7,57] +  3% Трансп +  1,2% Заг.скл</t>
  </si>
  <si>
    <t>КА, п.30</t>
  </si>
  <si>
    <t>ОБОРУДОВАНИЕ: Вытяжная установка В7
(L=100 м3/ч, Pc=200 Па)
4207,07 = [37 275 / 1,22 /  7,57] +  3% Трансп +  1,2% Заг.скл</t>
  </si>
  <si>
    <t>КА, п.31</t>
  </si>
  <si>
    <t>ОБОРУДОВАНИЕ: Вытяжная установка В8
(L=1050 м3/ч, Pc=500 Па)
22433,75 = [198 765 / 1,22 /  7,57] +  3% Трансп +  1,2% Заг.скл</t>
  </si>
  <si>
    <t>КА, п.32</t>
  </si>
  <si>
    <t>ОБОРУДОВАНИЕ: Вытяжная установка В9
(L=1200 м3/ч, Pc=400 Па)
22433,75 = [198 765 / 1,22 /  7,57] +  3% Трансп +  1,2% Заг.скл</t>
  </si>
  <si>
    <t>КА, п.33</t>
  </si>
  <si>
    <t>ОБОРУДОВАНИЕ: Вытяжная установка В10
(L=330 м3/ч, Pc=250 Па)
5166,99 = [45 780 / 1,22 /  7,57] +  3% Трансп +  1,2% Заг.скл</t>
  </si>
  <si>
    <t>КА, п.34</t>
  </si>
  <si>
    <t>ОБОРУДОВАНИЕ: Вытяжная установка В11
(L=50 м3/ч, Pc=100 Па)
4207,07 = [37 275 / 1,22 /  7,57] +  3% Трансп +  1,2% Заг.скл</t>
  </si>
  <si>
    <t>КА, п.35</t>
  </si>
  <si>
    <t>ОБОРУДОВАНИЕ: Вытяжная установка В12
(L=20 м3/ч, Pc=100 Па)
4207,07 = [37 275 / 1,22 /  7,57] +  3% Трансп +  1,2% Заг.скл</t>
  </si>
  <si>
    <t>КА, п.36</t>
  </si>
  <si>
    <t>ОБОРУДОВАНИЕ: Вытяжная установка В13
(L=110 м3/ч, Pc=100 Па)
4207,07 = [37 275 / 1,22 /  7,57] +  3% Трансп +  1,2% Заг.скл</t>
  </si>
  <si>
    <t>КА, п.37</t>
  </si>
  <si>
    <t>ОБОРУДОВАНИЕ: Вытяжная установка В14
(L=75 м3/ч, Pc=150 Па)
4207,07 = [37 275 / 1,22 /  7,57] +  3% Трансп +  1,2% Заг.скл</t>
  </si>
  <si>
    <t>КА, п.38</t>
  </si>
  <si>
    <t>ОБОРУДОВАНИЕ: Вытяжная установка В15
(L=50 м3/ч, Pc=100 Па)
4207,07 = [37 275 / 1,22 /  7,57] +  3% Трансп +  1,2% Заг.скл</t>
  </si>
  <si>
    <t>КА, п.39</t>
  </si>
  <si>
    <t>ОБОРУДОВАНИЕ: Вытяжная установка В16
(L=40 м3/ч, Pc=120 Па)
4207,07 = [37 275 / 1,22 /  7,57] +  3% Трансп +  1,2% Заг.скл</t>
  </si>
  <si>
    <t>КА, п.40</t>
  </si>
  <si>
    <t>ОБОРУДОВАНИЕ: Вытяжная установка В17
(L=140 м3/ч, Pc=100 Па)
4207,07 = [37 275 / 1,22 /  7,57] +  3% Трансп +  1,2% Заг.скл</t>
  </si>
  <si>
    <t>КА, п.41</t>
  </si>
  <si>
    <t>ОБОРУДОВАНИЕ: Вытяжная установка В18
(L=70 м3/ч, Pc=150 Па)
4207,07 = [37 275 / 1,22 /  7,57] +  3% Трансп +  1,2% Заг.скл</t>
  </si>
  <si>
    <t>КА, п.42</t>
  </si>
  <si>
    <t>ОБОРУДОВАНИЕ: Вытяжная установка В19
(L=125 м3/ч, Pc=250 Па)
4207,07 = [37 275 / 1,22 /  7,57] +  3% Трансп +  1,2% Заг.скл</t>
  </si>
  <si>
    <t>КА, п.43</t>
  </si>
  <si>
    <t>ОБОРУДОВАНИЕ: Вытяжная установка В20
(L=1600 м3/ч, Pc=250 Па)
20324,29 = [180 075 / 1,22 /  7,57] +  3% Трансп +  1,2% Заг.скл</t>
  </si>
  <si>
    <t>КА, п.44</t>
  </si>
  <si>
    <t>ОБОРУДОВАНИЕ: Вытяжная установка В21
(L=125 м3/ч, Pc=250 Па)
4207,07 = [37 275 / 1,22 /  7,57] +  3% Трансп +  1,2% Заг.скл</t>
  </si>
  <si>
    <t>КА, п.45</t>
  </si>
  <si>
    <t>ОБОРУДОВАНИЕ: Вытяжная установка В22
(L=130 м3/ч, Pc=250 Па)
5166,99 = [45 780 / 1,22 /  7,57] +  3% Трансп +  1,2% Заг.скл</t>
  </si>
  <si>
    <t>КА, п.46</t>
  </si>
  <si>
    <t>ОБОРУДОВАНИЕ: Вытяжная установка В23
(L=40 м3/ч, Pc=120 Па
4207,07 = [37 275 / 1,22 /  7,57] +  3% Трансп +  1,2% Заг.скл</t>
  </si>
  <si>
    <t>КА, п.47</t>
  </si>
  <si>
    <t>ОБОРУДОВАНИЕ: Вытяжная установка В24
(L=250 м3/ч, Pc=250 Па)
5166,99 = [45 780 / 1,22 /  7,57] +  3% Трансп +  1,2% Заг.скл</t>
  </si>
  <si>
    <t>КА, п.48</t>
  </si>
  <si>
    <t>ОБОРУДОВАНИЕ: Вытяжная установка В25
(L=20 м3/ч, Pc=120 Па)
4207,07 = [37 275 / 1,22 /  7,57] +  3% Трансп +  1,2% Заг.скл</t>
  </si>
  <si>
    <t>КА, п.49</t>
  </si>
  <si>
    <t>ОБОРУДОВАНИЕ: Вытяжная установка МО.1
(L=1200 м3/ч, Pc=600 Па)
22433,75 = [198 765 / 1,22 /  7,57] +  3% Трансп +  1,2% Заг.скл</t>
  </si>
  <si>
    <t>КА, п.50</t>
  </si>
  <si>
    <t>ОБОРУДОВАНИЕ: Вытяжная установка МО.2
(L=180 м3/ч, Pc=500 Па)
6885,37 = [61 005 / 1,22 /  7,57] +  3% Трансп +  1,2% Заг.скл</t>
  </si>
  <si>
    <t>КА, п.52</t>
  </si>
  <si>
    <t>ОБОРУДОВАНИЕ: Вытяжная установка МО.4
(L=1100 м3/ч, Pc=700 Па)
24590,62 = [217 875 / 1,22 /  7,57] +  3% Трансп +  1,2% Заг.скл</t>
  </si>
  <si>
    <t>КА, п.53</t>
  </si>
  <si>
    <t>ОБОРУДОВАНИЕ: Вытяжная установка МО.5
(L=120 м3/ч, Pc=250 Па)
34829,79 = [308 595 / 1,22 /  7,57] +  3% Трансп +  1,2% Заг.скл</t>
  </si>
  <si>
    <t>КА, п.54</t>
  </si>
  <si>
    <t>ОБОРУДОВАНИЕ: Вытяжная установка МО.6
(L=950 м3/ч, Pc=300 Па)
42485,48 = [376 425 / 1,22 /  7,57] +  3% Трансп +  1,2% Заг.скл</t>
  </si>
  <si>
    <t>3.20-53-4
Поправка: 3-20.
О.П. п.1.5
Поправка:
Гл.6.Прил.2.2.п.2.2.6_06.00.01.07.001
Поправка:
Гл.12.Прил.8.п.8.
3_12.00.01.11.001</t>
  </si>
  <si>
    <t>Установка агрегатов вентиляторных
производительностью до 80 тыс.м3/час
Поправка: 3-20. О.П. п.1.5 Поправка:
Гл.6.Прил.2.2.п.2.2.6_06.00.01.07.001
Поправка: Гл.12.Прил.8.п.8.
3_12.00.01.11.001</t>
  </si>
  <si>
    <t>КА, п.51</t>
  </si>
  <si>
    <t>ОБОРУДОВАНИЕ: Вытяжная установка МО.3
(L=55000 м3/ч, Pc=800 Па)
43066,17 = [381 570 / 1,22 /  7,57] +  3% Трансп +  1,2% Заг.скл</t>
  </si>
  <si>
    <t>Подраздел: Воздушно-тепловая завеса</t>
  </si>
  <si>
    <t>3.20-32-6
Поправка: 3-20.
О.П. п.1.5
Поправка:
Гл.6.Прил.2.2.п.2.2.6_06.00.01.07.001
Поправка:
Гл.12.Прил.8.п.8.
3_12.00.01.11.001</t>
  </si>
  <si>
    <t>Установка электрических завес
воздушно-тепловых Поправка: 3-20. О.П.
п.1.5 Поправка:
Гл.6.Прил.2.2.п.2.2.6_06.00.01.07.001
Поправка: Гл.12.Прил.8.п.8.
3_12.00.01.11.001</t>
  </si>
  <si>
    <t>10 шт.</t>
  </si>
  <si>
    <t>Объем: 0,3
= 3/10</t>
  </si>
  <si>
    <t>КА, п.55</t>
  </si>
  <si>
    <t>ОБОРУДОВАНИЕ: Воздушно-тепловая завеса
КЭВ-6П1263E
3994,31 = [35 390 / 1,22 /  7,57] +  3% Трансп +  1,2% Заг.скл</t>
  </si>
  <si>
    <t>Подраздел: Воздуховоды</t>
  </si>
  <si>
    <t>3.20-60-3
Поправка:
Гл.12.Прил.8.п.8.
3_12.00.01.11.001
Поправка:
Гл.6.Прил.2.2.п.2.2.6_06.00.01.07.001
Поправка: 3-20.
О.П. п.1.5</t>
  </si>
  <si>
    <t>Прокладка воздуховодов прямоугольных из
черной и оцинкованной стали толщиной до
0,7 мм, периметром до 1000 мм Поправка:
Гл.12.Прил.8.п.8. 3_12.00.01.11.001
Поправка:
Гл.6.Прил.2.2.п.2.2.6_06.00.01.07.001
Поправка: 3-20. О.П. п.1.5</t>
  </si>
  <si>
    <t>100 м2 поверхности воздуховодов</t>
  </si>
  <si>
    <t>Объем: 4 =
400/100</t>
  </si>
  <si>
    <t>61.1</t>
  </si>
  <si>
    <t>1.19-3-12
Поправка:
Гл.6.Прил.2.2.п.2.2.6_06.00.01.07.001
Поправка:
Гл.12.Прил.8.п.8.
3_12.00.01.11.001
Поправка: 3-20.
О.П. п.1.5</t>
  </si>
  <si>
    <t>Воздуховоды прямоугольного сечения из
оцинкованной стали, толщина стенки до
1,2 мм, периметр до 1000 мм Поправка:
Гл.6.Прил.2.2.п.2.2.6_06.00.01.07.001
Поправка: Гл.12.Прил.8.п.8.
3_12.00.01.11.001 Поправка: 3-20. О.П.
п.1.5</t>
  </si>
  <si>
    <t>м2</t>
  </si>
  <si>
    <t>3.20-60-4
Поправка:
Гл.12.Прил.8.п.8.
3_12.00.01.11.001
Поправка:
Гл.6.Прил.2.2.п.2.2.6_06.00.01.07.001
Поправка: 3-20.
О.П. п.1.5</t>
  </si>
  <si>
    <t>Прокладка воздуховодов прямоугольных из
черной и оцинкованной стали толщиной до
0,7 мм, периметром свыше 1000 до 1600 мм
Поправка: Гл.12.Прил.8.п.8.
3_12.00.01.11.001 Поправка:
Гл.6.Прил.2.2.п.2.2.6_06.00.01.07.001
Поправка: 3-20. О.П. п.1.5</t>
  </si>
  <si>
    <t>Объем:
8,09 =
(945-136)/100</t>
  </si>
  <si>
    <t>62.1</t>
  </si>
  <si>
    <t>1.19-3-13</t>
  </si>
  <si>
    <t>Воздуховоды прямоугольного сечения из
оцинкованной стали, толщина стенки до
1,2 мм, периметр до 4000 мм</t>
  </si>
  <si>
    <t>3.20-60-5
Поправка:
Гл.12.Прил.8.п.8.
3_12.00.01.11.001
Поправка: 3-20.
О.П. п.1.5</t>
  </si>
  <si>
    <t>Прокладка воздуховодов прямоугольных из
черной и оцинкованной стали толщиной до
0,7 мм, периметром свыше 1600 до 2400 мм
Поправка: Гл.12.Прил.8.п.8.
3_12.00.01.11.001 Поправка: 3-20. О.П.
п.1.5</t>
  </si>
  <si>
    <t>Объем:
5,84 =
584/100</t>
  </si>
  <si>
    <t>*1.2)*1.05)</t>
  </si>
  <si>
    <t>63.1</t>
  </si>
  <si>
    <t>3.20-60-6
Поправка:
Гл.12.Прил.8.п.8.
3_12.00.01.11.001
Поправка:
Гл.6.Прил.2.2.п.2.2.6_06.00.01.07.001
Поправка: 3-20.
О.П. п.1.5</t>
  </si>
  <si>
    <t>Прокладка воздуховодов прямоугольных из
черной и оцинкованной стали толщиной до
0,7 мм, периметром свыше 2400 до 3200 мм
Поправка: Гл.12.Прил.8.п.8.
3_12.00.01.11.001 Поправка:
Гл.6.Прил.2.2.п.2.2.6_06.00.01.07.001
Поправка: 3-20. О.П. п.1.5</t>
  </si>
  <si>
    <t>Объем:
2,02 =
202/100</t>
  </si>
  <si>
    <t>64.1</t>
  </si>
  <si>
    <t>3.20-60-8
Поправка:
Гл.12.Прил.8.п.8.
3_12.00.01.11.001
Поправка:
Гл.6.Прил.2.2.п.2.2.6_06.00.01.07.001
Поправка: 3-20.
О.П. п.1.5</t>
  </si>
  <si>
    <t>Прокладка воздуховодов прямоугольных из
черной и оцинкованной стали толщиной до
0,7 мм, периметром свыше 3600 до 4000 мм
Поправка: Гл.12.Прил.8.п.8.
3_12.00.01.11.001 Поправка:
Гл.6.Прил.2.2.п.2.2.6_06.00.01.07.001
Поправка: 3-20. О.П. п.1.5</t>
  </si>
  <si>
    <t>Объем: 0,2
= 20/100</t>
  </si>
  <si>
    <t>65.1</t>
  </si>
  <si>
    <t>1.19-3-13
Поправка: 3-20.
О.П. п.1.5
Поправка:
Гл.6.Прил.2.2.п.2.2.6_06.00.01.07.001
Поправка:
Гл.12.Прил.8.п.8.
3_12.00.01.11.001</t>
  </si>
  <si>
    <t>Воздуховоды прямоугольного сечения из
оцинкованной стали, толщина стенки до
1,2 мм, периметр до 4000 мм Поправка:
3-20. О.П. п.1.5 Поправка:
Гл.6.Прил.2.2.п.2.2.6_06.00.01.07.001
Поправка: Гл.12.Прил.8.п.8.
3_12.00.01.11.001</t>
  </si>
  <si>
    <t>3.20-60-9
Поправка:
Гл.12.Прил.8.п.8.
3_12.00.01.11.001
Поправка:
Гл.6.Прил.2.2.п.2.2.6_06.00.01.07.001
Поправка: 3-20.
О.П. п.1.5</t>
  </si>
  <si>
    <t>Прокладка воздуховодов прямоугольных из
черной и оцинкованной стали толщиной
свыше 0,7 до 0,9 мм, периметром свыше
3600 до 4000 мм Поправка:
Гл.12.Прил.8.п.8. 3_12.00.01.11.001
Поправка:
Гл.6.Прил.2.2.п.2.2.6_06.00.01.07.001
Поправка: 3-20. О.П. п.1.5</t>
  </si>
  <si>
    <t>66.1</t>
  </si>
  <si>
    <t>3.20-60-10
Поправка:
Гл.12.Прил.8.п.8.
3_12.00.01.11.001
Поправка:
Гл.6.Прил.2.2.п.2.2.6_06.00.01.07.001
Поправка: 3-20.
О.П. п.1.5</t>
  </si>
  <si>
    <t>Прокладка воздуховодов прямоугольных из
черной и оцинкованной стали толщиной до
0,9 мм, периметром свыше 4000 до 4500 мм
Поправка: Гл.12.Прил.8.п.8.
3_12.00.01.11.001 Поправка:
Гл.6.Прил.2.2.п.2.2.6_06.00.01.07.001
Поправка: 3-20. О.П. п.1.5</t>
  </si>
  <si>
    <t>Объем: 0,7
= 70/100</t>
  </si>
  <si>
    <t>67.1</t>
  </si>
  <si>
    <t>1.19-3-14
Поправка:
Гл.12.Прил.8.п.8.
3_12.00.01.11.001
Поправка:
Гл.6.Прил.2.2.п.2.2.6_06.00.01.07.001
Поправка: 3-20.
О.П. п.1.5</t>
  </si>
  <si>
    <t>Воздуховоды прямоугольного сечения из
оцинкованной стали, толщина стенки до
1,2 мм, периметр до 8000 мм Поправка:
Гл.12.Прил.8.п.8. 3_12.00.01.11.001
Поправка:
Гл.6.Прил.2.2.п.2.2.6_06.00.01.07.001
Поправка: 3-20. О.П. п.1.5</t>
  </si>
  <si>
    <t>3.20-60-12
Поправка:
Гл.12.Прил.8.п.8.
3_12.00.01.11.001
Поправка:
Гл.6.Прил.2.2.п.2.2.6_06.00.01.07.001
Поправка: 3-20.
О.П. п.1.5</t>
  </si>
  <si>
    <t>Прокладка воздуховодов прямоугольных из
черной и оцинкованной стали толщиной
свыше 0,7 до 0,9 мм, периметром свыше
5200 до 7200 мм Поправка:
Гл.12.Прил.8.п.8. 3_12.00.01.11.001
Поправка:
Гл.6.Прил.2.2.п.2.2.6_06.00.01.07.001
Поправка: 3-20. О.П. п.1.5</t>
  </si>
  <si>
    <t>Объем:
0,07 =
7/100</t>
  </si>
  <si>
    <t>68.1</t>
  </si>
  <si>
    <t>1.19-3-19</t>
  </si>
  <si>
    <t>РЕСУРСНЫЕ ПОЗИЦИИ: Детали
ненормализованные воздуховодов, из
черной стали (включая сварные) и
оцинкованной стали</t>
  </si>
  <si>
    <t>Итого по разделу: Вентиляция</t>
  </si>
  <si>
    <t>Раздел 2 Воздухораспределительные устройства</t>
  </si>
  <si>
    <t>Подраздел: Решетки</t>
  </si>
  <si>
    <t>3.20-9-1
Поправка:
Гл.12.Прил.8.п.8.
3_12.00.01.11.001
Поправка:
Гл.6.Прил.2.2.п.2.2.6_06.00.01.07.001
Поправка: 3-20.
О.П. п.1.5</t>
  </si>
  <si>
    <t>Установка решеток жалюзийных площадью в
свету до 0,25 м2 Поправка:
Гл.12.Прил.8.п.8. 3_12.00.01.11.001
Поправка:
Гл.6.Прил.2.2.п.2.2.6_06.00.01.07.001
Поправка: 3-20. О.П. п.1.5</t>
  </si>
  <si>
    <t>1 решетка</t>
  </si>
  <si>
    <t>Объем: 62
=
4+1+7+2+10+8+27+3</t>
  </si>
  <si>
    <t>1.19-11-161</t>
  </si>
  <si>
    <t>РЕСУРСНЫЕ ПОЗИЦИИ: Решетка алюминиевая
вентиляционная, жалюзийная,
регулируемая, типа АДР, размер 200х100
мм</t>
  </si>
  <si>
    <t>шт.</t>
  </si>
  <si>
    <t>1.19-11-163</t>
  </si>
  <si>
    <t>РЕСУРСНЫЕ ПОЗИЦИИ: Решетка алюминиевая
вентиляционная, жалюзийная,
регулируемая, типа АДР, размер 300х100
мм</t>
  </si>
  <si>
    <t>1.19-11-165</t>
  </si>
  <si>
    <t>РЕСУРСНЫЕ ПОЗИЦИИ: Решетка алюминиевая
вентиляционная, жалюзийная,
регулируемая, типа АДР, размер 300х200
мм</t>
  </si>
  <si>
    <t>КА, п.63</t>
  </si>
  <si>
    <t>РЕСУРСНЫЕ ПОЗИЦИИ: Вентиляционная
решетка Арктос АДР 400х150
167,72 = [1 974 / 1,22 /  9,84] +  2% Заг.скл</t>
  </si>
  <si>
    <t>КА, п.60</t>
  </si>
  <si>
    <t>РЕСУРСНЫЕ ПОЗИЦИИ: Вентиляционная
решетка Арктос АДР 400х200
201,71 = [2 374 / 1,22 /  9,84] +  2% Заг.скл</t>
  </si>
  <si>
    <t>КА, п.62</t>
  </si>
  <si>
    <t>РЕСУРСНЫЕ ПОЗИЦИИ: Вентиляционная
решетка Арктос АДР 500х200
228,72 = [2 692 / 1,22 /  9,84] +  2% Заг.скл</t>
  </si>
  <si>
    <t>КА, п.61</t>
  </si>
  <si>
    <t>РЕСУРСНЫЕ ПОЗИЦИИ: Вентиляционная
решетка Арктос АДР 700х200
326,01 = [3 837 / 1,22 /  9,84] +  2% Заг.скл</t>
  </si>
  <si>
    <t>3.20-9-2
Поправка:
Гл.6.Прил.2.2.п.2.2.6_06.00.01.07.001
Поправка:
Гл.12.Прил.8.п.8.
3_12.00.01.11.001</t>
  </si>
  <si>
    <t>Установка решеток жалюзийных площадью в
свету до 1 м2 Поправка:
Гл.6.Прил.2.2.п.2.2.6_06.00.01.07.001
Поправка: Гл.12.Прил.8.п.8.
3_12.00.01.11.001</t>
  </si>
  <si>
    <t>*1.15)*1.2)</t>
  </si>
  <si>
    <t>*1.25)*1.2)</t>
  </si>
  <si>
    <t>КА, п.64</t>
  </si>
  <si>
    <t>РЕСУРСНЫЕ ПОЗИЦИИ: Вентиляционная
решетка Арктос АДР 1000х300
595,10 = [7 004 / 1,22 /  9,84] +  2% Заг.скл</t>
  </si>
  <si>
    <t>3.20-8-1
Поправка:
Гл.12.Прил.8.п.8.
3_12.00.01.11.001
Поправка: 3-20.
О.П. п.1.5</t>
  </si>
  <si>
    <t>Установка воздухораспределителей,
предназначенных для подачи воздуха в
рабочую зону массой до 20 кг Поправка:
Гл.12.Прил.8.п.8. 3_12.00.01.11.001
Поправка: 3-20. О.П. п.1.5</t>
  </si>
  <si>
    <t>1 воздухораспределитель</t>
  </si>
  <si>
    <t>Объем: 226
=
120+80+13+13</t>
  </si>
  <si>
    <t>*1.2)*1.05)*1.32)</t>
  </si>
  <si>
    <t>1.19-11-187</t>
  </si>
  <si>
    <t>РЕСУРСНЫЕ ПОЗИЦИИ: Диффузор алюминиевый
четырехсторонний потолочный, типа 4АПР,
размеры 600х600 мм</t>
  </si>
  <si>
    <t>1.19-7-16</t>
  </si>
  <si>
    <t>РЕСУРСНЫЕ ПОЗИЦИИ: Диффузор
вентиляционный, стальной, круглый,
приточный/вытяжной, диаметр воздуховода
100 мм</t>
  </si>
  <si>
    <t>Объем: 80
= 8+72</t>
  </si>
  <si>
    <t>1.19-7-17</t>
  </si>
  <si>
    <t>РЕСУРСНЫЕ ПОЗИЦИИ: Диффузор
вентиляционный, стальной, круглый,
приточный/вытяжной, диаметр воздуховода
125 мм</t>
  </si>
  <si>
    <t>Объем: 13
= 8+5</t>
  </si>
  <si>
    <t>1.19-7-18</t>
  </si>
  <si>
    <t>РЕСУРСНЫЕ ПОЗИЦИИ: Диффузор
вентиляционный, стальной, круглый,
приточный/вытяжной, диаметр воздуховода
160 мм</t>
  </si>
  <si>
    <t>Объем: 13
= 10+3</t>
  </si>
  <si>
    <t>3.20-21-2
Поправка:
Гл.12.Прил.8.п.8.
3_12.00.01.11.001
Поправка:
Гл.6.Прил.2.2.п.2.2.6_06.00.01.07.001
Поправка: 3-20.
О.П. п.1.5</t>
  </si>
  <si>
    <t>Установка дефлекторов диаметром патрубка
400 мм Поправка: Гл.12.Прил.8.п.8.
3_12.00.01.11.001 Поправка:
Гл.6.Прил.2.2.п.2.2.6_06.00.01.07.001
Поправка: 3-20. О.П. п.1.5</t>
  </si>
  <si>
    <t>1 дефлектор</t>
  </si>
  <si>
    <t>1.19-5-104</t>
  </si>
  <si>
    <t>РЕСУРСНЫЕ ПОЗИЦИИ: Дефлектор для систем
естественной вытяжной вентиляции из
оцинкованной и сортовой стали, типа
ЦАГИ, диаметр 315 мм,</t>
  </si>
  <si>
    <t>1.19-5-114</t>
  </si>
  <si>
    <t>РЕСУРСНЫЕ ПОЗИЦИИ: Дефлектор для систем
естественной вытяжной вентиляции из
оцинкованной и сортовой стали, диаметр
400 мм/355мм</t>
  </si>
  <si>
    <t>3.20-21-3
Поправка:
Гл.12.Прил.8.п.8.
3_12.00.01.11.001
Поправка:
Гл.6.Прил.2.2.п.2.2.6_06.00.01.07.001
Поправка: 3-20.
О.П. п.1.5</t>
  </si>
  <si>
    <t>Установка дефлекторов диаметром патрубка
500 мм Поправка: Гл.12.Прил.8.п.8.
3_12.00.01.11.001 Поправка:
Гл.6.Прил.2.2.п.2.2.6_06.00.01.07.001
Поправка: 3-20. О.П. п.1.5</t>
  </si>
  <si>
    <t>1.19-5-115</t>
  </si>
  <si>
    <t>РЕСУРСНЫЕ ПОЗИЦИИ: Дефлектор для систем
естественной вытяжной вентиляции из
оцинкованной и сортовой стали, диаметр
500 мм</t>
  </si>
  <si>
    <t>3.20-21-4
Поправка:
Гл.12.Прил.8.п.8.
3_12.00.01.11.001
Поправка:
Гл.6.Прил.2.2.п.2.2.6_06.00.01.07.001
Поправка: 3-20.
О.П. п.1.5</t>
  </si>
  <si>
    <t>Установка дефлекторов диаметром патрубка
630 мм Поправка: Гл.12.Прил.8.п.8.
3_12.00.01.11.001 Поправка:
Гл.6.Прил.2.2.п.2.2.6_06.00.01.07.001
Поправка: 3-20. О.П. п.1.5</t>
  </si>
  <si>
    <t>1.19-5-116</t>
  </si>
  <si>
    <t>РЕСУРСНЫЕ ПОЗИЦИИ: Дефлектор для систем
естественной вытяжной вентиляции из
оцинкованной и сортовой стали, диаметр
630 мм</t>
  </si>
  <si>
    <t>3.20-21-5
Поправка:
Гл.12.Прил.8.п.8.
3_12.00.01.11.001
Поправка:
Гл.6.Прил.2.2.п.2.2.6_06.00.01.07.001
Поправка: 3-20.
О.П. п.1.5</t>
  </si>
  <si>
    <t>Установка дефлекторов диаметром патрубка
710 мм Поправка: Гл.12.Прил.8.п.8.
3_12.00.01.11.001 Поправка:
Гл.6.Прил.2.2.п.2.2.6_06.00.01.07.001
Поправка: 3-20. О.П. п.1.5</t>
  </si>
  <si>
    <t>1.19-5-117</t>
  </si>
  <si>
    <t>РЕСУРСНЫЕ ПОЗИЦИИ: Дефлектор для систем
естественной вытяжной вентиляции из
оцинкованной и сортовой стали, диаметр
710 мм</t>
  </si>
  <si>
    <t>Подраздел: Дроссель -клапан регулирующий</t>
  </si>
  <si>
    <t>1.19-6-6</t>
  </si>
  <si>
    <t>РЕСУРСНЫЕ ПОЗИЦИИ: Дроссель-клапан для
регулирования воздушных потоков, из
оцинкованной стали, на ниппельном
соединении, с ручным управлением, типа
ДКН 02, диаметр 100 мм</t>
  </si>
  <si>
    <t>1.19-6-7</t>
  </si>
  <si>
    <t>РЕСУРСНЫЕ ПОЗИЦИИ: Дроссель-клапан для
регулирования воздушных потоков, из
оцинкованной стали, на ниппельном
соединении, с ручным управлением, типа
ДКН 02, диаметр 125 мм</t>
  </si>
  <si>
    <t>1.19-6-8</t>
  </si>
  <si>
    <t>РЕСУРСНЫЕ ПОЗИЦИИ: Дроссель-клапан для
регулирования воздушных потоков, из
оцинкованной стали, на ниппельном
соединении, с ручным управлением, типа
ДКН 02, диаметр 160 мм</t>
  </si>
  <si>
    <t>1.19-6-1</t>
  </si>
  <si>
    <t>РЕСУРСНЫЕ ПОЗИЦИИ: Дроссель-клапан для
регулирования воздушных потоков, из
оцинкованной стали, на ниппельном
соединении, с ручным управлением, типа
ДКН 01, диаметр 200 мм</t>
  </si>
  <si>
    <t>1.19-6-2</t>
  </si>
  <si>
    <t>РЕСУРСНЫЕ ПОЗИЦИИ: Дроссель-клапан для
регулирования воздушных потоков, из
оцинкованной стали, на ниппельном
соединении, с ручным управлением, типа
ДКН 01, диаметр 250 мм</t>
  </si>
  <si>
    <t>КА, п.56</t>
  </si>
  <si>
    <t>ОБОРУДОВАНИЕ: Дроссель-клапан
регулирующий 300x300
152,14 = [1 348 / 1,22 /  7,57] +  3% Трансп +  1,2% Заг.скл</t>
  </si>
  <si>
    <t>КА, п.57</t>
  </si>
  <si>
    <t>ОБОРУДОВАНИЕ: Дроссель-клапан
регулирующий 400х200
109,03 = [966 / 1,22 /  7,57] +  3% Трансп +  1,2% Заг.скл</t>
  </si>
  <si>
    <t>КА, п.58</t>
  </si>
  <si>
    <t>ОБОРУДОВАНИЕ: Дроссель-клапан
регулирующий 400х300
178,10 = [1 578 / 1,22 /  7,57] +  3% Трансп +  1,2% Заг.скл</t>
  </si>
  <si>
    <t>КА, п.59</t>
  </si>
  <si>
    <t>ОБОРУДОВАНИЕ: Дроссель-клапан
регулирующий 500х400
294,35 = [2 608 / 1,22 /  7,57] +  3% Трансп +  1,2% Заг.скл</t>
  </si>
  <si>
    <t>Подраздел: Противопожарный нормально-открытый клапан, канального типа , ЕI60</t>
  </si>
  <si>
    <t>3.20-11-15
Поправка:
Гл.6.Прил.2.2.п.2.2.6_06.00.01.07.001
Поправка: 3-20.
О.П. п.1.5</t>
  </si>
  <si>
    <t>Установка клапанов огнезадерживающих
периметром до 1600 мм Поправка:
Гл.6.Прил.2.2.п.2.2.6_06.00.01.07.001
Поправка: 3-20. О.П. п.1.5</t>
  </si>
  <si>
    <t>1 клапан</t>
  </si>
  <si>
    <t>Объем: 79
=
4+1+9+10+1+7+6+6+4+5+1+5+1+1+1+4+3+1+2+4+3</t>
  </si>
  <si>
    <t>*1.15)*1.05)</t>
  </si>
  <si>
    <t>*1.25)*1.05)</t>
  </si>
  <si>
    <t>103.1</t>
  </si>
  <si>
    <t>1.1-1-60</t>
  </si>
  <si>
    <t>Болты строительные с шестигранной
головкой с гайками, М6</t>
  </si>
  <si>
    <t>т</t>
  </si>
  <si>
    <t>13.1-5-153</t>
  </si>
  <si>
    <t>ОБОРУДОВАНИЕ: Клапан противопожарный
типа КВП-(60)-НО-600х250-ВМ(220)-Тд
(400х300)</t>
  </si>
  <si>
    <t>ОБОРУДОВАНИЕ: Клапан противопожарный
типа КВП-(60)-НО-600х250-ВМ(220)-Тд
(500х200)</t>
  </si>
  <si>
    <t>ОБОРУДОВАНИЕ: Клапан противопожарный
типа КВП-(60)-НО-600х250-ВМ(220)-Тд
(500х300)</t>
  </si>
  <si>
    <t>13.1-5-154</t>
  </si>
  <si>
    <t>ОБОРУДОВАНИЕ: Клапан противопожарный
типа КВП-(60)-НО-200х150-ВМ(220)-Тд
(200х200)</t>
  </si>
  <si>
    <t>ОБОРУДОВАНИЕ: Клапан противопожарный
типа КВП-(60)-НО-200х150-ВМ(220)-Тд
(250х200)</t>
  </si>
  <si>
    <t>13.1-5-155</t>
  </si>
  <si>
    <t>ОБОРУДОВАНИЕ: Клапан противопожарный
типа КВП-(60)-НО-400х150-ВМ(220)-Тд
(300х200)</t>
  </si>
  <si>
    <t>ОБОРУДОВАНИЕ: Клапан противопожарный
типа КВП-(60)-НО-400х150-ВМ(220)-Тд
(400х200)</t>
  </si>
  <si>
    <t>ОБОРУДОВАНИЕ: Клапан противопожарный
типа КВП-(60)-НО-400х150-ВМ(220)-Тд
(400х250)</t>
  </si>
  <si>
    <t>13.1-5-157</t>
  </si>
  <si>
    <t>ОБОРУДОВАНИЕ: Клапан противопожарный
типа КВП-(60)-НО-200х100-ВМ(220)-Тд.
Размеры внутреннего сечения 200х100 мм</t>
  </si>
  <si>
    <t>КА, п.65</t>
  </si>
  <si>
    <t>ОБОРУДОВАНИЕ: Противопожарный нормально
открытый клапан канального типа EI60
300*150
2691,46 = [23 846,64 / 1,22 /  7,57] +  3% Трансп +  1,2% Заг.скл</t>
  </si>
  <si>
    <t>КА, п.66</t>
  </si>
  <si>
    <t>ОБОРУДОВАНИЕ: Противопожарный нормально
открытый клапан канального типа EI60
300*250
2679,78 = [23 743 / 1,22 /  7,57] +  3% Трансп +  1,2% Заг.скл</t>
  </si>
  <si>
    <t>КА, п.67</t>
  </si>
  <si>
    <t>ОБОРУДОВАНИЕ: Противопожарный нормально
открытый клапан канального типа EI60
300*300
2719,84 = [24 098 / 1,22 /  7,57] +  3% Трансп +  1,2% Заг.скл</t>
  </si>
  <si>
    <t>КА, п.68</t>
  </si>
  <si>
    <t>ОБОРУДОВАНИЕ: Противопожарный нормально
открытый клапан канального типа EI60
500*400
2708,78 = [24 000 / 1,22 /  7,57] +  3% Трансп +  1,2% Заг.скл</t>
  </si>
  <si>
    <t>КА, п.69</t>
  </si>
  <si>
    <t>ОБОРУДОВАНИЕ: Противопожарный нормально
открытый клапан канального типа EI60
600*300
2927,51 = [25 938 / 1,22 /  7,57] +  3% Трансп +  1,2% Заг.скл</t>
  </si>
  <si>
    <t>13.1-5-160</t>
  </si>
  <si>
    <t>ОБОРУДОВАНИЕ: Клапан противопожарный
типа КВП-(60)-НО-500х450-ВМ(220)-Тд.
Размеры внутреннего сечения 500х450 мм
(600*350)</t>
  </si>
  <si>
    <t>13.1-5-161</t>
  </si>
  <si>
    <t>ОБОРУДОВАНИЕ: Клапан противопожарный
типа КВП-(60)-НО-600х450-ВМ(220)-Тд.
Размеры внутреннего сечения 600х450 мм
(700*350)</t>
  </si>
  <si>
    <t>КА, п.70</t>
  </si>
  <si>
    <t>ОБОРУДОВАНИЕ: Противопожарный нормально
открытый клапан канального типа EI60
700*400
3704,93 = [32 826 / 1,22 /  7,57] +  3% Трансп +  1,2% Заг.скл</t>
  </si>
  <si>
    <t>КА, п.71</t>
  </si>
  <si>
    <t>ОБОРУДОВАНИЕ: Противопожарный нормально
открытый клапан канального типа EI60
700*500
2809,22 = [24 890 / 1,22 /  7,57] +  3% Трансп +  1,2% Заг.скл</t>
  </si>
  <si>
    <t>КА, п.72</t>
  </si>
  <si>
    <t>ОБОРУДОВАНИЕ: Противопожарный нормально
открытый клапан канального типа EI60
800*350
3045,12 = [26 980 / 1,22 /  7,57] +  3% Трансп +  1,2% Заг.скл</t>
  </si>
  <si>
    <t>КА, п.73</t>
  </si>
  <si>
    <t>ОБОРУДОВАНИЕ: Противопожарный нормально
открытый клапан канального типа EI60
800*400
3045,12 = [26 980 / 1,22 /  7,57] +  3% Трансп +  1,2% Заг.скл</t>
  </si>
  <si>
    <t>КА, п.74</t>
  </si>
  <si>
    <t>ОБОРУДОВАНИЕ: Противопожарный нормально
открытый клапан канального типа EI60
1000*400
3403,58 = [30 156 / 1,22 /  7,57] +  3% Трансп +  1,2% Заг.скл</t>
  </si>
  <si>
    <t>3.20-13-1</t>
  </si>
  <si>
    <t>Установка заслонок воздушных и клапанов
воздушных КВР с электрическим или
пневматическим приводами диаметром до
250 мм</t>
  </si>
  <si>
    <t>1  шт.</t>
  </si>
  <si>
    <t>Объем: 113
=
51+11+36+11+4</t>
  </si>
  <si>
    <t>КА, п.119</t>
  </si>
  <si>
    <t>ОБОРУДОВАНИЕ: Клапан
КПУ-1Н-О-Н-100-0*ф-MV220-СН-0-0-0-0-0-0
1060,81 = [9 398,88 / 1,22 /  7,57] +  3% Трансп +  1,2% Заг.скл</t>
  </si>
  <si>
    <t>КА, п.120</t>
  </si>
  <si>
    <t>ОБОРУДОВАНИЕ: Клапан
КПУ-1Н-О-Н-125-0*ф-MV220-СН-0-0-0-0-0-0
1092,20 = [9 677,04 / 1,22 /  7,57] +  3% Трансп +  1,2% Заг.скл</t>
  </si>
  <si>
    <t>КА, п.121</t>
  </si>
  <si>
    <t>ОБОРУДОВАНИЕ: Клапан
КПУ-1Н-О-Н-160-0*ф-MV220-СН-0-0-0-0-0-0
1141,78 = [10 116,24 / 1,22 /  7,57] +  3% Трансп +  1,2% Заг.скл</t>
  </si>
  <si>
    <t>КА, п.122</t>
  </si>
  <si>
    <t>ОБОРУДОВАНИЕ: Клапан
КПУ-1Н-О-Н-200-0*ф-MV220-СН-0-0-0-0-0-0
1171,52 = [10 379,76 / 1,22 /  7,57] +  3% Трансп +  1,2% Заг.скл</t>
  </si>
  <si>
    <t>КА, п.123</t>
  </si>
  <si>
    <t>ОБОРУДОВАНИЕ: Клапан
КПУ-1Н-О-Н-250*ф-MV220-СН-0-0-0-0-0-0
1665,58 = [14 757,12 / 1,22 /  7,57] +  3% Трансп +  1,2% Заг.скл</t>
  </si>
  <si>
    <t>3.20-13-2
Поправка:
Гл.6.Прил.2.2.п.2.2.6_06.00.01.07.001
Поправка:
Гл.12.Прил.8.п.8.
3_12.00.01.11.001
Поправка: 3-20.
О.П. п.1.5</t>
  </si>
  <si>
    <t>Установка заслонок воздушных и клапанов
воздушных КВР с электрическим или
пневматическим приводами диаметром до
355 мм Поправка:
Гл.6.Прил.2.2.п.2.2.6_06.00.01.07.001
Поправка: Гл.12.Прил.8.п.8.
3_12.00.01.11.001 Поправка: 3-20. О.П.
п.1.5</t>
  </si>
  <si>
    <t>*1.15)*1.2)*1.05)</t>
  </si>
  <si>
    <t>*1.25)*1.2)*1.05)</t>
  </si>
  <si>
    <t>КА, п.124</t>
  </si>
  <si>
    <t>ОБОРУДОВАНИЕ: Клапан
КПУ-1Н-О-Н-315-0*ф-MV220-СН-0-0-0-0-0-0
1604,43 = [14 215,44 / 1,22 /  7,57] +  3% Трансп +  1,2% Заг.скл</t>
  </si>
  <si>
    <t>Подраздел: Теплоизоляция и огнезащита</t>
  </si>
  <si>
    <t>3.26-16-3
Поправка:
Гл.6.Прил.2.2.п.2.2.6_06.00.01.07.001
Поправка:
Гл.12.Прил.8.п.8.
3_12.00.01.11.001</t>
  </si>
  <si>
    <t>Изоляция плоских и криволинейных
поверхностей изделиями из вспененного
каучука, вспененного полиэтилена,
листами Поправка:
Гл.6.Прил.2.2.п.2.2.6_06.00.01.07.001
Поправка: Гл.12.Прил.8.п.8.
3_12.00.01.11.001</t>
  </si>
  <si>
    <t>1 м2 изоляции</t>
  </si>
  <si>
    <t>133.1</t>
  </si>
  <si>
    <t>1.1-1-517
Поправка:
Гл.6.Прил.2.2.п.2.2.6_06.00.01.07.001
Поправка:
Гл.12.Прил.8.п.8.
3_12.00.01.11.001</t>
  </si>
  <si>
    <t>Лента с клеевым слоем, ширина 50 мм,
толщина 0,5 мм Поправка:
Гл.6.Прил.2.2.п.2.2.6_06.00.01.07.001
Поправка: Гл.12.Прил.8.п.8.
3_12.00.01.11.001</t>
  </si>
  <si>
    <t>м</t>
  </si>
  <si>
    <t>133.2</t>
  </si>
  <si>
    <t>1.1-1-386
Поправка:
Гл.6.Прил.2.2.п.2.2.6_06.00.01.07.001
Поправка:
Гл.12.Прил.8.п.8.
3_12.00.01.11.001</t>
  </si>
  <si>
    <t>Клей контактный, на основе
полихлоропренового каучука, без
ароматических растворителей, температура
эксплуатации от -50 до +105°С, для
склеивания гибких теплоизоляционных
материалов Поправка:
Гл.6.Прил.2.2.п.2.2.6_06.00.01.07.001
Поправка: Гл.12.Прил.8.п.8.
3_12.00.01.11.001</t>
  </si>
  <si>
    <t>л</t>
  </si>
  <si>
    <t>КА, п.75</t>
  </si>
  <si>
    <t>РЕСУРСНЫЕ ПОЗИЦИИ: Изоляция из
вспененного полиэтилена Пенофол С-10,
толщина 40 мм
65,42 = [770 / 1,22 /  9,84] +  2% Заг.скл</t>
  </si>
  <si>
    <t>3.26-65-2
Поправка:
Гл.6.Прил.2.2.п.2.2.6_06.00.01.07.001
Поправка:
Гл.12.Прил.8.п.8.
3_12.00.01.11.001</t>
  </si>
  <si>
    <t>Устройство комбинированного
теплоогнезащитного покрытия
металлических конструкций с приведенной
толщиной металла не менее 3,4 мм на
основе базальтового материала и клеевого
состава с пределом огнестойкости 1 час
Поправка:
Гл.6.Прил.2.2.п.2.2.6_06.00.01.07.001
Поправка: Гл.12.Прил.8.п.8.
3_12.00.01.11.001</t>
  </si>
  <si>
    <t>100 м2</t>
  </si>
  <si>
    <t>Объем:
17,5 =
(750+100+900)/100</t>
  </si>
  <si>
    <t>1.1-1-4393</t>
  </si>
  <si>
    <t>РЕСУРСНЫЕ ПОЗИЦИИ: Материал рулонный
тепло-, звуко-, огнезащитный,
базальтовый, прошивной, с обкладкой из
алюминиевой фольги с одной стороны,
толщина материала 20 мм, плотность 35
кг/м3, теплопроводность при температуре
+22°С не более 0,038 Вт/(м х К), для
строительных конструкций, воздуховодов
систем вентиляции и дымоудаления</t>
  </si>
  <si>
    <t>1.1-1-4334</t>
  </si>
  <si>
    <t>РЕСУРСНЫЕ ПОЗИЦИИ: Материал рулонный
тепло-, звуко-, огнезащитный
базальтовый, прошивной, с обкладкой из
алюминиевой фольги с одной стороны,
толщина материала 10 мм,
теплопроводность при температуре +25°С
не более 0,038 Вт/(м х К), для
строительных конструкций, воздуховодов
систем вентиляции и дымоудаления</t>
  </si>
  <si>
    <t>1.1-1-4332</t>
  </si>
  <si>
    <t>РЕСУРСНЫЕ ПОЗИЦИИ: Материал рулонный
тепло-, звуко-, огнезащитный,
базальтовый, прошивной, с обкладкой из
алюминиевой фольги с одной стороны,
толщина материала 5 мм, теплопроводность
при температуре +25°С не более 0,038
Вт/(м х К), для строительных
конструкций, воздуховодов систем
вентиляции и дымоудаления</t>
  </si>
  <si>
    <t>Итого по разделу: Воздухораспределительные устройства</t>
  </si>
  <si>
    <t>Раздел 3 Противодымная вентиляция</t>
  </si>
  <si>
    <t>Подраздел: Система ДУ</t>
  </si>
  <si>
    <t>3.20-31-2
Поправка:
Гл.12.Прил.8.п.8.
3_12.00.01.11.001
Поправка:
Гл.6.Прил.2.2.п.2.2.6_06.00.01.07.001
Поправка: 3-20.
О.П. п.1.5</t>
  </si>
  <si>
    <t>Установка вентиляторов крышных массой до
0,2 т Поправка: Гл.12.Прил.8.п.8.
3_12.00.01.11.001 Поправка:
Гл.6.Прил.2.2.п.2.2.6_06.00.01.07.001
Поправка: 3-20. О.П. п.1.5</t>
  </si>
  <si>
    <t>1 вентилятор</t>
  </si>
  <si>
    <t>КА, п.76</t>
  </si>
  <si>
    <t>ОБОРУДОВАНИЕ: Система ДУ1 (L=14200 м3/ч,
Pc=800 Па)
37247,46 = [330 015,78 / 1,22 /  7,57] +  3% Трансп +  1,2% Заг.скл</t>
  </si>
  <si>
    <t>КА, п.77</t>
  </si>
  <si>
    <t>ОБОРУДОВАНИЕ: Система ДУ2 (L=14200 м3/ч,
Pc=800 Па)
37247,46 = [330 015,78 / 1,22 /  7,57] +  3% Трансп +  1,2% Заг.скл</t>
  </si>
  <si>
    <t>КА, п.79</t>
  </si>
  <si>
    <t>ОБОРУДОВАНИЕ: Система ДУ5 (L=14200 м3/ч,
Pc=800 Па)
37247,46 = [330 015,78 / 1,22 /  7,57] +  3% Трансп +  1,2% Заг.скл</t>
  </si>
  <si>
    <t>КА, п.80</t>
  </si>
  <si>
    <t>ОБОРУДОВАНИЕ: Система ДУ6 (L=35000 м3/ч,
Pc=900 Па)
64931,16 = [575 295,78 / 1,22 /  7,57] +  3% Трансп +  1,2% Заг.скл</t>
  </si>
  <si>
    <t>КА, п.81</t>
  </si>
  <si>
    <t>ОБОРУДОВАНИЕ: Система ДУ7 (L=15000 м3/ч,
Pc=800 Па)
37247,46 = [330 015,78 / 1,22 /  7,57] +  3% Трансп +  1,2% Заг.скл</t>
  </si>
  <si>
    <t>3.20-31-3
Поправка:
Гл.12.Прил.8.п.8.
3_12.00.01.11.001
Поправка:
Гл.6.Прил.2.2.п.2.2.6_06.00.01.07.001
Поправка: 3-20.
О.П. п.1.5</t>
  </si>
  <si>
    <t>Установка вентиляторов крышных массой до
0,4 т Поправка: Гл.12.Прил.8.п.8.
3_12.00.01.11.001 Поправка:
Гл.6.Прил.2.2.п.2.2.6_06.00.01.07.001
Поправка: 3-20. О.П. п.1.5</t>
  </si>
  <si>
    <t>КА, п.78</t>
  </si>
  <si>
    <t>ОБОРУДОВАНИЕ: Система ДУ3 (L=44000 м3/ч,
Pc=900 Па)
137032,05 = [1 214 115,78 / 1,22 /  7,57] +  3% Трансп +  1,2% Заг.скл</t>
  </si>
  <si>
    <t>3.20-12-9
Поправка:
Гл.12.Прил.8.п.8.
3_12.00.01.11.001
Поправка:
Гл.6.Прил.2.2.п.2.2.6_06.00.01.07.001
Поправка: 3-20.
О.П. п.1.5</t>
  </si>
  <si>
    <t>Установка заслонок воздушных и клапанов
воздушных КВР с ручным приводом
периметром до 4000 мм (стоимость учтена
в системе) Поправка: Гл.12.Прил.8.п.8.
3_12.00.01.11.001 Поправка:
Гл.6.Прил.2.2.п.2.2.6_06.00.01.07.001
Поправка: 3-20. О.П. п.1.5</t>
  </si>
  <si>
    <t>Подраздел: Система ПД</t>
  </si>
  <si>
    <t>3.20-30-2
Поправка:
Гл.12.Прил.8.п.8.
3_12.00.01.11.001
Поправка:
Гл.6.Прил.2.2.п.2.2.6_06.00.01.07.001
Поправка: 3-20.
О.П. п.1.5</t>
  </si>
  <si>
    <t>Установка вентиляторов осевых массой до
0,05 т Поправка: Гл.12.Прил.8.п.8.
3_12.00.01.11.001 Поправка:
Гл.6.Прил.2.2.п.2.2.6_06.00.01.07.001
Поправка: 3-20. О.П. п.1.5</t>
  </si>
  <si>
    <t>КА, п.82</t>
  </si>
  <si>
    <t>ОБОРУДОВАНИЕ: Система ПД1 (L=11000 м3/ч,
Pc=700 Па)
15702,48 = [139 125,26 / 1,22 /  7,57] +  3% Трансп +  1,2% Заг.скл</t>
  </si>
  <si>
    <t>КА, п.83</t>
  </si>
  <si>
    <t>ОБОРУДОВАНИЕ: Система ПД2 (L=11000 м3/ч,
Pc=700 Па)
15702,48 = [139 125,26 / 1,22 /  7,57] +  3% Трансп +  1,2% Заг.скл</t>
  </si>
  <si>
    <t>КА, п.85</t>
  </si>
  <si>
    <t>ОБОРУДОВАНИЕ: Система ПД5 (L=9000 м3/ч,
Pc=700 Па)
15702,48 = [139 125,26 / 1,22 /  7,57] +  3% Трансп +  1,2% Заг.скл</t>
  </si>
  <si>
    <t>КА, п.88</t>
  </si>
  <si>
    <t>ОБОРУДОВАНИЕ: Система ПД9 (L=9000 м3/ч,
Pc=700 Па)
15702,48 = [139 125,26 / 1,22 /  7,57] +  3% Трансп +  1,2% Заг.скл</t>
  </si>
  <si>
    <t>КА, п.89</t>
  </si>
  <si>
    <t>ОБОРУДОВАНИЕ: Система ПД10 (L=500 м3/ч,
Pc=500 Па)
13415,21 = [118 860 / 1,22 /  7,57] +  3% Трансп +  1,2% Заг.скл</t>
  </si>
  <si>
    <t>3.20-30-4
Поправка:
Гл.12.Прил.8.п.8.
3_12.00.01.11.001
Поправка:
Гл.6.Прил.2.2.п.2.2.6_06.00.01.07.001
Поправка: 3-20.
О.П. п.1.5</t>
  </si>
  <si>
    <t>Установка вентиляторов осевых массой до
0,2 т Поправка: Гл.12.Прил.8.п.8.
3_12.00.01.11.001 Поправка:
Гл.6.Прил.2.2.п.2.2.6_06.00.01.07.001
Поправка: 3-20. О.П. п.1.5</t>
  </si>
  <si>
    <t>КА, п.84</t>
  </si>
  <si>
    <t>ОБОРУДОВАНИЕ: Система ПД3 (L=28000 м3/ч,
Pc=700 Па)
29651,01 = [262 710,53 / 1,22 /  7,57] +  3% Трансп +  1,2% Заг.скл</t>
  </si>
  <si>
    <t>КА, п.86</t>
  </si>
  <si>
    <t>ОБОРУДОВАНИЕ: Система ПД6 (L=24000 м3/ч,
Pc=700 Па)
27280,77 = [241 710 / 1,22 /  7,57] +  3% Трансп +  1,2% Заг.скл</t>
  </si>
  <si>
    <t>КА, п.87</t>
  </si>
  <si>
    <t>ОБОРУДОВАНИЕ: Система ПД7 (L=23000 м3/ч,
Pc=700 Па)
27280,77 = [241 710 / 1,22 /  7,57] +  3% Трансп +  1,2% Заг.скл</t>
  </si>
  <si>
    <t>3.20-60-14
Поправка:
Гл.12.Прил.8.п.8.
3_12.00.01.11.001
Поправка:
Гл.6.Прил.2.2.п.2.2.6_06.00.01.07.001
Поправка: 3-20.
О.П. п.1.5</t>
  </si>
  <si>
    <t>Прокладка воздуховодов прямоугольных из
черной и оцинкованной стали толщиной
свыше 0,9 до 2 мм, периметром свыше 1000
до 1800 мм Поправка: Гл.12.Прил.8.п.8.
3_12.00.01.11.001 Поправка:
Гл.6.Прил.2.2.п.2.2.6_06.00.01.07.001
Поправка: 3-20. О.П. п.1.5</t>
  </si>
  <si>
    <t>Объем:
0,14 =
(7+7)/100</t>
  </si>
  <si>
    <t>1.19-3-10</t>
  </si>
  <si>
    <t>РЕСУРСНЫЕ ПОЗИЦИИ: Воздуховоды
прямоугольного сечения из стали, толщина
стенки до 1,2 мм, периметр 4000 мм</t>
  </si>
  <si>
    <t>3.20-60-15
Поправка:
Гл.12.Прил.8.п.8.
3_12.00.01.11.001
Поправка:
Гл.6.Прил.2.2.п.2.2.6_06.00.01.07.001
Поправка: 3-20.
О.П. п.1.5</t>
  </si>
  <si>
    <t>Прокладка воздуховодов прямоугольных из
черной и оцинкованной стали толщиной
свыше 0,9 до 2 мм, периметром свыше 1800
до 2000 мм Поправка: Гл.12.Прил.8.п.8.
3_12.00.01.11.001 Поправка:
Гл.6.Прил.2.2.п.2.2.6_06.00.01.07.001
Поправка: 3-20. О.П. п.1.5</t>
  </si>
  <si>
    <t>Объем:
1,95 =
(170+25)/100</t>
  </si>
  <si>
    <t>Объем:
1,95 =
1,95</t>
  </si>
  <si>
    <t>3.20-60-16
Поправка:
Гл.12.Прил.8.п.8.
3_12.00.01.11.001
Поправка:
Гл.6.Прил.2.2.п.2.2.6_06.00.01.07.001
Поправка: 3-20.
О.П. п.1.5</t>
  </si>
  <si>
    <t>Прокладка воздуховодов прямоугольных из
черной и оцинкованной стали толщиной
свыше 0,9 до 2 мм, периметром свыше 2000
до 3600 мм Поправка: Гл.12.Прил.8.п.8.
3_12.00.01.11.001 Поправка:
Гл.6.Прил.2.2.п.2.2.6_06.00.01.07.001
Поправка: 3-20. О.П. п.1.5</t>
  </si>
  <si>
    <t>Объем:
4,68 =
(3+280+3+1+70+1+110)/100</t>
  </si>
  <si>
    <t>3.20-60-17
Поправка:
Гл.12.Прил.8.п.8.
3_12.00.01.11.001
Поправка:
Гл.6.Прил.2.2.п.2.2.6_06.00.01.07.001
Поправка: 3-20.
О.П. п.1.5</t>
  </si>
  <si>
    <t>Прокладка воздуховодов прямоугольных из
черной и оцинкованной стали толщиной
свыше 0,9 до 2 мм, периметром свыше 3600
до 4500 мм Поправка: Гл.12.Прил.8.п.8.
3_12.00.01.11.001 Поправка:
Гл.6.Прил.2.2.п.2.2.6_06.00.01.07.001
Поправка: 3-20. О.П. п.1.5</t>
  </si>
  <si>
    <t>Объем:
0,04 =
(1+3)/100</t>
  </si>
  <si>
    <t>3.20-60-19
Поправка:
Гл.12.Прил.8.п.8.
3_12.00.01.11.001
Поправка:
Гл.6.Прил.2.2.п.2.2.6_06.00.01.07.001
Поправка: 3-20.
О.П. п.1.5</t>
  </si>
  <si>
    <t>Прокладка воздуховодов прямоугольных из
черной и оцинкованной стали толщиной
свыше 0,9 до 2 мм, периметром свыше 5200
до 7200 мм Поправка: Гл.12.Прил.8.п.8.
3_12.00.01.11.001 Поправка:
Гл.6.Прил.2.2.п.2.2.6_06.00.01.07.001
Поправка: 3-20. О.П. п.1.5</t>
  </si>
  <si>
    <t>Объем: 0,7
= (70)/100</t>
  </si>
  <si>
    <t>1.19-3-11</t>
  </si>
  <si>
    <t>РЕСУРСНЫЕ ПОЗИЦИИ: Воздуховоды
прямоугольного сечения из стали, толщина
стенки до 1,2 мм, периметр 8000 мм</t>
  </si>
  <si>
    <t>3.20-7-4
Поправка:
Гл.12.Прил.8.п.8.
3_12.00.01.11.001
Поправка:
Гл.6.Прил.2.2.п.2.2.6_06.00.01.07.001
Поправка: 3-20.
О.П. п.1.5</t>
  </si>
  <si>
    <t>Прокладка воздуховодов для систем
аспирации и пневмотранспорта из
тонколистовой стали, круглых, толщиной
стали до 1 мм, диаметром до 500 мм
Поправка: Гл.12.Прил.8.п.8.
3_12.00.01.11.001 Поправка:
Гл.6.Прил.2.2.п.2.2.6_06.00.01.07.001
Поправка: 3-20. О.П. п.1.5</t>
  </si>
  <si>
    <t>1.19-3-3</t>
  </si>
  <si>
    <t>РЕСУРСНЫЕ ПОЗИЦИИ: Воздуховоды круглого
сечения из черной стали, толщина стенки
до 1,2 мм, диаметр от 500 до 800 мм</t>
  </si>
  <si>
    <t>3.20-7-5
Поправка:
Гл.12.Прил.8.п.8.
3_12.00.01.11.001
Поправка:
Гл.6.Прил.2.2.п.2.2.6_06.00.01.07.001
Поправка: 3-20.
О.П. п.1.5</t>
  </si>
  <si>
    <t>Прокладка воздуховодов для систем
аспирации и пневмотранспорта из
тонколистовой стали, круглых, толщиной
стали до 1 мм, диаметром до 630 мм
Поправка: Гл.12.Прил.8.п.8.
3_12.00.01.11.001 Поправка:
Гл.6.Прил.2.2.п.2.2.6_06.00.01.07.001
Поправка: 3-20. О.П. п.1.5</t>
  </si>
  <si>
    <t>Объем:
0,16 =
(1+15)/100</t>
  </si>
  <si>
    <t>3.20-7-6
Поправка:
Гл.12.Прил.8.п.8.
3_12.00.01.11.001
Поправка:
Гл.6.Прил.2.2.п.2.2.6_06.00.01.07.001
Поправка: 3-20.
О.П. п.1.5</t>
  </si>
  <si>
    <t>Прокладка воздуховодов для систем
аспирации и пневмотранспорта из
тонколистовой стали, круглых, толщиной
стали до 1 мм, диаметром до 900 мм
Поправка: Гл.12.Прил.8.п.8.
3_12.00.01.11.001 Поправка:
Гл.6.Прил.2.2.п.2.2.6_06.00.01.07.001
Поправка: 3-20. О.П. п.1.5</t>
  </si>
  <si>
    <t>Объем:
0,18 =
(15+3)/100</t>
  </si>
  <si>
    <t>3.20-7-7
Поправка:
Гл.12.Прил.8.п.8.
3_12.00.01.11.001
Поправка:
Гл.6.Прил.2.2.п.2.2.6_06.00.01.07.001
Поправка: 3-20.
О.П. п.1.5</t>
  </si>
  <si>
    <t>Прокладка воздуховодов для систем
аспирации и пневмотранспорта из
тонколистовой стали, круглых, толщиной
стали до 1 мм, диаметром до 1400 мм
Поправка: Гл.12.Прил.8.п.8.
3_12.00.01.11.001 Поправка:
Гл.6.Прил.2.2.п.2.2.6_06.00.01.07.001
Поправка: 3-20. О.П. п.1.5</t>
  </si>
  <si>
    <t>Объем:
0,03 =
3/100</t>
  </si>
  <si>
    <t>1.19-3-4</t>
  </si>
  <si>
    <t>РЕСУРСНЫЕ ПОЗИЦИИ: Воздуховоды круглого
сечения из черной стали, толщина стенки
до 1,2 мм, диаметр от 900 до 1250 мм</t>
  </si>
  <si>
    <t>Подраздел: Клапаны противопожарные нормально-закрытые EI60 с электроприводом 220В</t>
  </si>
  <si>
    <t>3.20-11-16
Поправка:
Гл.12.Прил.8.п.8.
3_12.00.01.11.001
Поправка: 3-20.
О.П. п.1.5</t>
  </si>
  <si>
    <t>Установка клапанов огнезадерживающих
периметром до 3200 мм Поправка:
Гл.12.Прил.8.п.8. 3_12.00.01.11.001
Поправка: 3-20. О.П. п.1.5</t>
  </si>
  <si>
    <t>Объем: 43
=
1+1+1+1+7+6+2+1+10+1+1+1+2+3+4+1</t>
  </si>
  <si>
    <t>177.1</t>
  </si>
  <si>
    <t>1.1-1-60
Поправка:
Гл.12.Прил.8.п.8.
3_12.00.01.11.001
Поправка: 3-20.
О.П. п.1.5</t>
  </si>
  <si>
    <t>Болты строительные с шестигранной
головкой с гайками, М6 Поправка:
Гл.12.Прил.8.п.8. 3_12.00.01.11.001
Поправка: 3-20. О.П. п.1.5</t>
  </si>
  <si>
    <t>КА, п.90</t>
  </si>
  <si>
    <t>ОБОРУДОВАНИЕ: Клапан противопожарный
нормально-закрытый, EI60 с
электроприводом 220В
КПУ-1Н-З-EI60-1500x600-1Ф
6771,94 = [60 000 / 1,22 /  7,57] +  3% Трансп +  1,2% Заг.скл</t>
  </si>
  <si>
    <t>КА, п.91</t>
  </si>
  <si>
    <t>ОБОРУДОВАНИЕ: Клапан противопожарный
нормально-закрытый, EI60 с
электроприводом 220В
КПУ-1Н-З-EI60-1200x400-1Ф
6455,92 = [57 200 / 1,22 /  7,57] +  3% Трансп +  1,2% Заг.скл</t>
  </si>
  <si>
    <t>КА, п.92</t>
  </si>
  <si>
    <t>ОБОРУДОВАНИЕ: Клапан противопожарный
нормально-закрытый, EI60 с
электроприводом 220В
КПУ-1Н-З-EI60-1000x1000-1Ф
5993,18 = [53 100 / 1,22 /  7,57] +  3% Трансп +  1,2% Заг.скл</t>
  </si>
  <si>
    <t>КА, п.93</t>
  </si>
  <si>
    <t>ОБОРУДОВАНИЕ: Клапан противопожарный
нормально-закрытый, EI60 с
электроприводом 220В
КПУ-1Н-З-EI60-900x900-1Ф
5643,29 = [50 000 / 1,22 /  7,57] +  3% Трансп +  1,2% Заг.скл</t>
  </si>
  <si>
    <t>КА, п.94</t>
  </si>
  <si>
    <t>ОБОРУДОВАНИЕ: Клапан противопожарный
нормально-закрытый, EI60 с
электроприводом 220В
КПУ-1Н-З-EI60-900x400-1Ф
5186,18 = [45 950 / 1,22 /  7,57] +  3% Трансп +  1,2% Заг.скл</t>
  </si>
  <si>
    <t>КА, п.95</t>
  </si>
  <si>
    <t>ОБОРУДОВАНИЕ: Клапан противопожарный
нормально-закрытый, EI60 с
электроприводом 220В
КПУ-1Н-З-EI60-700x600-1Ф
5186,18 = [45 950 / 1,22 /  7,57] +  3% Трансп +  1,2% Заг.скл</t>
  </si>
  <si>
    <t>КА, п.96</t>
  </si>
  <si>
    <t>ОБОРУДОВАНИЕ: Клапан противопожарный
нормально-закрытый, EI60 с
электроприводом 220В
КПУ-1Н-З-EI60-700x400-1Ф
4979,64 = [44 120 / 1,22 /  7,57] +  3% Трансп +  1,2% Заг.скл</t>
  </si>
  <si>
    <t>КА, п.97</t>
  </si>
  <si>
    <t>ОБОРУДОВАНИЕ: Клапан противопожарный
нормально-закрытый, EI60 с
электроприводом 220В
КПУ-1Н-З-EI60-700x300-1Ф
4943,52 = [43 800 / 1,22 /  7,57] +  3% Трансп +  1,2% Заг.скл</t>
  </si>
  <si>
    <t>КА, п.98</t>
  </si>
  <si>
    <t>ОБОРУДОВАНИЕ: Клапан противопожарный
нормально-закрытый, EI60 с
электроприводом 220В
КПУ-1Н-З-EI60-600x400-1Ф
4853,23 = [43 000 / 1,22 /  7,57] +  3% Трансп +  1,2% Заг.скл</t>
  </si>
  <si>
    <t>КА, п.99</t>
  </si>
  <si>
    <t>ОБОРУДОВАНИЕ: Клапан противопожарный
нормально-закрытый, EI60 с
электроприводом 220В
КПУ-1Н-З-EI60-1200x400-2Ф
6455,92 = [57 200 / 1,22 /  7,57] +  3% Трансп +  1,2% Заг.скл</t>
  </si>
  <si>
    <t>КА, п.100</t>
  </si>
  <si>
    <t>ОБОРУДОВАНИЕ: Клапан противопожарный
нормально-закрытый, EI60 с
электроприводом 220В
КПУ-1Н-З-EI60-700x400-2Ф
4979,64 = [44 120 / 1,22 /  7,57] +  3% Трансп +  1,2% Заг.скл</t>
  </si>
  <si>
    <t>КА, п.101</t>
  </si>
  <si>
    <t>ОБОРУДОВАНИЕ: Клапан противопожарный
нормально-закрытый, EI60 с
электроприводом 220В
КПУ-1Н-З-EI60-700x300-2Ф
4943,52 = [43 800 / 1,22 /  7,57] +  3% Трансп +  1,2% Заг.скл</t>
  </si>
  <si>
    <t>КА, п.102</t>
  </si>
  <si>
    <t>ОБОРУДОВАНИЕ: Клапан противопожарный
нормально-закрытый, EI60 с
электроприводом 220В
КПУ-1Н-З-EI60-600x400-2Ф
4853,23 = [43 000 / 1,22 /  7,57] +  3% Трансп +  1,2% Заг.скл</t>
  </si>
  <si>
    <t>КА, п.103</t>
  </si>
  <si>
    <t>ОБОРУДОВАНИЕ: Клапан противопожарный
нормально-закрытый, EI60 с
электроприводом 220В
КПУ-1Н-З-EI60-Ф500-2Ф
2573,33 = [22 800 / 1,22 /  7,57] +  3% Трансп +  1,2% Заг.скл</t>
  </si>
  <si>
    <t>КА, п.104</t>
  </si>
  <si>
    <t>ОБОРУДОВАНИЕ: Клапан противопожарный
нормально-закрытый, EI60 с
электроприводом 220В
КПУ-1Н-З-EI60-Ф630-2Ф
2595,91 = [23 000 / 1,22 /  7,57] +  3% Трансп +  1,2% Заг.скл</t>
  </si>
  <si>
    <t>КА, п.105</t>
  </si>
  <si>
    <t>ОБОРУДОВАНИЕ: Клапан противопожарный
нормально-закрытый, EI60 с
электроприводом 220В
КПУ-1Н-З-EI60-Ф710-2Ф
2821,65 = [25 000 / 1,22 /  7,57] +  3% Трансп +  1,2% Заг.скл</t>
  </si>
  <si>
    <t>Подраздел: Декоративные решетки</t>
  </si>
  <si>
    <t>Объем: 34
=
1+1+1+1+8+1+6+3+1+11</t>
  </si>
  <si>
    <t>КА, п.106</t>
  </si>
  <si>
    <t>РЕСУРСНЫЕ ПОЗИЦИИ: Декоративная решетка
РОН 130-1500x600
721,36 = [8 490 / 1,22 /  9,84] +  2% Заг.скл</t>
  </si>
  <si>
    <t>КА, п.107</t>
  </si>
  <si>
    <t>РЕСУРСНЫЕ ПОЗИЦИИ: Декоративная решетка
РОН 130-1200x400
701,47 = [8 256 / 1,22 /  9,84] +  2% Заг.скл</t>
  </si>
  <si>
    <t>КА, п.108</t>
  </si>
  <si>
    <t>РЕСУРСНЫЕ ПОЗИЦИИ: Декоративная решетка
РОН 130-1000x1000
607,93 = [7 155 / 1,22 /  9,84] +  2% Заг.скл</t>
  </si>
  <si>
    <t>КА, п.109</t>
  </si>
  <si>
    <t>РЕСУРСНЫЕ ПОЗИЦИИ: Декоративная решетка
РОН 130-900х900
561,20 = [6 605 / 1,22 /  9,84] +  2% Заг.скл</t>
  </si>
  <si>
    <t>КА, п.110</t>
  </si>
  <si>
    <t>РЕСУРСНЫЕ ПОЗИЦИИ: Декоративная решетка
РОН 130-900х400
561,20 = [6 605 / 1,22 /  9,84] +  2% Заг.скл</t>
  </si>
  <si>
    <t>КА, п.111</t>
  </si>
  <si>
    <t>РЕСУРСНЫЕ ПОЗИЦИИ: Декоративная решетка
РОН 130-800х500
561,20 = [6 605 / 1,22 /  9,84] +  2% Заг.скл</t>
  </si>
  <si>
    <t>КА, п.112</t>
  </si>
  <si>
    <t>РЕСУРСНЫЕ ПОЗИЦИИ: Декоративная решетка
РОН 130-700х600
467,65 = [5 504 / 1,22 /  9,84] +  2% Заг.скл</t>
  </si>
  <si>
    <t>КА, п.113</t>
  </si>
  <si>
    <t>РЕСУРСНЫЕ ПОЗИЦИИ: Декоративная решетка
РОН 130-700х400
467,65 = [5 504 / 1,22 /  9,84] +  2% Заг.скл</t>
  </si>
  <si>
    <t>КА, п.114</t>
  </si>
  <si>
    <t>РЕСУРСНЫЕ ПОЗИЦИИ: Декоративная решетка
РОН 130-700х300
467,65 = [5 504 / 1,22 /  9,84] +  2% Заг.скл</t>
  </si>
  <si>
    <t>КА, п.115</t>
  </si>
  <si>
    <t>РЕСУРСНЫЕ ПОЗИЦИИ: Декоративная решетка
РОН 130-600х400
420,92 = [4 954 / 1,22 /  9,84] +  2% Заг.скл</t>
  </si>
  <si>
    <t>Подраздел: Огнезащитное покрытие</t>
  </si>
  <si>
    <t>3.26-65-2
Поправка:
Гл.12.Прил.8.п.8.
3_12.00.01.11.001
Поправка:
Гл.6.Прил.2.2.п.2.2.6_06.00.01.07.001</t>
  </si>
  <si>
    <t>Устройство комбинированного
теплоогнезащитного покрытия
металлических конструкций с приведенной
толщиной металла не менее 3,4 мм на
основе базальтового материала и клеевого
состава с пределом огнестойкости 1 час
Поправка: Гл.12.Прил.8.п.8.
3_12.00.01.11.001 Поправка:
Гл.6.Прил.2.2.п.2.2.6_06.00.01.07.001</t>
  </si>
  <si>
    <t>Объем: 12
= 1200/100</t>
  </si>
  <si>
    <t>*1.2)*1.15)</t>
  </si>
  <si>
    <t>*1.2)*1.25)</t>
  </si>
  <si>
    <t>Итого по разделу: Противодымная вентиляция</t>
  </si>
  <si>
    <t>Раздел 4 Теплоснабжение</t>
  </si>
  <si>
    <t>3.16-6-2
Поправка:
Гл.12.Прил.8.п.8.
3_12.00.01.11.001
Поправка:
Гл.6.Прил.2.2.п.2.2.6_06.00.01.07.001</t>
  </si>
  <si>
    <t>Прокладка трубопроводов отопления из
стальных водогазопроводных
неоцинкованных труб диаметром 20 мм
Поправка: Гл.12.Прил.8.п.8.
3_12.00.01.11.001 Поправка:
Гл.6.Прил.2.2.п.2.2.6_06.00.01.07.001</t>
  </si>
  <si>
    <t>100 м трубопровода</t>
  </si>
  <si>
    <t>Объем: 0,3
= 30/100</t>
  </si>
  <si>
    <t>207.1</t>
  </si>
  <si>
    <t>1.12-1-41
Поправка:
Гл.12.Прил.8.п.8.
3_12.00.01.11.001
Поправка:
Гл.6.Прил.2.2.п.2.2.6_06.00.01.07.001</t>
  </si>
  <si>
    <t>Узел трубопровода из стальных
водогазопроводных неоцинкованных труб, с
гильзами, для систем отопления, диаметр
условного прохода 20 мм Поправка:
Гл.12.Прил.8.п.8. 3_12.00.01.11.001
Поправка:
Гл.6.Прил.2.2.п.2.2.6_06.00.01.07.001</t>
  </si>
  <si>
    <t>3.16-6-3
Поправка:
Гл.12.Прил.8.п.8.
3_12.00.01.11.001
Поправка:
Гл.6.Прил.2.2.п.2.2.6_06.00.01.07.001</t>
  </si>
  <si>
    <t>Прокладка трубопроводов отопления из
стальных водогазопроводных
неоцинкованных труб диаметром 25 мм
Поправка: Гл.12.Прил.8.п.8.
3_12.00.01.11.001 Поправка:
Гл.6.Прил.2.2.п.2.2.6_06.00.01.07.001</t>
  </si>
  <si>
    <t>208.1</t>
  </si>
  <si>
    <t>1.12-1-42
Поправка:
Гл.12.Прил.8.п.8.
3_12.00.01.11.001
Поправка:
Гл.6.Прил.2.2.п.2.2.6_06.00.01.07.001</t>
  </si>
  <si>
    <t>Узел трубопровода из стальных
водогазопроводных неоцинкованных труб, с
гильзами, для систем отопления, диаметр
условного прохода 25 мм Поправка:
Гл.12.Прил.8.п.8. 3_12.00.01.11.001
Поправка:
Гл.6.Прил.2.2.п.2.2.6_06.00.01.07.001</t>
  </si>
  <si>
    <t>3.16-6-4
Поправка:
Гл.12.Прил.8.п.8.
3_12.00.01.11.001
Поправка:
Гл.6.Прил.2.2.п.2.2.6_06.00.01.07.001</t>
  </si>
  <si>
    <t>Прокладка трубопроводов отопления из
стальных водогазопроводных
неоцинкованных труб диаметром 32 мм
Поправка: Гл.12.Прил.8.п.8.
3_12.00.01.11.001 Поправка:
Гл.6.Прил.2.2.п.2.2.6_06.00.01.07.001</t>
  </si>
  <si>
    <t>Объем:
0,35 =
35/100</t>
  </si>
  <si>
    <t>209.1</t>
  </si>
  <si>
    <t>1.12-1-43
Поправка:
Гл.12.Прил.8.п.8.
3_12.00.01.11.001
Поправка:
Гл.6.Прил.2.2.п.2.2.6_06.00.01.07.001</t>
  </si>
  <si>
    <t>Узел трубопровода из стальных
водогазопроводных неоцинкованных труб, с
гильзами, для систем отопления, диаметр
условного прохода 32 мм Поправка:
Гл.12.Прил.8.п.8. 3_12.00.01.11.001
Поправка:
Гл.6.Прил.2.2.п.2.2.6_06.00.01.07.001</t>
  </si>
  <si>
    <t>3.16-6-5
Поправка:
Гл.12.Прил.8.п.8.
3_12.00.01.11.001
Поправка:
Гл.6.Прил.2.2.п.2.2.6_06.00.01.07.001</t>
  </si>
  <si>
    <t>Прокладка трубопроводов отопления из
стальных водогазопроводных
неоцинкованных труб диаметром 40 мм
Поправка: Гл.12.Прил.8.п.8.
3_12.00.01.11.001 Поправка:
Гл.6.Прил.2.2.п.2.2.6_06.00.01.07.001</t>
  </si>
  <si>
    <t>Объем: 1,4
= 140/100</t>
  </si>
  <si>
    <t>210.1</t>
  </si>
  <si>
    <t>1.12-1-44
Поправка:
Гл.12.Прил.8.п.8.
3_12.00.01.11.001
Поправка:
Гл.6.Прил.2.2.п.2.2.6_06.00.01.07.001</t>
  </si>
  <si>
    <t>Узел трубопровода из стальных
водогазопроводных неоцинкованных труб, с
гильзами, для систем отопления, диаметр
условного прохода 40 мм Поправка:
Гл.12.Прил.8.п.8. 3_12.00.01.11.001
Поправка:
Гл.6.Прил.2.2.п.2.2.6_06.00.01.07.001</t>
  </si>
  <si>
    <t>3.16-6-6
Поправка:
Гл.12.Прил.8.п.8.
3_12.00.01.11.001
Поправка:
Гл.6.Прил.2.2.п.2.2.6_06.00.01.07.001</t>
  </si>
  <si>
    <t>Прокладка трубопроводов отопления из
стальных водогазопроводных
неоцинкованных труб диаметром 50 мм
Поправка: Гл.12.Прил.8.п.8.
3_12.00.01.11.001 Поправка:
Гл.6.Прил.2.2.п.2.2.6_06.00.01.07.001</t>
  </si>
  <si>
    <t>Объем: 1,1
= 110/100</t>
  </si>
  <si>
    <t>211.1</t>
  </si>
  <si>
    <t>1.12-1-45
Поправка:
Гл.12.Прил.8.п.8.
3_12.00.01.11.001
Поправка:
Гл.6.Прил.2.2.п.2.2.6_06.00.01.07.001</t>
  </si>
  <si>
    <t>Узел трубопровода из стальных
водогазопроводных неоцинкованных труб, с
гильзами, для систем отопления, диаметр
условного прохода 50 мм Поправка:
Гл.12.Прил.8.п.8. 3_12.00.01.11.001
Поправка:
Гл.6.Прил.2.2.п.2.2.6_06.00.01.07.001</t>
  </si>
  <si>
    <t>3.16-7-8
Поправка:
Гл.12.Прил.8.п.8.
3_12.00.01.11.001
Поправка:
Гл.6.Прил.2.2.п.2.2.6_06.00.01.07.001</t>
  </si>
  <si>
    <t>Прокладка трубопроводов водоснабжения из
стальных водогазопроводных оцинкованных
труб диаметром 80 мм Поправка:
Гл.12.Прил.8.п.8. 3_12.00.01.11.001
Поправка:
Гл.6.Прил.2.2.п.2.2.6_06.00.01.07.001</t>
  </si>
  <si>
    <t>Объем:
0,15 =
15/100</t>
  </si>
  <si>
    <t>212.1</t>
  </si>
  <si>
    <t>1.12-1-47
Поправка:
Гл.12.Прил.8.п.8.
3_12.00.01.11.001
Поправка:
Гл.6.Прил.2.2.п.2.2.6_06.00.01.07.001</t>
  </si>
  <si>
    <t>Узел трубопровода отопления,
водоснабжения из стальных электросварных
труб, с гильзами, наружный диаметр
(толщина стенки) 76х3,5 мм Поправка:
Гл.12.Прил.8.п.8. 3_12.00.01.11.001
Поправка:
Гл.6.Прил.2.2.п.2.2.6_06.00.01.07.001</t>
  </si>
  <si>
    <t>3.16-7-9
Поправка:
Гл.12.Прил.8.п.8.
3_12.00.01.11.001
Поправка:
Гл.6.Прил.2.2.п.2.2.6_06.00.01.07.001</t>
  </si>
  <si>
    <t>Прокладка трубопроводов водоснабжения из
стальных водогазопроводных оцинкованных
труб диаметром 90 мм Поправка:
Гл.12.Прил.8.п.8. 3_12.00.01.11.001
Поправка:
Гл.6.Прил.2.2.п.2.2.6_06.00.01.07.001</t>
  </si>
  <si>
    <t>213.1</t>
  </si>
  <si>
    <t>1.12-1-48
Поправка:
Гл.12.Прил.8.п.8.
3_12.00.01.11.001
Поправка:
Гл.6.Прил.2.2.п.2.2.6_06.00.01.07.001</t>
  </si>
  <si>
    <t>Узел трубопровода отопления,
водоснабжения из стальных электросварных
труб, с гильзами, наружный диаметр
(толщина стенки) 89х3,5 мм Поправка:
Гл.12.Прил.8.п.8. 3_12.00.01.11.001
Поправка:
Гл.6.Прил.2.2.п.2.2.6_06.00.01.07.001</t>
  </si>
  <si>
    <t>3.16-7-10
Поправка:
Гл.12.Прил.8.п.8.
3_12.00.01.11.001
Поправка:
Гл.6.Прил.2.2.п.2.2.6_06.00.01.07.001</t>
  </si>
  <si>
    <t>Прокладка трубопроводов водоснабжения из
стальных водогазопроводных оцинкованных
труб диаметром 100 мм Поправка:
Гл.12.Прил.8.п.8. 3_12.00.01.11.001
Поправка:
Гл.6.Прил.2.2.п.2.2.6_06.00.01.07.001</t>
  </si>
  <si>
    <t>Объем: 0,4
= 40/100</t>
  </si>
  <si>
    <t>214.1</t>
  </si>
  <si>
    <t>1.12-1-49
Поправка:
Гл.12.Прил.8.п.8.
3_12.00.01.11.001
Поправка:
Гл.6.Прил.2.2.п.2.2.6_06.00.01.07.001</t>
  </si>
  <si>
    <t>Узел трубопровода отопления,
водоснабжения из стальных электросварных
труб, с гильзами, наружный диаметр
(толщина стенки) 108х4,0 мм Поправка:
Гл.12.Прил.8.п.8. 3_12.00.01.11.001
Поправка:
Гл.6.Прил.2.2.п.2.2.6_06.00.01.07.001</t>
  </si>
  <si>
    <t>3.26-1-1
Поправка:
Гл.12.Прил.8.п.8.
3_12.00.01.11.001
Поправка:
Гл.6.Прил.2.2.п.2.2.6_06.00.01.07.001</t>
  </si>
  <si>
    <t>Изоляция трубопроводов цилиндрами,
полуцилиндрами из минеральной ваты на
синтетическом связующем Поправка:
Гл.12.Прил.8.п.8. 3_12.00.01.11.001
Поправка:
Гл.6.Прил.2.2.п.2.2.6_06.00.01.07.001</t>
  </si>
  <si>
    <t>1 м3</t>
  </si>
  <si>
    <t>Объем:
0,8855756
=
(30*0,0628+30*0,0785+35*0,10+140*0,1256+110*0,157+15*0,23864+30*0,27946+40*0,33912)*0,013</t>
  </si>
  <si>
    <t>215.1</t>
  </si>
  <si>
    <t>1.1-1-1342
Поправка:
Гл.12.Прил.8.п.8.
3_12.00.01.11.001
Поправка:
Гл.6.Прил.2.2.п.2.2.6_06.00.01.07.001</t>
  </si>
  <si>
    <t>Цилиндры и полуцилиндры
теплоизоляционные минераловатные на
синтетическом связующем, простые,
диаметр 18 мм, толщина 30 мм Поправка:
Гл.12.Прил.8.п.8. 3_12.00.01.11.001
Поправка:
Гл.6.Прил.2.2.п.2.2.6_06.00.01.07.001</t>
  </si>
  <si>
    <t>1.1-1-1273</t>
  </si>
  <si>
    <t>РЕСУРСНЫЕ ПОЗИЦИИ: Трубки
теплоизоляционные из вспененного
синтетического каучука, для систем
трубопроводов отопления, водоснабжения и
кондиционирования, диапазон температур
применения от -50 до +110°С,
теплопроводность при температуре 0°С не
более 0,036 Вт/(м х К), внутренний
диаметр 22 мм, толщина 13 мм</t>
  </si>
  <si>
    <t>1.1-1-1274</t>
  </si>
  <si>
    <t>РЕСУРСНЫЕ ПОЗИЦИИ: Трубки
теплоизоляционные из вспененного
синтетического каучука, для систем
трубопроводов отопления, водоснабжения и
кондиционирования, диапазон температур
применения от -50 до +110°С,
теплопроводность при температуре 0°С не
более 0,036 Вт/(м х К), внутренний
диаметр 28 мм, толщина 13 мм</t>
  </si>
  <si>
    <t>1.1-1-1275</t>
  </si>
  <si>
    <t>РЕСУРСНЫЕ ПОЗИЦИИ: Трубки
теплоизоляционные из вспененного
синтетического каучука, для систем
трубопроводов отопления, водоснабжения и
кондиционирования, диапазон температур
применения от -50 до +110°С,
теплопроводность при температуре 0°С не
более 0,036 Вт/(м х К), внутренний
диаметр 35 мм, толщина 13 мм</t>
  </si>
  <si>
    <t>1.1-1-1276</t>
  </si>
  <si>
    <t>РЕСУРСНЫЕ ПОЗИЦИИ: Трубки
теплоизоляционные из вспененного
синтетического каучука, для систем
трубопроводов отопления, водоснабжения и
кондиционирования, диапазон температур
применения от -50 до +110°С,
теплопроводность при температуре 0°С не
более 0,036 Вт/(м х К), внутренний
диаметр 42 мм, толщина 13 мм</t>
  </si>
  <si>
    <t>1.1-1-1277</t>
  </si>
  <si>
    <t>РЕСУРСНЫЕ ПОЗИЦИИ: Трубки
теплоизоляционные из вспененного
синтетического каучука, для систем
трубопроводов отопления, водоснабжения и
кондиционирования, диапазон температур
применения от -50 до +110°С,
теплопроводность при температуре 0°С не
более 0,036 Вт/(м х К), внутренний
диаметр 48 мм, толщина 13 мм</t>
  </si>
  <si>
    <t>1.1-1-1279</t>
  </si>
  <si>
    <t>РЕСУРСНЫЕ ПОЗИЦИИ: Трубки
теплоизоляционные из вспененного
синтетического каучука, для систем
трубопроводов отопления, водоснабжения и
кондиционирования, диапазон температур
применения от -50 до +110°С,
теплопроводность при температуре 0°С не
более 0,036 Вт/(м х К), внутренний
диаметр 76 мм, толщина 13 мм</t>
  </si>
  <si>
    <t>1.1-1-1280</t>
  </si>
  <si>
    <t>РЕСУРСНЫЕ ПОЗИЦИИ: Трубки
теплоизоляционные из вспененного
синтетического каучука, для систем
трубопроводов отопления, водоснабжения и
кондиционирования, диапазон температур
применения от -50 до +110°С,
теплопроводность при температуре 0°С не
более 0,036 Вт/(м х К), внутренний
диаметр 89 мм, толщина 13 мм</t>
  </si>
  <si>
    <t>1.1-1-1281</t>
  </si>
  <si>
    <t>РЕСУРСНЫЕ ПОЗИЦИИ: Трубки
теплоизоляционные из вспененного
синтетического каучука, для систем
трубопроводов отопления, водоснабжения и
кондиционирования, диапазон температур
применения от -50 до +110°С,
теплопроводность при температуре 0°С не
более 0,036 Вт/(м х К), внутренний
диаметр 114 мм, толщина 13 мм</t>
  </si>
  <si>
    <t>1.13-4-75</t>
  </si>
  <si>
    <t>РЕСУРСНЫЕ ПОЗИЦИИ: Кран шаровой,
латунный, никелированный, запорный,
полнопроходной, со спускным элементом, с
алюминиевой ручкой, муфтовый,
температура рабочей среды от -15 до
+110°С, пропускная способность 156 м3/ч,
номинальное давление PN 4,0 МПа,
номинальный диаметр DN 40 мм</t>
  </si>
  <si>
    <t>1.13-4-76</t>
  </si>
  <si>
    <t>РЕСУРСНЫЕ ПОЗИЦИИ: Кран шаровой,
латунный, никелированный, запорный,
полнопроходной, со спускным элементом, с
алюминиевой ручкой, муфтовый,
температура рабочей среды от -15 до
+110°С, пропускная способность 243 м3/ч,
номинальное давление PN 4,0 МПа,
номинальный диаметр DN 50 мм</t>
  </si>
  <si>
    <t>1.13-4-68</t>
  </si>
  <si>
    <t>РЕСУРСНЫЕ ПОЗИЦИИ: Кран шаровой,
латунный, никелированный,
полнопроходной, с алюминиевой рукояткой,
муфтовый, температура рабочей среды от
-15 до +110°С, номинальное давление PN
4,0 МПа, номинальный диаметр DN 80 мм</t>
  </si>
  <si>
    <t>3.16-15-2
Поправка:
Гл.12.Прил.8.п.8.
3_12.00.01.11.001
Поправка:
Гл.6.Прил.2.2.п.2.2.6_06.00.01.07.001</t>
  </si>
  <si>
    <t>Установка вентилей, задвижек, затворов,
клапанов обратных, кранов проходных на
трубопроводах из стальных труб диаметром
до 50 мм Поправка: Гл.12.Прил.8.п.8.
3_12.00.01.11.001 Поправка:
Гл.6.Прил.2.2.п.2.2.6_06.00.01.07.001</t>
  </si>
  <si>
    <t>227.1</t>
  </si>
  <si>
    <t>1.12-9-3
Поправка:
Гл.12.Прил.8.п.8.
3_12.00.01.11.001
Поправка:
Гл.6.Прил.2.2.п.2.2.6_06.00.01.07.001</t>
  </si>
  <si>
    <t>Фланец стальной плоский приварной с
соединительным выступом, ГОСТ
33259-2015, из стали Ст3сп, номинальное
давление PN 1,0 МПа, номинальный диаметр
DN 40 мм Поправка: Гл.12.Прил.8.п.8.
3_12.00.01.11.001 Поправка:
Гл.6.Прил.2.2.п.2.2.6_06.00.01.07.001</t>
  </si>
  <si>
    <t>КА, п.116</t>
  </si>
  <si>
    <t>РЕСУРСНЫЕ ПОЗИЦИИ: Кран балансировочный
ручной Д40
2623,76 = [30 880,03 / 1,22 /  9,84] +  2% Заг.скл</t>
  </si>
  <si>
    <t>3.16-15-3
Поправка:
Гл.12.Прил.8.п.8.
3_12.00.01.11.001
Поправка:
Гл.6.Прил.2.2.п.2.2.6_06.00.01.07.001</t>
  </si>
  <si>
    <t>Установка вентилей, задвижек, затворов,
клапанов обратных, кранов проходных на
трубопроводах из стальных труб диаметром
до 100 мм Поправка: Гл.12.Прил.8.п.8.
3_12.00.01.11.001 Поправка:
Гл.6.Прил.2.2.п.2.2.6_06.00.01.07.001</t>
  </si>
  <si>
    <t>229.1</t>
  </si>
  <si>
    <t>1.12-9-6
Поправка:
Гл.12.Прил.8.п.8.
3_12.00.01.11.001
Поправка:
Гл.6.Прил.2.2.п.2.2.6_06.00.01.07.001</t>
  </si>
  <si>
    <t>Фланец стальной плоский приварной с
соединительным выступом, ГОСТ
33259-2015, из стали Ст3сп, номинальное
давление PN 1,0 МПа, номинальный диаметр
DN 80 мм Поправка: Гл.12.Прил.8.п.8.
3_12.00.01.11.001 Поправка:
Гл.6.Прил.2.2.п.2.2.6_06.00.01.07.001</t>
  </si>
  <si>
    <t>КА, п.117</t>
  </si>
  <si>
    <t>РЕСУРСНЫЕ ПОЗИЦИИ: Кран балансировочный
ручной Д50
2740,11 = [32 249,48 / 1,22 /  9,84] +  2% Заг.скл</t>
  </si>
  <si>
    <t>КА, п.118</t>
  </si>
  <si>
    <t>РЕСУРСНЫЕ ПОЗИЦИИ: Кран балансировочный
ручной Д89
5497,22 = [64 699,04 / 1,22 /  9,84] +  2% Заг.скл</t>
  </si>
  <si>
    <t>3.18-20-5
Поправка:
Гл.12.Прил.8.п.8.
3_12.00.01.11.001
Поправка:
Гл.6.Прил.2.2.п.2.2.6_06.00.01.07.001</t>
  </si>
  <si>
    <t>Установка кранов воздушных Поправка:
Гл.12.Прил.8.п.8. 3_12.00.01.11.001
Поправка:
Гл.6.Прил.2.2.п.2.2.6_06.00.01.07.001</t>
  </si>
  <si>
    <t>1 комплект</t>
  </si>
  <si>
    <t>1.13-4-40</t>
  </si>
  <si>
    <t>РЕСУРСНЫЕ ПОЗИЦИИ: Кран спуска воздуха
из систем водяного отопления (кран
Маевского), латунный, цапковый,
максимальная температура +110°С,
номинальное давление PN 1,0 МПа,
номинальный диаметр DN 15 мм</t>
  </si>
  <si>
    <t>3.24-63-1
Поправка:
Гл.12.Прил.8.п.8.
3_12.00.01.11.001
Поправка:
Гл.6.Прил.2.2.п.2.2.6_06.00.01.07.001</t>
  </si>
  <si>
    <t>Установка сильфонных компенсаторов
диаметром 50 мм Поправка:
Гл.12.Прил.8.п.8. 3_12.00.01.11.001
Поправка:
Гл.6.Прил.2.2.п.2.2.6_06.00.01.07.001</t>
  </si>
  <si>
    <t>234.1</t>
  </si>
  <si>
    <t>1.18-6-167
Поправка:
Гл.12.Прил.8.п.8.
3_12.00.01.11.001
Поправка:
Гл.6.Прил.2.2.п.2.2.6_06.00.01.07.001</t>
  </si>
  <si>
    <t>Компенсатор сильфонный, стальной,
осевой, односекционный, с внутренним
экраном и защитным кожухом, под
приварку, типа КСО 40-16-50,
компенсирующая способность 50 мм,
номинальное давление PN 1,6 МПа,
номинальный диаметр DN 40 мм Поправка:
Гл.12.Прил.8.п.8. 3_12.00.01.11.001
Поправка:
Гл.6.Прил.2.2.п.2.2.6_06.00.01.07.001</t>
  </si>
  <si>
    <t>234.2</t>
  </si>
  <si>
    <t>1.12-2-1169
Поправка:
Гл.12.Прил.8.п.8.
3_12.00.01.11.001
Поправка:
Гл.6.Прил.2.2.п.2.2.6_06.00.01.07.001</t>
  </si>
  <si>
    <t>Скорлупы пенополиуретановые для изоляции
трубопроводов тепловых сетей, наружный
диаметр труб 108 мм, толщина изоляции 40
мм Поправка: Гл.12.Прил.8.п.8.
3_12.00.01.11.001 Поправка:
Гл.6.Прил.2.2.п.2.2.6_06.00.01.07.001</t>
  </si>
  <si>
    <t>м3</t>
  </si>
  <si>
    <t>Итого по разделу: Теплоснабжение</t>
  </si>
  <si>
    <t>Раздел 5 Кондиционирование</t>
  </si>
  <si>
    <t>Подраздел: VRF системы</t>
  </si>
  <si>
    <t>3.20-59-2
Поправка:
Гл.12.Прил.8.п.8.
3_12.00.01.11.001
Поправка:
Гл.6.Прил.2.2.п.2.2.6_06.00.01.07.001
Поправка: 3-20.
О.П. п.1.5</t>
  </si>
  <si>
    <t>Установка наружного блока сплит-системы
мощностью более 6,5 кВт на кронштейны
Поправка: Гл.12.Прил.8.п.8.
3_12.00.01.11.001 Поправка:
Гл.6.Прил.2.2.п.2.2.6_06.00.01.07.001
Поправка: 3-20. О.П. п.1.5</t>
  </si>
  <si>
    <t>КА, п.125</t>
  </si>
  <si>
    <t>ОБОРУДОВАНИЕ: Наружный блок VRF системы
AU08NFKERA Haier
81869,88 = [725 374,27 / 1,22 /  7,57] +  3% Трансп +  1,2% Заг.скл</t>
  </si>
  <si>
    <t>КА, п.126</t>
  </si>
  <si>
    <t>ОБОРУДОВАНИЕ: "Наружный блок VRF системы
AU10NFKERA (Haier (Китай))"
99135,47 = [878 348,86 / 1,22 /  7,57] +  3% Трансп +  1,2% Заг.скл</t>
  </si>
  <si>
    <t>3.20-58-2
Поправка:
Гл.12.Прил.8.п.8.
3_12.00.01.11.001
Поправка:
Гл.6.Прил.2.2.п.2.2.6_06.00.01.07.001
Поправка: 3-20.
О.П. п.1.5</t>
  </si>
  <si>
    <t>Установка внутреннего блока
сплит-системы настенного типа мощностью
более 6,5 кВт Поправка:
Гл.12.Прил.8.п.8. 3_12.00.01.11.001
Поправка:
Гл.6.Прил.2.2.п.2.2.6_06.00.01.07.001
Поправка: 3-20. О.П. п.1.5</t>
  </si>
  <si>
    <t>Объем: 19
= 3+4+7+5</t>
  </si>
  <si>
    <t>КА, п.127</t>
  </si>
  <si>
    <t>ОБОРУДОВАНИЕ: Внутренние блоки VRV
системы с пультом управления и
декоративной панелью AB122MNERAB (Haier
(Китай))
111622,28 = [988 983,12 / 1,22 /  7,57] +  3% Трансп +  1,2% Заг.скл</t>
  </si>
  <si>
    <t>КА, п.128</t>
  </si>
  <si>
    <t>ОБОРУДОВАНИЕ: Внутренние блоки VRV
системы с пультом управления и
декоративной панелью AB092MNERAB (Haier
(Китай))
48728,51 = [431 738,82 / 1,22 /  7,57] +  3% Трансп +  1,2% Заг.скл</t>
  </si>
  <si>
    <t>КА, п.129</t>
  </si>
  <si>
    <t>ОБОРУДОВАНИЕ: Внутренние блоки VRV
системы с пультом управления и
декоративной панелью AB182MNERAB (Haier
(Китай))
22065,74 = [195 504,37 / 1,22 /  7,57] +  3% Трансп +  1,2% Заг.скл</t>
  </si>
  <si>
    <t>КА, п.130</t>
  </si>
  <si>
    <t>ОБОРУДОВАНИЕ: Внутренние блоки VRV
системы с пультом управления и
декоративной панелью AB242MNERAB (Haier
(Китай))
23263,11 = [206 113,14 / 1,22 /  7,57] +  3% Трансп +  1,2% Заг.скл</t>
  </si>
  <si>
    <t>Подраздел: Сплит система AC105S2LH1FA/1U105S1LS1FA</t>
  </si>
  <si>
    <t>КА, п.131</t>
  </si>
  <si>
    <t>ОБОРУДОВАНИЕ: Сплит система с пультом
управления и низкотемпературным
комплектом AC105S2LH1FA/1U105S1LS1FA
(Haier (Китай))
26309,97 = [233 108,65 / 1,22 /  7,57] +  3% Трансп +  1,2% Заг.скл</t>
  </si>
  <si>
    <t>Подраздел: Сплит система HSU-33HPL103/ R3(IN)/HSU-33HPL03/ R3(OUT)</t>
  </si>
  <si>
    <t>4.10-170-2
Поправка:
Гл.12.Прил.8.п.8.
3_12.00.01.11.001</t>
  </si>
  <si>
    <t>Монтаж блока информационно-управляющего
(БИУ) в диспетчерской Поправка:
Гл.12.Прил.8.п.8. 3_12.00.01.11.001</t>
  </si>
  <si>
    <t>*1.2)</t>
  </si>
  <si>
    <t>*1)</t>
  </si>
  <si>
    <t>КА, п.132</t>
  </si>
  <si>
    <t>ОБОРУДОВАНИЕ: Сплит система с пультом
управления и низкотемпературным
комплектом HSU-33HPL103/
R3(IN)/HSU-33HPL03/ R3(OUT) (Haier
(Китай))
27576,25 = [244 328 / 1,22 /  7,57] +  3% Трансп +  1,2% Заг.скл</t>
  </si>
  <si>
    <t>Подраздел: Монтажные работы</t>
  </si>
  <si>
    <t>3.20-58-3
Поправка:
Гл.12.Прил.8.п.8.
3_12.00.01.11.001
Поправка: 3-20.
О.П. п.1.5</t>
  </si>
  <si>
    <t>Добавлять/уменьшать на каждый 1 м трассы
систем до 6,5 кВт Поправка:
Гл.12.Прил.8.п.8. 3_12.00.01.11.001
Поправка: 3-20. О.П. п.1.5</t>
  </si>
  <si>
    <t>1 м трассы</t>
  </si>
  <si>
    <t>Объем: 669
=
((150+570+180+400+80+120)-27*6)/2</t>
  </si>
  <si>
    <t>250.1</t>
  </si>
  <si>
    <t>1.1-1-3984
Поправка:
Гл.12.Прил.8.п.8.
3_12.00.01.11.001
Поправка: 3-20.
О.П. п.1.5</t>
  </si>
  <si>
    <t>Хладагент типа R404А, R22 Поправка:
Гл.12.Прил.8.п.8. 3_12.00.01.11.001
Поправка: 3-20. О.П. п.1.5</t>
  </si>
  <si>
    <t>кг</t>
  </si>
  <si>
    <t>250.2</t>
  </si>
  <si>
    <t>1.23-8-564
Поправка:
Гл.12.Прил.8.п.8.
3_12.00.01.11.001
Поправка: 3-20.
О.П. п.1.5</t>
  </si>
  <si>
    <t>Кабель силовой с медными жилами, с
изоляцией и оболочкой из ПВХ композиций
пониженной пожароопасности, с пониженным
дымо- и газовыделением, марка
ВВГнг(А)-LS, напряжение 1000 В, число
жил и сечение 2х1,5 мм2 Поправка:
Гл.12.Прил.8.п.8. 3_12.00.01.11.001
Поправка: 3-20. О.П. п.1.5</t>
  </si>
  <si>
    <t>км</t>
  </si>
  <si>
    <t>1.12-7-186</t>
  </si>
  <si>
    <t>РЕСУРСНЫЕ ПОЗИЦИИ: Трубы медные для
отопления и водоснабжения, наружный
диаметр 6,35 мм, толщина стенки 0,76 мм</t>
  </si>
  <si>
    <t>Объем:
153,75 =
150*1,025</t>
  </si>
  <si>
    <t>1.12-7-187</t>
  </si>
  <si>
    <t>РЕСУРСНЫЕ ПОЗИЦИИ: Трубы медные для
отопления и водоснабжения, наружный
диаметр 9,52 мм, толщина стенки 0,81 мм</t>
  </si>
  <si>
    <t>Объем:
584,25 =
570*1,025</t>
  </si>
  <si>
    <t>1.12-7-188</t>
  </si>
  <si>
    <t>РЕСУРСНЫЕ ПОЗИЦИИ: Трубы медные для
отопления и водоснабжения, наружный
диаметр 12,7 мм, толщина стенки 0,81 мм</t>
  </si>
  <si>
    <t>Объем:
184,5 =
180*1,025</t>
  </si>
  <si>
    <t>1.12-7-192</t>
  </si>
  <si>
    <t>РЕСУРСНЫЕ ПОЗИЦИИ: Трубы медные для
отопления и водоснабжения, наружный
диаметр 15,9 мм, толщина стенки 0,89 мм</t>
  </si>
  <si>
    <t>Объем: 410
=
400*1,025</t>
  </si>
  <si>
    <t>1.12-7-189</t>
  </si>
  <si>
    <t>РЕСУРСНЫЕ ПОЗИЦИИ: Трубы медные для
отопления и водоснабжения, наружный
диаметр 19,1 мм, толщина стенки 0,89 мм</t>
  </si>
  <si>
    <t>Объем: 82
= 80*1,025</t>
  </si>
  <si>
    <t>1.12-7-190</t>
  </si>
  <si>
    <t>РЕСУРСНЫЕ ПОЗИЦИИ: Трубы медные для
отопления и водоснабжения, наружный
диаметр 22,2 мм, толщина стенки 1,14 мм</t>
  </si>
  <si>
    <t>Объем: 123
=
120*1,025</t>
  </si>
  <si>
    <t>КА, п.133</t>
  </si>
  <si>
    <t>ОБОРУДОВАНИЕ: Рефнет FQG-B335A (Haier
(Китай))
1892,27 = [16 765,64 / 1,22 /  7,57] +  3% Трансп +  1,2% Заг.скл</t>
  </si>
  <si>
    <t>1.1-1-3639</t>
  </si>
  <si>
    <t>РЕСУРСНЫЕ ПОЗИЦИИ: Трубки
теплоизоляционные из вспененного
каучука, для систем трубопроводов,
диапазон температур применения от -200
до +110°C, коэффициент теплопроводности
при температуре 0°C не более 0,032 Вт/(м
х К), внутренний диаметр 6 мм, толщина 9
мм</t>
  </si>
  <si>
    <t>Объем:
157,5 =
150*1,05</t>
  </si>
  <si>
    <t>1.1-1-1289</t>
  </si>
  <si>
    <t>РЕСУРСНЫЕ ПОЗИЦИИ: Трубки
теплоизоляционные из вспененного
синтетического каучука, для систем
трубопроводов отопления, водоснабжения и
кондиционирования, диапазон температур
применения от -50 до +110°С,
теплопроводность при температуре 0°С не
более 0,036 Вт/(м х К), внутренний
диаметр 15 мм, толщина 9 мм</t>
  </si>
  <si>
    <t>Объем:
598,5 =
570*1,05</t>
  </si>
  <si>
    <t>РЕСУРСНЫЕ ПОЗИЦИИ: Трубки
теплоизоляционные из вспененного
синтетического каучука, для систем
трубопроводов отопления, водоснабжения и
кондиционирования, диапазон температур
применения от -50 до +110°С,
теплопроводность при температуре 0°С не
более 0,036 Вт/(м х К), внутренний
диаметр 15 мм, толщина 9 мм/диаметр
12,7мм</t>
  </si>
  <si>
    <t>Объем: 189
= 180*1,05</t>
  </si>
  <si>
    <t>РЕСУРСНЫЕ ПОЗИЦИИ: Трубки
теплоизоляционные из вспененного
синтетического каучука, для систем
трубопроводов отопления, водоснабжения и
кондиционирования, диапазон температур
применения от -50 до +110°С,
теплопроводность при температуре 0°С не
более 0,036 Вт/(м х К), внутренний
диаметр 15 мм, толщина 9 мм/диаметр
15,9мм</t>
  </si>
  <si>
    <t>Объем: 420
= 400*1,05</t>
  </si>
  <si>
    <t>1.1-1-1290</t>
  </si>
  <si>
    <t>РЕСУРСНЫЕ ПОЗИЦИИ: Трубки
теплоизоляционные из вспененного
синтетического каучука, для систем
трубопроводов отопления, водоснабжения и
кондиционирования, диапазон температур
применения от -50 до +110°С,
теплопроводность при температуре 0°С не
более 0,036 Вт/(м х К), внутренний
диаметр 18 мм, толщина 9 мм/диаметр
19,1мм</t>
  </si>
  <si>
    <t>Объем: 84
= 80*1,05</t>
  </si>
  <si>
    <t>1.1-1-3118</t>
  </si>
  <si>
    <t>РЕСУРСНЫЕ ПОЗИЦИИ: Трубки
теплоизоляционные из вспененного
каучука, для систем трубопроводов,
диапазон температур применения от -200
до +110°C, коэффициент теплопроводности
при температуре 0°C не более 0,032 Вт/(м
х К), внутренний диаметр 22 мм, толщина
9 мм/диаметр 22,2</t>
  </si>
  <si>
    <t>Объем: 126
= 120*1,05</t>
  </si>
  <si>
    <t>1.12-5-988</t>
  </si>
  <si>
    <t>РЕСУРСНЫЕ ПОЗИЦИИ: Труба напорная из
термостабилизированного полипропилена
PPRT, ГОСТ 32415-2013, ГОСТ Р
53630-2015, армированная стекловолокном,
для холодного, горячего водоснабжения и
отопления, температура рабочей среды до
+80°С, SDR 7,4, номинальное давление PN
2 МПа, номинальный диаметр DN 25 мм,
стенка 3,5 мм</t>
  </si>
  <si>
    <t>1.12-5-989</t>
  </si>
  <si>
    <t>РЕСУРСНЫЕ ПОЗИЦИИ: Труба напорная из
термостабилизированного полипропилена
PPRT, ГОСТ 32415-2013, ГОСТ Р
53630-2015, армированная стекловолокном,
для холодного, горячего водоснабжения и
отопления, температура рабочей среды до
+80°С, SDR 9, номинальное давление PN
2,5 МПа, номинальный диаметр DN 32 мм,
стенка 3,6 мм</t>
  </si>
  <si>
    <t>1.12-5-990</t>
  </si>
  <si>
    <t>РЕСУРСНЫЕ ПОЗИЦИИ: Труба напорная из
термостабилизированного полипропилена
PPRT, ГОСТ 32415-2013, ГОСТ Р
53630-2015, армированная стекловолокном,
для холодного, горячего водоснабжения и
отопления, температура рабочей среды до
+80°С, SDR 9, номинальное давление PN
2,5 МПа, номинальный диаметр DN 40 мм,
стенка 4,5 мм</t>
  </si>
  <si>
    <t>3.26-16-1</t>
  </si>
  <si>
    <t>Изоляция трубопроводов изделиями из
вспененного каучука, вспененного
полиэтилена, трубками</t>
  </si>
  <si>
    <t>10 м изоляции</t>
  </si>
  <si>
    <t>Объем: 22
=
(120+60+40)/10</t>
  </si>
  <si>
    <t>267.1</t>
  </si>
  <si>
    <t>1.1-1-517</t>
  </si>
  <si>
    <t>Лента с клеевым слоем, ширина 50 мм,
толщина 0,5 мм</t>
  </si>
  <si>
    <t>267.2</t>
  </si>
  <si>
    <t>1.1-1-2507</t>
  </si>
  <si>
    <t>Трубки теплоизоляционные из вспененного
каучука, для систем трубопроводов,
диапазон температур применения от -200
до +110°C, коэффициент теплопроводности
при температуре 0°C не более 0,032 Вт/(м
х К), внутренний диаметр 28 мм, толщина
9 мм</t>
  </si>
  <si>
    <t>267.3</t>
  </si>
  <si>
    <t>1.1-1-386</t>
  </si>
  <si>
    <t>Клей контактный, на основе
полихлоропренового каучука, без
ароматических растворителей, температура
эксплуатации от -50 до +105°С, для
склеивания гибких теплоизоляционных
материалов</t>
  </si>
  <si>
    <t>3.20-52-1</t>
  </si>
  <si>
    <t>Присоединение трубопроводов к
оросительной системе блока
тепломассобмена производительностью до
20 тыс.м3/час</t>
  </si>
  <si>
    <t>268.1</t>
  </si>
  <si>
    <t>1.1-1-57</t>
  </si>
  <si>
    <t>Болты строительные с гайками и шайбами,
черные, М10х100 мм</t>
  </si>
  <si>
    <t>13.1-5-357</t>
  </si>
  <si>
    <t>ОБОРУДОВАНИЕ: Насос дренажный (помпа)
для кондиционеров производительность 10
л/ч, высота всасывания 1,5 м, высота
отведения конденсата 6 м</t>
  </si>
  <si>
    <t>4.11-3-1
Поправка:
Гл.12.Прил.8.п.8.
3_12.00.01.11.001</t>
  </si>
  <si>
    <t>Установка прибора массой до 5 кг на
металлоконструкциях или щитах Поправка:
Гл.12.Прил.8.п.8. 3_12.00.01.11.001</t>
  </si>
  <si>
    <t>270.1</t>
  </si>
  <si>
    <t>КА, п.134</t>
  </si>
  <si>
    <t>ОБОРУДОВАНИЕ: Плата PI485
PMNFP14A1.ENCXLRU
1261,51 = [11 177,09 / 1,22 /  7,57] +  3% Трансп +  1,2% Заг.скл</t>
  </si>
  <si>
    <t>4.10-176-1
Поправка:
Гл.12.Прил.8.п.8.
3_12.00.01.11.001</t>
  </si>
  <si>
    <t>Монтаж блока контроля датчиков
(контроллер) Поправка: Гл.12.Прил.8.п.8.
3_12.00.01.11.001</t>
  </si>
  <si>
    <t>Объем: 0,1
= 1/10</t>
  </si>
  <si>
    <t>КА, п.135</t>
  </si>
  <si>
    <t>ОБОРУДОВАНИЕ: "Центральный контроллер AC
Smart 5 с сенсорным дисплеем
(управление, планирование и мониторинг
до 128 внутренних блоков) PACS5A000"
41309,12 = [366 002,37 / 1,22 /  7,57] +  3% Трансп +  1,2% Заг.скл</t>
  </si>
  <si>
    <t>Итого по разделу: Кондиционирование</t>
  </si>
  <si>
    <t>Итого по локальной смете: Вентиляция и
кондиционирование воздуха</t>
  </si>
  <si>
    <t>Составил</t>
  </si>
  <si>
    <t>Гришечкина О.А.</t>
  </si>
  <si>
    <t>(должность, подпись, инициалы, фамилия)</t>
  </si>
  <si>
    <t>Проверил</t>
  </si>
  <si>
    <t>Феденко И.В.</t>
  </si>
  <si>
    <t>+</t>
  </si>
  <si>
    <t xml:space="preserve"> К МАТЕРИАЛАМ</t>
  </si>
  <si>
    <t>https://xn--d1afuo.xn--p1acf/product/surp-40-2-5-smesitelnyj-uzel/?ysclid=mrp1fqo2fo5453260</t>
  </si>
  <si>
    <t>https://tehnologica.ru/product/514?ysclid=mrp1hn49mt722507986</t>
  </si>
  <si>
    <t>https://dexmix.ru/catalog/smesitelnye-uzly-surp-sur/520/?ysclid=mrp1ip0txc69346988</t>
  </si>
  <si>
    <t>https://dexmix.ru/catalog/smesitelnye-uzly-surp-sur/521/?ysclid=mrp1joph97343109268</t>
  </si>
  <si>
    <t>https://mircli.ru/Haier-Eco-AC105S2LH1FA-1U105S1LS1FA/?ysclid=mrp20jlgwe424483290</t>
  </si>
  <si>
    <t>ЦЕНА С НДС В РУБ в текущем квартале ( проверить  даты в КП)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</si>
</sst>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_ ;[Red]\-#,##0.00_ "/>
    <numFmt numFmtId="165" formatCode="General;[Red]\-General"/>
    <numFmt numFmtId="166" formatCode="0.############################;[Red]\-0.############################"/>
  </numFmts>
  <fonts count="42" x14ac:knownFonts="1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sz val="9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i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i/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sz val="11"/>
      <name val="Arial"/>
    </font>
    <font>
      <sz val="9"/>
      <name val="Arial"/>
    </font>
    <font>
      <sz val="10"/>
      <name val="Arial"/>
    </font>
    <font>
      <b/>
      <sz val="12"/>
      <name val="Arial"/>
    </font>
    <font>
      <b/>
      <sz val="13"/>
      <name val="Arial"/>
    </font>
    <font>
      <b/>
      <sz val="14"/>
      <name val="Arial"/>
    </font>
    <font>
      <sz val="10"/>
      <name val="Arial"/>
    </font>
    <font>
      <sz val="11"/>
      <color indexed="10"/>
      <name val="Calibri"/>
    </font>
    <font>
      <sz val="11"/>
      <name val="Calibri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1"/>
      <color rgb="FFFF0000"/>
      <name val="Calibri"/>
      <family val="2"/>
      <scheme val="minor"/>
    </font>
    <font>
      <sz val="14"/>
      <color indexed="8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CC0F5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9" fontId="38" fillId="0" borderId="0" applyFont="0" applyFill="0" applyBorder="0" applyAlignment="0" applyProtection="0"/>
  </cellStyleXfs>
  <cellXfs count="156">
    <xf numFmtId="0" fontId="0" fillId="0" borderId="0" xfId="0"/>
    <xf numFmtId="164" fontId="1" fillId="2" borderId="0" xfId="0" applyNumberFormat="1" applyFont="1" applyFill="1" applyAlignment="1">
      <alignment vertical="top" wrapText="1"/>
    </xf>
    <xf numFmtId="164" fontId="2" fillId="3" borderId="0" xfId="0" applyNumberFormat="1" applyFont="1" applyFill="1" applyAlignment="1">
      <alignment horizontal="right" wrapText="1"/>
    </xf>
    <xf numFmtId="164" fontId="3" fillId="4" borderId="0" xfId="0" applyNumberFormat="1" applyFont="1" applyFill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164" fontId="6" fillId="0" borderId="0" xfId="0" applyNumberFormat="1" applyFont="1" applyAlignment="1">
      <alignment horizontal="left"/>
    </xf>
    <xf numFmtId="165" fontId="7" fillId="0" borderId="0" xfId="0" applyNumberFormat="1" applyFont="1" applyAlignment="1">
      <alignment horizontal="left" vertical="top"/>
    </xf>
    <xf numFmtId="164" fontId="8" fillId="0" borderId="0" xfId="0" applyNumberFormat="1" applyFont="1" applyAlignment="1">
      <alignment horizontal="left"/>
    </xf>
    <xf numFmtId="0" fontId="11" fillId="0" borderId="0" xfId="0" applyFont="1" applyAlignment="1">
      <alignment horizontal="left" wrapText="1"/>
    </xf>
    <xf numFmtId="164" fontId="13" fillId="0" borderId="0" xfId="0" applyNumberFormat="1" applyFont="1" applyAlignment="1">
      <alignment horizontal="left" vertical="top" wrapText="1"/>
    </xf>
    <xf numFmtId="165" fontId="15" fillId="0" borderId="0" xfId="0" applyNumberFormat="1" applyFont="1" applyAlignment="1">
      <alignment horizontal="left"/>
    </xf>
    <xf numFmtId="164" fontId="18" fillId="0" borderId="0" xfId="0" applyNumberFormat="1" applyFont="1" applyAlignment="1">
      <alignment horizontal="right" shrinkToFit="1"/>
    </xf>
    <xf numFmtId="165" fontId="19" fillId="0" borderId="0" xfId="0" applyNumberFormat="1" applyFont="1" applyAlignment="1">
      <alignment horizontal="right" shrinkToFit="1"/>
    </xf>
    <xf numFmtId="166" fontId="20" fillId="0" borderId="0" xfId="0" applyNumberFormat="1" applyFont="1" applyAlignment="1">
      <alignment horizontal="right" shrinkToFit="1"/>
    </xf>
    <xf numFmtId="38" fontId="21" fillId="0" borderId="0" xfId="0" applyNumberFormat="1" applyFont="1" applyAlignment="1">
      <alignment horizontal="right" shrinkToFit="1"/>
    </xf>
    <xf numFmtId="165" fontId="22" fillId="0" borderId="0" xfId="0" applyNumberFormat="1" applyFont="1" applyAlignment="1">
      <alignment horizontal="right" wrapText="1"/>
    </xf>
    <xf numFmtId="0" fontId="24" fillId="0" borderId="0" xfId="0" applyFont="1" applyAlignment="1">
      <alignment horizontal="right" wrapText="1"/>
    </xf>
    <xf numFmtId="0" fontId="35" fillId="0" borderId="2" xfId="0" applyFont="1" applyBorder="1" applyAlignment="1">
      <alignment horizontal="center" vertical="center" wrapText="1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4" fontId="6" fillId="0" borderId="3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4" fontId="6" fillId="0" borderId="3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4" fontId="6" fillId="0" borderId="3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4" fontId="6" fillId="0" borderId="3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4" fontId="6" fillId="0" borderId="3" xfId="0" applyNumberFormat="1" applyFont="1" applyBorder="1" applyAlignment="1">
      <alignment horizontal="left"/>
    </xf>
    <xf numFmtId="0" fontId="5" fillId="0" borderId="3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165" fontId="7" fillId="5" borderId="0" xfId="0" applyNumberFormat="1" applyFont="1" applyFill="1" applyAlignment="1">
      <alignment horizontal="left" vertical="top"/>
    </xf>
    <xf numFmtId="0" fontId="5" fillId="5" borderId="0" xfId="0" applyFont="1" applyFill="1" applyAlignment="1">
      <alignment horizontal="left" vertical="top" wrapText="1"/>
    </xf>
    <xf numFmtId="164" fontId="3" fillId="5" borderId="0" xfId="0" applyNumberFormat="1" applyFont="1" applyFill="1" applyAlignment="1">
      <alignment horizontal="left" vertical="top" wrapText="1"/>
    </xf>
    <xf numFmtId="0" fontId="24" fillId="5" borderId="0" xfId="0" applyFont="1" applyFill="1" applyAlignment="1">
      <alignment horizontal="right" wrapText="1"/>
    </xf>
    <xf numFmtId="38" fontId="21" fillId="5" borderId="0" xfId="0" applyNumberFormat="1" applyFont="1" applyFill="1" applyAlignment="1">
      <alignment horizontal="right" shrinkToFit="1"/>
    </xf>
    <xf numFmtId="164" fontId="18" fillId="5" borderId="0" xfId="0" applyNumberFormat="1" applyFont="1" applyFill="1" applyAlignment="1">
      <alignment horizontal="right" shrinkToFit="1"/>
    </xf>
    <xf numFmtId="0" fontId="0" fillId="5" borderId="0" xfId="0" applyFill="1"/>
    <xf numFmtId="166" fontId="20" fillId="5" borderId="0" xfId="0" applyNumberFormat="1" applyFont="1" applyFill="1" applyAlignment="1">
      <alignment horizontal="right" shrinkToFit="1"/>
    </xf>
    <xf numFmtId="0" fontId="11" fillId="5" borderId="0" xfId="0" applyFont="1" applyFill="1" applyAlignment="1">
      <alignment horizontal="left" wrapText="1"/>
    </xf>
    <xf numFmtId="165" fontId="7" fillId="6" borderId="0" xfId="0" applyNumberFormat="1" applyFont="1" applyFill="1" applyAlignment="1">
      <alignment horizontal="left" vertical="top"/>
    </xf>
    <xf numFmtId="0" fontId="5" fillId="6" borderId="0" xfId="0" applyFont="1" applyFill="1" applyAlignment="1">
      <alignment horizontal="left" vertical="top" wrapText="1"/>
    </xf>
    <xf numFmtId="0" fontId="11" fillId="6" borderId="0" xfId="0" applyFont="1" applyFill="1" applyAlignment="1">
      <alignment horizontal="left" wrapText="1"/>
    </xf>
    <xf numFmtId="0" fontId="24" fillId="6" borderId="0" xfId="0" applyFont="1" applyFill="1" applyAlignment="1">
      <alignment horizontal="right" wrapText="1"/>
    </xf>
    <xf numFmtId="38" fontId="21" fillId="6" borderId="0" xfId="0" applyNumberFormat="1" applyFont="1" applyFill="1" applyAlignment="1">
      <alignment horizontal="right" shrinkToFit="1"/>
    </xf>
    <xf numFmtId="164" fontId="18" fillId="6" borderId="0" xfId="0" applyNumberFormat="1" applyFont="1" applyFill="1" applyAlignment="1">
      <alignment horizontal="right" shrinkToFit="1"/>
    </xf>
    <xf numFmtId="0" fontId="0" fillId="6" borderId="0" xfId="0" applyFill="1"/>
    <xf numFmtId="166" fontId="20" fillId="6" borderId="0" xfId="0" applyNumberFormat="1" applyFont="1" applyFill="1" applyAlignment="1">
      <alignment horizontal="right" shrinkToFit="1"/>
    </xf>
    <xf numFmtId="165" fontId="31" fillId="5" borderId="0" xfId="0" applyNumberFormat="1" applyFont="1" applyFill="1" applyAlignment="1">
      <alignment horizontal="center" wrapText="1"/>
    </xf>
    <xf numFmtId="164" fontId="27" fillId="5" borderId="0" xfId="0" applyNumberFormat="1" applyFont="1" applyFill="1" applyAlignment="1">
      <alignment horizontal="right" shrinkToFit="1"/>
    </xf>
    <xf numFmtId="165" fontId="17" fillId="5" borderId="0" xfId="0" applyNumberFormat="1" applyFont="1" applyFill="1" applyAlignment="1">
      <alignment horizontal="left"/>
    </xf>
    <xf numFmtId="164" fontId="25" fillId="5" borderId="0" xfId="0" applyNumberFormat="1" applyFont="1" applyFill="1" applyAlignment="1">
      <alignment horizontal="right" shrinkToFit="1"/>
    </xf>
    <xf numFmtId="165" fontId="9" fillId="5" borderId="0" xfId="0" applyNumberFormat="1" applyFont="1" applyFill="1" applyAlignment="1">
      <alignment horizontal="left"/>
    </xf>
    <xf numFmtId="165" fontId="26" fillId="5" borderId="0" xfId="0" applyNumberFormat="1" applyFont="1" applyFill="1" applyAlignment="1">
      <alignment horizontal="right" shrinkToFit="1"/>
    </xf>
    <xf numFmtId="164" fontId="0" fillId="0" borderId="0" xfId="0" applyNumberFormat="1"/>
    <xf numFmtId="38" fontId="21" fillId="7" borderId="0" xfId="0" applyNumberFormat="1" applyFont="1" applyFill="1" applyAlignment="1">
      <alignment horizontal="right" shrinkToFit="1"/>
    </xf>
    <xf numFmtId="0" fontId="39" fillId="5" borderId="0" xfId="0" applyFont="1" applyFill="1" applyAlignment="1">
      <alignment horizontal="left" wrapText="1"/>
    </xf>
    <xf numFmtId="3" fontId="40" fillId="0" borderId="0" xfId="0" applyNumberFormat="1" applyFont="1"/>
    <xf numFmtId="0" fontId="5" fillId="8" borderId="0" xfId="0" applyFont="1" applyFill="1" applyAlignment="1">
      <alignment horizontal="left" vertical="top" wrapText="1"/>
    </xf>
    <xf numFmtId="0" fontId="39" fillId="8" borderId="0" xfId="0" applyFont="1" applyFill="1" applyAlignment="1">
      <alignment horizontal="left" wrapText="1"/>
    </xf>
    <xf numFmtId="0" fontId="24" fillId="8" borderId="0" xfId="0" applyFont="1" applyFill="1" applyAlignment="1">
      <alignment horizontal="right" wrapText="1"/>
    </xf>
    <xf numFmtId="38" fontId="21" fillId="8" borderId="0" xfId="0" applyNumberFormat="1" applyFont="1" applyFill="1" applyAlignment="1">
      <alignment horizontal="right" shrinkToFit="1"/>
    </xf>
    <xf numFmtId="164" fontId="18" fillId="8" borderId="0" xfId="0" applyNumberFormat="1" applyFont="1" applyFill="1" applyAlignment="1">
      <alignment horizontal="right" shrinkToFit="1"/>
    </xf>
    <xf numFmtId="0" fontId="0" fillId="8" borderId="0" xfId="0" applyFill="1"/>
    <xf numFmtId="166" fontId="20" fillId="8" borderId="0" xfId="0" applyNumberFormat="1" applyFont="1" applyFill="1" applyAlignment="1">
      <alignment horizontal="right" shrinkToFit="1"/>
    </xf>
    <xf numFmtId="0" fontId="40" fillId="0" borderId="0" xfId="0" applyFont="1"/>
    <xf numFmtId="4" fontId="40" fillId="0" borderId="0" xfId="0" applyNumberFormat="1" applyFont="1"/>
    <xf numFmtId="4" fontId="41" fillId="0" borderId="0" xfId="0" applyNumberFormat="1" applyFont="1" applyAlignment="1">
      <alignment vertical="center"/>
    </xf>
    <xf numFmtId="9" fontId="0" fillId="0" borderId="0" xfId="1" applyFont="1"/>
    <xf numFmtId="164" fontId="39" fillId="5" borderId="0" xfId="0" applyNumberFormat="1" applyFont="1" applyFill="1" applyAlignment="1">
      <alignment horizontal="left" vertical="top" wrapText="1"/>
    </xf>
    <xf numFmtId="0" fontId="37" fillId="0" borderId="0" xfId="0" applyFont="1" applyAlignment="1">
      <alignment horizontal="left" vertical="top" wrapText="1"/>
    </xf>
    <xf numFmtId="0" fontId="0" fillId="0" borderId="0" xfId="0"/>
    <xf numFmtId="0" fontId="36" fillId="0" borderId="0" xfId="0" applyFont="1" applyAlignment="1">
      <alignment horizontal="left" vertical="top" wrapText="1"/>
    </xf>
    <xf numFmtId="0" fontId="4" fillId="0" borderId="0" xfId="0" applyFont="1"/>
    <xf numFmtId="0" fontId="11" fillId="0" borderId="0" xfId="0" applyFont="1" applyAlignment="1">
      <alignment horizontal="left" wrapText="1"/>
    </xf>
    <xf numFmtId="164" fontId="6" fillId="0" borderId="0" xfId="0" applyNumberFormat="1" applyFont="1" applyAlignment="1">
      <alignment horizontal="left"/>
    </xf>
    <xf numFmtId="0" fontId="32" fillId="5" borderId="3" xfId="0" applyFont="1" applyFill="1" applyBorder="1" applyAlignment="1">
      <alignment horizontal="center" wrapText="1"/>
    </xf>
    <xf numFmtId="165" fontId="30" fillId="5" borderId="0" xfId="0" applyNumberFormat="1" applyFont="1" applyFill="1" applyAlignment="1">
      <alignment horizontal="center"/>
    </xf>
    <xf numFmtId="0" fontId="0" fillId="5" borderId="0" xfId="0" applyFill="1"/>
    <xf numFmtId="0" fontId="34" fillId="5" borderId="3" xfId="0" applyFont="1" applyFill="1" applyBorder="1" applyAlignment="1">
      <alignment horizontal="center" wrapText="1"/>
    </xf>
    <xf numFmtId="0" fontId="12" fillId="5" borderId="3" xfId="0" applyFont="1" applyFill="1" applyBorder="1" applyAlignment="1">
      <alignment horizontal="left" wrapText="1"/>
    </xf>
    <xf numFmtId="165" fontId="17" fillId="5" borderId="0" xfId="0" applyNumberFormat="1" applyFont="1" applyFill="1" applyAlignment="1">
      <alignment horizontal="left"/>
    </xf>
    <xf numFmtId="165" fontId="9" fillId="5" borderId="0" xfId="0" applyNumberFormat="1" applyFont="1" applyFill="1" applyAlignment="1">
      <alignment horizontal="left"/>
    </xf>
    <xf numFmtId="165" fontId="10" fillId="5" borderId="0" xfId="0" applyNumberFormat="1" applyFont="1" applyFill="1" applyAlignment="1">
      <alignment horizontal="left" wrapText="1"/>
    </xf>
    <xf numFmtId="0" fontId="12" fillId="5" borderId="0" xfId="0" applyFont="1" applyFill="1" applyAlignment="1">
      <alignment horizontal="left" wrapText="1"/>
    </xf>
    <xf numFmtId="0" fontId="33" fillId="0" borderId="0" xfId="0" applyFont="1" applyAlignment="1">
      <alignment horizontal="center" wrapText="1"/>
    </xf>
    <xf numFmtId="0" fontId="14" fillId="0" borderId="0" xfId="0" applyFont="1" applyAlignment="1">
      <alignment horizontal="left" wrapText="1"/>
    </xf>
    <xf numFmtId="164" fontId="28" fillId="0" borderId="1" xfId="0" applyNumberFormat="1" applyFont="1" applyBorder="1" applyAlignment="1">
      <alignment horizontal="right" vertical="top" shrinkToFit="1"/>
    </xf>
    <xf numFmtId="165" fontId="15" fillId="0" borderId="1" xfId="0" applyNumberFormat="1" applyFont="1" applyBorder="1" applyAlignment="1">
      <alignment horizontal="left"/>
    </xf>
    <xf numFmtId="164" fontId="23" fillId="0" borderId="0" xfId="0" applyNumberFormat="1" applyFont="1" applyAlignment="1">
      <alignment horizontal="right" shrinkToFit="1"/>
    </xf>
    <xf numFmtId="0" fontId="16" fillId="0" borderId="0" xfId="0" applyFont="1" applyAlignment="1">
      <alignment horizontal="left" wrapText="1"/>
    </xf>
    <xf numFmtId="165" fontId="29" fillId="0" borderId="0" xfId="0" applyNumberFormat="1" applyFont="1" applyAlignment="1">
      <alignment horizontal="center"/>
    </xf>
    <xf numFmtId="165" fontId="31" fillId="0" borderId="3" xfId="0" applyNumberFormat="1" applyFont="1" applyBorder="1" applyAlignment="1">
      <alignment horizontal="center" wrapText="1"/>
    </xf>
    <xf numFmtId="165" fontId="30" fillId="0" borderId="0" xfId="0" applyNumberFormat="1" applyFont="1" applyAlignment="1">
      <alignment horizontal="center"/>
    </xf>
  </cellXfs>
  <cellStyles count="2">
    <cellStyle name="Обычный" xfId="0" builtinId="0"/>
    <cellStyle name="Процентный" xfId="1" builtinId="5"/>
  </cellStyles>
  <dxfs count="1">
    <dxf>
      <fill>
        <patternFill patternType="solid">
          <fgColor rgb="FFC6E0B4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2:S1628"/>
  <sheetViews>
    <sheetView tabSelected="1" zoomScale="80" zoomScaleNormal="80" workbookViewId="0">
      <selection activeCell="L33" sqref="L33"/>
    </sheetView>
  </sheetViews>
  <sheetFormatPr defaultRowHeight="15" x14ac:dyDescent="0.25"/>
  <cols>
    <col min="1" max="1" width="7.5703125" customWidth="1"/>
    <col min="2" max="2" width="9.28515625" customWidth="1"/>
    <col min="3" max="3" width="20.5703125" customWidth="1"/>
    <col min="4" max="4" width="7.140625" customWidth="1"/>
    <col min="5" max="6" width="12.28515625" customWidth="1"/>
    <col min="7" max="7" width="8.28515625" customWidth="1"/>
    <col min="8" max="11" width="14.42578125" customWidth="1"/>
    <col min="12" max="12" width="10.85546875" bestFit="1" customWidth="1"/>
    <col min="15" max="15" width="14.42578125" customWidth="1"/>
  </cols>
  <sheetData>
    <row r="2" spans="1:11" x14ac:dyDescent="0.25">
      <c r="B2" s="1"/>
      <c r="C2" t="s">
        <v>0</v>
      </c>
    </row>
    <row r="3" spans="1:11" hidden="1" x14ac:dyDescent="0.25"/>
    <row r="4" spans="1:11" hidden="1" x14ac:dyDescent="0.25">
      <c r="B4" s="3"/>
      <c r="C4" t="s">
        <v>1</v>
      </c>
    </row>
    <row r="5" spans="1:11" hidden="1" x14ac:dyDescent="0.25"/>
    <row r="6" spans="1:11" hidden="1" x14ac:dyDescent="0.25">
      <c r="B6" s="2"/>
      <c r="C6" t="s">
        <v>2</v>
      </c>
    </row>
    <row r="7" spans="1:11" hidden="1" x14ac:dyDescent="0.25"/>
    <row r="8" spans="1:11" ht="30" hidden="1" customHeight="1" x14ac:dyDescent="0.25">
      <c r="B8" s="134" t="s">
        <v>3</v>
      </c>
      <c r="C8" s="133"/>
      <c r="D8" s="133"/>
      <c r="E8" s="133"/>
      <c r="F8" s="132" t="s">
        <v>4</v>
      </c>
      <c r="G8" s="133"/>
      <c r="H8" s="133"/>
      <c r="I8" s="133"/>
    </row>
    <row r="9" spans="1:11" hidden="1" x14ac:dyDescent="0.25"/>
    <row r="10" spans="1:11" hidden="1" x14ac:dyDescent="0.25">
      <c r="A10" s="135" t="s">
        <v>5</v>
      </c>
      <c r="B10" s="133"/>
      <c r="C10" s="133"/>
      <c r="D10" s="133"/>
      <c r="E10" s="133"/>
      <c r="F10" s="133"/>
      <c r="G10" s="133"/>
      <c r="H10" s="133"/>
      <c r="I10" s="133"/>
      <c r="J10" s="133"/>
      <c r="K10" s="133"/>
    </row>
    <row r="11" spans="1:11" ht="29.1" hidden="1" customHeight="1" x14ac:dyDescent="0.25">
      <c r="A11" s="136" t="s">
        <v>6</v>
      </c>
      <c r="B11" s="133"/>
      <c r="C11" s="133"/>
      <c r="D11" s="133"/>
      <c r="E11" s="133"/>
      <c r="F11" s="133"/>
      <c r="G11" s="133"/>
      <c r="H11" s="133"/>
      <c r="I11" s="133"/>
      <c r="J11" s="133"/>
      <c r="K11" s="133"/>
    </row>
    <row r="12" spans="1:11" hidden="1" x14ac:dyDescent="0.25">
      <c r="J12" s="137" t="s">
        <v>7</v>
      </c>
      <c r="K12" s="133"/>
    </row>
    <row r="13" spans="1:11" ht="63.95" customHeight="1" x14ac:dyDescent="0.25">
      <c r="A13" s="138" t="s">
        <v>8</v>
      </c>
      <c r="B13" s="138"/>
      <c r="C13" s="138"/>
      <c r="D13" s="138"/>
      <c r="E13" s="138"/>
      <c r="F13" s="138"/>
      <c r="G13" s="138"/>
      <c r="H13" s="138"/>
      <c r="I13" s="138"/>
      <c r="J13" s="138"/>
      <c r="K13" s="138"/>
    </row>
    <row r="14" spans="1:11" x14ac:dyDescent="0.25">
      <c r="A14" s="139" t="s">
        <v>9</v>
      </c>
      <c r="B14" s="140"/>
      <c r="C14" s="140"/>
      <c r="D14" s="140"/>
      <c r="E14" s="140"/>
      <c r="F14" s="140"/>
      <c r="G14" s="140"/>
      <c r="H14" s="140"/>
      <c r="I14" s="140"/>
      <c r="J14" s="140"/>
      <c r="K14" s="140"/>
    </row>
    <row r="15" spans="1:11" x14ac:dyDescent="0.25">
      <c r="A15" s="99"/>
      <c r="B15" s="99"/>
      <c r="C15" s="99"/>
      <c r="D15" s="99"/>
      <c r="E15" s="99"/>
      <c r="F15" s="99"/>
      <c r="G15" s="99"/>
      <c r="H15" s="99"/>
      <c r="I15" s="99"/>
      <c r="J15" s="99"/>
      <c r="K15" s="99"/>
    </row>
    <row r="16" spans="1:11" ht="15.95" customHeight="1" x14ac:dyDescent="0.25">
      <c r="A16" s="138" t="s">
        <v>10</v>
      </c>
      <c r="B16" s="138"/>
      <c r="C16" s="138"/>
      <c r="D16" s="138"/>
      <c r="E16" s="138"/>
      <c r="F16" s="138"/>
      <c r="G16" s="138"/>
      <c r="H16" s="138"/>
      <c r="I16" s="138"/>
      <c r="J16" s="138"/>
      <c r="K16" s="138"/>
    </row>
    <row r="17" spans="1:17" x14ac:dyDescent="0.25">
      <c r="A17" s="99"/>
      <c r="B17" s="99"/>
      <c r="C17" s="99"/>
      <c r="D17" s="99"/>
      <c r="E17" s="99"/>
      <c r="F17" s="99"/>
      <c r="G17" s="99"/>
      <c r="H17" s="99"/>
      <c r="I17" s="99"/>
      <c r="J17" s="99"/>
      <c r="K17" s="99"/>
    </row>
    <row r="18" spans="1:17" ht="15.95" customHeight="1" x14ac:dyDescent="0.25">
      <c r="A18" s="141" t="s">
        <v>11</v>
      </c>
      <c r="B18" s="141"/>
      <c r="C18" s="141"/>
      <c r="D18" s="141"/>
      <c r="E18" s="141"/>
      <c r="F18" s="141"/>
      <c r="G18" s="141"/>
      <c r="H18" s="141"/>
      <c r="I18" s="141"/>
      <c r="J18" s="141"/>
      <c r="K18" s="141"/>
    </row>
    <row r="19" spans="1:17" x14ac:dyDescent="0.25">
      <c r="A19" s="139" t="s">
        <v>12</v>
      </c>
      <c r="B19" s="140"/>
      <c r="C19" s="140"/>
      <c r="D19" s="140"/>
      <c r="E19" s="140"/>
      <c r="F19" s="140"/>
      <c r="G19" s="140"/>
      <c r="H19" s="140"/>
      <c r="I19" s="140"/>
      <c r="J19" s="140"/>
      <c r="K19" s="140"/>
    </row>
    <row r="20" spans="1:17" x14ac:dyDescent="0.25">
      <c r="A20" s="99"/>
      <c r="B20" s="99"/>
      <c r="C20" s="99"/>
      <c r="D20" s="99"/>
      <c r="E20" s="99"/>
      <c r="F20" s="99"/>
      <c r="G20" s="99"/>
      <c r="H20" s="99"/>
      <c r="I20" s="99"/>
      <c r="J20" s="99"/>
      <c r="K20" s="99"/>
    </row>
    <row r="21" spans="1:17" ht="15.95" customHeight="1" x14ac:dyDescent="0.25">
      <c r="A21" s="142" t="s">
        <v>13</v>
      </c>
      <c r="B21" s="142"/>
      <c r="C21" s="142"/>
      <c r="D21" s="142"/>
      <c r="E21" s="142"/>
      <c r="F21" s="142"/>
      <c r="G21" s="142"/>
      <c r="H21" s="142"/>
      <c r="I21" s="142"/>
      <c r="J21" s="142"/>
      <c r="K21" s="142"/>
    </row>
    <row r="22" spans="1:17" x14ac:dyDescent="0.25">
      <c r="A22" s="99"/>
      <c r="B22" s="99"/>
      <c r="C22" s="99"/>
      <c r="D22" s="99"/>
      <c r="E22" s="99"/>
      <c r="F22" s="99"/>
      <c r="G22" s="99"/>
      <c r="H22" s="99"/>
      <c r="I22" s="99"/>
      <c r="J22" s="99"/>
      <c r="K22" s="99"/>
    </row>
    <row r="23" spans="1:17" ht="39" x14ac:dyDescent="0.25">
      <c r="A23" s="99"/>
      <c r="B23" s="99"/>
      <c r="C23" s="99"/>
      <c r="D23" s="99"/>
      <c r="E23" s="99"/>
      <c r="F23" s="99"/>
      <c r="G23" s="99"/>
      <c r="H23" s="99"/>
      <c r="I23" s="110" t="s">
        <v>14</v>
      </c>
      <c r="J23" s="110" t="s">
        <v>15</v>
      </c>
      <c r="K23" s="99"/>
    </row>
    <row r="24" spans="1:17" x14ac:dyDescent="0.25">
      <c r="A24" s="99"/>
      <c r="B24" s="99"/>
      <c r="C24" s="99"/>
      <c r="D24" s="99"/>
      <c r="E24" s="143" t="s">
        <v>16</v>
      </c>
      <c r="F24" s="140"/>
      <c r="G24" s="140"/>
      <c r="H24" s="140"/>
      <c r="I24" s="111">
        <v>5965.8</v>
      </c>
      <c r="J24" s="111">
        <v>54679.43</v>
      </c>
      <c r="K24" s="112" t="s">
        <v>17</v>
      </c>
    </row>
    <row r="25" spans="1:17" x14ac:dyDescent="0.25">
      <c r="A25" s="99"/>
      <c r="B25" s="99"/>
      <c r="C25" s="99"/>
      <c r="D25" s="99"/>
      <c r="E25" s="144" t="s">
        <v>18</v>
      </c>
      <c r="F25" s="140"/>
      <c r="G25" s="140"/>
      <c r="H25" s="140"/>
      <c r="I25" s="113">
        <v>1985.27</v>
      </c>
      <c r="J25" s="113">
        <v>24368.16</v>
      </c>
      <c r="K25" s="114" t="s">
        <v>17</v>
      </c>
    </row>
    <row r="26" spans="1:17" ht="29.1" customHeight="1" x14ac:dyDescent="0.25">
      <c r="A26" s="99"/>
      <c r="B26" s="99"/>
      <c r="C26" s="99"/>
      <c r="D26" s="99"/>
      <c r="E26" s="145" t="s">
        <v>19</v>
      </c>
      <c r="F26" s="140"/>
      <c r="G26" s="140"/>
      <c r="H26" s="140"/>
      <c r="I26" s="113">
        <v>0.44</v>
      </c>
      <c r="J26" s="113">
        <v>23.73</v>
      </c>
      <c r="K26" s="114" t="s">
        <v>17</v>
      </c>
    </row>
    <row r="27" spans="1:17" ht="18.75" x14ac:dyDescent="0.25">
      <c r="A27" s="99"/>
      <c r="B27" s="99"/>
      <c r="C27" s="99"/>
      <c r="D27" s="99"/>
      <c r="E27" s="144" t="s">
        <v>20</v>
      </c>
      <c r="F27" s="140"/>
      <c r="G27" s="140"/>
      <c r="H27" s="140"/>
      <c r="I27" s="113">
        <v>3980.09</v>
      </c>
      <c r="J27" s="113">
        <v>30287.54</v>
      </c>
      <c r="K27" s="114" t="s">
        <v>17</v>
      </c>
      <c r="O27" s="129"/>
      <c r="Q27" s="130"/>
    </row>
    <row r="28" spans="1:17" x14ac:dyDescent="0.25">
      <c r="A28" s="99"/>
      <c r="B28" s="99"/>
      <c r="C28" s="99"/>
      <c r="D28" s="99"/>
      <c r="E28" s="144" t="s">
        <v>21</v>
      </c>
      <c r="F28" s="140"/>
      <c r="G28" s="140"/>
      <c r="H28" s="140"/>
      <c r="I28" s="113">
        <v>0</v>
      </c>
      <c r="J28" s="113">
        <v>0</v>
      </c>
      <c r="K28" s="114" t="s">
        <v>17</v>
      </c>
    </row>
    <row r="29" spans="1:17" x14ac:dyDescent="0.25">
      <c r="A29" s="99"/>
      <c r="B29" s="99"/>
      <c r="C29" s="99"/>
      <c r="D29" s="99"/>
      <c r="E29" s="144" t="s">
        <v>22</v>
      </c>
      <c r="F29" s="140"/>
      <c r="G29" s="140"/>
      <c r="H29" s="140"/>
      <c r="I29" s="113">
        <v>94.59</v>
      </c>
      <c r="J29" s="113">
        <v>5330.07</v>
      </c>
      <c r="K29" s="114" t="s">
        <v>17</v>
      </c>
    </row>
    <row r="30" spans="1:17" x14ac:dyDescent="0.25">
      <c r="A30" s="99"/>
      <c r="B30" s="99"/>
      <c r="C30" s="99"/>
      <c r="D30" s="99"/>
      <c r="E30" s="144" t="s">
        <v>23</v>
      </c>
      <c r="F30" s="140"/>
      <c r="G30" s="140"/>
      <c r="H30" s="140"/>
      <c r="I30" s="115">
        <v>7684.5827036339997</v>
      </c>
      <c r="J30" s="99"/>
      <c r="K30" s="114" t="s">
        <v>24</v>
      </c>
    </row>
    <row r="31" spans="1:17" x14ac:dyDescent="0.25">
      <c r="A31" s="99"/>
      <c r="B31" s="99"/>
      <c r="C31" s="99"/>
      <c r="D31" s="99"/>
      <c r="E31" s="99"/>
      <c r="F31" s="99"/>
      <c r="G31" s="99"/>
      <c r="H31" s="99"/>
      <c r="I31" s="99"/>
      <c r="J31" s="99"/>
      <c r="K31" s="99"/>
    </row>
    <row r="32" spans="1:17" ht="29.1" customHeight="1" x14ac:dyDescent="0.25">
      <c r="A32" s="146" t="s">
        <v>25</v>
      </c>
      <c r="B32" s="140"/>
      <c r="C32" s="140"/>
      <c r="D32" s="140"/>
      <c r="E32" s="140"/>
      <c r="F32" s="140"/>
      <c r="G32" s="140"/>
      <c r="H32" s="140"/>
      <c r="I32" s="140"/>
      <c r="J32" s="140"/>
      <c r="K32" s="140"/>
    </row>
    <row r="33" spans="1:12" ht="54.95" customHeight="1" x14ac:dyDescent="0.25">
      <c r="A33" s="146" t="s">
        <v>26</v>
      </c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27" t="s">
        <v>792</v>
      </c>
    </row>
    <row r="34" spans="1:12" ht="89.25" hidden="1" x14ac:dyDescent="0.25">
      <c r="A34" s="17" t="s">
        <v>27</v>
      </c>
      <c r="B34" s="17" t="s">
        <v>28</v>
      </c>
      <c r="C34" s="17" t="s">
        <v>29</v>
      </c>
      <c r="D34" s="17" t="s">
        <v>30</v>
      </c>
      <c r="E34" s="17" t="s">
        <v>31</v>
      </c>
      <c r="F34" s="17" t="s">
        <v>32</v>
      </c>
      <c r="G34" s="17" t="s">
        <v>33</v>
      </c>
      <c r="H34" s="17" t="s">
        <v>34</v>
      </c>
      <c r="I34" s="17" t="s">
        <v>35</v>
      </c>
      <c r="J34" s="17" t="s">
        <v>36</v>
      </c>
      <c r="K34" s="17" t="s">
        <v>37</v>
      </c>
    </row>
    <row r="35" spans="1:12" hidden="1" x14ac:dyDescent="0.25">
      <c r="A35" s="17">
        <v>1</v>
      </c>
      <c r="B35" s="17">
        <v>2</v>
      </c>
      <c r="C35" s="17">
        <v>3</v>
      </c>
      <c r="D35" s="17">
        <v>4</v>
      </c>
      <c r="E35" s="17">
        <v>5</v>
      </c>
      <c r="F35" s="17">
        <v>6</v>
      </c>
      <c r="G35" s="17">
        <v>7</v>
      </c>
      <c r="H35" s="17">
        <v>8</v>
      </c>
      <c r="I35" s="17">
        <v>9</v>
      </c>
      <c r="J35" s="17">
        <v>10</v>
      </c>
      <c r="K35" s="17">
        <v>11</v>
      </c>
    </row>
    <row r="36" spans="1:12" hidden="1" x14ac:dyDescent="0.25"/>
    <row r="37" spans="1:12" ht="17.100000000000001" hidden="1" customHeight="1" x14ac:dyDescent="0.25">
      <c r="A37" s="147" t="s">
        <v>38</v>
      </c>
      <c r="B37" s="133"/>
      <c r="C37" s="133"/>
      <c r="D37" s="133"/>
      <c r="E37" s="133"/>
      <c r="F37" s="133"/>
      <c r="G37" s="133"/>
      <c r="H37" s="133"/>
      <c r="I37" s="133"/>
      <c r="J37" s="133"/>
      <c r="K37" s="133"/>
    </row>
    <row r="38" spans="1:12" hidden="1" x14ac:dyDescent="0.25"/>
    <row r="39" spans="1:12" ht="15.95" hidden="1" customHeight="1" x14ac:dyDescent="0.25">
      <c r="A39" s="148" t="s">
        <v>39</v>
      </c>
      <c r="B39" s="133"/>
      <c r="C39" s="133"/>
      <c r="D39" s="133"/>
      <c r="E39" s="133"/>
      <c r="F39" s="133"/>
      <c r="G39" s="133"/>
      <c r="H39" s="133"/>
      <c r="I39" s="133"/>
      <c r="J39" s="133"/>
      <c r="K39" s="133"/>
    </row>
    <row r="40" spans="1:12" hidden="1" x14ac:dyDescent="0.25"/>
    <row r="41" spans="1:12" ht="178.5" hidden="1" x14ac:dyDescent="0.25">
      <c r="A41" s="6">
        <v>1</v>
      </c>
      <c r="B41" s="4" t="s">
        <v>40</v>
      </c>
      <c r="C41" s="8" t="s">
        <v>41</v>
      </c>
      <c r="D41" s="16" t="s">
        <v>42</v>
      </c>
      <c r="E41" s="14">
        <v>16</v>
      </c>
    </row>
    <row r="42" spans="1:12" ht="26.25" hidden="1" x14ac:dyDescent="0.25">
      <c r="C42" s="5" t="s">
        <v>43</v>
      </c>
      <c r="F42" s="11">
        <v>482.4</v>
      </c>
      <c r="G42" s="15" t="s">
        <v>44</v>
      </c>
      <c r="H42" s="13">
        <v>1.0669999999999999</v>
      </c>
      <c r="I42" s="11">
        <v>11933.29</v>
      </c>
      <c r="J42" s="13">
        <v>56.35</v>
      </c>
      <c r="K42" s="11">
        <v>672440.89</v>
      </c>
    </row>
    <row r="43" spans="1:12" ht="26.25" hidden="1" x14ac:dyDescent="0.25">
      <c r="C43" s="7" t="s">
        <v>45</v>
      </c>
      <c r="F43" s="11">
        <v>71.069999999999993</v>
      </c>
      <c r="G43" s="15" t="s">
        <v>46</v>
      </c>
      <c r="H43" s="13">
        <v>1.0669999999999999</v>
      </c>
      <c r="I43" s="11">
        <v>1910.96</v>
      </c>
      <c r="J43" s="13">
        <v>15.22</v>
      </c>
      <c r="K43" s="11">
        <v>29084.81</v>
      </c>
    </row>
    <row r="44" spans="1:12" ht="26.25" hidden="1" x14ac:dyDescent="0.25">
      <c r="C44" s="7" t="s">
        <v>47</v>
      </c>
      <c r="F44" s="11">
        <v>7.17</v>
      </c>
      <c r="G44" s="15" t="s">
        <v>46</v>
      </c>
      <c r="H44" s="13">
        <v>1.0669999999999999</v>
      </c>
      <c r="I44" s="11">
        <v>192.79</v>
      </c>
      <c r="J44" s="13">
        <v>56.35</v>
      </c>
      <c r="K44" s="11">
        <v>10863.72</v>
      </c>
    </row>
    <row r="45" spans="1:12" hidden="1" x14ac:dyDescent="0.25">
      <c r="C45" s="7" t="s">
        <v>48</v>
      </c>
      <c r="F45" s="11">
        <v>223.41</v>
      </c>
      <c r="G45" s="15" t="s">
        <v>49</v>
      </c>
      <c r="H45" s="14" t="s">
        <v>50</v>
      </c>
      <c r="I45" s="11">
        <v>3574.56</v>
      </c>
      <c r="J45" s="13">
        <v>9.16</v>
      </c>
      <c r="K45" s="11">
        <v>32742.97</v>
      </c>
    </row>
    <row r="46" spans="1:12" hidden="1" x14ac:dyDescent="0.25">
      <c r="C46" s="7" t="s">
        <v>51</v>
      </c>
      <c r="D46" s="11" t="s">
        <v>52</v>
      </c>
      <c r="E46" s="14">
        <v>109</v>
      </c>
      <c r="I46" s="11">
        <v>13217.43</v>
      </c>
      <c r="J46" s="14">
        <v>109</v>
      </c>
      <c r="K46" s="11">
        <v>744802.02</v>
      </c>
    </row>
    <row r="47" spans="1:12" hidden="1" x14ac:dyDescent="0.25">
      <c r="C47" s="7" t="s">
        <v>53</v>
      </c>
      <c r="D47" s="11" t="s">
        <v>52</v>
      </c>
      <c r="E47" s="14">
        <v>61</v>
      </c>
      <c r="I47" s="11">
        <v>7396.91</v>
      </c>
      <c r="J47" s="14">
        <v>61</v>
      </c>
      <c r="K47" s="11">
        <v>416815.81</v>
      </c>
    </row>
    <row r="48" spans="1:12" ht="26.25" hidden="1" x14ac:dyDescent="0.25">
      <c r="C48" s="7" t="s">
        <v>54</v>
      </c>
      <c r="D48" s="11" t="s">
        <v>55</v>
      </c>
      <c r="E48" s="13">
        <v>40.1</v>
      </c>
      <c r="G48" s="15" t="s">
        <v>44</v>
      </c>
      <c r="H48" s="13">
        <v>1.0669999999999999</v>
      </c>
      <c r="I48" s="12">
        <v>991.96685279999997</v>
      </c>
    </row>
    <row r="49" spans="1:15" hidden="1" x14ac:dyDescent="0.25">
      <c r="A49" s="18"/>
      <c r="B49" s="18"/>
      <c r="C49" s="18" t="s">
        <v>56</v>
      </c>
      <c r="D49" s="18"/>
      <c r="E49" s="18"/>
      <c r="F49" s="18"/>
      <c r="G49" s="18"/>
      <c r="H49" s="149">
        <v>38033.15</v>
      </c>
      <c r="I49" s="150"/>
      <c r="J49" s="149">
        <v>1895886.5</v>
      </c>
      <c r="K49" s="150"/>
    </row>
    <row r="50" spans="1:15" hidden="1" x14ac:dyDescent="0.25">
      <c r="C50" s="10" t="s">
        <v>57</v>
      </c>
      <c r="H50" s="151">
        <v>0</v>
      </c>
      <c r="I50" s="133"/>
      <c r="J50" s="151">
        <v>0</v>
      </c>
      <c r="K50" s="133"/>
    </row>
    <row r="51" spans="1:15" hidden="1" x14ac:dyDescent="0.25">
      <c r="C51" s="10" t="s">
        <v>58</v>
      </c>
      <c r="H51" s="151">
        <v>38033.15</v>
      </c>
      <c r="I51" s="133"/>
      <c r="J51" s="151">
        <v>1895886.5</v>
      </c>
      <c r="K51" s="133"/>
    </row>
    <row r="52" spans="1:15" hidden="1" x14ac:dyDescent="0.25"/>
    <row r="53" spans="1:15" ht="115.5" x14ac:dyDescent="0.25">
      <c r="A53" s="93">
        <v>2</v>
      </c>
      <c r="B53" s="94" t="s">
        <v>59</v>
      </c>
      <c r="C53" s="101" t="s">
        <v>60</v>
      </c>
      <c r="D53" s="96" t="s">
        <v>61</v>
      </c>
      <c r="E53" s="117">
        <v>1</v>
      </c>
      <c r="F53" s="98">
        <v>38705.03</v>
      </c>
      <c r="G53" s="99"/>
      <c r="H53" s="97" t="s">
        <v>50</v>
      </c>
      <c r="I53" s="98">
        <v>38705.03</v>
      </c>
      <c r="J53" s="100">
        <v>7.57</v>
      </c>
      <c r="K53" s="98">
        <v>292997.08</v>
      </c>
      <c r="L53" t="s">
        <v>785</v>
      </c>
      <c r="M53" s="116"/>
      <c r="O53" s="116">
        <f>K53</f>
        <v>292997.08</v>
      </c>
    </row>
    <row r="54" spans="1:15" hidden="1" x14ac:dyDescent="0.25">
      <c r="C54" s="10" t="s">
        <v>58</v>
      </c>
      <c r="H54" s="151">
        <v>38705.03</v>
      </c>
      <c r="I54" s="133"/>
      <c r="J54" s="151">
        <v>292997.08</v>
      </c>
      <c r="K54" s="133"/>
    </row>
    <row r="55" spans="1:15" hidden="1" x14ac:dyDescent="0.25"/>
    <row r="56" spans="1:15" ht="115.5" x14ac:dyDescent="0.25">
      <c r="A56" s="93">
        <v>3</v>
      </c>
      <c r="B56" s="94" t="s">
        <v>62</v>
      </c>
      <c r="C56" s="101" t="s">
        <v>63</v>
      </c>
      <c r="D56" s="96" t="s">
        <v>61</v>
      </c>
      <c r="E56" s="117">
        <v>1</v>
      </c>
      <c r="F56" s="98">
        <v>45981.5</v>
      </c>
      <c r="G56" s="99"/>
      <c r="H56" s="97" t="s">
        <v>50</v>
      </c>
      <c r="I56" s="98">
        <v>45981.5</v>
      </c>
      <c r="J56" s="100">
        <v>7.57</v>
      </c>
      <c r="K56" s="98">
        <v>348079.96</v>
      </c>
      <c r="L56" t="s">
        <v>785</v>
      </c>
      <c r="O56" s="116">
        <f>K56</f>
        <v>348079.96</v>
      </c>
    </row>
    <row r="57" spans="1:15" hidden="1" x14ac:dyDescent="0.25">
      <c r="C57" s="10" t="s">
        <v>58</v>
      </c>
      <c r="H57" s="151">
        <v>45981.5</v>
      </c>
      <c r="I57" s="133"/>
      <c r="J57" s="151">
        <v>348079.96</v>
      </c>
      <c r="K57" s="133"/>
    </row>
    <row r="58" spans="1:15" hidden="1" x14ac:dyDescent="0.25"/>
    <row r="59" spans="1:15" ht="115.5" x14ac:dyDescent="0.25">
      <c r="A59" s="93">
        <v>4</v>
      </c>
      <c r="B59" s="94" t="s">
        <v>64</v>
      </c>
      <c r="C59" s="101" t="s">
        <v>65</v>
      </c>
      <c r="D59" s="96" t="s">
        <v>61</v>
      </c>
      <c r="E59" s="117">
        <v>1</v>
      </c>
      <c r="F59" s="98">
        <v>64350.39</v>
      </c>
      <c r="G59" s="99"/>
      <c r="H59" s="97" t="s">
        <v>50</v>
      </c>
      <c r="I59" s="98">
        <v>64350.39</v>
      </c>
      <c r="J59" s="100">
        <v>7.57</v>
      </c>
      <c r="K59" s="98">
        <v>487132.45</v>
      </c>
      <c r="L59" t="s">
        <v>785</v>
      </c>
      <c r="O59" s="116">
        <f>K59</f>
        <v>487132.45</v>
      </c>
    </row>
    <row r="60" spans="1:15" hidden="1" x14ac:dyDescent="0.25">
      <c r="C60" s="10" t="s">
        <v>58</v>
      </c>
      <c r="H60" s="151">
        <v>64350.39</v>
      </c>
      <c r="I60" s="133"/>
      <c r="J60" s="151">
        <v>487132.45</v>
      </c>
      <c r="K60" s="133"/>
    </row>
    <row r="61" spans="1:15" hidden="1" x14ac:dyDescent="0.25"/>
    <row r="62" spans="1:15" ht="115.5" x14ac:dyDescent="0.25">
      <c r="A62" s="93">
        <v>5</v>
      </c>
      <c r="B62" s="94" t="s">
        <v>66</v>
      </c>
      <c r="C62" s="101" t="s">
        <v>67</v>
      </c>
      <c r="D62" s="96" t="s">
        <v>61</v>
      </c>
      <c r="E62" s="117">
        <v>1</v>
      </c>
      <c r="F62" s="98">
        <v>59491.519999999997</v>
      </c>
      <c r="G62" s="99"/>
      <c r="H62" s="97" t="s">
        <v>50</v>
      </c>
      <c r="I62" s="98">
        <v>59491.519999999997</v>
      </c>
      <c r="J62" s="100">
        <v>7.57</v>
      </c>
      <c r="K62" s="98">
        <v>450350.81</v>
      </c>
      <c r="L62" t="s">
        <v>785</v>
      </c>
      <c r="O62" s="116">
        <f>K62</f>
        <v>450350.81</v>
      </c>
    </row>
    <row r="63" spans="1:15" hidden="1" x14ac:dyDescent="0.25">
      <c r="C63" s="10" t="s">
        <v>58</v>
      </c>
      <c r="H63" s="151">
        <v>59491.519999999997</v>
      </c>
      <c r="I63" s="133"/>
      <c r="J63" s="151">
        <v>450350.81</v>
      </c>
      <c r="K63" s="133"/>
    </row>
    <row r="64" spans="1:15" hidden="1" x14ac:dyDescent="0.25"/>
    <row r="65" spans="1:15" ht="115.5" x14ac:dyDescent="0.25">
      <c r="A65" s="93">
        <v>6</v>
      </c>
      <c r="B65" s="94" t="s">
        <v>68</v>
      </c>
      <c r="C65" s="101" t="s">
        <v>69</v>
      </c>
      <c r="D65" s="96" t="s">
        <v>61</v>
      </c>
      <c r="E65" s="117">
        <v>1</v>
      </c>
      <c r="F65" s="98">
        <v>143952.88</v>
      </c>
      <c r="G65" s="99"/>
      <c r="H65" s="97" t="s">
        <v>50</v>
      </c>
      <c r="I65" s="98">
        <v>143952.88</v>
      </c>
      <c r="J65" s="100">
        <v>7.57</v>
      </c>
      <c r="K65" s="98">
        <v>1089723.3</v>
      </c>
      <c r="L65" t="s">
        <v>785</v>
      </c>
      <c r="O65" s="116">
        <f>K65</f>
        <v>1089723.3</v>
      </c>
    </row>
    <row r="66" spans="1:15" hidden="1" x14ac:dyDescent="0.25">
      <c r="C66" s="10" t="s">
        <v>58</v>
      </c>
      <c r="H66" s="151">
        <v>143952.88</v>
      </c>
      <c r="I66" s="133"/>
      <c r="J66" s="151">
        <v>1089723.3</v>
      </c>
      <c r="K66" s="133"/>
    </row>
    <row r="67" spans="1:15" hidden="1" x14ac:dyDescent="0.25"/>
    <row r="68" spans="1:15" ht="115.5" x14ac:dyDescent="0.25">
      <c r="A68" s="93">
        <v>7</v>
      </c>
      <c r="B68" s="94" t="s">
        <v>70</v>
      </c>
      <c r="C68" s="101" t="s">
        <v>71</v>
      </c>
      <c r="D68" s="96" t="s">
        <v>61</v>
      </c>
      <c r="E68" s="117">
        <v>1</v>
      </c>
      <c r="F68" s="98">
        <v>31120.46</v>
      </c>
      <c r="G68" s="99"/>
      <c r="H68" s="97" t="s">
        <v>50</v>
      </c>
      <c r="I68" s="98">
        <v>31120.46</v>
      </c>
      <c r="J68" s="100">
        <v>7.57</v>
      </c>
      <c r="K68" s="98">
        <v>235581.88</v>
      </c>
      <c r="L68" t="s">
        <v>785</v>
      </c>
      <c r="O68" s="116">
        <f>K68</f>
        <v>235581.88</v>
      </c>
    </row>
    <row r="69" spans="1:15" hidden="1" x14ac:dyDescent="0.25">
      <c r="C69" s="10" t="s">
        <v>58</v>
      </c>
      <c r="H69" s="151">
        <v>31120.46</v>
      </c>
      <c r="I69" s="133"/>
      <c r="J69" s="151">
        <v>235581.88</v>
      </c>
      <c r="K69" s="133"/>
    </row>
    <row r="70" spans="1:15" hidden="1" x14ac:dyDescent="0.25"/>
    <row r="71" spans="1:15" ht="115.5" x14ac:dyDescent="0.25">
      <c r="A71" s="93">
        <v>8</v>
      </c>
      <c r="B71" s="94" t="s">
        <v>72</v>
      </c>
      <c r="C71" s="101" t="s">
        <v>73</v>
      </c>
      <c r="D71" s="96" t="s">
        <v>61</v>
      </c>
      <c r="E71" s="117">
        <v>1</v>
      </c>
      <c r="F71" s="98">
        <v>10701.35</v>
      </c>
      <c r="G71" s="99"/>
      <c r="H71" s="97" t="s">
        <v>50</v>
      </c>
      <c r="I71" s="98">
        <v>10701.35</v>
      </c>
      <c r="J71" s="100">
        <v>7.57</v>
      </c>
      <c r="K71" s="98">
        <v>81009.22</v>
      </c>
      <c r="L71" t="s">
        <v>785</v>
      </c>
      <c r="O71" s="116">
        <f>K71</f>
        <v>81009.22</v>
      </c>
    </row>
    <row r="72" spans="1:15" hidden="1" x14ac:dyDescent="0.25">
      <c r="C72" s="10" t="s">
        <v>58</v>
      </c>
      <c r="H72" s="151">
        <v>10701.35</v>
      </c>
      <c r="I72" s="133"/>
      <c r="J72" s="151">
        <v>81009.22</v>
      </c>
      <c r="K72" s="133"/>
    </row>
    <row r="73" spans="1:15" hidden="1" x14ac:dyDescent="0.25"/>
    <row r="74" spans="1:15" ht="115.5" x14ac:dyDescent="0.25">
      <c r="A74" s="93">
        <v>9</v>
      </c>
      <c r="B74" s="94" t="s">
        <v>74</v>
      </c>
      <c r="C74" s="101" t="s">
        <v>75</v>
      </c>
      <c r="D74" s="96" t="s">
        <v>61</v>
      </c>
      <c r="E74" s="117">
        <v>1</v>
      </c>
      <c r="F74" s="98">
        <v>34249.11</v>
      </c>
      <c r="G74" s="99"/>
      <c r="H74" s="97" t="s">
        <v>50</v>
      </c>
      <c r="I74" s="98">
        <v>34249.11</v>
      </c>
      <c r="J74" s="100">
        <v>7.57</v>
      </c>
      <c r="K74" s="98">
        <v>259265.76</v>
      </c>
      <c r="L74" t="s">
        <v>785</v>
      </c>
      <c r="O74" s="116">
        <f>K74</f>
        <v>259265.76</v>
      </c>
    </row>
    <row r="75" spans="1:15" hidden="1" x14ac:dyDescent="0.25">
      <c r="C75" s="10" t="s">
        <v>58</v>
      </c>
      <c r="H75" s="151">
        <v>34249.11</v>
      </c>
      <c r="I75" s="133"/>
      <c r="J75" s="151">
        <v>259265.76</v>
      </c>
      <c r="K75" s="133"/>
    </row>
    <row r="76" spans="1:15" hidden="1" x14ac:dyDescent="0.25"/>
    <row r="77" spans="1:15" ht="115.5" x14ac:dyDescent="0.25">
      <c r="A77" s="93">
        <v>10</v>
      </c>
      <c r="B77" s="94" t="s">
        <v>76</v>
      </c>
      <c r="C77" s="101" t="s">
        <v>77</v>
      </c>
      <c r="D77" s="96" t="s">
        <v>61</v>
      </c>
      <c r="E77" s="117">
        <v>1</v>
      </c>
      <c r="F77" s="98">
        <v>59491.519999999997</v>
      </c>
      <c r="G77" s="99"/>
      <c r="H77" s="97" t="s">
        <v>50</v>
      </c>
      <c r="I77" s="98">
        <v>59491.519999999997</v>
      </c>
      <c r="J77" s="100">
        <v>7.57</v>
      </c>
      <c r="K77" s="98">
        <v>450350.81</v>
      </c>
      <c r="L77" t="s">
        <v>785</v>
      </c>
      <c r="O77" s="116">
        <f>K77</f>
        <v>450350.81</v>
      </c>
    </row>
    <row r="78" spans="1:15" hidden="1" x14ac:dyDescent="0.25">
      <c r="C78" s="10" t="s">
        <v>58</v>
      </c>
      <c r="H78" s="151">
        <v>59491.519999999997</v>
      </c>
      <c r="I78" s="133"/>
      <c r="J78" s="151">
        <v>450350.81</v>
      </c>
      <c r="K78" s="133"/>
    </row>
    <row r="79" spans="1:15" hidden="1" x14ac:dyDescent="0.25"/>
    <row r="80" spans="1:15" ht="115.5" x14ac:dyDescent="0.25">
      <c r="A80" s="93">
        <v>11</v>
      </c>
      <c r="B80" s="94" t="s">
        <v>78</v>
      </c>
      <c r="C80" s="101" t="s">
        <v>79</v>
      </c>
      <c r="D80" s="96" t="s">
        <v>61</v>
      </c>
      <c r="E80" s="117">
        <v>1</v>
      </c>
      <c r="F80" s="98">
        <v>57476.86</v>
      </c>
      <c r="G80" s="99"/>
      <c r="H80" s="97" t="s">
        <v>50</v>
      </c>
      <c r="I80" s="98">
        <v>57476.86</v>
      </c>
      <c r="J80" s="100">
        <v>7.57</v>
      </c>
      <c r="K80" s="98">
        <v>435099.83</v>
      </c>
      <c r="L80" t="s">
        <v>785</v>
      </c>
      <c r="O80" s="116">
        <f>K80</f>
        <v>435099.83</v>
      </c>
    </row>
    <row r="81" spans="1:15" hidden="1" x14ac:dyDescent="0.25">
      <c r="C81" s="10" t="s">
        <v>58</v>
      </c>
      <c r="H81" s="151">
        <v>57476.86</v>
      </c>
      <c r="I81" s="133"/>
      <c r="J81" s="151">
        <v>435099.83</v>
      </c>
      <c r="K81" s="133"/>
    </row>
    <row r="82" spans="1:15" hidden="1" x14ac:dyDescent="0.25"/>
    <row r="83" spans="1:15" ht="115.5" x14ac:dyDescent="0.25">
      <c r="A83" s="93">
        <v>12</v>
      </c>
      <c r="B83" s="94" t="s">
        <v>80</v>
      </c>
      <c r="C83" s="101" t="s">
        <v>81</v>
      </c>
      <c r="D83" s="96" t="s">
        <v>61</v>
      </c>
      <c r="E83" s="117">
        <v>1</v>
      </c>
      <c r="F83" s="98">
        <v>45981.5</v>
      </c>
      <c r="G83" s="99"/>
      <c r="H83" s="97" t="s">
        <v>50</v>
      </c>
      <c r="I83" s="98">
        <v>45981.5</v>
      </c>
      <c r="J83" s="100">
        <v>7.57</v>
      </c>
      <c r="K83" s="98">
        <v>348079.96</v>
      </c>
      <c r="L83" t="s">
        <v>785</v>
      </c>
      <c r="O83" s="116">
        <f>K83</f>
        <v>348079.96</v>
      </c>
    </row>
    <row r="84" spans="1:15" hidden="1" x14ac:dyDescent="0.25">
      <c r="C84" s="10" t="s">
        <v>58</v>
      </c>
      <c r="H84" s="151">
        <v>45981.5</v>
      </c>
      <c r="I84" s="133"/>
      <c r="J84" s="151">
        <v>348079.96</v>
      </c>
      <c r="K84" s="133"/>
    </row>
    <row r="85" spans="1:15" hidden="1" x14ac:dyDescent="0.25"/>
    <row r="86" spans="1:15" ht="115.5" x14ac:dyDescent="0.25">
      <c r="A86" s="93">
        <v>13</v>
      </c>
      <c r="B86" s="94" t="s">
        <v>82</v>
      </c>
      <c r="C86" s="101" t="s">
        <v>83</v>
      </c>
      <c r="D86" s="96" t="s">
        <v>61</v>
      </c>
      <c r="E86" s="117">
        <v>1</v>
      </c>
      <c r="F86" s="98">
        <v>39842.720000000001</v>
      </c>
      <c r="G86" s="99"/>
      <c r="H86" s="97" t="s">
        <v>50</v>
      </c>
      <c r="I86" s="98">
        <v>39842.720000000001</v>
      </c>
      <c r="J86" s="100">
        <v>7.57</v>
      </c>
      <c r="K86" s="98">
        <v>301609.39</v>
      </c>
      <c r="L86" t="s">
        <v>785</v>
      </c>
      <c r="O86" s="116">
        <f>K86</f>
        <v>301609.39</v>
      </c>
    </row>
    <row r="87" spans="1:15" hidden="1" x14ac:dyDescent="0.25">
      <c r="C87" s="10" t="s">
        <v>58</v>
      </c>
      <c r="H87" s="151">
        <v>39842.720000000001</v>
      </c>
      <c r="I87" s="133"/>
      <c r="J87" s="151">
        <v>301609.39</v>
      </c>
      <c r="K87" s="133"/>
    </row>
    <row r="88" spans="1:15" hidden="1" x14ac:dyDescent="0.25"/>
    <row r="89" spans="1:15" ht="115.5" x14ac:dyDescent="0.25">
      <c r="A89" s="93">
        <v>14</v>
      </c>
      <c r="B89" s="94" t="s">
        <v>84</v>
      </c>
      <c r="C89" s="101" t="s">
        <v>85</v>
      </c>
      <c r="D89" s="96" t="s">
        <v>61</v>
      </c>
      <c r="E89" s="117">
        <v>1</v>
      </c>
      <c r="F89" s="98">
        <v>34249.11</v>
      </c>
      <c r="G89" s="99"/>
      <c r="H89" s="97" t="s">
        <v>50</v>
      </c>
      <c r="I89" s="98">
        <v>34249.11</v>
      </c>
      <c r="J89" s="100">
        <v>7.57</v>
      </c>
      <c r="K89" s="98">
        <v>259265.76</v>
      </c>
      <c r="L89" t="s">
        <v>785</v>
      </c>
      <c r="O89" s="116">
        <f>K89</f>
        <v>259265.76</v>
      </c>
    </row>
    <row r="90" spans="1:15" hidden="1" x14ac:dyDescent="0.25">
      <c r="C90" s="10" t="s">
        <v>58</v>
      </c>
      <c r="H90" s="151">
        <v>34249.11</v>
      </c>
      <c r="I90" s="133"/>
      <c r="J90" s="151">
        <v>259265.76</v>
      </c>
      <c r="K90" s="133"/>
    </row>
    <row r="91" spans="1:15" hidden="1" x14ac:dyDescent="0.25"/>
    <row r="92" spans="1:15" ht="115.5" x14ac:dyDescent="0.25">
      <c r="A92" s="93">
        <v>15</v>
      </c>
      <c r="B92" s="94" t="s">
        <v>86</v>
      </c>
      <c r="C92" s="101" t="s">
        <v>87</v>
      </c>
      <c r="D92" s="96" t="s">
        <v>61</v>
      </c>
      <c r="E92" s="117">
        <v>1</v>
      </c>
      <c r="F92" s="98">
        <v>12253.83</v>
      </c>
      <c r="G92" s="99"/>
      <c r="H92" s="97" t="s">
        <v>50</v>
      </c>
      <c r="I92" s="98">
        <v>12253.83</v>
      </c>
      <c r="J92" s="100">
        <v>7.57</v>
      </c>
      <c r="K92" s="98">
        <v>92761.49</v>
      </c>
      <c r="L92" t="s">
        <v>785</v>
      </c>
      <c r="O92" s="116">
        <f>K92</f>
        <v>92761.49</v>
      </c>
    </row>
    <row r="93" spans="1:15" hidden="1" x14ac:dyDescent="0.25">
      <c r="C93" s="10" t="s">
        <v>58</v>
      </c>
      <c r="H93" s="151">
        <v>12253.83</v>
      </c>
      <c r="I93" s="133"/>
      <c r="J93" s="151">
        <v>92761.49</v>
      </c>
      <c r="K93" s="133"/>
    </row>
    <row r="94" spans="1:15" hidden="1" x14ac:dyDescent="0.25"/>
    <row r="95" spans="1:15" ht="115.5" x14ac:dyDescent="0.25">
      <c r="A95" s="93">
        <v>16</v>
      </c>
      <c r="B95" s="94" t="s">
        <v>88</v>
      </c>
      <c r="C95" s="101" t="s">
        <v>89</v>
      </c>
      <c r="D95" s="96" t="s">
        <v>61</v>
      </c>
      <c r="E95" s="117">
        <v>1</v>
      </c>
      <c r="F95" s="98">
        <v>10701.35</v>
      </c>
      <c r="G95" s="99"/>
      <c r="H95" s="97" t="s">
        <v>50</v>
      </c>
      <c r="I95" s="98">
        <v>10701.35</v>
      </c>
      <c r="J95" s="100">
        <v>7.57</v>
      </c>
      <c r="K95" s="98">
        <v>81009.22</v>
      </c>
      <c r="L95" t="s">
        <v>785</v>
      </c>
      <c r="O95" s="116">
        <f>K95</f>
        <v>81009.22</v>
      </c>
    </row>
    <row r="96" spans="1:15" hidden="1" x14ac:dyDescent="0.25">
      <c r="C96" s="10" t="s">
        <v>58</v>
      </c>
      <c r="H96" s="151">
        <v>10701.35</v>
      </c>
      <c r="I96" s="133"/>
      <c r="J96" s="151">
        <v>81009.22</v>
      </c>
      <c r="K96" s="133"/>
    </row>
    <row r="97" spans="1:15" hidden="1" x14ac:dyDescent="0.25"/>
    <row r="98" spans="1:15" ht="115.5" x14ac:dyDescent="0.25">
      <c r="A98" s="93">
        <v>17</v>
      </c>
      <c r="B98" s="94" t="s">
        <v>90</v>
      </c>
      <c r="C98" s="101" t="s">
        <v>91</v>
      </c>
      <c r="D98" s="96" t="s">
        <v>61</v>
      </c>
      <c r="E98" s="117">
        <v>1</v>
      </c>
      <c r="F98" s="98">
        <v>31120.46</v>
      </c>
      <c r="G98" s="99"/>
      <c r="H98" s="97" t="s">
        <v>50</v>
      </c>
      <c r="I98" s="98">
        <v>31120.46</v>
      </c>
      <c r="J98" s="100">
        <v>7.57</v>
      </c>
      <c r="K98" s="98">
        <v>235581.88</v>
      </c>
      <c r="L98" t="s">
        <v>785</v>
      </c>
      <c r="O98" s="116">
        <f>K98</f>
        <v>235581.88</v>
      </c>
    </row>
    <row r="99" spans="1:15" hidden="1" x14ac:dyDescent="0.25">
      <c r="C99" s="10" t="s">
        <v>58</v>
      </c>
      <c r="H99" s="151">
        <v>31120.46</v>
      </c>
      <c r="I99" s="133"/>
      <c r="J99" s="151">
        <v>235581.88</v>
      </c>
      <c r="K99" s="133"/>
    </row>
    <row r="100" spans="1:15" hidden="1" x14ac:dyDescent="0.25"/>
    <row r="101" spans="1:15" ht="229.5" hidden="1" x14ac:dyDescent="0.25">
      <c r="A101" s="6">
        <v>18</v>
      </c>
      <c r="B101" s="4" t="s">
        <v>92</v>
      </c>
      <c r="C101" s="8" t="s">
        <v>93</v>
      </c>
      <c r="D101" s="16" t="s">
        <v>42</v>
      </c>
      <c r="E101" s="14">
        <v>1</v>
      </c>
    </row>
    <row r="102" spans="1:15" ht="26.25" hidden="1" x14ac:dyDescent="0.25">
      <c r="C102" s="5" t="s">
        <v>43</v>
      </c>
      <c r="F102" s="11">
        <v>671.27</v>
      </c>
      <c r="G102" s="15" t="s">
        <v>94</v>
      </c>
      <c r="H102" s="13">
        <v>1.0669999999999999</v>
      </c>
      <c r="I102" s="11">
        <v>1037.8399999999999</v>
      </c>
      <c r="J102" s="13">
        <v>56.35</v>
      </c>
      <c r="K102" s="11">
        <v>58482.28</v>
      </c>
    </row>
    <row r="103" spans="1:15" ht="26.25" hidden="1" x14ac:dyDescent="0.25">
      <c r="C103" s="7" t="s">
        <v>45</v>
      </c>
      <c r="F103" s="11">
        <v>143.96</v>
      </c>
      <c r="G103" s="15" t="s">
        <v>95</v>
      </c>
      <c r="H103" s="13">
        <v>1.0669999999999999</v>
      </c>
      <c r="I103" s="11">
        <v>241.93</v>
      </c>
      <c r="J103" s="13">
        <v>15.28</v>
      </c>
      <c r="K103" s="11">
        <v>3696.69</v>
      </c>
    </row>
    <row r="104" spans="1:15" ht="26.25" hidden="1" x14ac:dyDescent="0.25">
      <c r="C104" s="7" t="s">
        <v>47</v>
      </c>
      <c r="F104" s="11">
        <v>15.06</v>
      </c>
      <c r="G104" s="15" t="s">
        <v>95</v>
      </c>
      <c r="H104" s="13">
        <v>1.0669999999999999</v>
      </c>
      <c r="I104" s="11">
        <v>25.31</v>
      </c>
      <c r="J104" s="13">
        <v>56.35</v>
      </c>
      <c r="K104" s="11">
        <v>1426.22</v>
      </c>
    </row>
    <row r="105" spans="1:15" hidden="1" x14ac:dyDescent="0.25">
      <c r="C105" s="7" t="s">
        <v>48</v>
      </c>
      <c r="F105" s="11">
        <v>372.01</v>
      </c>
      <c r="G105" s="15" t="s">
        <v>96</v>
      </c>
      <c r="H105" s="14" t="s">
        <v>50</v>
      </c>
      <c r="I105" s="11">
        <v>372.01</v>
      </c>
      <c r="J105" s="13">
        <v>7.9</v>
      </c>
      <c r="K105" s="11">
        <v>2938.88</v>
      </c>
    </row>
    <row r="106" spans="1:15" hidden="1" x14ac:dyDescent="0.25">
      <c r="C106" s="7" t="s">
        <v>51</v>
      </c>
      <c r="D106" s="11" t="s">
        <v>52</v>
      </c>
      <c r="E106" s="14">
        <v>109</v>
      </c>
      <c r="I106" s="11">
        <v>1158.83</v>
      </c>
      <c r="J106" s="14">
        <v>109</v>
      </c>
      <c r="K106" s="11">
        <v>65300.27</v>
      </c>
    </row>
    <row r="107" spans="1:15" hidden="1" x14ac:dyDescent="0.25">
      <c r="C107" s="7" t="s">
        <v>53</v>
      </c>
      <c r="D107" s="11" t="s">
        <v>52</v>
      </c>
      <c r="E107" s="14">
        <v>61</v>
      </c>
      <c r="I107" s="11">
        <v>648.52</v>
      </c>
      <c r="J107" s="14">
        <v>61</v>
      </c>
      <c r="K107" s="11">
        <v>36544.19</v>
      </c>
    </row>
    <row r="108" spans="1:15" ht="26.25" hidden="1" x14ac:dyDescent="0.25">
      <c r="C108" s="7" t="s">
        <v>54</v>
      </c>
      <c r="D108" s="11" t="s">
        <v>55</v>
      </c>
      <c r="E108" s="13">
        <v>55.8</v>
      </c>
      <c r="G108" s="15" t="s">
        <v>94</v>
      </c>
      <c r="H108" s="13">
        <v>1.0669999999999999</v>
      </c>
      <c r="I108" s="12">
        <v>86.271431399999997</v>
      </c>
    </row>
    <row r="109" spans="1:15" hidden="1" x14ac:dyDescent="0.25">
      <c r="A109" s="19"/>
      <c r="B109" s="19"/>
      <c r="C109" s="19" t="s">
        <v>56</v>
      </c>
      <c r="D109" s="19"/>
      <c r="E109" s="19"/>
      <c r="F109" s="19"/>
      <c r="G109" s="19"/>
      <c r="H109" s="149">
        <v>3459.13</v>
      </c>
      <c r="I109" s="150"/>
      <c r="J109" s="149">
        <v>166962.31</v>
      </c>
      <c r="K109" s="150"/>
    </row>
    <row r="110" spans="1:15" hidden="1" x14ac:dyDescent="0.25">
      <c r="C110" s="10" t="s">
        <v>57</v>
      </c>
      <c r="H110" s="151">
        <v>0</v>
      </c>
      <c r="I110" s="133"/>
      <c r="J110" s="151">
        <v>0</v>
      </c>
      <c r="K110" s="133"/>
    </row>
    <row r="111" spans="1:15" hidden="1" x14ac:dyDescent="0.25">
      <c r="C111" s="10" t="s">
        <v>58</v>
      </c>
      <c r="H111" s="151">
        <v>3459.13</v>
      </c>
      <c r="I111" s="133"/>
      <c r="J111" s="151">
        <v>166962.31</v>
      </c>
      <c r="K111" s="133"/>
    </row>
    <row r="112" spans="1:15" hidden="1" x14ac:dyDescent="0.25"/>
    <row r="113" spans="1:15" ht="115.5" x14ac:dyDescent="0.25">
      <c r="A113" s="93">
        <v>19</v>
      </c>
      <c r="B113" s="94" t="s">
        <v>97</v>
      </c>
      <c r="C113" s="101" t="s">
        <v>98</v>
      </c>
      <c r="D113" s="96" t="s">
        <v>61</v>
      </c>
      <c r="E113" s="117">
        <v>1</v>
      </c>
      <c r="F113" s="98">
        <v>39842.720000000001</v>
      </c>
      <c r="G113" s="99"/>
      <c r="H113" s="97" t="s">
        <v>50</v>
      </c>
      <c r="I113" s="98">
        <v>39842.720000000001</v>
      </c>
      <c r="J113" s="100">
        <v>7.57</v>
      </c>
      <c r="K113" s="98">
        <v>301609.39</v>
      </c>
      <c r="L113" t="s">
        <v>785</v>
      </c>
      <c r="O113" s="116">
        <f>K113</f>
        <v>301609.39</v>
      </c>
    </row>
    <row r="114" spans="1:15" hidden="1" x14ac:dyDescent="0.25">
      <c r="C114" s="10" t="s">
        <v>58</v>
      </c>
      <c r="H114" s="151">
        <v>39842.720000000001</v>
      </c>
      <c r="I114" s="133"/>
      <c r="J114" s="151">
        <v>301609.39</v>
      </c>
      <c r="K114" s="133"/>
    </row>
    <row r="115" spans="1:15" hidden="1" x14ac:dyDescent="0.25"/>
    <row r="116" spans="1:15" ht="15.95" hidden="1" customHeight="1" x14ac:dyDescent="0.25">
      <c r="A116" s="148" t="s">
        <v>99</v>
      </c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</row>
    <row r="117" spans="1:15" hidden="1" x14ac:dyDescent="0.25"/>
    <row r="118" spans="1:15" ht="229.5" hidden="1" x14ac:dyDescent="0.25">
      <c r="A118" s="6">
        <v>20</v>
      </c>
      <c r="B118" s="4" t="s">
        <v>100</v>
      </c>
      <c r="C118" s="8" t="s">
        <v>101</v>
      </c>
      <c r="D118" s="16" t="s">
        <v>102</v>
      </c>
      <c r="E118" s="14">
        <v>14</v>
      </c>
    </row>
    <row r="119" spans="1:15" ht="38.25" hidden="1" x14ac:dyDescent="0.25">
      <c r="C119" s="9" t="s">
        <v>103</v>
      </c>
    </row>
    <row r="120" spans="1:15" ht="26.25" hidden="1" x14ac:dyDescent="0.25">
      <c r="C120" s="5" t="s">
        <v>43</v>
      </c>
      <c r="F120" s="11">
        <v>30.34</v>
      </c>
      <c r="G120" s="15" t="s">
        <v>104</v>
      </c>
      <c r="H120" s="13">
        <v>1.0669999999999999</v>
      </c>
      <c r="I120" s="11">
        <v>656.71</v>
      </c>
      <c r="J120" s="13">
        <v>56.35</v>
      </c>
      <c r="K120" s="11">
        <v>37005.61</v>
      </c>
    </row>
    <row r="121" spans="1:15" ht="26.25" hidden="1" x14ac:dyDescent="0.25">
      <c r="C121" s="7" t="s">
        <v>45</v>
      </c>
      <c r="F121" s="11">
        <v>4.7699999999999996</v>
      </c>
      <c r="G121" s="15" t="s">
        <v>105</v>
      </c>
      <c r="H121" s="13">
        <v>1.0669999999999999</v>
      </c>
      <c r="I121" s="11">
        <v>112.23</v>
      </c>
      <c r="J121" s="13">
        <v>15.34</v>
      </c>
      <c r="K121" s="11">
        <v>1721.61</v>
      </c>
    </row>
    <row r="122" spans="1:15" ht="26.25" hidden="1" x14ac:dyDescent="0.25">
      <c r="C122" s="7" t="s">
        <v>47</v>
      </c>
      <c r="F122" s="11">
        <v>0.38</v>
      </c>
      <c r="G122" s="15" t="s">
        <v>105</v>
      </c>
      <c r="H122" s="13">
        <v>1.0669999999999999</v>
      </c>
      <c r="I122" s="11">
        <v>8.94</v>
      </c>
      <c r="J122" s="13">
        <v>56.35</v>
      </c>
      <c r="K122" s="11">
        <v>503.77</v>
      </c>
    </row>
    <row r="123" spans="1:15" hidden="1" x14ac:dyDescent="0.25">
      <c r="C123" s="7" t="s">
        <v>48</v>
      </c>
      <c r="F123" s="11">
        <v>26.02</v>
      </c>
      <c r="G123" s="15" t="s">
        <v>96</v>
      </c>
      <c r="H123" s="14" t="s">
        <v>50</v>
      </c>
      <c r="I123" s="11">
        <v>364.28</v>
      </c>
      <c r="J123" s="13">
        <v>7.99</v>
      </c>
      <c r="K123" s="11">
        <v>2910.6</v>
      </c>
    </row>
    <row r="124" spans="1:15" hidden="1" x14ac:dyDescent="0.25">
      <c r="C124" s="7" t="s">
        <v>51</v>
      </c>
      <c r="D124" s="11" t="s">
        <v>52</v>
      </c>
      <c r="E124" s="14">
        <v>109</v>
      </c>
      <c r="I124" s="11">
        <v>725.56</v>
      </c>
      <c r="J124" s="14">
        <v>109</v>
      </c>
      <c r="K124" s="11">
        <v>40885.22</v>
      </c>
    </row>
    <row r="125" spans="1:15" hidden="1" x14ac:dyDescent="0.25">
      <c r="C125" s="7" t="s">
        <v>53</v>
      </c>
      <c r="D125" s="11" t="s">
        <v>52</v>
      </c>
      <c r="E125" s="14">
        <v>61</v>
      </c>
      <c r="I125" s="11">
        <v>406.05</v>
      </c>
      <c r="J125" s="14">
        <v>61</v>
      </c>
      <c r="K125" s="11">
        <v>22880.720000000001</v>
      </c>
    </row>
    <row r="126" spans="1:15" ht="26.25" hidden="1" x14ac:dyDescent="0.25">
      <c r="C126" s="7" t="s">
        <v>54</v>
      </c>
      <c r="D126" s="11" t="s">
        <v>55</v>
      </c>
      <c r="E126" s="13">
        <v>2.37</v>
      </c>
      <c r="G126" s="15" t="s">
        <v>104</v>
      </c>
      <c r="H126" s="13">
        <v>1.0669999999999999</v>
      </c>
      <c r="I126" s="12">
        <v>51.299033940000001</v>
      </c>
    </row>
    <row r="127" spans="1:15" hidden="1" x14ac:dyDescent="0.25">
      <c r="A127" s="20"/>
      <c r="B127" s="20"/>
      <c r="C127" s="20" t="s">
        <v>56</v>
      </c>
      <c r="D127" s="20"/>
      <c r="E127" s="20"/>
      <c r="F127" s="20"/>
      <c r="G127" s="20"/>
      <c r="H127" s="149">
        <v>2264.83</v>
      </c>
      <c r="I127" s="150"/>
      <c r="J127" s="149">
        <v>105403.76</v>
      </c>
      <c r="K127" s="150"/>
    </row>
    <row r="128" spans="1:15" hidden="1" x14ac:dyDescent="0.25">
      <c r="C128" s="10" t="s">
        <v>57</v>
      </c>
      <c r="H128" s="151">
        <v>0</v>
      </c>
      <c r="I128" s="133"/>
      <c r="J128" s="151">
        <v>0</v>
      </c>
      <c r="K128" s="133"/>
    </row>
    <row r="129" spans="1:18" hidden="1" x14ac:dyDescent="0.25">
      <c r="C129" s="10" t="s">
        <v>58</v>
      </c>
      <c r="H129" s="151">
        <v>2264.83</v>
      </c>
      <c r="I129" s="133"/>
      <c r="J129" s="151">
        <v>105403.76</v>
      </c>
      <c r="K129" s="133"/>
    </row>
    <row r="130" spans="1:18" hidden="1" x14ac:dyDescent="0.25"/>
    <row r="131" spans="1:18" ht="102.75" x14ac:dyDescent="0.25">
      <c r="A131" s="93">
        <v>21</v>
      </c>
      <c r="B131" s="94" t="s">
        <v>106</v>
      </c>
      <c r="C131" s="118" t="s">
        <v>107</v>
      </c>
      <c r="D131" s="96" t="s">
        <v>61</v>
      </c>
      <c r="E131" s="97">
        <v>4</v>
      </c>
      <c r="F131" s="98">
        <v>12739.71</v>
      </c>
      <c r="G131" s="99"/>
      <c r="H131" s="97" t="s">
        <v>50</v>
      </c>
      <c r="I131" s="98">
        <v>50958.84</v>
      </c>
      <c r="J131" s="100">
        <v>7.57</v>
      </c>
      <c r="K131" s="98">
        <v>385758.42</v>
      </c>
      <c r="L131" s="127">
        <v>44675</v>
      </c>
      <c r="O131" s="116">
        <f>L131/1.22*1.03*1.012*4</f>
        <v>152680.10819672132</v>
      </c>
      <c r="R131" t="s">
        <v>787</v>
      </c>
    </row>
    <row r="132" spans="1:18" hidden="1" x14ac:dyDescent="0.25">
      <c r="C132" s="10" t="s">
        <v>58</v>
      </c>
      <c r="H132" s="151">
        <v>50958.84</v>
      </c>
      <c r="I132" s="133"/>
      <c r="J132" s="151">
        <v>385758.42</v>
      </c>
      <c r="K132" s="133"/>
    </row>
    <row r="133" spans="1:18" hidden="1" x14ac:dyDescent="0.25"/>
    <row r="134" spans="1:18" ht="102.75" x14ac:dyDescent="0.25">
      <c r="A134" s="93">
        <v>22</v>
      </c>
      <c r="B134" s="94" t="s">
        <v>108</v>
      </c>
      <c r="C134" s="118" t="s">
        <v>109</v>
      </c>
      <c r="D134" s="96" t="s">
        <v>61</v>
      </c>
      <c r="E134" s="97">
        <v>5</v>
      </c>
      <c r="F134" s="98">
        <v>16188.33</v>
      </c>
      <c r="G134" s="99"/>
      <c r="H134" s="97" t="s">
        <v>50</v>
      </c>
      <c r="I134" s="98">
        <v>80941.649999999994</v>
      </c>
      <c r="J134" s="100">
        <v>7.57</v>
      </c>
      <c r="K134" s="98">
        <v>612728.29</v>
      </c>
      <c r="L134" s="127">
        <v>70000</v>
      </c>
      <c r="O134" s="116">
        <f>L134/1.22*1.03*0.012*5</f>
        <v>3545.9016393442625</v>
      </c>
      <c r="R134" t="s">
        <v>788</v>
      </c>
    </row>
    <row r="135" spans="1:18" hidden="1" x14ac:dyDescent="0.25">
      <c r="C135" s="10" t="s">
        <v>58</v>
      </c>
      <c r="H135" s="151">
        <v>80941.649999999994</v>
      </c>
      <c r="I135" s="133"/>
      <c r="J135" s="151">
        <v>612728.29</v>
      </c>
      <c r="K135" s="133"/>
    </row>
    <row r="136" spans="1:18" hidden="1" x14ac:dyDescent="0.25"/>
    <row r="137" spans="1:18" ht="102.75" x14ac:dyDescent="0.25">
      <c r="A137" s="93">
        <v>23</v>
      </c>
      <c r="B137" s="94" t="s">
        <v>110</v>
      </c>
      <c r="C137" s="118" t="s">
        <v>111</v>
      </c>
      <c r="D137" s="96" t="s">
        <v>61</v>
      </c>
      <c r="E137" s="97">
        <v>3</v>
      </c>
      <c r="F137" s="98">
        <v>12739.71</v>
      </c>
      <c r="G137" s="99"/>
      <c r="H137" s="97" t="s">
        <v>50</v>
      </c>
      <c r="I137" s="98">
        <v>38219.129999999997</v>
      </c>
      <c r="J137" s="100">
        <v>7.57</v>
      </c>
      <c r="K137" s="98">
        <v>289318.81</v>
      </c>
      <c r="L137" s="127">
        <v>40500</v>
      </c>
      <c r="O137" s="116">
        <f>L137/1.22*1.03*1.012*3</f>
        <v>103808.80327868855</v>
      </c>
      <c r="R137" t="s">
        <v>789</v>
      </c>
    </row>
    <row r="138" spans="1:18" hidden="1" x14ac:dyDescent="0.25">
      <c r="C138" s="10" t="s">
        <v>58</v>
      </c>
      <c r="H138" s="151">
        <v>38219.129999999997</v>
      </c>
      <c r="I138" s="133"/>
      <c r="J138" s="151">
        <v>289318.81</v>
      </c>
      <c r="K138" s="133"/>
    </row>
    <row r="139" spans="1:18" hidden="1" x14ac:dyDescent="0.25"/>
    <row r="140" spans="1:18" ht="128.25" hidden="1" x14ac:dyDescent="0.25">
      <c r="A140" s="6">
        <v>24</v>
      </c>
      <c r="B140" s="4" t="s">
        <v>112</v>
      </c>
      <c r="C140" s="8" t="s">
        <v>113</v>
      </c>
      <c r="D140" s="16" t="s">
        <v>61</v>
      </c>
      <c r="E140" s="14">
        <v>1</v>
      </c>
      <c r="F140" s="11">
        <v>16792.72</v>
      </c>
      <c r="H140" s="14" t="s">
        <v>50</v>
      </c>
      <c r="I140" s="11">
        <v>16792.72</v>
      </c>
      <c r="J140" s="13">
        <v>7.57</v>
      </c>
      <c r="K140" s="11">
        <v>127120.89</v>
      </c>
    </row>
    <row r="141" spans="1:18" hidden="1" x14ac:dyDescent="0.25">
      <c r="C141" s="10" t="s">
        <v>58</v>
      </c>
      <c r="H141" s="151">
        <v>16792.72</v>
      </c>
      <c r="I141" s="133"/>
      <c r="J141" s="151">
        <v>127120.89</v>
      </c>
      <c r="K141" s="133"/>
    </row>
    <row r="142" spans="1:18" hidden="1" x14ac:dyDescent="0.25"/>
    <row r="143" spans="1:18" ht="102.75" x14ac:dyDescent="0.25">
      <c r="A143" s="93">
        <v>25</v>
      </c>
      <c r="B143" s="94" t="s">
        <v>114</v>
      </c>
      <c r="C143" s="118" t="s">
        <v>115</v>
      </c>
      <c r="D143" s="96" t="s">
        <v>61</v>
      </c>
      <c r="E143" s="97">
        <v>1</v>
      </c>
      <c r="F143" s="98">
        <v>12739.71</v>
      </c>
      <c r="G143" s="99"/>
      <c r="H143" s="97" t="s">
        <v>50</v>
      </c>
      <c r="I143" s="98">
        <v>12739.71</v>
      </c>
      <c r="J143" s="100">
        <v>7.57</v>
      </c>
      <c r="K143" s="98">
        <v>96439.6</v>
      </c>
      <c r="L143" s="127">
        <v>40500</v>
      </c>
      <c r="O143" s="116">
        <f>L143/1.2*1.03*1.012*1</f>
        <v>35179.65</v>
      </c>
      <c r="R143" t="s">
        <v>790</v>
      </c>
    </row>
    <row r="144" spans="1:18" hidden="1" x14ac:dyDescent="0.25">
      <c r="C144" s="10" t="s">
        <v>58</v>
      </c>
      <c r="H144" s="151">
        <v>12739.71</v>
      </c>
      <c r="I144" s="133"/>
      <c r="J144" s="151">
        <v>96439.6</v>
      </c>
      <c r="K144" s="133"/>
    </row>
    <row r="145" spans="1:15" hidden="1" x14ac:dyDescent="0.25"/>
    <row r="146" spans="1:15" ht="15.95" hidden="1" customHeight="1" x14ac:dyDescent="0.25">
      <c r="A146" s="148" t="s">
        <v>116</v>
      </c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</row>
    <row r="147" spans="1:15" hidden="1" x14ac:dyDescent="0.25"/>
    <row r="148" spans="1:15" ht="229.5" hidden="1" x14ac:dyDescent="0.25">
      <c r="A148" s="6">
        <v>26</v>
      </c>
      <c r="B148" s="4" t="s">
        <v>117</v>
      </c>
      <c r="C148" s="8" t="s">
        <v>118</v>
      </c>
      <c r="D148" s="16" t="s">
        <v>119</v>
      </c>
      <c r="E148" s="14">
        <v>30</v>
      </c>
    </row>
    <row r="149" spans="1:15" ht="26.25" hidden="1" x14ac:dyDescent="0.25">
      <c r="C149" s="5" t="s">
        <v>43</v>
      </c>
      <c r="F149" s="11">
        <v>144.61000000000001</v>
      </c>
      <c r="G149" s="15" t="s">
        <v>94</v>
      </c>
      <c r="H149" s="13">
        <v>1.0669999999999999</v>
      </c>
      <c r="I149" s="11">
        <v>6707.37</v>
      </c>
      <c r="J149" s="13">
        <v>56.35</v>
      </c>
      <c r="K149" s="11">
        <v>377960.3</v>
      </c>
    </row>
    <row r="150" spans="1:15" ht="26.25" hidden="1" x14ac:dyDescent="0.25">
      <c r="C150" s="7" t="s">
        <v>45</v>
      </c>
      <c r="F150" s="11">
        <v>17.399999999999999</v>
      </c>
      <c r="G150" s="15" t="s">
        <v>95</v>
      </c>
      <c r="H150" s="13">
        <v>1.0669999999999999</v>
      </c>
      <c r="I150" s="11">
        <v>877.23</v>
      </c>
      <c r="J150" s="13">
        <v>15.44</v>
      </c>
      <c r="K150" s="11">
        <v>13544.43</v>
      </c>
    </row>
    <row r="151" spans="1:15" ht="26.25" hidden="1" x14ac:dyDescent="0.25">
      <c r="C151" s="7" t="s">
        <v>47</v>
      </c>
      <c r="F151" s="11">
        <v>2.0299999999999998</v>
      </c>
      <c r="G151" s="15" t="s">
        <v>95</v>
      </c>
      <c r="H151" s="13">
        <v>1.0669999999999999</v>
      </c>
      <c r="I151" s="11">
        <v>102.34</v>
      </c>
      <c r="J151" s="13">
        <v>56.35</v>
      </c>
      <c r="K151" s="11">
        <v>5766.86</v>
      </c>
    </row>
    <row r="152" spans="1:15" hidden="1" x14ac:dyDescent="0.25">
      <c r="C152" s="7" t="s">
        <v>48</v>
      </c>
      <c r="F152" s="11">
        <v>166.58</v>
      </c>
      <c r="G152" s="15" t="s">
        <v>96</v>
      </c>
      <c r="H152" s="14" t="s">
        <v>50</v>
      </c>
      <c r="I152" s="11">
        <v>4997.3999999999996</v>
      </c>
      <c r="J152" s="13">
        <v>4.92</v>
      </c>
      <c r="K152" s="11">
        <v>24587.21</v>
      </c>
    </row>
    <row r="153" spans="1:15" hidden="1" x14ac:dyDescent="0.25">
      <c r="C153" s="7" t="s">
        <v>51</v>
      </c>
      <c r="D153" s="11" t="s">
        <v>52</v>
      </c>
      <c r="E153" s="14">
        <v>109</v>
      </c>
      <c r="I153" s="11">
        <v>7422.58</v>
      </c>
      <c r="J153" s="14">
        <v>109</v>
      </c>
      <c r="K153" s="11">
        <v>418262.6</v>
      </c>
    </row>
    <row r="154" spans="1:15" hidden="1" x14ac:dyDescent="0.25">
      <c r="C154" s="7" t="s">
        <v>53</v>
      </c>
      <c r="D154" s="11" t="s">
        <v>52</v>
      </c>
      <c r="E154" s="14">
        <v>61</v>
      </c>
      <c r="I154" s="11">
        <v>4153.92</v>
      </c>
      <c r="J154" s="14">
        <v>61</v>
      </c>
      <c r="K154" s="11">
        <v>234073.57</v>
      </c>
    </row>
    <row r="155" spans="1:15" ht="26.25" hidden="1" x14ac:dyDescent="0.25">
      <c r="C155" s="7" t="s">
        <v>54</v>
      </c>
      <c r="D155" s="11" t="s">
        <v>55</v>
      </c>
      <c r="E155" s="13">
        <v>10.8</v>
      </c>
      <c r="G155" s="15" t="s">
        <v>94</v>
      </c>
      <c r="H155" s="13">
        <v>1.0669999999999999</v>
      </c>
      <c r="I155" s="12">
        <v>500.93089199999997</v>
      </c>
    </row>
    <row r="156" spans="1:15" hidden="1" x14ac:dyDescent="0.25">
      <c r="A156" s="21"/>
      <c r="B156" s="21"/>
      <c r="C156" s="21" t="s">
        <v>56</v>
      </c>
      <c r="D156" s="21"/>
      <c r="E156" s="21"/>
      <c r="F156" s="21"/>
      <c r="G156" s="21"/>
      <c r="H156" s="149">
        <v>24158.5</v>
      </c>
      <c r="I156" s="150"/>
      <c r="J156" s="149">
        <v>1068428.1100000001</v>
      </c>
      <c r="K156" s="150"/>
    </row>
    <row r="157" spans="1:15" hidden="1" x14ac:dyDescent="0.25">
      <c r="C157" s="10" t="s">
        <v>57</v>
      </c>
      <c r="H157" s="151">
        <v>0</v>
      </c>
      <c r="I157" s="133"/>
      <c r="J157" s="151">
        <v>0</v>
      </c>
      <c r="K157" s="133"/>
    </row>
    <row r="158" spans="1:15" hidden="1" x14ac:dyDescent="0.25">
      <c r="C158" s="10" t="s">
        <v>58</v>
      </c>
      <c r="H158" s="151">
        <v>24158.5</v>
      </c>
      <c r="I158" s="133"/>
      <c r="J158" s="151">
        <v>1068428.1100000001</v>
      </c>
      <c r="K158" s="133"/>
    </row>
    <row r="159" spans="1:15" hidden="1" x14ac:dyDescent="0.25"/>
    <row r="160" spans="1:15" ht="115.5" x14ac:dyDescent="0.25">
      <c r="A160" s="93">
        <v>27</v>
      </c>
      <c r="B160" s="94" t="s">
        <v>120</v>
      </c>
      <c r="C160" s="101" t="s">
        <v>121</v>
      </c>
      <c r="D160" s="96" t="s">
        <v>61</v>
      </c>
      <c r="E160" s="117">
        <v>1</v>
      </c>
      <c r="F160" s="98">
        <v>23832.16</v>
      </c>
      <c r="G160" s="99"/>
      <c r="H160" s="97" t="s">
        <v>50</v>
      </c>
      <c r="I160" s="98">
        <v>23832.16</v>
      </c>
      <c r="J160" s="100">
        <v>7.57</v>
      </c>
      <c r="K160" s="98">
        <v>180409.45</v>
      </c>
      <c r="L160" t="s">
        <v>785</v>
      </c>
      <c r="O160" s="116">
        <f>K160</f>
        <v>180409.45</v>
      </c>
    </row>
    <row r="161" spans="1:15" hidden="1" x14ac:dyDescent="0.25">
      <c r="C161" s="10" t="s">
        <v>58</v>
      </c>
      <c r="H161" s="151">
        <v>23832.16</v>
      </c>
      <c r="I161" s="133"/>
      <c r="J161" s="151">
        <v>180409.45</v>
      </c>
      <c r="K161" s="133"/>
    </row>
    <row r="162" spans="1:15" hidden="1" x14ac:dyDescent="0.25"/>
    <row r="163" spans="1:15" ht="115.5" x14ac:dyDescent="0.25">
      <c r="A163" s="93">
        <v>28</v>
      </c>
      <c r="B163" s="94" t="s">
        <v>122</v>
      </c>
      <c r="C163" s="101" t="s">
        <v>123</v>
      </c>
      <c r="D163" s="96" t="s">
        <v>61</v>
      </c>
      <c r="E163" s="117">
        <v>1</v>
      </c>
      <c r="F163" s="98">
        <v>28596.22</v>
      </c>
      <c r="G163" s="99"/>
      <c r="H163" s="97" t="s">
        <v>50</v>
      </c>
      <c r="I163" s="98">
        <v>28596.22</v>
      </c>
      <c r="J163" s="100">
        <v>7.57</v>
      </c>
      <c r="K163" s="98">
        <v>216473.39</v>
      </c>
      <c r="L163" t="s">
        <v>785</v>
      </c>
      <c r="O163" s="116">
        <f>K163</f>
        <v>216473.39</v>
      </c>
    </row>
    <row r="164" spans="1:15" hidden="1" x14ac:dyDescent="0.25">
      <c r="C164" s="10" t="s">
        <v>58</v>
      </c>
      <c r="H164" s="151">
        <v>28596.22</v>
      </c>
      <c r="I164" s="133"/>
      <c r="J164" s="151">
        <v>216473.39</v>
      </c>
      <c r="K164" s="133"/>
    </row>
    <row r="165" spans="1:15" hidden="1" x14ac:dyDescent="0.25"/>
    <row r="166" spans="1:15" ht="115.5" x14ac:dyDescent="0.25">
      <c r="A166" s="93">
        <v>29</v>
      </c>
      <c r="B166" s="94" t="s">
        <v>124</v>
      </c>
      <c r="C166" s="101" t="s">
        <v>125</v>
      </c>
      <c r="D166" s="96" t="s">
        <v>61</v>
      </c>
      <c r="E166" s="117">
        <v>1</v>
      </c>
      <c r="F166" s="98">
        <v>8449.69</v>
      </c>
      <c r="G166" s="99"/>
      <c r="H166" s="97" t="s">
        <v>50</v>
      </c>
      <c r="I166" s="98">
        <v>8449.69</v>
      </c>
      <c r="J166" s="100">
        <v>7.57</v>
      </c>
      <c r="K166" s="98">
        <v>63964.15</v>
      </c>
      <c r="L166" t="s">
        <v>785</v>
      </c>
      <c r="O166" s="116">
        <f>K166</f>
        <v>63964.15</v>
      </c>
    </row>
    <row r="167" spans="1:15" hidden="1" x14ac:dyDescent="0.25">
      <c r="C167" s="10" t="s">
        <v>58</v>
      </c>
      <c r="H167" s="151">
        <v>8449.69</v>
      </c>
      <c r="I167" s="133"/>
      <c r="J167" s="151">
        <v>63964.15</v>
      </c>
      <c r="K167" s="133"/>
    </row>
    <row r="168" spans="1:15" hidden="1" x14ac:dyDescent="0.25"/>
    <row r="169" spans="1:15" ht="115.5" x14ac:dyDescent="0.25">
      <c r="A169" s="93">
        <v>30</v>
      </c>
      <c r="B169" s="94" t="s">
        <v>126</v>
      </c>
      <c r="C169" s="101" t="s">
        <v>127</v>
      </c>
      <c r="D169" s="96" t="s">
        <v>61</v>
      </c>
      <c r="E169" s="117">
        <v>1</v>
      </c>
      <c r="F169" s="98">
        <v>32732.19</v>
      </c>
      <c r="G169" s="99"/>
      <c r="H169" s="97" t="s">
        <v>50</v>
      </c>
      <c r="I169" s="98">
        <v>32732.19</v>
      </c>
      <c r="J169" s="100">
        <v>7.57</v>
      </c>
      <c r="K169" s="98">
        <v>247782.68</v>
      </c>
      <c r="L169" t="s">
        <v>785</v>
      </c>
      <c r="O169" s="116">
        <f>K169</f>
        <v>247782.68</v>
      </c>
    </row>
    <row r="170" spans="1:15" hidden="1" x14ac:dyDescent="0.25">
      <c r="C170" s="10" t="s">
        <v>58</v>
      </c>
      <c r="H170" s="151">
        <v>32732.19</v>
      </c>
      <c r="I170" s="133"/>
      <c r="J170" s="151">
        <v>247782.68</v>
      </c>
      <c r="K170" s="133"/>
    </row>
    <row r="171" spans="1:15" hidden="1" x14ac:dyDescent="0.25"/>
    <row r="172" spans="1:15" ht="115.5" x14ac:dyDescent="0.25">
      <c r="A172" s="93">
        <v>31</v>
      </c>
      <c r="B172" s="94" t="s">
        <v>128</v>
      </c>
      <c r="C172" s="101" t="s">
        <v>129</v>
      </c>
      <c r="D172" s="96" t="s">
        <v>61</v>
      </c>
      <c r="E172" s="117">
        <v>1</v>
      </c>
      <c r="F172" s="98">
        <v>22433.75</v>
      </c>
      <c r="G172" s="99"/>
      <c r="H172" s="97" t="s">
        <v>50</v>
      </c>
      <c r="I172" s="98">
        <v>22433.75</v>
      </c>
      <c r="J172" s="100">
        <v>7.57</v>
      </c>
      <c r="K172" s="98">
        <v>169823.49</v>
      </c>
      <c r="L172" t="s">
        <v>785</v>
      </c>
      <c r="O172" s="116">
        <f>K172</f>
        <v>169823.49</v>
      </c>
    </row>
    <row r="173" spans="1:15" hidden="1" x14ac:dyDescent="0.25">
      <c r="C173" s="10" t="s">
        <v>58</v>
      </c>
      <c r="H173" s="151">
        <v>22433.75</v>
      </c>
      <c r="I173" s="133"/>
      <c r="J173" s="151">
        <v>169823.49</v>
      </c>
      <c r="K173" s="133"/>
    </row>
    <row r="174" spans="1:15" hidden="1" x14ac:dyDescent="0.25"/>
    <row r="175" spans="1:15" ht="115.5" x14ac:dyDescent="0.25">
      <c r="A175" s="93">
        <v>32</v>
      </c>
      <c r="B175" s="94" t="s">
        <v>130</v>
      </c>
      <c r="C175" s="101" t="s">
        <v>131</v>
      </c>
      <c r="D175" s="96" t="s">
        <v>61</v>
      </c>
      <c r="E175" s="117">
        <v>1</v>
      </c>
      <c r="F175" s="98">
        <v>6885.37</v>
      </c>
      <c r="G175" s="99"/>
      <c r="H175" s="97" t="s">
        <v>50</v>
      </c>
      <c r="I175" s="98">
        <v>6885.37</v>
      </c>
      <c r="J175" s="100">
        <v>7.57</v>
      </c>
      <c r="K175" s="98">
        <v>52122.25</v>
      </c>
      <c r="L175" t="s">
        <v>785</v>
      </c>
      <c r="O175" s="116">
        <f>K175</f>
        <v>52122.25</v>
      </c>
    </row>
    <row r="176" spans="1:15" hidden="1" x14ac:dyDescent="0.25">
      <c r="C176" s="10" t="s">
        <v>58</v>
      </c>
      <c r="H176" s="151">
        <v>6885.37</v>
      </c>
      <c r="I176" s="133"/>
      <c r="J176" s="151">
        <v>52122.25</v>
      </c>
      <c r="K176" s="133"/>
    </row>
    <row r="177" spans="1:15" hidden="1" x14ac:dyDescent="0.25"/>
    <row r="178" spans="1:15" ht="115.5" x14ac:dyDescent="0.25">
      <c r="A178" s="93">
        <v>33</v>
      </c>
      <c r="B178" s="94" t="s">
        <v>132</v>
      </c>
      <c r="C178" s="101" t="s">
        <v>133</v>
      </c>
      <c r="D178" s="96" t="s">
        <v>61</v>
      </c>
      <c r="E178" s="117">
        <v>1</v>
      </c>
      <c r="F178" s="98">
        <v>4207.07</v>
      </c>
      <c r="G178" s="99"/>
      <c r="H178" s="97" t="s">
        <v>50</v>
      </c>
      <c r="I178" s="98">
        <v>4207.07</v>
      </c>
      <c r="J178" s="100">
        <v>7.57</v>
      </c>
      <c r="K178" s="98">
        <v>31847.52</v>
      </c>
      <c r="L178" t="s">
        <v>785</v>
      </c>
      <c r="O178" s="116">
        <f>K178</f>
        <v>31847.52</v>
      </c>
    </row>
    <row r="179" spans="1:15" hidden="1" x14ac:dyDescent="0.25">
      <c r="C179" s="10" t="s">
        <v>58</v>
      </c>
      <c r="H179" s="151">
        <v>4207.07</v>
      </c>
      <c r="I179" s="133"/>
      <c r="J179" s="151">
        <v>31847.52</v>
      </c>
      <c r="K179" s="133"/>
    </row>
    <row r="180" spans="1:15" hidden="1" x14ac:dyDescent="0.25"/>
    <row r="181" spans="1:15" ht="115.5" x14ac:dyDescent="0.25">
      <c r="A181" s="93">
        <v>34</v>
      </c>
      <c r="B181" s="94" t="s">
        <v>134</v>
      </c>
      <c r="C181" s="101" t="s">
        <v>135</v>
      </c>
      <c r="D181" s="96" t="s">
        <v>61</v>
      </c>
      <c r="E181" s="117">
        <v>1</v>
      </c>
      <c r="F181" s="98">
        <v>22433.75</v>
      </c>
      <c r="G181" s="99"/>
      <c r="H181" s="97" t="s">
        <v>50</v>
      </c>
      <c r="I181" s="98">
        <v>22433.75</v>
      </c>
      <c r="J181" s="100">
        <v>7.57</v>
      </c>
      <c r="K181" s="98">
        <v>169823.49</v>
      </c>
      <c r="L181" t="s">
        <v>785</v>
      </c>
      <c r="O181" s="116">
        <f>K181</f>
        <v>169823.49</v>
      </c>
    </row>
    <row r="182" spans="1:15" hidden="1" x14ac:dyDescent="0.25">
      <c r="C182" s="10" t="s">
        <v>58</v>
      </c>
      <c r="H182" s="151">
        <v>22433.75</v>
      </c>
      <c r="I182" s="133"/>
      <c r="J182" s="151">
        <v>169823.49</v>
      </c>
      <c r="K182" s="133"/>
    </row>
    <row r="183" spans="1:15" hidden="1" x14ac:dyDescent="0.25"/>
    <row r="184" spans="1:15" ht="115.5" x14ac:dyDescent="0.25">
      <c r="A184" s="93">
        <v>35</v>
      </c>
      <c r="B184" s="94" t="s">
        <v>136</v>
      </c>
      <c r="C184" s="101" t="s">
        <v>137</v>
      </c>
      <c r="D184" s="96" t="s">
        <v>61</v>
      </c>
      <c r="E184" s="117">
        <v>1</v>
      </c>
      <c r="F184" s="98">
        <v>22433.75</v>
      </c>
      <c r="G184" s="99"/>
      <c r="H184" s="97" t="s">
        <v>50</v>
      </c>
      <c r="I184" s="98">
        <v>22433.75</v>
      </c>
      <c r="J184" s="100">
        <v>7.57</v>
      </c>
      <c r="K184" s="98">
        <v>169823.49</v>
      </c>
      <c r="L184" t="s">
        <v>785</v>
      </c>
      <c r="O184" s="116">
        <f>K184</f>
        <v>169823.49</v>
      </c>
    </row>
    <row r="185" spans="1:15" hidden="1" x14ac:dyDescent="0.25">
      <c r="C185" s="10" t="s">
        <v>58</v>
      </c>
      <c r="H185" s="151">
        <v>22433.75</v>
      </c>
      <c r="I185" s="133"/>
      <c r="J185" s="151">
        <v>169823.49</v>
      </c>
      <c r="K185" s="133"/>
    </row>
    <row r="186" spans="1:15" hidden="1" x14ac:dyDescent="0.25"/>
    <row r="187" spans="1:15" ht="115.5" x14ac:dyDescent="0.25">
      <c r="A187" s="93">
        <v>36</v>
      </c>
      <c r="B187" s="94" t="s">
        <v>138</v>
      </c>
      <c r="C187" s="101" t="s">
        <v>139</v>
      </c>
      <c r="D187" s="96" t="s">
        <v>61</v>
      </c>
      <c r="E187" s="117">
        <v>1</v>
      </c>
      <c r="F187" s="98">
        <v>5166.99</v>
      </c>
      <c r="G187" s="99"/>
      <c r="H187" s="97" t="s">
        <v>50</v>
      </c>
      <c r="I187" s="98">
        <v>5166.99</v>
      </c>
      <c r="J187" s="100">
        <v>7.57</v>
      </c>
      <c r="K187" s="98">
        <v>39114.11</v>
      </c>
      <c r="L187" t="s">
        <v>785</v>
      </c>
      <c r="O187" s="116">
        <f>K187</f>
        <v>39114.11</v>
      </c>
    </row>
    <row r="188" spans="1:15" hidden="1" x14ac:dyDescent="0.25">
      <c r="C188" s="10" t="s">
        <v>58</v>
      </c>
      <c r="H188" s="151">
        <v>5166.99</v>
      </c>
      <c r="I188" s="133"/>
      <c r="J188" s="151">
        <v>39114.11</v>
      </c>
      <c r="K188" s="133"/>
    </row>
    <row r="189" spans="1:15" hidden="1" x14ac:dyDescent="0.25"/>
    <row r="190" spans="1:15" ht="115.5" x14ac:dyDescent="0.25">
      <c r="A190" s="93">
        <v>37</v>
      </c>
      <c r="B190" s="94" t="s">
        <v>140</v>
      </c>
      <c r="C190" s="101" t="s">
        <v>141</v>
      </c>
      <c r="D190" s="96" t="s">
        <v>61</v>
      </c>
      <c r="E190" s="117">
        <v>1</v>
      </c>
      <c r="F190" s="98">
        <v>4207.07</v>
      </c>
      <c r="G190" s="99"/>
      <c r="H190" s="97" t="s">
        <v>50</v>
      </c>
      <c r="I190" s="98">
        <v>4207.07</v>
      </c>
      <c r="J190" s="100">
        <v>7.57</v>
      </c>
      <c r="K190" s="98">
        <v>31847.52</v>
      </c>
      <c r="L190" t="s">
        <v>785</v>
      </c>
      <c r="O190" s="116">
        <f>K190</f>
        <v>31847.52</v>
      </c>
    </row>
    <row r="191" spans="1:15" hidden="1" x14ac:dyDescent="0.25">
      <c r="C191" s="10" t="s">
        <v>58</v>
      </c>
      <c r="H191" s="151">
        <v>4207.07</v>
      </c>
      <c r="I191" s="133"/>
      <c r="J191" s="151">
        <v>31847.52</v>
      </c>
      <c r="K191" s="133"/>
    </row>
    <row r="192" spans="1:15" hidden="1" x14ac:dyDescent="0.25"/>
    <row r="193" spans="1:15" ht="115.5" x14ac:dyDescent="0.25">
      <c r="A193" s="93">
        <v>38</v>
      </c>
      <c r="B193" s="94" t="s">
        <v>142</v>
      </c>
      <c r="C193" s="101" t="s">
        <v>143</v>
      </c>
      <c r="D193" s="96" t="s">
        <v>61</v>
      </c>
      <c r="E193" s="117">
        <v>1</v>
      </c>
      <c r="F193" s="98">
        <v>4207.07</v>
      </c>
      <c r="G193" s="99"/>
      <c r="H193" s="97" t="s">
        <v>50</v>
      </c>
      <c r="I193" s="98">
        <v>4207.07</v>
      </c>
      <c r="J193" s="100">
        <v>7.57</v>
      </c>
      <c r="K193" s="98">
        <v>31847.52</v>
      </c>
      <c r="L193" t="s">
        <v>785</v>
      </c>
      <c r="O193" s="116">
        <f>K193</f>
        <v>31847.52</v>
      </c>
    </row>
    <row r="194" spans="1:15" hidden="1" x14ac:dyDescent="0.25">
      <c r="C194" s="10" t="s">
        <v>58</v>
      </c>
      <c r="H194" s="151">
        <v>4207.07</v>
      </c>
      <c r="I194" s="133"/>
      <c r="J194" s="151">
        <v>31847.52</v>
      </c>
      <c r="K194" s="133"/>
    </row>
    <row r="195" spans="1:15" hidden="1" x14ac:dyDescent="0.25"/>
    <row r="196" spans="1:15" ht="115.5" x14ac:dyDescent="0.25">
      <c r="A196" s="93">
        <v>39</v>
      </c>
      <c r="B196" s="94" t="s">
        <v>144</v>
      </c>
      <c r="C196" s="101" t="s">
        <v>145</v>
      </c>
      <c r="D196" s="96" t="s">
        <v>61</v>
      </c>
      <c r="E196" s="117">
        <v>1</v>
      </c>
      <c r="F196" s="98">
        <v>4207.07</v>
      </c>
      <c r="G196" s="99"/>
      <c r="H196" s="97" t="s">
        <v>50</v>
      </c>
      <c r="I196" s="98">
        <v>4207.07</v>
      </c>
      <c r="J196" s="100">
        <v>7.57</v>
      </c>
      <c r="K196" s="98">
        <v>31847.52</v>
      </c>
      <c r="L196" t="s">
        <v>785</v>
      </c>
      <c r="O196" s="116">
        <f>K196</f>
        <v>31847.52</v>
      </c>
    </row>
    <row r="197" spans="1:15" hidden="1" x14ac:dyDescent="0.25">
      <c r="C197" s="10" t="s">
        <v>58</v>
      </c>
      <c r="H197" s="151">
        <v>4207.07</v>
      </c>
      <c r="I197" s="133"/>
      <c r="J197" s="151">
        <v>31847.52</v>
      </c>
      <c r="K197" s="133"/>
    </row>
    <row r="198" spans="1:15" hidden="1" x14ac:dyDescent="0.25"/>
    <row r="199" spans="1:15" ht="115.5" x14ac:dyDescent="0.25">
      <c r="A199" s="93">
        <v>40</v>
      </c>
      <c r="B199" s="94" t="s">
        <v>146</v>
      </c>
      <c r="C199" s="101" t="s">
        <v>147</v>
      </c>
      <c r="D199" s="96" t="s">
        <v>61</v>
      </c>
      <c r="E199" s="117">
        <v>1</v>
      </c>
      <c r="F199" s="98">
        <v>4207.07</v>
      </c>
      <c r="G199" s="99"/>
      <c r="H199" s="97" t="s">
        <v>50</v>
      </c>
      <c r="I199" s="98">
        <v>4207.07</v>
      </c>
      <c r="J199" s="100">
        <v>7.57</v>
      </c>
      <c r="K199" s="98">
        <v>31847.52</v>
      </c>
      <c r="L199" t="s">
        <v>785</v>
      </c>
      <c r="O199" s="116">
        <f>K199</f>
        <v>31847.52</v>
      </c>
    </row>
    <row r="200" spans="1:15" hidden="1" x14ac:dyDescent="0.25">
      <c r="C200" s="10" t="s">
        <v>58</v>
      </c>
      <c r="H200" s="151">
        <v>4207.07</v>
      </c>
      <c r="I200" s="133"/>
      <c r="J200" s="151">
        <v>31847.52</v>
      </c>
      <c r="K200" s="133"/>
    </row>
    <row r="201" spans="1:15" hidden="1" x14ac:dyDescent="0.25"/>
    <row r="202" spans="1:15" ht="115.5" x14ac:dyDescent="0.25">
      <c r="A202" s="93">
        <v>41</v>
      </c>
      <c r="B202" s="94" t="s">
        <v>148</v>
      </c>
      <c r="C202" s="101" t="s">
        <v>149</v>
      </c>
      <c r="D202" s="96" t="s">
        <v>61</v>
      </c>
      <c r="E202" s="117">
        <v>1</v>
      </c>
      <c r="F202" s="98">
        <v>4207.07</v>
      </c>
      <c r="G202" s="99"/>
      <c r="H202" s="97" t="s">
        <v>50</v>
      </c>
      <c r="I202" s="98">
        <v>4207.07</v>
      </c>
      <c r="J202" s="100">
        <v>7.57</v>
      </c>
      <c r="K202" s="98">
        <v>31847.52</v>
      </c>
      <c r="L202" t="s">
        <v>785</v>
      </c>
      <c r="O202" s="116">
        <f>K202</f>
        <v>31847.52</v>
      </c>
    </row>
    <row r="203" spans="1:15" hidden="1" x14ac:dyDescent="0.25">
      <c r="C203" s="10" t="s">
        <v>58</v>
      </c>
      <c r="H203" s="151">
        <v>4207.07</v>
      </c>
      <c r="I203" s="133"/>
      <c r="J203" s="151">
        <v>31847.52</v>
      </c>
      <c r="K203" s="133"/>
    </row>
    <row r="204" spans="1:15" hidden="1" x14ac:dyDescent="0.25"/>
    <row r="205" spans="1:15" ht="115.5" x14ac:dyDescent="0.25">
      <c r="A205" s="93">
        <v>42</v>
      </c>
      <c r="B205" s="94" t="s">
        <v>150</v>
      </c>
      <c r="C205" s="101" t="s">
        <v>151</v>
      </c>
      <c r="D205" s="96" t="s">
        <v>61</v>
      </c>
      <c r="E205" s="117">
        <v>1</v>
      </c>
      <c r="F205" s="98">
        <v>4207.07</v>
      </c>
      <c r="G205" s="99"/>
      <c r="H205" s="97" t="s">
        <v>50</v>
      </c>
      <c r="I205" s="98">
        <v>4207.07</v>
      </c>
      <c r="J205" s="100">
        <v>7.57</v>
      </c>
      <c r="K205" s="98">
        <v>31847.52</v>
      </c>
      <c r="L205" t="s">
        <v>785</v>
      </c>
      <c r="O205" s="116">
        <f>K205</f>
        <v>31847.52</v>
      </c>
    </row>
    <row r="206" spans="1:15" hidden="1" x14ac:dyDescent="0.25">
      <c r="C206" s="10" t="s">
        <v>58</v>
      </c>
      <c r="H206" s="151">
        <v>4207.07</v>
      </c>
      <c r="I206" s="133"/>
      <c r="J206" s="151">
        <v>31847.52</v>
      </c>
      <c r="K206" s="133"/>
    </row>
    <row r="207" spans="1:15" hidden="1" x14ac:dyDescent="0.25"/>
    <row r="208" spans="1:15" ht="115.5" x14ac:dyDescent="0.25">
      <c r="A208" s="93">
        <v>43</v>
      </c>
      <c r="B208" s="94" t="s">
        <v>152</v>
      </c>
      <c r="C208" s="101" t="s">
        <v>153</v>
      </c>
      <c r="D208" s="96" t="s">
        <v>61</v>
      </c>
      <c r="E208" s="117">
        <v>1</v>
      </c>
      <c r="F208" s="98">
        <v>4207.07</v>
      </c>
      <c r="G208" s="99"/>
      <c r="H208" s="97" t="s">
        <v>50</v>
      </c>
      <c r="I208" s="98">
        <v>4207.07</v>
      </c>
      <c r="J208" s="100">
        <v>7.57</v>
      </c>
      <c r="K208" s="98">
        <v>31847.52</v>
      </c>
      <c r="L208" t="s">
        <v>785</v>
      </c>
      <c r="O208" s="116">
        <f>K208</f>
        <v>31847.52</v>
      </c>
    </row>
    <row r="209" spans="1:15" hidden="1" x14ac:dyDescent="0.25">
      <c r="C209" s="10" t="s">
        <v>58</v>
      </c>
      <c r="H209" s="151">
        <v>4207.07</v>
      </c>
      <c r="I209" s="133"/>
      <c r="J209" s="151">
        <v>31847.52</v>
      </c>
      <c r="K209" s="133"/>
    </row>
    <row r="210" spans="1:15" hidden="1" x14ac:dyDescent="0.25"/>
    <row r="211" spans="1:15" ht="115.5" x14ac:dyDescent="0.25">
      <c r="A211" s="93">
        <v>44</v>
      </c>
      <c r="B211" s="94" t="s">
        <v>154</v>
      </c>
      <c r="C211" s="101" t="s">
        <v>155</v>
      </c>
      <c r="D211" s="96" t="s">
        <v>61</v>
      </c>
      <c r="E211" s="117">
        <v>1</v>
      </c>
      <c r="F211" s="98">
        <v>4207.07</v>
      </c>
      <c r="G211" s="99"/>
      <c r="H211" s="97" t="s">
        <v>50</v>
      </c>
      <c r="I211" s="98">
        <v>4207.07</v>
      </c>
      <c r="J211" s="100">
        <v>7.57</v>
      </c>
      <c r="K211" s="98">
        <v>31847.52</v>
      </c>
      <c r="L211" t="s">
        <v>785</v>
      </c>
      <c r="O211" s="116">
        <f>K211</f>
        <v>31847.52</v>
      </c>
    </row>
    <row r="212" spans="1:15" hidden="1" x14ac:dyDescent="0.25">
      <c r="C212" s="10" t="s">
        <v>58</v>
      </c>
      <c r="H212" s="151">
        <v>4207.07</v>
      </c>
      <c r="I212" s="133"/>
      <c r="J212" s="151">
        <v>31847.52</v>
      </c>
      <c r="K212" s="133"/>
    </row>
    <row r="213" spans="1:15" hidden="1" x14ac:dyDescent="0.25"/>
    <row r="214" spans="1:15" ht="115.5" x14ac:dyDescent="0.25">
      <c r="A214" s="93">
        <v>45</v>
      </c>
      <c r="B214" s="94" t="s">
        <v>156</v>
      </c>
      <c r="C214" s="101" t="s">
        <v>157</v>
      </c>
      <c r="D214" s="96" t="s">
        <v>61</v>
      </c>
      <c r="E214" s="117">
        <v>1</v>
      </c>
      <c r="F214" s="98">
        <v>4207.07</v>
      </c>
      <c r="G214" s="99"/>
      <c r="H214" s="97" t="s">
        <v>50</v>
      </c>
      <c r="I214" s="98">
        <v>4207.07</v>
      </c>
      <c r="J214" s="100">
        <v>7.57</v>
      </c>
      <c r="K214" s="98">
        <v>31847.52</v>
      </c>
      <c r="L214" t="s">
        <v>785</v>
      </c>
      <c r="O214" s="116">
        <f>K214</f>
        <v>31847.52</v>
      </c>
    </row>
    <row r="215" spans="1:15" hidden="1" x14ac:dyDescent="0.25">
      <c r="C215" s="10" t="s">
        <v>58</v>
      </c>
      <c r="H215" s="151">
        <v>4207.07</v>
      </c>
      <c r="I215" s="133"/>
      <c r="J215" s="151">
        <v>31847.52</v>
      </c>
      <c r="K215" s="133"/>
    </row>
    <row r="216" spans="1:15" hidden="1" x14ac:dyDescent="0.25"/>
    <row r="217" spans="1:15" ht="115.5" x14ac:dyDescent="0.25">
      <c r="A217" s="93">
        <v>46</v>
      </c>
      <c r="B217" s="94" t="s">
        <v>158</v>
      </c>
      <c r="C217" s="101" t="s">
        <v>159</v>
      </c>
      <c r="D217" s="96" t="s">
        <v>61</v>
      </c>
      <c r="E217" s="117">
        <v>1</v>
      </c>
      <c r="F217" s="98">
        <v>20324.29</v>
      </c>
      <c r="G217" s="99"/>
      <c r="H217" s="97" t="s">
        <v>50</v>
      </c>
      <c r="I217" s="98">
        <v>20324.29</v>
      </c>
      <c r="J217" s="100">
        <v>7.57</v>
      </c>
      <c r="K217" s="98">
        <v>153854.88</v>
      </c>
      <c r="L217" t="s">
        <v>785</v>
      </c>
      <c r="O217" s="116">
        <f>K217</f>
        <v>153854.88</v>
      </c>
    </row>
    <row r="218" spans="1:15" hidden="1" x14ac:dyDescent="0.25">
      <c r="C218" s="10" t="s">
        <v>58</v>
      </c>
      <c r="H218" s="151">
        <v>20324.29</v>
      </c>
      <c r="I218" s="133"/>
      <c r="J218" s="151">
        <v>153854.88</v>
      </c>
      <c r="K218" s="133"/>
    </row>
    <row r="219" spans="1:15" hidden="1" x14ac:dyDescent="0.25"/>
    <row r="220" spans="1:15" ht="115.5" x14ac:dyDescent="0.25">
      <c r="A220" s="93">
        <v>47</v>
      </c>
      <c r="B220" s="94" t="s">
        <v>160</v>
      </c>
      <c r="C220" s="101" t="s">
        <v>161</v>
      </c>
      <c r="D220" s="96" t="s">
        <v>61</v>
      </c>
      <c r="E220" s="117">
        <v>1</v>
      </c>
      <c r="F220" s="98">
        <v>4207.07</v>
      </c>
      <c r="G220" s="99"/>
      <c r="H220" s="97" t="s">
        <v>50</v>
      </c>
      <c r="I220" s="98">
        <v>4207.07</v>
      </c>
      <c r="J220" s="100">
        <v>7.57</v>
      </c>
      <c r="K220" s="98">
        <v>31847.52</v>
      </c>
      <c r="L220" t="s">
        <v>785</v>
      </c>
      <c r="O220" s="116">
        <f>K220</f>
        <v>31847.52</v>
      </c>
    </row>
    <row r="221" spans="1:15" hidden="1" x14ac:dyDescent="0.25">
      <c r="C221" s="10" t="s">
        <v>58</v>
      </c>
      <c r="H221" s="151">
        <v>4207.07</v>
      </c>
      <c r="I221" s="133"/>
      <c r="J221" s="151">
        <v>31847.52</v>
      </c>
      <c r="K221" s="133"/>
    </row>
    <row r="222" spans="1:15" hidden="1" x14ac:dyDescent="0.25"/>
    <row r="223" spans="1:15" ht="115.5" x14ac:dyDescent="0.25">
      <c r="A223" s="93">
        <v>48</v>
      </c>
      <c r="B223" s="94" t="s">
        <v>162</v>
      </c>
      <c r="C223" s="101" t="s">
        <v>163</v>
      </c>
      <c r="D223" s="96" t="s">
        <v>61</v>
      </c>
      <c r="E223" s="117">
        <v>1</v>
      </c>
      <c r="F223" s="98">
        <v>5166.99</v>
      </c>
      <c r="G223" s="99"/>
      <c r="H223" s="97" t="s">
        <v>50</v>
      </c>
      <c r="I223" s="98">
        <v>5166.99</v>
      </c>
      <c r="J223" s="100">
        <v>7.57</v>
      </c>
      <c r="K223" s="98">
        <v>39114.11</v>
      </c>
      <c r="L223" t="s">
        <v>785</v>
      </c>
      <c r="O223" s="116">
        <f>K223</f>
        <v>39114.11</v>
      </c>
    </row>
    <row r="224" spans="1:15" hidden="1" x14ac:dyDescent="0.25">
      <c r="C224" s="10" t="s">
        <v>58</v>
      </c>
      <c r="H224" s="151">
        <v>5166.99</v>
      </c>
      <c r="I224" s="133"/>
      <c r="J224" s="151">
        <v>39114.11</v>
      </c>
      <c r="K224" s="133"/>
    </row>
    <row r="225" spans="1:15" hidden="1" x14ac:dyDescent="0.25"/>
    <row r="226" spans="1:15" ht="115.5" x14ac:dyDescent="0.25">
      <c r="A226" s="93">
        <v>49</v>
      </c>
      <c r="B226" s="94" t="s">
        <v>164</v>
      </c>
      <c r="C226" s="101" t="s">
        <v>165</v>
      </c>
      <c r="D226" s="96" t="s">
        <v>61</v>
      </c>
      <c r="E226" s="117">
        <v>1</v>
      </c>
      <c r="F226" s="98">
        <v>4207.07</v>
      </c>
      <c r="G226" s="99"/>
      <c r="H226" s="97" t="s">
        <v>50</v>
      </c>
      <c r="I226" s="98">
        <v>4207.07</v>
      </c>
      <c r="J226" s="100">
        <v>7.57</v>
      </c>
      <c r="K226" s="98">
        <v>31847.52</v>
      </c>
      <c r="L226" t="s">
        <v>785</v>
      </c>
      <c r="O226" s="116">
        <f>K226</f>
        <v>31847.52</v>
      </c>
    </row>
    <row r="227" spans="1:15" hidden="1" x14ac:dyDescent="0.25">
      <c r="C227" s="10" t="s">
        <v>58</v>
      </c>
      <c r="H227" s="151">
        <v>4207.07</v>
      </c>
      <c r="I227" s="133"/>
      <c r="J227" s="151">
        <v>31847.52</v>
      </c>
      <c r="K227" s="133"/>
    </row>
    <row r="228" spans="1:15" hidden="1" x14ac:dyDescent="0.25"/>
    <row r="229" spans="1:15" ht="115.5" x14ac:dyDescent="0.25">
      <c r="A229" s="93">
        <v>50</v>
      </c>
      <c r="B229" s="94" t="s">
        <v>166</v>
      </c>
      <c r="C229" s="101" t="s">
        <v>167</v>
      </c>
      <c r="D229" s="96" t="s">
        <v>61</v>
      </c>
      <c r="E229" s="117">
        <v>1</v>
      </c>
      <c r="F229" s="98">
        <v>5166.99</v>
      </c>
      <c r="G229" s="99"/>
      <c r="H229" s="97" t="s">
        <v>50</v>
      </c>
      <c r="I229" s="98">
        <v>5166.99</v>
      </c>
      <c r="J229" s="100">
        <v>7.57</v>
      </c>
      <c r="K229" s="98">
        <v>39114.11</v>
      </c>
      <c r="L229" t="s">
        <v>785</v>
      </c>
      <c r="O229" s="116">
        <f>K229</f>
        <v>39114.11</v>
      </c>
    </row>
    <row r="230" spans="1:15" hidden="1" x14ac:dyDescent="0.25">
      <c r="C230" s="10" t="s">
        <v>58</v>
      </c>
      <c r="H230" s="151">
        <v>5166.99</v>
      </c>
      <c r="I230" s="133"/>
      <c r="J230" s="151">
        <v>39114.11</v>
      </c>
      <c r="K230" s="133"/>
    </row>
    <row r="231" spans="1:15" hidden="1" x14ac:dyDescent="0.25"/>
    <row r="232" spans="1:15" ht="115.5" x14ac:dyDescent="0.25">
      <c r="A232" s="93">
        <v>51</v>
      </c>
      <c r="B232" s="94" t="s">
        <v>168</v>
      </c>
      <c r="C232" s="101" t="s">
        <v>169</v>
      </c>
      <c r="D232" s="96" t="s">
        <v>61</v>
      </c>
      <c r="E232" s="117">
        <v>1</v>
      </c>
      <c r="F232" s="98">
        <v>4207.07</v>
      </c>
      <c r="G232" s="99"/>
      <c r="H232" s="97" t="s">
        <v>50</v>
      </c>
      <c r="I232" s="98">
        <v>4207.07</v>
      </c>
      <c r="J232" s="100">
        <v>7.57</v>
      </c>
      <c r="K232" s="98">
        <v>31847.52</v>
      </c>
      <c r="L232" t="s">
        <v>785</v>
      </c>
      <c r="O232" s="116">
        <f>K232</f>
        <v>31847.52</v>
      </c>
    </row>
    <row r="233" spans="1:15" hidden="1" x14ac:dyDescent="0.25">
      <c r="C233" s="10" t="s">
        <v>58</v>
      </c>
      <c r="H233" s="151">
        <v>4207.07</v>
      </c>
      <c r="I233" s="133"/>
      <c r="J233" s="151">
        <v>31847.52</v>
      </c>
      <c r="K233" s="133"/>
    </row>
    <row r="234" spans="1:15" hidden="1" x14ac:dyDescent="0.25"/>
    <row r="235" spans="1:15" ht="115.5" x14ac:dyDescent="0.25">
      <c r="A235" s="93">
        <v>52</v>
      </c>
      <c r="B235" s="94" t="s">
        <v>170</v>
      </c>
      <c r="C235" s="101" t="s">
        <v>171</v>
      </c>
      <c r="D235" s="96" t="s">
        <v>61</v>
      </c>
      <c r="E235" s="117">
        <v>1</v>
      </c>
      <c r="F235" s="98">
        <v>22433.75</v>
      </c>
      <c r="G235" s="99"/>
      <c r="H235" s="97" t="s">
        <v>50</v>
      </c>
      <c r="I235" s="98">
        <v>22433.75</v>
      </c>
      <c r="J235" s="100">
        <v>7.57</v>
      </c>
      <c r="K235" s="98">
        <v>169823.49</v>
      </c>
      <c r="L235" t="s">
        <v>785</v>
      </c>
      <c r="O235" s="116">
        <f>K235</f>
        <v>169823.49</v>
      </c>
    </row>
    <row r="236" spans="1:15" hidden="1" x14ac:dyDescent="0.25">
      <c r="C236" s="10" t="s">
        <v>58</v>
      </c>
      <c r="H236" s="151">
        <v>22433.75</v>
      </c>
      <c r="I236" s="133"/>
      <c r="J236" s="151">
        <v>169823.49</v>
      </c>
      <c r="K236" s="133"/>
    </row>
    <row r="237" spans="1:15" hidden="1" x14ac:dyDescent="0.25"/>
    <row r="238" spans="1:15" ht="115.5" x14ac:dyDescent="0.25">
      <c r="A238" s="93">
        <v>53</v>
      </c>
      <c r="B238" s="94" t="s">
        <v>172</v>
      </c>
      <c r="C238" s="101" t="s">
        <v>173</v>
      </c>
      <c r="D238" s="96" t="s">
        <v>61</v>
      </c>
      <c r="E238" s="117">
        <v>1</v>
      </c>
      <c r="F238" s="98">
        <v>6885.37</v>
      </c>
      <c r="G238" s="99"/>
      <c r="H238" s="97" t="s">
        <v>50</v>
      </c>
      <c r="I238" s="98">
        <v>6885.37</v>
      </c>
      <c r="J238" s="100">
        <v>7.57</v>
      </c>
      <c r="K238" s="98">
        <v>52122.25</v>
      </c>
      <c r="L238" t="s">
        <v>785</v>
      </c>
      <c r="O238" s="116">
        <f>K238</f>
        <v>52122.25</v>
      </c>
    </row>
    <row r="239" spans="1:15" hidden="1" x14ac:dyDescent="0.25">
      <c r="C239" s="10" t="s">
        <v>58</v>
      </c>
      <c r="H239" s="151">
        <v>6885.37</v>
      </c>
      <c r="I239" s="133"/>
      <c r="J239" s="151">
        <v>52122.25</v>
      </c>
      <c r="K239" s="133"/>
    </row>
    <row r="240" spans="1:15" hidden="1" x14ac:dyDescent="0.25"/>
    <row r="241" spans="1:15" ht="115.5" x14ac:dyDescent="0.25">
      <c r="A241" s="93">
        <v>54</v>
      </c>
      <c r="B241" s="94" t="s">
        <v>174</v>
      </c>
      <c r="C241" s="101" t="s">
        <v>175</v>
      </c>
      <c r="D241" s="96" t="s">
        <v>61</v>
      </c>
      <c r="E241" s="117">
        <v>1</v>
      </c>
      <c r="F241" s="98">
        <v>24590.62</v>
      </c>
      <c r="G241" s="99"/>
      <c r="H241" s="97" t="s">
        <v>50</v>
      </c>
      <c r="I241" s="98">
        <v>24590.62</v>
      </c>
      <c r="J241" s="100">
        <v>7.57</v>
      </c>
      <c r="K241" s="98">
        <v>186150.99</v>
      </c>
      <c r="L241" t="s">
        <v>785</v>
      </c>
      <c r="O241" s="116">
        <f>K241</f>
        <v>186150.99</v>
      </c>
    </row>
    <row r="242" spans="1:15" hidden="1" x14ac:dyDescent="0.25">
      <c r="C242" s="10" t="s">
        <v>58</v>
      </c>
      <c r="H242" s="151">
        <v>24590.62</v>
      </c>
      <c r="I242" s="133"/>
      <c r="J242" s="151">
        <v>186150.99</v>
      </c>
      <c r="K242" s="133"/>
    </row>
    <row r="243" spans="1:15" hidden="1" x14ac:dyDescent="0.25"/>
    <row r="244" spans="1:15" ht="115.5" x14ac:dyDescent="0.25">
      <c r="A244" s="93">
        <v>55</v>
      </c>
      <c r="B244" s="94" t="s">
        <v>176</v>
      </c>
      <c r="C244" s="101" t="s">
        <v>177</v>
      </c>
      <c r="D244" s="96" t="s">
        <v>61</v>
      </c>
      <c r="E244" s="117">
        <v>1</v>
      </c>
      <c r="F244" s="98">
        <v>34829.79</v>
      </c>
      <c r="G244" s="99"/>
      <c r="H244" s="97" t="s">
        <v>50</v>
      </c>
      <c r="I244" s="98">
        <v>34829.79</v>
      </c>
      <c r="J244" s="100">
        <v>7.57</v>
      </c>
      <c r="K244" s="98">
        <v>263661.51</v>
      </c>
      <c r="L244" t="s">
        <v>785</v>
      </c>
      <c r="O244" s="116">
        <f>K244</f>
        <v>263661.51</v>
      </c>
    </row>
    <row r="245" spans="1:15" hidden="1" x14ac:dyDescent="0.25">
      <c r="C245" s="10" t="s">
        <v>58</v>
      </c>
      <c r="H245" s="151">
        <v>34829.79</v>
      </c>
      <c r="I245" s="133"/>
      <c r="J245" s="151">
        <v>263661.51</v>
      </c>
      <c r="K245" s="133"/>
    </row>
    <row r="246" spans="1:15" hidden="1" x14ac:dyDescent="0.25"/>
    <row r="247" spans="1:15" ht="115.5" x14ac:dyDescent="0.25">
      <c r="A247" s="93">
        <v>56</v>
      </c>
      <c r="B247" s="94" t="s">
        <v>178</v>
      </c>
      <c r="C247" s="101" t="s">
        <v>179</v>
      </c>
      <c r="D247" s="96" t="s">
        <v>61</v>
      </c>
      <c r="E247" s="117">
        <v>1</v>
      </c>
      <c r="F247" s="98">
        <v>42485.48</v>
      </c>
      <c r="G247" s="99"/>
      <c r="H247" s="97" t="s">
        <v>50</v>
      </c>
      <c r="I247" s="98">
        <v>42485.48</v>
      </c>
      <c r="J247" s="100">
        <v>7.57</v>
      </c>
      <c r="K247" s="98">
        <v>321615.08</v>
      </c>
      <c r="L247" t="s">
        <v>785</v>
      </c>
      <c r="O247" s="116">
        <f>K247</f>
        <v>321615.08</v>
      </c>
    </row>
    <row r="248" spans="1:15" hidden="1" x14ac:dyDescent="0.25">
      <c r="C248" s="10" t="s">
        <v>58</v>
      </c>
      <c r="H248" s="151">
        <v>42485.48</v>
      </c>
      <c r="I248" s="133"/>
      <c r="J248" s="151">
        <v>321615.08</v>
      </c>
      <c r="K248" s="133"/>
    </row>
    <row r="249" spans="1:15" hidden="1" x14ac:dyDescent="0.25"/>
    <row r="250" spans="1:15" ht="229.5" hidden="1" x14ac:dyDescent="0.25">
      <c r="A250" s="6">
        <v>57</v>
      </c>
      <c r="B250" s="4" t="s">
        <v>180</v>
      </c>
      <c r="C250" s="8" t="s">
        <v>181</v>
      </c>
      <c r="D250" s="16" t="s">
        <v>119</v>
      </c>
      <c r="E250" s="14">
        <v>1</v>
      </c>
    </row>
    <row r="251" spans="1:15" ht="26.25" hidden="1" x14ac:dyDescent="0.25">
      <c r="C251" s="5" t="s">
        <v>43</v>
      </c>
      <c r="F251" s="11">
        <v>583.45000000000005</v>
      </c>
      <c r="G251" s="15" t="s">
        <v>94</v>
      </c>
      <c r="H251" s="13">
        <v>1.0669999999999999</v>
      </c>
      <c r="I251" s="11">
        <v>902.06</v>
      </c>
      <c r="J251" s="13">
        <v>56.35</v>
      </c>
      <c r="K251" s="11">
        <v>50831.08</v>
      </c>
    </row>
    <row r="252" spans="1:15" ht="26.25" hidden="1" x14ac:dyDescent="0.25">
      <c r="C252" s="7" t="s">
        <v>45</v>
      </c>
      <c r="F252" s="11">
        <v>252.59</v>
      </c>
      <c r="G252" s="15" t="s">
        <v>95</v>
      </c>
      <c r="H252" s="13">
        <v>1.0669999999999999</v>
      </c>
      <c r="I252" s="11">
        <v>424.48</v>
      </c>
      <c r="J252" s="13">
        <v>15.52</v>
      </c>
      <c r="K252" s="11">
        <v>6587.93</v>
      </c>
    </row>
    <row r="253" spans="1:15" ht="26.25" hidden="1" x14ac:dyDescent="0.25">
      <c r="C253" s="7" t="s">
        <v>47</v>
      </c>
      <c r="F253" s="11">
        <v>29.83</v>
      </c>
      <c r="G253" s="15" t="s">
        <v>95</v>
      </c>
      <c r="H253" s="13">
        <v>1.0669999999999999</v>
      </c>
      <c r="I253" s="11">
        <v>50.13</v>
      </c>
      <c r="J253" s="13">
        <v>56.35</v>
      </c>
      <c r="K253" s="11">
        <v>2824.83</v>
      </c>
    </row>
    <row r="254" spans="1:15" hidden="1" x14ac:dyDescent="0.25">
      <c r="C254" s="7" t="s">
        <v>48</v>
      </c>
      <c r="F254" s="11">
        <v>467.49</v>
      </c>
      <c r="G254" s="15" t="s">
        <v>96</v>
      </c>
      <c r="H254" s="14" t="s">
        <v>50</v>
      </c>
      <c r="I254" s="11">
        <v>467.49</v>
      </c>
      <c r="J254" s="13">
        <v>4.92</v>
      </c>
      <c r="K254" s="11">
        <v>2300.0500000000002</v>
      </c>
    </row>
    <row r="255" spans="1:15" hidden="1" x14ac:dyDescent="0.25">
      <c r="C255" s="7" t="s">
        <v>51</v>
      </c>
      <c r="D255" s="11" t="s">
        <v>52</v>
      </c>
      <c r="E255" s="14">
        <v>109</v>
      </c>
      <c r="I255" s="11">
        <v>1037.8900000000001</v>
      </c>
      <c r="J255" s="14">
        <v>109</v>
      </c>
      <c r="K255" s="11">
        <v>58484.94</v>
      </c>
    </row>
    <row r="256" spans="1:15" hidden="1" x14ac:dyDescent="0.25">
      <c r="C256" s="7" t="s">
        <v>53</v>
      </c>
      <c r="D256" s="11" t="s">
        <v>52</v>
      </c>
      <c r="E256" s="14">
        <v>61</v>
      </c>
      <c r="I256" s="11">
        <v>580.84</v>
      </c>
      <c r="J256" s="14">
        <v>61</v>
      </c>
      <c r="K256" s="11">
        <v>32730.11</v>
      </c>
    </row>
    <row r="257" spans="1:15" ht="26.25" hidden="1" x14ac:dyDescent="0.25">
      <c r="C257" s="7" t="s">
        <v>54</v>
      </c>
      <c r="D257" s="11" t="s">
        <v>55</v>
      </c>
      <c r="E257" s="13">
        <v>48.5</v>
      </c>
      <c r="G257" s="15" t="s">
        <v>94</v>
      </c>
      <c r="H257" s="13">
        <v>1.0669999999999999</v>
      </c>
      <c r="I257" s="12">
        <v>74.985025500000006</v>
      </c>
    </row>
    <row r="258" spans="1:15" hidden="1" x14ac:dyDescent="0.25">
      <c r="A258" s="22"/>
      <c r="B258" s="22"/>
      <c r="C258" s="22" t="s">
        <v>56</v>
      </c>
      <c r="D258" s="22"/>
      <c r="E258" s="22"/>
      <c r="F258" s="22"/>
      <c r="G258" s="22"/>
      <c r="H258" s="149">
        <v>3412.76</v>
      </c>
      <c r="I258" s="150"/>
      <c r="J258" s="149">
        <v>150934.10999999999</v>
      </c>
      <c r="K258" s="150"/>
    </row>
    <row r="259" spans="1:15" hidden="1" x14ac:dyDescent="0.25">
      <c r="C259" s="10" t="s">
        <v>57</v>
      </c>
      <c r="H259" s="151">
        <v>0</v>
      </c>
      <c r="I259" s="133"/>
      <c r="J259" s="151">
        <v>0</v>
      </c>
      <c r="K259" s="133"/>
    </row>
    <row r="260" spans="1:15" hidden="1" x14ac:dyDescent="0.25">
      <c r="C260" s="10" t="s">
        <v>58</v>
      </c>
      <c r="H260" s="151">
        <v>3412.76</v>
      </c>
      <c r="I260" s="133"/>
      <c r="J260" s="151">
        <v>150934.10999999999</v>
      </c>
      <c r="K260" s="133"/>
    </row>
    <row r="261" spans="1:15" hidden="1" x14ac:dyDescent="0.25"/>
    <row r="262" spans="1:15" ht="115.5" x14ac:dyDescent="0.25">
      <c r="A262" s="93">
        <v>58</v>
      </c>
      <c r="B262" s="94" t="s">
        <v>182</v>
      </c>
      <c r="C262" s="101" t="s">
        <v>183</v>
      </c>
      <c r="D262" s="96" t="s">
        <v>61</v>
      </c>
      <c r="E262" s="117">
        <v>1</v>
      </c>
      <c r="F262" s="98">
        <v>43066.17</v>
      </c>
      <c r="G262" s="99"/>
      <c r="H262" s="97" t="s">
        <v>50</v>
      </c>
      <c r="I262" s="98">
        <v>43066.17</v>
      </c>
      <c r="J262" s="100">
        <v>7.57</v>
      </c>
      <c r="K262" s="98">
        <v>326010.90999999997</v>
      </c>
      <c r="L262" t="s">
        <v>785</v>
      </c>
      <c r="O262" s="116">
        <f>K262</f>
        <v>326010.90999999997</v>
      </c>
    </row>
    <row r="263" spans="1:15" hidden="1" x14ac:dyDescent="0.25">
      <c r="C263" s="10" t="s">
        <v>58</v>
      </c>
      <c r="H263" s="151">
        <v>43066.17</v>
      </c>
      <c r="I263" s="133"/>
      <c r="J263" s="151">
        <v>326010.90999999997</v>
      </c>
      <c r="K263" s="133"/>
    </row>
    <row r="264" spans="1:15" hidden="1" x14ac:dyDescent="0.25"/>
    <row r="265" spans="1:15" ht="15.95" hidden="1" customHeight="1" x14ac:dyDescent="0.25">
      <c r="A265" s="148" t="s">
        <v>184</v>
      </c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</row>
    <row r="266" spans="1:15" hidden="1" x14ac:dyDescent="0.25"/>
    <row r="267" spans="1:15" ht="229.5" hidden="1" x14ac:dyDescent="0.25">
      <c r="A267" s="6">
        <v>59</v>
      </c>
      <c r="B267" s="4" t="s">
        <v>185</v>
      </c>
      <c r="C267" s="8" t="s">
        <v>186</v>
      </c>
      <c r="D267" s="16" t="s">
        <v>187</v>
      </c>
      <c r="E267" s="13">
        <v>0.3</v>
      </c>
    </row>
    <row r="268" spans="1:15" ht="25.5" hidden="1" x14ac:dyDescent="0.25">
      <c r="C268" s="9" t="s">
        <v>188</v>
      </c>
    </row>
    <row r="269" spans="1:15" ht="26.25" hidden="1" x14ac:dyDescent="0.25">
      <c r="C269" s="5" t="s">
        <v>43</v>
      </c>
      <c r="F269" s="11">
        <v>348.82</v>
      </c>
      <c r="G269" s="15" t="s">
        <v>94</v>
      </c>
      <c r="H269" s="13">
        <v>1.0669999999999999</v>
      </c>
      <c r="I269" s="11">
        <v>161.79</v>
      </c>
      <c r="J269" s="13">
        <v>56.35</v>
      </c>
      <c r="K269" s="11">
        <v>9116.8700000000008</v>
      </c>
    </row>
    <row r="270" spans="1:15" ht="26.25" hidden="1" x14ac:dyDescent="0.25">
      <c r="C270" s="7" t="s">
        <v>45</v>
      </c>
      <c r="F270" s="11">
        <v>20</v>
      </c>
      <c r="G270" s="15" t="s">
        <v>95</v>
      </c>
      <c r="H270" s="13">
        <v>1.0669999999999999</v>
      </c>
      <c r="I270" s="11">
        <v>10.08</v>
      </c>
      <c r="J270" s="13">
        <v>16.75</v>
      </c>
      <c r="K270" s="11">
        <v>168.84</v>
      </c>
    </row>
    <row r="271" spans="1:15" ht="26.25" hidden="1" x14ac:dyDescent="0.25">
      <c r="C271" s="7" t="s">
        <v>47</v>
      </c>
      <c r="F271" s="11">
        <v>2.9</v>
      </c>
      <c r="G271" s="15" t="s">
        <v>95</v>
      </c>
      <c r="H271" s="13">
        <v>1.0669999999999999</v>
      </c>
      <c r="I271" s="11">
        <v>1.46</v>
      </c>
      <c r="J271" s="13">
        <v>56.35</v>
      </c>
      <c r="K271" s="11">
        <v>82.27</v>
      </c>
    </row>
    <row r="272" spans="1:15" hidden="1" x14ac:dyDescent="0.25">
      <c r="C272" s="7" t="s">
        <v>48</v>
      </c>
      <c r="F272" s="11">
        <v>141</v>
      </c>
      <c r="G272" s="15" t="s">
        <v>96</v>
      </c>
      <c r="H272" s="14" t="s">
        <v>50</v>
      </c>
      <c r="I272" s="11">
        <v>42.3</v>
      </c>
      <c r="J272" s="13">
        <v>2.25</v>
      </c>
      <c r="K272" s="11">
        <v>95.18</v>
      </c>
    </row>
    <row r="273" spans="1:15" hidden="1" x14ac:dyDescent="0.25">
      <c r="C273" s="7" t="s">
        <v>51</v>
      </c>
      <c r="D273" s="11" t="s">
        <v>52</v>
      </c>
      <c r="E273" s="14">
        <v>109</v>
      </c>
      <c r="I273" s="11">
        <v>177.94</v>
      </c>
      <c r="J273" s="14">
        <v>109</v>
      </c>
      <c r="K273" s="11">
        <v>10027.06</v>
      </c>
    </row>
    <row r="274" spans="1:15" hidden="1" x14ac:dyDescent="0.25">
      <c r="C274" s="7" t="s">
        <v>53</v>
      </c>
      <c r="D274" s="11" t="s">
        <v>52</v>
      </c>
      <c r="E274" s="14">
        <v>61</v>
      </c>
      <c r="I274" s="11">
        <v>99.58</v>
      </c>
      <c r="J274" s="14">
        <v>61</v>
      </c>
      <c r="K274" s="11">
        <v>5611.48</v>
      </c>
    </row>
    <row r="275" spans="1:15" ht="26.25" hidden="1" x14ac:dyDescent="0.25">
      <c r="C275" s="7" t="s">
        <v>54</v>
      </c>
      <c r="D275" s="11" t="s">
        <v>55</v>
      </c>
      <c r="E275" s="13">
        <v>29.78</v>
      </c>
      <c r="G275" s="15" t="s">
        <v>94</v>
      </c>
      <c r="H275" s="13">
        <v>1.0669999999999999</v>
      </c>
      <c r="I275" s="12">
        <v>13.812705522</v>
      </c>
    </row>
    <row r="276" spans="1:15" hidden="1" x14ac:dyDescent="0.25">
      <c r="A276" s="23"/>
      <c r="B276" s="23"/>
      <c r="C276" s="23" t="s">
        <v>56</v>
      </c>
      <c r="D276" s="23"/>
      <c r="E276" s="23"/>
      <c r="F276" s="23"/>
      <c r="G276" s="23"/>
      <c r="H276" s="149">
        <v>491.69</v>
      </c>
      <c r="I276" s="150"/>
      <c r="J276" s="149">
        <v>25019.43</v>
      </c>
      <c r="K276" s="150"/>
    </row>
    <row r="277" spans="1:15" hidden="1" x14ac:dyDescent="0.25">
      <c r="C277" s="10" t="s">
        <v>57</v>
      </c>
      <c r="H277" s="151">
        <v>0</v>
      </c>
      <c r="I277" s="133"/>
      <c r="J277" s="151">
        <v>0</v>
      </c>
      <c r="K277" s="133"/>
    </row>
    <row r="278" spans="1:15" hidden="1" x14ac:dyDescent="0.25">
      <c r="C278" s="10" t="s">
        <v>58</v>
      </c>
      <c r="H278" s="151">
        <v>491.69</v>
      </c>
      <c r="I278" s="133"/>
      <c r="J278" s="151">
        <v>25019.43</v>
      </c>
      <c r="K278" s="133"/>
    </row>
    <row r="279" spans="1:15" hidden="1" x14ac:dyDescent="0.25"/>
    <row r="280" spans="1:15" ht="102.75" x14ac:dyDescent="0.25">
      <c r="A280" s="93">
        <v>60</v>
      </c>
      <c r="B280" s="94" t="s">
        <v>189</v>
      </c>
      <c r="C280" s="118" t="s">
        <v>190</v>
      </c>
      <c r="D280" s="96" t="s">
        <v>61</v>
      </c>
      <c r="E280" s="117">
        <v>3</v>
      </c>
      <c r="F280" s="98">
        <v>3994.31</v>
      </c>
      <c r="G280" s="99"/>
      <c r="H280" s="97" t="s">
        <v>50</v>
      </c>
      <c r="I280" s="98">
        <v>11982.93</v>
      </c>
      <c r="J280" s="100">
        <v>7.57</v>
      </c>
      <c r="K280" s="98">
        <v>90710.78</v>
      </c>
      <c r="L280" t="s">
        <v>785</v>
      </c>
      <c r="O280" s="116">
        <f>K280</f>
        <v>90710.78</v>
      </c>
    </row>
    <row r="281" spans="1:15" hidden="1" x14ac:dyDescent="0.25">
      <c r="C281" s="10" t="s">
        <v>58</v>
      </c>
      <c r="H281" s="151">
        <v>11982.93</v>
      </c>
      <c r="I281" s="133"/>
      <c r="J281" s="151">
        <v>90710.78</v>
      </c>
      <c r="K281" s="133"/>
    </row>
    <row r="282" spans="1:15" hidden="1" x14ac:dyDescent="0.25"/>
    <row r="283" spans="1:15" ht="15.95" hidden="1" customHeight="1" x14ac:dyDescent="0.25">
      <c r="A283" s="148" t="s">
        <v>191</v>
      </c>
      <c r="B283" s="133"/>
      <c r="C283" s="133"/>
      <c r="D283" s="133"/>
      <c r="E283" s="133"/>
      <c r="F283" s="133"/>
      <c r="G283" s="133"/>
      <c r="H283" s="133"/>
      <c r="I283" s="133"/>
      <c r="J283" s="133"/>
      <c r="K283" s="133"/>
    </row>
    <row r="284" spans="1:15" hidden="1" x14ac:dyDescent="0.25"/>
    <row r="285" spans="1:15" ht="229.5" hidden="1" x14ac:dyDescent="0.25">
      <c r="A285" s="6">
        <v>61</v>
      </c>
      <c r="B285" s="4" t="s">
        <v>192</v>
      </c>
      <c r="C285" s="8" t="s">
        <v>193</v>
      </c>
      <c r="D285" s="16" t="s">
        <v>194</v>
      </c>
      <c r="E285" s="14">
        <v>4</v>
      </c>
    </row>
    <row r="286" spans="1:15" ht="25.5" hidden="1" x14ac:dyDescent="0.25">
      <c r="C286" s="9" t="s">
        <v>195</v>
      </c>
    </row>
    <row r="287" spans="1:15" ht="26.25" hidden="1" x14ac:dyDescent="0.25">
      <c r="C287" s="5" t="s">
        <v>43</v>
      </c>
      <c r="F287" s="11">
        <v>1099.23</v>
      </c>
      <c r="G287" s="15" t="s">
        <v>44</v>
      </c>
      <c r="H287" s="13">
        <v>1.0669999999999999</v>
      </c>
      <c r="I287" s="11">
        <v>6798</v>
      </c>
      <c r="J287" s="13">
        <v>56.35</v>
      </c>
      <c r="K287" s="11">
        <v>383067.3</v>
      </c>
    </row>
    <row r="288" spans="1:15" ht="26.25" hidden="1" x14ac:dyDescent="0.25">
      <c r="C288" s="7" t="s">
        <v>45</v>
      </c>
      <c r="F288" s="11">
        <v>73.2</v>
      </c>
      <c r="G288" s="15" t="s">
        <v>46</v>
      </c>
      <c r="H288" s="13">
        <v>1.0669999999999999</v>
      </c>
      <c r="I288" s="11">
        <v>492.06</v>
      </c>
      <c r="J288" s="13">
        <v>14.97</v>
      </c>
      <c r="K288" s="11">
        <v>7366.14</v>
      </c>
    </row>
    <row r="289" spans="1:11" ht="26.25" hidden="1" x14ac:dyDescent="0.25">
      <c r="C289" s="7" t="s">
        <v>47</v>
      </c>
      <c r="F289" s="11">
        <v>7.85</v>
      </c>
      <c r="G289" s="15" t="s">
        <v>46</v>
      </c>
      <c r="H289" s="13">
        <v>1.0669999999999999</v>
      </c>
      <c r="I289" s="11">
        <v>52.77</v>
      </c>
      <c r="J289" s="13">
        <v>56.35</v>
      </c>
      <c r="K289" s="11">
        <v>2973.59</v>
      </c>
    </row>
    <row r="290" spans="1:11" hidden="1" x14ac:dyDescent="0.25">
      <c r="C290" s="7" t="s">
        <v>48</v>
      </c>
      <c r="F290" s="11">
        <v>173.3</v>
      </c>
      <c r="G290" s="15" t="s">
        <v>96</v>
      </c>
      <c r="H290" s="14" t="s">
        <v>50</v>
      </c>
      <c r="I290" s="11">
        <v>693.2</v>
      </c>
      <c r="J290" s="13">
        <v>4.13</v>
      </c>
      <c r="K290" s="11">
        <v>2862.92</v>
      </c>
    </row>
    <row r="291" spans="1:11" ht="229.5" hidden="1" x14ac:dyDescent="0.25">
      <c r="A291" s="6" t="s">
        <v>196</v>
      </c>
      <c r="B291" s="4" t="s">
        <v>197</v>
      </c>
      <c r="C291" s="8" t="s">
        <v>198</v>
      </c>
      <c r="D291" s="16" t="s">
        <v>199</v>
      </c>
      <c r="E291" s="14">
        <v>400</v>
      </c>
      <c r="F291" s="11">
        <v>125.58</v>
      </c>
      <c r="G291" s="15" t="s">
        <v>96</v>
      </c>
      <c r="H291" s="14" t="s">
        <v>50</v>
      </c>
      <c r="I291" s="11">
        <v>50232</v>
      </c>
      <c r="J291" s="13">
        <v>8.5</v>
      </c>
      <c r="K291" s="11">
        <v>426972</v>
      </c>
    </row>
    <row r="292" spans="1:11" hidden="1" x14ac:dyDescent="0.25">
      <c r="C292" s="7" t="s">
        <v>51</v>
      </c>
      <c r="D292" s="11" t="s">
        <v>52</v>
      </c>
      <c r="E292" s="14">
        <v>109</v>
      </c>
      <c r="I292" s="11">
        <v>7467.34</v>
      </c>
      <c r="J292" s="14">
        <v>109</v>
      </c>
      <c r="K292" s="11">
        <v>420784.57</v>
      </c>
    </row>
    <row r="293" spans="1:11" hidden="1" x14ac:dyDescent="0.25">
      <c r="C293" s="7" t="s">
        <v>53</v>
      </c>
      <c r="D293" s="11" t="s">
        <v>52</v>
      </c>
      <c r="E293" s="14">
        <v>61</v>
      </c>
      <c r="I293" s="11">
        <v>4178.97</v>
      </c>
      <c r="J293" s="14">
        <v>61</v>
      </c>
      <c r="K293" s="11">
        <v>235484.94</v>
      </c>
    </row>
    <row r="294" spans="1:11" ht="26.25" hidden="1" x14ac:dyDescent="0.25">
      <c r="C294" s="7" t="s">
        <v>54</v>
      </c>
      <c r="D294" s="11" t="s">
        <v>55</v>
      </c>
      <c r="E294" s="13">
        <v>92.16</v>
      </c>
      <c r="G294" s="15" t="s">
        <v>44</v>
      </c>
      <c r="H294" s="13">
        <v>1.0669999999999999</v>
      </c>
      <c r="I294" s="12">
        <v>569.94803711999998</v>
      </c>
    </row>
    <row r="295" spans="1:11" hidden="1" x14ac:dyDescent="0.25">
      <c r="A295" s="24"/>
      <c r="B295" s="24"/>
      <c r="C295" s="24" t="s">
        <v>56</v>
      </c>
      <c r="D295" s="24"/>
      <c r="E295" s="24"/>
      <c r="F295" s="24"/>
      <c r="G295" s="24"/>
      <c r="H295" s="149">
        <v>69861.570000000007</v>
      </c>
      <c r="I295" s="150"/>
      <c r="J295" s="149">
        <v>1476537.87</v>
      </c>
      <c r="K295" s="150"/>
    </row>
    <row r="296" spans="1:11" hidden="1" x14ac:dyDescent="0.25">
      <c r="C296" s="10" t="s">
        <v>57</v>
      </c>
      <c r="H296" s="151">
        <v>0</v>
      </c>
      <c r="I296" s="133"/>
      <c r="J296" s="151">
        <v>0</v>
      </c>
      <c r="K296" s="133"/>
    </row>
    <row r="297" spans="1:11" hidden="1" x14ac:dyDescent="0.25">
      <c r="C297" s="10" t="s">
        <v>58</v>
      </c>
      <c r="H297" s="151">
        <v>69861.570000000007</v>
      </c>
      <c r="I297" s="133"/>
      <c r="J297" s="151">
        <v>1476537.87</v>
      </c>
      <c r="K297" s="133"/>
    </row>
    <row r="298" spans="1:11" hidden="1" x14ac:dyDescent="0.25"/>
    <row r="299" spans="1:11" ht="229.5" hidden="1" x14ac:dyDescent="0.25">
      <c r="A299" s="6">
        <v>62</v>
      </c>
      <c r="B299" s="4" t="s">
        <v>200</v>
      </c>
      <c r="C299" s="8" t="s">
        <v>201</v>
      </c>
      <c r="D299" s="16" t="s">
        <v>194</v>
      </c>
      <c r="E299" s="13">
        <v>8.09</v>
      </c>
    </row>
    <row r="300" spans="1:11" ht="38.25" hidden="1" x14ac:dyDescent="0.25">
      <c r="C300" s="9" t="s">
        <v>202</v>
      </c>
    </row>
    <row r="301" spans="1:11" ht="26.25" hidden="1" x14ac:dyDescent="0.25">
      <c r="C301" s="5" t="s">
        <v>43</v>
      </c>
      <c r="F301" s="11">
        <v>731.49</v>
      </c>
      <c r="G301" s="15" t="s">
        <v>44</v>
      </c>
      <c r="H301" s="13">
        <v>1.0669999999999999</v>
      </c>
      <c r="I301" s="11">
        <v>9149.34</v>
      </c>
      <c r="J301" s="13">
        <v>56.35</v>
      </c>
      <c r="K301" s="11">
        <v>515565.31</v>
      </c>
    </row>
    <row r="302" spans="1:11" ht="26.25" hidden="1" x14ac:dyDescent="0.25">
      <c r="C302" s="7" t="s">
        <v>45</v>
      </c>
      <c r="F302" s="11">
        <v>67.03</v>
      </c>
      <c r="G302" s="15" t="s">
        <v>46</v>
      </c>
      <c r="H302" s="13">
        <v>1.0669999999999999</v>
      </c>
      <c r="I302" s="11">
        <v>911.3</v>
      </c>
      <c r="J302" s="14">
        <v>15</v>
      </c>
      <c r="K302" s="11">
        <v>13669.5</v>
      </c>
    </row>
    <row r="303" spans="1:11" ht="26.25" hidden="1" x14ac:dyDescent="0.25">
      <c r="C303" s="7" t="s">
        <v>47</v>
      </c>
      <c r="F303" s="11">
        <v>7.22</v>
      </c>
      <c r="G303" s="15" t="s">
        <v>46</v>
      </c>
      <c r="H303" s="13">
        <v>1.0669999999999999</v>
      </c>
      <c r="I303" s="11">
        <v>98.16</v>
      </c>
      <c r="J303" s="13">
        <v>56.35</v>
      </c>
      <c r="K303" s="11">
        <v>5531.32</v>
      </c>
    </row>
    <row r="304" spans="1:11" hidden="1" x14ac:dyDescent="0.25">
      <c r="C304" s="7" t="s">
        <v>48</v>
      </c>
      <c r="F304" s="11">
        <v>99.09</v>
      </c>
      <c r="G304" s="15" t="s">
        <v>96</v>
      </c>
      <c r="H304" s="14" t="s">
        <v>50</v>
      </c>
      <c r="I304" s="11">
        <v>801.64</v>
      </c>
      <c r="J304" s="13">
        <v>3.96</v>
      </c>
      <c r="K304" s="11">
        <v>3174.49</v>
      </c>
    </row>
    <row r="305" spans="1:11" ht="90" hidden="1" x14ac:dyDescent="0.25">
      <c r="A305" s="6" t="s">
        <v>203</v>
      </c>
      <c r="B305" s="4" t="s">
        <v>204</v>
      </c>
      <c r="C305" s="8" t="s">
        <v>205</v>
      </c>
      <c r="D305" s="16" t="s">
        <v>199</v>
      </c>
      <c r="E305" s="14">
        <v>809</v>
      </c>
      <c r="F305" s="11">
        <v>157.47999999999999</v>
      </c>
      <c r="H305" s="14" t="s">
        <v>50</v>
      </c>
      <c r="I305" s="11">
        <v>127401.32</v>
      </c>
      <c r="J305" s="13">
        <v>6.78</v>
      </c>
      <c r="K305" s="11">
        <v>863780.95</v>
      </c>
    </row>
    <row r="306" spans="1:11" hidden="1" x14ac:dyDescent="0.25">
      <c r="C306" s="7" t="s">
        <v>51</v>
      </c>
      <c r="D306" s="11" t="s">
        <v>52</v>
      </c>
      <c r="E306" s="14">
        <v>109</v>
      </c>
      <c r="I306" s="11">
        <v>10079.780000000001</v>
      </c>
      <c r="J306" s="14">
        <v>109</v>
      </c>
      <c r="K306" s="11">
        <v>567995.32999999996</v>
      </c>
    </row>
    <row r="307" spans="1:11" hidden="1" x14ac:dyDescent="0.25">
      <c r="C307" s="7" t="s">
        <v>53</v>
      </c>
      <c r="D307" s="11" t="s">
        <v>52</v>
      </c>
      <c r="E307" s="14">
        <v>61</v>
      </c>
      <c r="I307" s="11">
        <v>5640.98</v>
      </c>
      <c r="J307" s="14">
        <v>61</v>
      </c>
      <c r="K307" s="11">
        <v>317868.94</v>
      </c>
    </row>
    <row r="308" spans="1:11" ht="26.25" hidden="1" x14ac:dyDescent="0.25">
      <c r="C308" s="7" t="s">
        <v>54</v>
      </c>
      <c r="D308" s="11" t="s">
        <v>55</v>
      </c>
      <c r="E308" s="13">
        <v>61.37</v>
      </c>
      <c r="G308" s="15" t="s">
        <v>44</v>
      </c>
      <c r="H308" s="13">
        <v>1.0669999999999999</v>
      </c>
      <c r="I308" s="12">
        <v>767.60438991390004</v>
      </c>
    </row>
    <row r="309" spans="1:11" hidden="1" x14ac:dyDescent="0.25">
      <c r="A309" s="25"/>
      <c r="B309" s="25"/>
      <c r="C309" s="25" t="s">
        <v>56</v>
      </c>
      <c r="D309" s="25"/>
      <c r="E309" s="25"/>
      <c r="F309" s="25"/>
      <c r="G309" s="25"/>
      <c r="H309" s="149">
        <v>153984.35999999999</v>
      </c>
      <c r="I309" s="150"/>
      <c r="J309" s="149">
        <v>2282054.52</v>
      </c>
      <c r="K309" s="150"/>
    </row>
    <row r="310" spans="1:11" hidden="1" x14ac:dyDescent="0.25">
      <c r="C310" s="10" t="s">
        <v>57</v>
      </c>
      <c r="H310" s="151">
        <v>0</v>
      </c>
      <c r="I310" s="133"/>
      <c r="J310" s="151">
        <v>0</v>
      </c>
      <c r="K310" s="133"/>
    </row>
    <row r="311" spans="1:11" hidden="1" x14ac:dyDescent="0.25">
      <c r="C311" s="10" t="s">
        <v>58</v>
      </c>
      <c r="H311" s="151">
        <v>153984.35999999999</v>
      </c>
      <c r="I311" s="133"/>
      <c r="J311" s="151">
        <v>2282054.52</v>
      </c>
      <c r="K311" s="133"/>
    </row>
    <row r="312" spans="1:11" hidden="1" x14ac:dyDescent="0.25"/>
    <row r="313" spans="1:11" ht="179.25" hidden="1" x14ac:dyDescent="0.25">
      <c r="A313" s="6">
        <v>63</v>
      </c>
      <c r="B313" s="4" t="s">
        <v>206</v>
      </c>
      <c r="C313" s="8" t="s">
        <v>207</v>
      </c>
      <c r="D313" s="16" t="s">
        <v>194</v>
      </c>
      <c r="E313" s="13">
        <v>5.84</v>
      </c>
    </row>
    <row r="314" spans="1:11" ht="38.25" hidden="1" x14ac:dyDescent="0.25">
      <c r="C314" s="9" t="s">
        <v>208</v>
      </c>
    </row>
    <row r="315" spans="1:11" ht="26.25" hidden="1" x14ac:dyDescent="0.25">
      <c r="C315" s="5" t="s">
        <v>43</v>
      </c>
      <c r="F315" s="11">
        <v>538.16</v>
      </c>
      <c r="G315" s="15" t="s">
        <v>209</v>
      </c>
      <c r="H315" s="13">
        <v>1.0669999999999999</v>
      </c>
      <c r="I315" s="11">
        <v>4225.32</v>
      </c>
      <c r="J315" s="13">
        <v>56.35</v>
      </c>
      <c r="K315" s="11">
        <v>238096.78</v>
      </c>
    </row>
    <row r="316" spans="1:11" ht="26.25" hidden="1" x14ac:dyDescent="0.25">
      <c r="C316" s="7" t="s">
        <v>45</v>
      </c>
      <c r="F316" s="11">
        <v>63.15</v>
      </c>
      <c r="G316" s="15" t="s">
        <v>209</v>
      </c>
      <c r="H316" s="13">
        <v>1.0669999999999999</v>
      </c>
      <c r="I316" s="11">
        <v>495.82</v>
      </c>
      <c r="J316" s="13">
        <v>15.04</v>
      </c>
      <c r="K316" s="11">
        <v>7457.13</v>
      </c>
    </row>
    <row r="317" spans="1:11" ht="26.25" hidden="1" x14ac:dyDescent="0.25">
      <c r="C317" s="7" t="s">
        <v>47</v>
      </c>
      <c r="F317" s="11">
        <v>6.84</v>
      </c>
      <c r="G317" s="15" t="s">
        <v>209</v>
      </c>
      <c r="H317" s="13">
        <v>1.0669999999999999</v>
      </c>
      <c r="I317" s="11">
        <v>53.7</v>
      </c>
      <c r="J317" s="13">
        <v>56.35</v>
      </c>
      <c r="K317" s="11">
        <v>3026</v>
      </c>
    </row>
    <row r="318" spans="1:11" hidden="1" x14ac:dyDescent="0.25">
      <c r="C318" s="7" t="s">
        <v>48</v>
      </c>
      <c r="F318" s="11">
        <v>71.459999999999994</v>
      </c>
      <c r="G318" s="15" t="s">
        <v>49</v>
      </c>
      <c r="H318" s="14" t="s">
        <v>50</v>
      </c>
      <c r="I318" s="11">
        <v>417.33</v>
      </c>
      <c r="J318" s="13">
        <v>3.84</v>
      </c>
      <c r="K318" s="11">
        <v>1602.55</v>
      </c>
    </row>
    <row r="319" spans="1:11" ht="90" hidden="1" x14ac:dyDescent="0.25">
      <c r="A319" s="6" t="s">
        <v>210</v>
      </c>
      <c r="B319" s="4" t="s">
        <v>204</v>
      </c>
      <c r="C319" s="8" t="s">
        <v>205</v>
      </c>
      <c r="D319" s="16" t="s">
        <v>199</v>
      </c>
      <c r="E319" s="14">
        <v>584</v>
      </c>
      <c r="F319" s="11">
        <v>157.47999999999999</v>
      </c>
      <c r="H319" s="14" t="s">
        <v>50</v>
      </c>
      <c r="I319" s="11">
        <v>91968.320000000007</v>
      </c>
      <c r="J319" s="13">
        <v>6.78</v>
      </c>
      <c r="K319" s="11">
        <v>623545.21</v>
      </c>
    </row>
    <row r="320" spans="1:11" hidden="1" x14ac:dyDescent="0.25">
      <c r="C320" s="7" t="s">
        <v>51</v>
      </c>
      <c r="D320" s="11" t="s">
        <v>52</v>
      </c>
      <c r="E320" s="14">
        <v>109</v>
      </c>
      <c r="I320" s="11">
        <v>4664.13</v>
      </c>
      <c r="J320" s="14">
        <v>109</v>
      </c>
      <c r="K320" s="11">
        <v>262823.83</v>
      </c>
    </row>
    <row r="321" spans="1:11" hidden="1" x14ac:dyDescent="0.25">
      <c r="C321" s="7" t="s">
        <v>53</v>
      </c>
      <c r="D321" s="11" t="s">
        <v>52</v>
      </c>
      <c r="E321" s="14">
        <v>61</v>
      </c>
      <c r="I321" s="11">
        <v>2610.1999999999998</v>
      </c>
      <c r="J321" s="14">
        <v>61</v>
      </c>
      <c r="K321" s="11">
        <v>147084.9</v>
      </c>
    </row>
    <row r="322" spans="1:11" ht="26.25" hidden="1" x14ac:dyDescent="0.25">
      <c r="C322" s="7" t="s">
        <v>54</v>
      </c>
      <c r="D322" s="11" t="s">
        <v>55</v>
      </c>
      <c r="E322" s="13">
        <v>45.18</v>
      </c>
      <c r="G322" s="15" t="s">
        <v>209</v>
      </c>
      <c r="H322" s="13">
        <v>1.0669999999999999</v>
      </c>
      <c r="I322" s="12">
        <v>354.72683030399998</v>
      </c>
    </row>
    <row r="323" spans="1:11" hidden="1" x14ac:dyDescent="0.25">
      <c r="A323" s="26"/>
      <c r="B323" s="26"/>
      <c r="C323" s="26" t="s">
        <v>56</v>
      </c>
      <c r="D323" s="26"/>
      <c r="E323" s="26"/>
      <c r="F323" s="26"/>
      <c r="G323" s="26"/>
      <c r="H323" s="149">
        <v>104381.12</v>
      </c>
      <c r="I323" s="150"/>
      <c r="J323" s="149">
        <v>1280610.3999999999</v>
      </c>
      <c r="K323" s="150"/>
    </row>
    <row r="324" spans="1:11" hidden="1" x14ac:dyDescent="0.25">
      <c r="C324" s="10" t="s">
        <v>57</v>
      </c>
      <c r="H324" s="151">
        <v>0</v>
      </c>
      <c r="I324" s="133"/>
      <c r="J324" s="151">
        <v>0</v>
      </c>
      <c r="K324" s="133"/>
    </row>
    <row r="325" spans="1:11" hidden="1" x14ac:dyDescent="0.25">
      <c r="C325" s="10" t="s">
        <v>58</v>
      </c>
      <c r="H325" s="151">
        <v>104381.12</v>
      </c>
      <c r="I325" s="133"/>
      <c r="J325" s="151">
        <v>1280610.3999999999</v>
      </c>
      <c r="K325" s="133"/>
    </row>
    <row r="326" spans="1:11" hidden="1" x14ac:dyDescent="0.25"/>
    <row r="327" spans="1:11" ht="229.5" hidden="1" x14ac:dyDescent="0.25">
      <c r="A327" s="6">
        <v>64</v>
      </c>
      <c r="B327" s="4" t="s">
        <v>211</v>
      </c>
      <c r="C327" s="8" t="s">
        <v>212</v>
      </c>
      <c r="D327" s="16" t="s">
        <v>194</v>
      </c>
      <c r="E327" s="13">
        <v>2.02</v>
      </c>
    </row>
    <row r="328" spans="1:11" ht="38.25" hidden="1" x14ac:dyDescent="0.25">
      <c r="C328" s="9" t="s">
        <v>213</v>
      </c>
    </row>
    <row r="329" spans="1:11" ht="26.25" hidden="1" x14ac:dyDescent="0.25">
      <c r="C329" s="5" t="s">
        <v>43</v>
      </c>
      <c r="F329" s="11">
        <v>384.29</v>
      </c>
      <c r="G329" s="15" t="s">
        <v>44</v>
      </c>
      <c r="H329" s="13">
        <v>1.0669999999999999</v>
      </c>
      <c r="I329" s="11">
        <v>1200.17</v>
      </c>
      <c r="J329" s="13">
        <v>56.35</v>
      </c>
      <c r="K329" s="11">
        <v>67629.58</v>
      </c>
    </row>
    <row r="330" spans="1:11" ht="26.25" hidden="1" x14ac:dyDescent="0.25">
      <c r="C330" s="7" t="s">
        <v>45</v>
      </c>
      <c r="F330" s="11">
        <v>52.45</v>
      </c>
      <c r="G330" s="15" t="s">
        <v>46</v>
      </c>
      <c r="H330" s="13">
        <v>1.0669999999999999</v>
      </c>
      <c r="I330" s="11">
        <v>178.05</v>
      </c>
      <c r="J330" s="13">
        <v>15.06</v>
      </c>
      <c r="K330" s="11">
        <v>2681.43</v>
      </c>
    </row>
    <row r="331" spans="1:11" ht="26.25" hidden="1" x14ac:dyDescent="0.25">
      <c r="C331" s="7" t="s">
        <v>47</v>
      </c>
      <c r="F331" s="11">
        <v>5.7</v>
      </c>
      <c r="G331" s="15" t="s">
        <v>46</v>
      </c>
      <c r="H331" s="13">
        <v>1.0669999999999999</v>
      </c>
      <c r="I331" s="11">
        <v>19.350000000000001</v>
      </c>
      <c r="J331" s="13">
        <v>56.35</v>
      </c>
      <c r="K331" s="11">
        <v>1090.3699999999999</v>
      </c>
    </row>
    <row r="332" spans="1:11" hidden="1" x14ac:dyDescent="0.25">
      <c r="C332" s="7" t="s">
        <v>48</v>
      </c>
      <c r="F332" s="11">
        <v>57.64</v>
      </c>
      <c r="G332" s="15" t="s">
        <v>96</v>
      </c>
      <c r="H332" s="14" t="s">
        <v>50</v>
      </c>
      <c r="I332" s="11">
        <v>116.43</v>
      </c>
      <c r="J332" s="13">
        <v>3.74</v>
      </c>
      <c r="K332" s="11">
        <v>435.45</v>
      </c>
    </row>
    <row r="333" spans="1:11" ht="90" hidden="1" x14ac:dyDescent="0.25">
      <c r="A333" s="6" t="s">
        <v>214</v>
      </c>
      <c r="B333" s="4" t="s">
        <v>204</v>
      </c>
      <c r="C333" s="8" t="s">
        <v>205</v>
      </c>
      <c r="D333" s="16" t="s">
        <v>199</v>
      </c>
      <c r="E333" s="14">
        <v>202</v>
      </c>
      <c r="F333" s="11">
        <v>157.47999999999999</v>
      </c>
      <c r="H333" s="14" t="s">
        <v>50</v>
      </c>
      <c r="I333" s="11">
        <v>31810.959999999999</v>
      </c>
      <c r="J333" s="13">
        <v>6.78</v>
      </c>
      <c r="K333" s="11">
        <v>215678.31</v>
      </c>
    </row>
    <row r="334" spans="1:11" hidden="1" x14ac:dyDescent="0.25">
      <c r="C334" s="7" t="s">
        <v>51</v>
      </c>
      <c r="D334" s="11" t="s">
        <v>52</v>
      </c>
      <c r="E334" s="14">
        <v>109</v>
      </c>
      <c r="I334" s="11">
        <v>1329.28</v>
      </c>
      <c r="J334" s="14">
        <v>109</v>
      </c>
      <c r="K334" s="11">
        <v>74904.75</v>
      </c>
    </row>
    <row r="335" spans="1:11" hidden="1" x14ac:dyDescent="0.25">
      <c r="C335" s="7" t="s">
        <v>53</v>
      </c>
      <c r="D335" s="11" t="s">
        <v>52</v>
      </c>
      <c r="E335" s="14">
        <v>61</v>
      </c>
      <c r="I335" s="11">
        <v>743.91</v>
      </c>
      <c r="J335" s="14">
        <v>61</v>
      </c>
      <c r="K335" s="11">
        <v>41919.17</v>
      </c>
    </row>
    <row r="336" spans="1:11" ht="26.25" hidden="1" x14ac:dyDescent="0.25">
      <c r="C336" s="7" t="s">
        <v>54</v>
      </c>
      <c r="D336" s="11" t="s">
        <v>55</v>
      </c>
      <c r="E336" s="13">
        <v>32.28</v>
      </c>
      <c r="G336" s="15" t="s">
        <v>44</v>
      </c>
      <c r="H336" s="13">
        <v>1.0669999999999999</v>
      </c>
      <c r="I336" s="12">
        <v>100.8132696648</v>
      </c>
    </row>
    <row r="337" spans="1:11" hidden="1" x14ac:dyDescent="0.25">
      <c r="A337" s="27"/>
      <c r="B337" s="27"/>
      <c r="C337" s="27" t="s">
        <v>56</v>
      </c>
      <c r="D337" s="27"/>
      <c r="E337" s="27"/>
      <c r="F337" s="27"/>
      <c r="G337" s="27"/>
      <c r="H337" s="149">
        <v>35378.800000000003</v>
      </c>
      <c r="I337" s="150"/>
      <c r="J337" s="149">
        <v>403248.69</v>
      </c>
      <c r="K337" s="150"/>
    </row>
    <row r="338" spans="1:11" hidden="1" x14ac:dyDescent="0.25">
      <c r="C338" s="10" t="s">
        <v>57</v>
      </c>
      <c r="H338" s="151">
        <v>0</v>
      </c>
      <c r="I338" s="133"/>
      <c r="J338" s="151">
        <v>0</v>
      </c>
      <c r="K338" s="133"/>
    </row>
    <row r="339" spans="1:11" hidden="1" x14ac:dyDescent="0.25">
      <c r="C339" s="10" t="s">
        <v>58</v>
      </c>
      <c r="H339" s="151">
        <v>35378.800000000003</v>
      </c>
      <c r="I339" s="133"/>
      <c r="J339" s="151">
        <v>403248.69</v>
      </c>
      <c r="K339" s="133"/>
    </row>
    <row r="340" spans="1:11" hidden="1" x14ac:dyDescent="0.25"/>
    <row r="341" spans="1:11" ht="229.5" hidden="1" x14ac:dyDescent="0.25">
      <c r="A341" s="6">
        <v>65</v>
      </c>
      <c r="B341" s="4" t="s">
        <v>215</v>
      </c>
      <c r="C341" s="8" t="s">
        <v>216</v>
      </c>
      <c r="D341" s="16" t="s">
        <v>194</v>
      </c>
      <c r="E341" s="13">
        <v>0.2</v>
      </c>
    </row>
    <row r="342" spans="1:11" ht="25.5" hidden="1" x14ac:dyDescent="0.25">
      <c r="C342" s="9" t="s">
        <v>217</v>
      </c>
    </row>
    <row r="343" spans="1:11" ht="26.25" hidden="1" x14ac:dyDescent="0.25">
      <c r="C343" s="5" t="s">
        <v>43</v>
      </c>
      <c r="F343" s="11">
        <v>232.37</v>
      </c>
      <c r="G343" s="15" t="s">
        <v>44</v>
      </c>
      <c r="H343" s="13">
        <v>1.0669999999999999</v>
      </c>
      <c r="I343" s="11">
        <v>71.849999999999994</v>
      </c>
      <c r="J343" s="13">
        <v>56.35</v>
      </c>
      <c r="K343" s="11">
        <v>4048.75</v>
      </c>
    </row>
    <row r="344" spans="1:11" ht="26.25" hidden="1" x14ac:dyDescent="0.25">
      <c r="C344" s="7" t="s">
        <v>45</v>
      </c>
      <c r="F344" s="11">
        <v>49.82</v>
      </c>
      <c r="G344" s="15" t="s">
        <v>46</v>
      </c>
      <c r="H344" s="13">
        <v>1.0669999999999999</v>
      </c>
      <c r="I344" s="11">
        <v>16.739999999999998</v>
      </c>
      <c r="J344" s="13">
        <v>15.1</v>
      </c>
      <c r="K344" s="11">
        <v>252.77</v>
      </c>
    </row>
    <row r="345" spans="1:11" ht="26.25" hidden="1" x14ac:dyDescent="0.25">
      <c r="C345" s="7" t="s">
        <v>47</v>
      </c>
      <c r="F345" s="11">
        <v>5.45</v>
      </c>
      <c r="G345" s="15" t="s">
        <v>46</v>
      </c>
      <c r="H345" s="13">
        <v>1.0669999999999999</v>
      </c>
      <c r="I345" s="11">
        <v>1.83</v>
      </c>
      <c r="J345" s="13">
        <v>56.35</v>
      </c>
      <c r="K345" s="11">
        <v>103.12</v>
      </c>
    </row>
    <row r="346" spans="1:11" hidden="1" x14ac:dyDescent="0.25">
      <c r="C346" s="7" t="s">
        <v>48</v>
      </c>
      <c r="F346" s="11">
        <v>20.51</v>
      </c>
      <c r="G346" s="15" t="s">
        <v>96</v>
      </c>
      <c r="H346" s="14" t="s">
        <v>50</v>
      </c>
      <c r="I346" s="11">
        <v>4.0999999999999996</v>
      </c>
      <c r="J346" s="13">
        <v>3.64</v>
      </c>
      <c r="K346" s="11">
        <v>14.92</v>
      </c>
    </row>
    <row r="347" spans="1:11" ht="229.5" hidden="1" x14ac:dyDescent="0.25">
      <c r="A347" s="6" t="s">
        <v>218</v>
      </c>
      <c r="B347" s="4" t="s">
        <v>219</v>
      </c>
      <c r="C347" s="8" t="s">
        <v>220</v>
      </c>
      <c r="D347" s="16" t="s">
        <v>199</v>
      </c>
      <c r="E347" s="14">
        <v>20</v>
      </c>
      <c r="F347" s="11">
        <v>157.47999999999999</v>
      </c>
      <c r="G347" s="15" t="s">
        <v>96</v>
      </c>
      <c r="H347" s="14" t="s">
        <v>50</v>
      </c>
      <c r="I347" s="11">
        <v>3149.6</v>
      </c>
      <c r="J347" s="13">
        <v>6.78</v>
      </c>
      <c r="K347" s="11">
        <v>21354.29</v>
      </c>
    </row>
    <row r="348" spans="1:11" hidden="1" x14ac:dyDescent="0.25">
      <c r="C348" s="7" t="s">
        <v>51</v>
      </c>
      <c r="D348" s="11" t="s">
        <v>52</v>
      </c>
      <c r="E348" s="14">
        <v>109</v>
      </c>
      <c r="I348" s="11">
        <v>80.31</v>
      </c>
      <c r="J348" s="14">
        <v>109</v>
      </c>
      <c r="K348" s="11">
        <v>4525.54</v>
      </c>
    </row>
    <row r="349" spans="1:11" hidden="1" x14ac:dyDescent="0.25">
      <c r="C349" s="7" t="s">
        <v>53</v>
      </c>
      <c r="D349" s="11" t="s">
        <v>52</v>
      </c>
      <c r="E349" s="14">
        <v>61</v>
      </c>
      <c r="I349" s="11">
        <v>44.94</v>
      </c>
      <c r="J349" s="14">
        <v>61</v>
      </c>
      <c r="K349" s="11">
        <v>2532.64</v>
      </c>
    </row>
    <row r="350" spans="1:11" ht="26.25" hidden="1" x14ac:dyDescent="0.25">
      <c r="C350" s="7" t="s">
        <v>54</v>
      </c>
      <c r="D350" s="11" t="s">
        <v>55</v>
      </c>
      <c r="E350" s="13">
        <v>19.71</v>
      </c>
      <c r="G350" s="15" t="s">
        <v>44</v>
      </c>
      <c r="H350" s="13">
        <v>1.0669999999999999</v>
      </c>
      <c r="I350" s="12">
        <v>6.0946591860000003</v>
      </c>
    </row>
    <row r="351" spans="1:11" hidden="1" x14ac:dyDescent="0.25">
      <c r="A351" s="28"/>
      <c r="B351" s="28"/>
      <c r="C351" s="28" t="s">
        <v>56</v>
      </c>
      <c r="D351" s="28"/>
      <c r="E351" s="28"/>
      <c r="F351" s="28"/>
      <c r="G351" s="28"/>
      <c r="H351" s="149">
        <v>3367.54</v>
      </c>
      <c r="I351" s="150"/>
      <c r="J351" s="149">
        <v>32728.91</v>
      </c>
      <c r="K351" s="150"/>
    </row>
    <row r="352" spans="1:11" hidden="1" x14ac:dyDescent="0.25">
      <c r="C352" s="10" t="s">
        <v>57</v>
      </c>
      <c r="H352" s="151">
        <v>0</v>
      </c>
      <c r="I352" s="133"/>
      <c r="J352" s="151">
        <v>0</v>
      </c>
      <c r="K352" s="133"/>
    </row>
    <row r="353" spans="1:11" hidden="1" x14ac:dyDescent="0.25">
      <c r="C353" s="10" t="s">
        <v>58</v>
      </c>
      <c r="H353" s="151">
        <v>3367.54</v>
      </c>
      <c r="I353" s="133"/>
      <c r="J353" s="151">
        <v>32728.91</v>
      </c>
      <c r="K353" s="133"/>
    </row>
    <row r="354" spans="1:11" hidden="1" x14ac:dyDescent="0.25"/>
    <row r="355" spans="1:11" ht="229.5" hidden="1" x14ac:dyDescent="0.25">
      <c r="A355" s="6">
        <v>66</v>
      </c>
      <c r="B355" s="4" t="s">
        <v>221</v>
      </c>
      <c r="C355" s="8" t="s">
        <v>222</v>
      </c>
      <c r="D355" s="16" t="s">
        <v>194</v>
      </c>
      <c r="E355" s="13">
        <v>0.2</v>
      </c>
    </row>
    <row r="356" spans="1:11" ht="25.5" hidden="1" x14ac:dyDescent="0.25">
      <c r="C356" s="9" t="s">
        <v>217</v>
      </c>
    </row>
    <row r="357" spans="1:11" ht="26.25" hidden="1" x14ac:dyDescent="0.25">
      <c r="C357" s="5" t="s">
        <v>43</v>
      </c>
      <c r="F357" s="11">
        <v>248.43</v>
      </c>
      <c r="G357" s="15" t="s">
        <v>44</v>
      </c>
      <c r="H357" s="13">
        <v>1.0669999999999999</v>
      </c>
      <c r="I357" s="11">
        <v>76.819999999999993</v>
      </c>
      <c r="J357" s="13">
        <v>56.35</v>
      </c>
      <c r="K357" s="11">
        <v>4328.8100000000004</v>
      </c>
    </row>
    <row r="358" spans="1:11" ht="26.25" hidden="1" x14ac:dyDescent="0.25">
      <c r="C358" s="7" t="s">
        <v>45</v>
      </c>
      <c r="F358" s="11">
        <v>64.05</v>
      </c>
      <c r="G358" s="15" t="s">
        <v>46</v>
      </c>
      <c r="H358" s="13">
        <v>1.0669999999999999</v>
      </c>
      <c r="I358" s="11">
        <v>21.53</v>
      </c>
      <c r="J358" s="13">
        <v>15.07</v>
      </c>
      <c r="K358" s="11">
        <v>324.45999999999998</v>
      </c>
    </row>
    <row r="359" spans="1:11" ht="26.25" hidden="1" x14ac:dyDescent="0.25">
      <c r="C359" s="7" t="s">
        <v>47</v>
      </c>
      <c r="F359" s="11">
        <v>6.97</v>
      </c>
      <c r="G359" s="15" t="s">
        <v>46</v>
      </c>
      <c r="H359" s="13">
        <v>1.0669999999999999</v>
      </c>
      <c r="I359" s="11">
        <v>2.34</v>
      </c>
      <c r="J359" s="13">
        <v>56.35</v>
      </c>
      <c r="K359" s="11">
        <v>131.86000000000001</v>
      </c>
    </row>
    <row r="360" spans="1:11" hidden="1" x14ac:dyDescent="0.25">
      <c r="C360" s="7" t="s">
        <v>48</v>
      </c>
      <c r="F360" s="11">
        <v>26.9</v>
      </c>
      <c r="G360" s="15" t="s">
        <v>96</v>
      </c>
      <c r="H360" s="14" t="s">
        <v>50</v>
      </c>
      <c r="I360" s="11">
        <v>5.38</v>
      </c>
      <c r="J360" s="13">
        <v>3.62</v>
      </c>
      <c r="K360" s="11">
        <v>19.48</v>
      </c>
    </row>
    <row r="361" spans="1:11" ht="229.5" hidden="1" x14ac:dyDescent="0.25">
      <c r="A361" s="6" t="s">
        <v>223</v>
      </c>
      <c r="B361" s="4" t="s">
        <v>219</v>
      </c>
      <c r="C361" s="8" t="s">
        <v>220</v>
      </c>
      <c r="D361" s="16" t="s">
        <v>199</v>
      </c>
      <c r="E361" s="14">
        <v>20</v>
      </c>
      <c r="F361" s="11">
        <v>157.47999999999999</v>
      </c>
      <c r="G361" s="15" t="s">
        <v>96</v>
      </c>
      <c r="H361" s="14" t="s">
        <v>50</v>
      </c>
      <c r="I361" s="11">
        <v>3149.6</v>
      </c>
      <c r="J361" s="13">
        <v>6.78</v>
      </c>
      <c r="K361" s="11">
        <v>21354.29</v>
      </c>
    </row>
    <row r="362" spans="1:11" hidden="1" x14ac:dyDescent="0.25">
      <c r="C362" s="7" t="s">
        <v>51</v>
      </c>
      <c r="D362" s="11" t="s">
        <v>52</v>
      </c>
      <c r="E362" s="14">
        <v>109</v>
      </c>
      <c r="I362" s="11">
        <v>86.28</v>
      </c>
      <c r="J362" s="14">
        <v>109</v>
      </c>
      <c r="K362" s="11">
        <v>4862.13</v>
      </c>
    </row>
    <row r="363" spans="1:11" hidden="1" x14ac:dyDescent="0.25">
      <c r="C363" s="7" t="s">
        <v>53</v>
      </c>
      <c r="D363" s="11" t="s">
        <v>52</v>
      </c>
      <c r="E363" s="14">
        <v>61</v>
      </c>
      <c r="I363" s="11">
        <v>48.29</v>
      </c>
      <c r="J363" s="14">
        <v>61</v>
      </c>
      <c r="K363" s="11">
        <v>2721.01</v>
      </c>
    </row>
    <row r="364" spans="1:11" ht="26.25" hidden="1" x14ac:dyDescent="0.25">
      <c r="C364" s="7" t="s">
        <v>54</v>
      </c>
      <c r="D364" s="11" t="s">
        <v>55</v>
      </c>
      <c r="E364" s="13">
        <v>21.09</v>
      </c>
      <c r="G364" s="15" t="s">
        <v>44</v>
      </c>
      <c r="H364" s="13">
        <v>1.0669999999999999</v>
      </c>
      <c r="I364" s="12">
        <v>6.5213780940000001</v>
      </c>
    </row>
    <row r="365" spans="1:11" hidden="1" x14ac:dyDescent="0.25">
      <c r="A365" s="29"/>
      <c r="B365" s="29"/>
      <c r="C365" s="29" t="s">
        <v>56</v>
      </c>
      <c r="D365" s="29"/>
      <c r="E365" s="29"/>
      <c r="F365" s="29"/>
      <c r="G365" s="29"/>
      <c r="H365" s="149">
        <v>3387.9</v>
      </c>
      <c r="I365" s="150"/>
      <c r="J365" s="149">
        <v>33610.18</v>
      </c>
      <c r="K365" s="150"/>
    </row>
    <row r="366" spans="1:11" hidden="1" x14ac:dyDescent="0.25">
      <c r="C366" s="10" t="s">
        <v>57</v>
      </c>
      <c r="H366" s="151">
        <v>0</v>
      </c>
      <c r="I366" s="133"/>
      <c r="J366" s="151">
        <v>0</v>
      </c>
      <c r="K366" s="133"/>
    </row>
    <row r="367" spans="1:11" hidden="1" x14ac:dyDescent="0.25">
      <c r="C367" s="10" t="s">
        <v>58</v>
      </c>
      <c r="H367" s="151">
        <v>3387.9</v>
      </c>
      <c r="I367" s="133"/>
      <c r="J367" s="151">
        <v>33610.18</v>
      </c>
      <c r="K367" s="133"/>
    </row>
    <row r="368" spans="1:11" hidden="1" x14ac:dyDescent="0.25"/>
    <row r="369" spans="1:11" ht="242.25" hidden="1" x14ac:dyDescent="0.25">
      <c r="A369" s="6">
        <v>67</v>
      </c>
      <c r="B369" s="4" t="s">
        <v>224</v>
      </c>
      <c r="C369" s="8" t="s">
        <v>225</v>
      </c>
      <c r="D369" s="16" t="s">
        <v>194</v>
      </c>
      <c r="E369" s="13">
        <v>0.7</v>
      </c>
    </row>
    <row r="370" spans="1:11" ht="25.5" hidden="1" x14ac:dyDescent="0.25">
      <c r="C370" s="9" t="s">
        <v>226</v>
      </c>
    </row>
    <row r="371" spans="1:11" ht="26.25" hidden="1" x14ac:dyDescent="0.25">
      <c r="C371" s="5" t="s">
        <v>43</v>
      </c>
      <c r="F371" s="11">
        <v>234.58</v>
      </c>
      <c r="G371" s="15" t="s">
        <v>44</v>
      </c>
      <c r="H371" s="13">
        <v>1.0669999999999999</v>
      </c>
      <c r="I371" s="11">
        <v>253.88</v>
      </c>
      <c r="J371" s="13">
        <v>56.35</v>
      </c>
      <c r="K371" s="11">
        <v>14306.14</v>
      </c>
    </row>
    <row r="372" spans="1:11" ht="26.25" hidden="1" x14ac:dyDescent="0.25">
      <c r="C372" s="7" t="s">
        <v>45</v>
      </c>
      <c r="F372" s="11">
        <v>63.86</v>
      </c>
      <c r="G372" s="15" t="s">
        <v>46</v>
      </c>
      <c r="H372" s="13">
        <v>1.0669999999999999</v>
      </c>
      <c r="I372" s="11">
        <v>75.12</v>
      </c>
      <c r="J372" s="13">
        <v>15.09</v>
      </c>
      <c r="K372" s="11">
        <v>1133.56</v>
      </c>
    </row>
    <row r="373" spans="1:11" ht="26.25" hidden="1" x14ac:dyDescent="0.25">
      <c r="C373" s="7" t="s">
        <v>47</v>
      </c>
      <c r="F373" s="11">
        <v>6.97</v>
      </c>
      <c r="G373" s="15" t="s">
        <v>46</v>
      </c>
      <c r="H373" s="13">
        <v>1.0669999999999999</v>
      </c>
      <c r="I373" s="11">
        <v>8.1999999999999993</v>
      </c>
      <c r="J373" s="13">
        <v>56.35</v>
      </c>
      <c r="K373" s="11">
        <v>462.07</v>
      </c>
    </row>
    <row r="374" spans="1:11" hidden="1" x14ac:dyDescent="0.25">
      <c r="C374" s="7" t="s">
        <v>48</v>
      </c>
      <c r="F374" s="11">
        <v>18.88</v>
      </c>
      <c r="G374" s="15" t="s">
        <v>96</v>
      </c>
      <c r="H374" s="14" t="s">
        <v>50</v>
      </c>
      <c r="I374" s="11">
        <v>13.22</v>
      </c>
      <c r="J374" s="13">
        <v>3.61</v>
      </c>
      <c r="K374" s="11">
        <v>47.72</v>
      </c>
    </row>
    <row r="375" spans="1:11" ht="229.5" hidden="1" x14ac:dyDescent="0.25">
      <c r="A375" s="6" t="s">
        <v>227</v>
      </c>
      <c r="B375" s="4" t="s">
        <v>228</v>
      </c>
      <c r="C375" s="8" t="s">
        <v>229</v>
      </c>
      <c r="D375" s="16" t="s">
        <v>199</v>
      </c>
      <c r="E375" s="14">
        <v>70</v>
      </c>
      <c r="F375" s="11">
        <v>159.32</v>
      </c>
      <c r="G375" s="15" t="s">
        <v>96</v>
      </c>
      <c r="H375" s="14" t="s">
        <v>50</v>
      </c>
      <c r="I375" s="11">
        <v>11152.4</v>
      </c>
      <c r="J375" s="13">
        <v>6.7</v>
      </c>
      <c r="K375" s="11">
        <v>74721.08</v>
      </c>
    </row>
    <row r="376" spans="1:11" hidden="1" x14ac:dyDescent="0.25">
      <c r="C376" s="7" t="s">
        <v>51</v>
      </c>
      <c r="D376" s="11" t="s">
        <v>52</v>
      </c>
      <c r="E376" s="14">
        <v>109</v>
      </c>
      <c r="I376" s="11">
        <v>285.67</v>
      </c>
      <c r="J376" s="14">
        <v>109</v>
      </c>
      <c r="K376" s="11">
        <v>16097.35</v>
      </c>
    </row>
    <row r="377" spans="1:11" hidden="1" x14ac:dyDescent="0.25">
      <c r="C377" s="7" t="s">
        <v>53</v>
      </c>
      <c r="D377" s="11" t="s">
        <v>52</v>
      </c>
      <c r="E377" s="14">
        <v>61</v>
      </c>
      <c r="I377" s="11">
        <v>159.87</v>
      </c>
      <c r="J377" s="14">
        <v>61</v>
      </c>
      <c r="K377" s="11">
        <v>9008.61</v>
      </c>
    </row>
    <row r="378" spans="1:11" ht="26.25" hidden="1" x14ac:dyDescent="0.25">
      <c r="C378" s="7" t="s">
        <v>54</v>
      </c>
      <c r="D378" s="11" t="s">
        <v>55</v>
      </c>
      <c r="E378" s="13">
        <v>19.98</v>
      </c>
      <c r="G378" s="15" t="s">
        <v>44</v>
      </c>
      <c r="H378" s="13">
        <v>1.0669999999999999</v>
      </c>
      <c r="I378" s="12">
        <v>21.623516838</v>
      </c>
    </row>
    <row r="379" spans="1:11" hidden="1" x14ac:dyDescent="0.25">
      <c r="A379" s="30"/>
      <c r="B379" s="30"/>
      <c r="C379" s="30" t="s">
        <v>56</v>
      </c>
      <c r="D379" s="30"/>
      <c r="E379" s="30"/>
      <c r="F379" s="30"/>
      <c r="G379" s="30"/>
      <c r="H379" s="149">
        <v>11940.16</v>
      </c>
      <c r="I379" s="150"/>
      <c r="J379" s="149">
        <v>115314.46</v>
      </c>
      <c r="K379" s="150"/>
    </row>
    <row r="380" spans="1:11" hidden="1" x14ac:dyDescent="0.25">
      <c r="C380" s="10" t="s">
        <v>57</v>
      </c>
      <c r="H380" s="151">
        <v>0</v>
      </c>
      <c r="I380" s="133"/>
      <c r="J380" s="151">
        <v>0</v>
      </c>
      <c r="K380" s="133"/>
    </row>
    <row r="381" spans="1:11" hidden="1" x14ac:dyDescent="0.25">
      <c r="C381" s="10" t="s">
        <v>58</v>
      </c>
      <c r="H381" s="151">
        <v>11940.16</v>
      </c>
      <c r="I381" s="133"/>
      <c r="J381" s="151">
        <v>115314.46</v>
      </c>
      <c r="K381" s="133"/>
    </row>
    <row r="382" spans="1:11" hidden="1" x14ac:dyDescent="0.25"/>
    <row r="383" spans="1:11" ht="242.25" hidden="1" x14ac:dyDescent="0.25">
      <c r="A383" s="6">
        <v>68</v>
      </c>
      <c r="B383" s="4" t="s">
        <v>230</v>
      </c>
      <c r="C383" s="8" t="s">
        <v>231</v>
      </c>
      <c r="D383" s="16" t="s">
        <v>194</v>
      </c>
      <c r="E383" s="13">
        <v>7.0000000000000007E-2</v>
      </c>
    </row>
    <row r="384" spans="1:11" ht="38.25" hidden="1" x14ac:dyDescent="0.25">
      <c r="C384" s="9" t="s">
        <v>232</v>
      </c>
    </row>
    <row r="385" spans="1:11" ht="26.25" hidden="1" x14ac:dyDescent="0.25">
      <c r="C385" s="5" t="s">
        <v>43</v>
      </c>
      <c r="F385" s="11">
        <v>185.34</v>
      </c>
      <c r="G385" s="15" t="s">
        <v>44</v>
      </c>
      <c r="H385" s="13">
        <v>1.0669999999999999</v>
      </c>
      <c r="I385" s="11">
        <v>20.059999999999999</v>
      </c>
      <c r="J385" s="13">
        <v>56.35</v>
      </c>
      <c r="K385" s="11">
        <v>1130.3800000000001</v>
      </c>
    </row>
    <row r="386" spans="1:11" ht="26.25" hidden="1" x14ac:dyDescent="0.25">
      <c r="C386" s="7" t="s">
        <v>45</v>
      </c>
      <c r="F386" s="11">
        <v>63.69</v>
      </c>
      <c r="G386" s="15" t="s">
        <v>46</v>
      </c>
      <c r="H386" s="13">
        <v>1.0669999999999999</v>
      </c>
      <c r="I386" s="11">
        <v>7.49</v>
      </c>
      <c r="J386" s="13">
        <v>15.11</v>
      </c>
      <c r="K386" s="11">
        <v>113.17</v>
      </c>
    </row>
    <row r="387" spans="1:11" ht="26.25" hidden="1" x14ac:dyDescent="0.25">
      <c r="C387" s="7" t="s">
        <v>47</v>
      </c>
      <c r="F387" s="11">
        <v>6.97</v>
      </c>
      <c r="G387" s="15" t="s">
        <v>46</v>
      </c>
      <c r="H387" s="13">
        <v>1.0669999999999999</v>
      </c>
      <c r="I387" s="11">
        <v>0.82</v>
      </c>
      <c r="J387" s="13">
        <v>56.35</v>
      </c>
      <c r="K387" s="11">
        <v>46.21</v>
      </c>
    </row>
    <row r="388" spans="1:11" hidden="1" x14ac:dyDescent="0.25">
      <c r="C388" s="7" t="s">
        <v>48</v>
      </c>
      <c r="F388" s="11">
        <v>16.600000000000001</v>
      </c>
      <c r="G388" s="15" t="s">
        <v>96</v>
      </c>
      <c r="H388" s="14" t="s">
        <v>50</v>
      </c>
      <c r="I388" s="11">
        <v>1.1599999999999999</v>
      </c>
      <c r="J388" s="13">
        <v>3.59</v>
      </c>
      <c r="K388" s="11">
        <v>4.16</v>
      </c>
    </row>
    <row r="389" spans="1:11" ht="229.5" hidden="1" x14ac:dyDescent="0.25">
      <c r="A389" s="6" t="s">
        <v>233</v>
      </c>
      <c r="B389" s="4" t="s">
        <v>228</v>
      </c>
      <c r="C389" s="8" t="s">
        <v>229</v>
      </c>
      <c r="D389" s="16" t="s">
        <v>199</v>
      </c>
      <c r="E389" s="14">
        <v>7</v>
      </c>
      <c r="F389" s="11">
        <v>159.32</v>
      </c>
      <c r="G389" s="15" t="s">
        <v>96</v>
      </c>
      <c r="H389" s="14" t="s">
        <v>50</v>
      </c>
      <c r="I389" s="11">
        <v>1115.24</v>
      </c>
      <c r="J389" s="13">
        <v>6.7</v>
      </c>
      <c r="K389" s="11">
        <v>7472.11</v>
      </c>
    </row>
    <row r="390" spans="1:11" hidden="1" x14ac:dyDescent="0.25">
      <c r="C390" s="7" t="s">
        <v>51</v>
      </c>
      <c r="D390" s="11" t="s">
        <v>52</v>
      </c>
      <c r="E390" s="14">
        <v>109</v>
      </c>
      <c r="I390" s="11">
        <v>22.76</v>
      </c>
      <c r="J390" s="14">
        <v>109</v>
      </c>
      <c r="K390" s="11">
        <v>1282.48</v>
      </c>
    </row>
    <row r="391" spans="1:11" hidden="1" x14ac:dyDescent="0.25">
      <c r="C391" s="7" t="s">
        <v>53</v>
      </c>
      <c r="D391" s="11" t="s">
        <v>52</v>
      </c>
      <c r="E391" s="14">
        <v>61</v>
      </c>
      <c r="I391" s="11">
        <v>12.74</v>
      </c>
      <c r="J391" s="14">
        <v>61</v>
      </c>
      <c r="K391" s="11">
        <v>717.72</v>
      </c>
    </row>
    <row r="392" spans="1:11" ht="26.25" hidden="1" x14ac:dyDescent="0.25">
      <c r="C392" s="7" t="s">
        <v>54</v>
      </c>
      <c r="D392" s="11" t="s">
        <v>55</v>
      </c>
      <c r="E392" s="13">
        <v>15.85</v>
      </c>
      <c r="G392" s="15" t="s">
        <v>44</v>
      </c>
      <c r="H392" s="13">
        <v>1.0669999999999999</v>
      </c>
      <c r="I392" s="12">
        <v>1.7153790885</v>
      </c>
    </row>
    <row r="393" spans="1:11" hidden="1" x14ac:dyDescent="0.25">
      <c r="A393" s="31"/>
      <c r="B393" s="31"/>
      <c r="C393" s="31" t="s">
        <v>56</v>
      </c>
      <c r="D393" s="31"/>
      <c r="E393" s="31"/>
      <c r="F393" s="31"/>
      <c r="G393" s="31"/>
      <c r="H393" s="149">
        <v>1179.45</v>
      </c>
      <c r="I393" s="150"/>
      <c r="J393" s="149">
        <v>10720.02</v>
      </c>
      <c r="K393" s="150"/>
    </row>
    <row r="394" spans="1:11" hidden="1" x14ac:dyDescent="0.25">
      <c r="C394" s="10" t="s">
        <v>57</v>
      </c>
      <c r="H394" s="151">
        <v>0</v>
      </c>
      <c r="I394" s="133"/>
      <c r="J394" s="151">
        <v>0</v>
      </c>
      <c r="K394" s="133"/>
    </row>
    <row r="395" spans="1:11" hidden="1" x14ac:dyDescent="0.25">
      <c r="C395" s="10" t="s">
        <v>58</v>
      </c>
      <c r="H395" s="151">
        <v>1179.45</v>
      </c>
      <c r="I395" s="133"/>
      <c r="J395" s="151">
        <v>10720.02</v>
      </c>
      <c r="K395" s="133"/>
    </row>
    <row r="396" spans="1:11" hidden="1" x14ac:dyDescent="0.25"/>
    <row r="397" spans="1:11" ht="90" hidden="1" x14ac:dyDescent="0.25">
      <c r="A397" s="6">
        <v>69</v>
      </c>
      <c r="B397" s="4" t="s">
        <v>234</v>
      </c>
      <c r="C397" s="8" t="s">
        <v>235</v>
      </c>
      <c r="D397" s="16" t="s">
        <v>199</v>
      </c>
      <c r="E397" s="14">
        <v>1100</v>
      </c>
      <c r="F397" s="11">
        <v>472.88</v>
      </c>
      <c r="H397" s="14" t="s">
        <v>50</v>
      </c>
      <c r="I397" s="11">
        <v>520168</v>
      </c>
      <c r="J397" s="13">
        <v>4.04</v>
      </c>
      <c r="K397" s="11">
        <v>2101478.7200000002</v>
      </c>
    </row>
    <row r="398" spans="1:11" hidden="1" x14ac:dyDescent="0.25">
      <c r="C398" s="10" t="s">
        <v>58</v>
      </c>
      <c r="H398" s="151">
        <v>520168</v>
      </c>
      <c r="I398" s="133"/>
      <c r="J398" s="151">
        <v>2101478.7200000002</v>
      </c>
      <c r="K398" s="133"/>
    </row>
    <row r="399" spans="1:11" hidden="1" x14ac:dyDescent="0.25"/>
    <row r="400" spans="1:11" hidden="1" x14ac:dyDescent="0.25"/>
    <row r="401" spans="1:11" hidden="1" x14ac:dyDescent="0.25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</row>
    <row r="402" spans="1:11" ht="15.95" hidden="1" customHeight="1" x14ac:dyDescent="0.25">
      <c r="A402" s="152" t="s">
        <v>236</v>
      </c>
      <c r="B402" s="133"/>
      <c r="C402" s="133"/>
      <c r="D402" s="133"/>
      <c r="E402" s="133"/>
      <c r="F402" s="133"/>
      <c r="G402" s="133"/>
      <c r="H402" s="151">
        <v>2379221.48</v>
      </c>
      <c r="I402" s="133"/>
      <c r="J402" s="151">
        <v>21775344.559999999</v>
      </c>
      <c r="K402" s="133"/>
    </row>
    <row r="403" spans="1:11" hidden="1" x14ac:dyDescent="0.25"/>
    <row r="404" spans="1:11" hidden="1" x14ac:dyDescent="0.25"/>
    <row r="405" spans="1:11" ht="17.100000000000001" hidden="1" customHeight="1" x14ac:dyDescent="0.25">
      <c r="A405" s="147" t="s">
        <v>237</v>
      </c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</row>
    <row r="406" spans="1:11" hidden="1" x14ac:dyDescent="0.25"/>
    <row r="407" spans="1:11" ht="15.95" hidden="1" customHeight="1" x14ac:dyDescent="0.25">
      <c r="A407" s="148" t="s">
        <v>238</v>
      </c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</row>
    <row r="408" spans="1:11" hidden="1" x14ac:dyDescent="0.25"/>
    <row r="409" spans="1:11" ht="229.5" hidden="1" x14ac:dyDescent="0.25">
      <c r="A409" s="6">
        <v>70</v>
      </c>
      <c r="B409" s="4" t="s">
        <v>239</v>
      </c>
      <c r="C409" s="8" t="s">
        <v>240</v>
      </c>
      <c r="D409" s="16" t="s">
        <v>241</v>
      </c>
      <c r="E409" s="14">
        <v>62</v>
      </c>
    </row>
    <row r="410" spans="1:11" ht="38.25" hidden="1" x14ac:dyDescent="0.25">
      <c r="C410" s="9" t="s">
        <v>242</v>
      </c>
    </row>
    <row r="411" spans="1:11" ht="26.25" hidden="1" x14ac:dyDescent="0.25">
      <c r="C411" s="5" t="s">
        <v>43</v>
      </c>
      <c r="F411" s="11">
        <v>12.58</v>
      </c>
      <c r="G411" s="15" t="s">
        <v>44</v>
      </c>
      <c r="H411" s="13">
        <v>1.0669999999999999</v>
      </c>
      <c r="I411" s="11">
        <v>1205.8800000000001</v>
      </c>
      <c r="J411" s="13">
        <v>56.35</v>
      </c>
      <c r="K411" s="11">
        <v>67951.34</v>
      </c>
    </row>
    <row r="412" spans="1:11" ht="26.25" hidden="1" x14ac:dyDescent="0.25">
      <c r="C412" s="7" t="s">
        <v>45</v>
      </c>
      <c r="F412" s="11">
        <v>1.76</v>
      </c>
      <c r="G412" s="15" t="s">
        <v>46</v>
      </c>
      <c r="H412" s="13">
        <v>1.0669999999999999</v>
      </c>
      <c r="I412" s="11">
        <v>183.38</v>
      </c>
      <c r="J412" s="13">
        <v>14.66</v>
      </c>
      <c r="K412" s="11">
        <v>2688.35</v>
      </c>
    </row>
    <row r="413" spans="1:11" ht="26.25" hidden="1" x14ac:dyDescent="0.25">
      <c r="C413" s="7" t="s">
        <v>47</v>
      </c>
      <c r="F413" s="11">
        <v>0.13</v>
      </c>
      <c r="G413" s="15" t="s">
        <v>46</v>
      </c>
      <c r="H413" s="13">
        <v>1.0669999999999999</v>
      </c>
      <c r="I413" s="11">
        <v>13.55</v>
      </c>
      <c r="J413" s="13">
        <v>56.35</v>
      </c>
      <c r="K413" s="11">
        <v>763.54</v>
      </c>
    </row>
    <row r="414" spans="1:11" hidden="1" x14ac:dyDescent="0.25">
      <c r="C414" s="7" t="s">
        <v>48</v>
      </c>
      <c r="F414" s="11">
        <v>3.03</v>
      </c>
      <c r="G414" s="15" t="s">
        <v>96</v>
      </c>
      <c r="H414" s="14" t="s">
        <v>50</v>
      </c>
      <c r="I414" s="11">
        <v>187.86</v>
      </c>
      <c r="J414" s="13">
        <v>11.37</v>
      </c>
      <c r="K414" s="11">
        <v>2135.9699999999998</v>
      </c>
    </row>
    <row r="415" spans="1:11" hidden="1" x14ac:dyDescent="0.25">
      <c r="C415" s="7" t="s">
        <v>51</v>
      </c>
      <c r="D415" s="11" t="s">
        <v>52</v>
      </c>
      <c r="E415" s="14">
        <v>109</v>
      </c>
      <c r="I415" s="11">
        <v>1329.18</v>
      </c>
      <c r="J415" s="14">
        <v>109</v>
      </c>
      <c r="K415" s="11">
        <v>74899.22</v>
      </c>
    </row>
    <row r="416" spans="1:11" hidden="1" x14ac:dyDescent="0.25">
      <c r="C416" s="7" t="s">
        <v>53</v>
      </c>
      <c r="D416" s="11" t="s">
        <v>52</v>
      </c>
      <c r="E416" s="14">
        <v>61</v>
      </c>
      <c r="I416" s="11">
        <v>743.85</v>
      </c>
      <c r="J416" s="14">
        <v>61</v>
      </c>
      <c r="K416" s="11">
        <v>41916.080000000002</v>
      </c>
    </row>
    <row r="417" spans="1:11" ht="26.25" hidden="1" x14ac:dyDescent="0.25">
      <c r="C417" s="7" t="s">
        <v>54</v>
      </c>
      <c r="D417" s="11" t="s">
        <v>55</v>
      </c>
      <c r="E417" s="13">
        <v>1.07</v>
      </c>
      <c r="G417" s="15" t="s">
        <v>44</v>
      </c>
      <c r="H417" s="13">
        <v>1.0669999999999999</v>
      </c>
      <c r="I417" s="12">
        <v>102.56714622</v>
      </c>
    </row>
    <row r="418" spans="1:11" hidden="1" x14ac:dyDescent="0.25">
      <c r="A418" s="33"/>
      <c r="B418" s="33"/>
      <c r="C418" s="33" t="s">
        <v>56</v>
      </c>
      <c r="D418" s="33"/>
      <c r="E418" s="33"/>
      <c r="F418" s="33"/>
      <c r="G418" s="33"/>
      <c r="H418" s="149">
        <v>3650.15</v>
      </c>
      <c r="I418" s="150"/>
      <c r="J418" s="149">
        <v>189590.96</v>
      </c>
      <c r="K418" s="150"/>
    </row>
    <row r="419" spans="1:11" hidden="1" x14ac:dyDescent="0.25">
      <c r="C419" s="10" t="s">
        <v>57</v>
      </c>
      <c r="H419" s="151">
        <v>0</v>
      </c>
      <c r="I419" s="133"/>
      <c r="J419" s="151">
        <v>0</v>
      </c>
      <c r="K419" s="133"/>
    </row>
    <row r="420" spans="1:11" hidden="1" x14ac:dyDescent="0.25">
      <c r="C420" s="10" t="s">
        <v>58</v>
      </c>
      <c r="H420" s="151">
        <v>3650.15</v>
      </c>
      <c r="I420" s="133"/>
      <c r="J420" s="151">
        <v>189590.96</v>
      </c>
      <c r="K420" s="133"/>
    </row>
    <row r="421" spans="1:11" hidden="1" x14ac:dyDescent="0.25"/>
    <row r="422" spans="1:11" ht="102.75" hidden="1" x14ac:dyDescent="0.25">
      <c r="A422" s="6">
        <v>71</v>
      </c>
      <c r="B422" s="4" t="s">
        <v>243</v>
      </c>
      <c r="C422" s="8" t="s">
        <v>244</v>
      </c>
      <c r="D422" s="16" t="s">
        <v>245</v>
      </c>
      <c r="E422" s="14">
        <v>4</v>
      </c>
      <c r="F422" s="11">
        <v>249.58</v>
      </c>
      <c r="H422" s="14" t="s">
        <v>50</v>
      </c>
      <c r="I422" s="11">
        <v>998.32</v>
      </c>
      <c r="J422" s="13">
        <v>4.2300000000000004</v>
      </c>
      <c r="K422" s="11">
        <v>4222.8900000000003</v>
      </c>
    </row>
    <row r="423" spans="1:11" hidden="1" x14ac:dyDescent="0.25">
      <c r="C423" s="10" t="s">
        <v>58</v>
      </c>
      <c r="H423" s="151">
        <v>998.32</v>
      </c>
      <c r="I423" s="133"/>
      <c r="J423" s="151">
        <v>4222.8900000000003</v>
      </c>
      <c r="K423" s="133"/>
    </row>
    <row r="424" spans="1:11" hidden="1" x14ac:dyDescent="0.25"/>
    <row r="425" spans="1:11" ht="102.75" hidden="1" x14ac:dyDescent="0.25">
      <c r="A425" s="6">
        <v>72</v>
      </c>
      <c r="B425" s="4" t="s">
        <v>246</v>
      </c>
      <c r="C425" s="8" t="s">
        <v>247</v>
      </c>
      <c r="D425" s="16" t="s">
        <v>245</v>
      </c>
      <c r="E425" s="14">
        <v>8</v>
      </c>
      <c r="F425" s="11">
        <v>292.77</v>
      </c>
      <c r="H425" s="14" t="s">
        <v>50</v>
      </c>
      <c r="I425" s="11">
        <v>2342.16</v>
      </c>
      <c r="J425" s="13">
        <v>4.62</v>
      </c>
      <c r="K425" s="11">
        <v>10820.78</v>
      </c>
    </row>
    <row r="426" spans="1:11" hidden="1" x14ac:dyDescent="0.25">
      <c r="C426" s="10" t="s">
        <v>58</v>
      </c>
      <c r="H426" s="151">
        <v>2342.16</v>
      </c>
      <c r="I426" s="133"/>
      <c r="J426" s="151">
        <v>10820.78</v>
      </c>
      <c r="K426" s="133"/>
    </row>
    <row r="427" spans="1:11" hidden="1" x14ac:dyDescent="0.25"/>
    <row r="428" spans="1:11" ht="102.75" hidden="1" x14ac:dyDescent="0.25">
      <c r="A428" s="6">
        <v>73</v>
      </c>
      <c r="B428" s="4" t="s">
        <v>248</v>
      </c>
      <c r="C428" s="8" t="s">
        <v>249</v>
      </c>
      <c r="D428" s="16" t="s">
        <v>245</v>
      </c>
      <c r="E428" s="14">
        <v>2</v>
      </c>
      <c r="F428" s="11">
        <v>392.68</v>
      </c>
      <c r="H428" s="14" t="s">
        <v>50</v>
      </c>
      <c r="I428" s="11">
        <v>785.36</v>
      </c>
      <c r="J428" s="13">
        <v>4.51</v>
      </c>
      <c r="K428" s="11">
        <v>3541.97</v>
      </c>
    </row>
    <row r="429" spans="1:11" hidden="1" x14ac:dyDescent="0.25">
      <c r="C429" s="10" t="s">
        <v>58</v>
      </c>
      <c r="H429" s="151">
        <v>785.36</v>
      </c>
      <c r="I429" s="133"/>
      <c r="J429" s="151">
        <v>3541.97</v>
      </c>
      <c r="K429" s="133"/>
    </row>
    <row r="430" spans="1:11" hidden="1" x14ac:dyDescent="0.25"/>
    <row r="431" spans="1:11" ht="90" hidden="1" x14ac:dyDescent="0.25">
      <c r="A431" s="6">
        <v>74</v>
      </c>
      <c r="B431" s="4" t="s">
        <v>250</v>
      </c>
      <c r="C431" s="8" t="s">
        <v>251</v>
      </c>
      <c r="D431" s="16" t="s">
        <v>61</v>
      </c>
      <c r="E431" s="14">
        <v>10</v>
      </c>
      <c r="F431" s="11">
        <v>167.72</v>
      </c>
      <c r="H431" s="14" t="s">
        <v>50</v>
      </c>
      <c r="I431" s="11">
        <v>1677.2</v>
      </c>
      <c r="J431" s="13">
        <v>9.84</v>
      </c>
      <c r="K431" s="11">
        <v>16503.650000000001</v>
      </c>
    </row>
    <row r="432" spans="1:11" hidden="1" x14ac:dyDescent="0.25">
      <c r="C432" s="10" t="s">
        <v>58</v>
      </c>
      <c r="H432" s="151">
        <v>1677.2</v>
      </c>
      <c r="I432" s="133"/>
      <c r="J432" s="151">
        <v>16503.650000000001</v>
      </c>
      <c r="K432" s="133"/>
    </row>
    <row r="433" spans="1:11" hidden="1" x14ac:dyDescent="0.25"/>
    <row r="434" spans="1:11" ht="90" hidden="1" x14ac:dyDescent="0.25">
      <c r="A434" s="6">
        <v>75</v>
      </c>
      <c r="B434" s="4" t="s">
        <v>252</v>
      </c>
      <c r="C434" s="8" t="s">
        <v>253</v>
      </c>
      <c r="D434" s="16" t="s">
        <v>61</v>
      </c>
      <c r="E434" s="14">
        <v>8</v>
      </c>
      <c r="F434" s="11">
        <v>201.71</v>
      </c>
      <c r="H434" s="14" t="s">
        <v>50</v>
      </c>
      <c r="I434" s="11">
        <v>1613.68</v>
      </c>
      <c r="J434" s="13">
        <v>9.84</v>
      </c>
      <c r="K434" s="11">
        <v>15878.61</v>
      </c>
    </row>
    <row r="435" spans="1:11" hidden="1" x14ac:dyDescent="0.25">
      <c r="C435" s="10" t="s">
        <v>58</v>
      </c>
      <c r="H435" s="151">
        <v>1613.68</v>
      </c>
      <c r="I435" s="133"/>
      <c r="J435" s="151">
        <v>15878.61</v>
      </c>
      <c r="K435" s="133"/>
    </row>
    <row r="436" spans="1:11" hidden="1" x14ac:dyDescent="0.25"/>
    <row r="437" spans="1:11" ht="90" hidden="1" x14ac:dyDescent="0.25">
      <c r="A437" s="6">
        <v>76</v>
      </c>
      <c r="B437" s="4" t="s">
        <v>254</v>
      </c>
      <c r="C437" s="8" t="s">
        <v>255</v>
      </c>
      <c r="D437" s="16" t="s">
        <v>61</v>
      </c>
      <c r="E437" s="14">
        <v>27</v>
      </c>
      <c r="F437" s="11">
        <v>228.72</v>
      </c>
      <c r="H437" s="14" t="s">
        <v>50</v>
      </c>
      <c r="I437" s="11">
        <v>6175.44</v>
      </c>
      <c r="J437" s="13">
        <v>9.84</v>
      </c>
      <c r="K437" s="11">
        <v>60766.33</v>
      </c>
    </row>
    <row r="438" spans="1:11" hidden="1" x14ac:dyDescent="0.25">
      <c r="C438" s="10" t="s">
        <v>58</v>
      </c>
      <c r="H438" s="151">
        <v>6175.44</v>
      </c>
      <c r="I438" s="133"/>
      <c r="J438" s="151">
        <v>60766.33</v>
      </c>
      <c r="K438" s="133"/>
    </row>
    <row r="439" spans="1:11" hidden="1" x14ac:dyDescent="0.25"/>
    <row r="440" spans="1:11" ht="90" hidden="1" x14ac:dyDescent="0.25">
      <c r="A440" s="6">
        <v>77</v>
      </c>
      <c r="B440" s="4" t="s">
        <v>256</v>
      </c>
      <c r="C440" s="8" t="s">
        <v>257</v>
      </c>
      <c r="D440" s="16" t="s">
        <v>61</v>
      </c>
      <c r="E440" s="14">
        <v>3</v>
      </c>
      <c r="F440" s="11">
        <v>326.01</v>
      </c>
      <c r="H440" s="14" t="s">
        <v>50</v>
      </c>
      <c r="I440" s="11">
        <v>978.03</v>
      </c>
      <c r="J440" s="13">
        <v>9.84</v>
      </c>
      <c r="K440" s="11">
        <v>9623.82</v>
      </c>
    </row>
    <row r="441" spans="1:11" hidden="1" x14ac:dyDescent="0.25">
      <c r="C441" s="10" t="s">
        <v>58</v>
      </c>
      <c r="H441" s="151">
        <v>978.03</v>
      </c>
      <c r="I441" s="133"/>
      <c r="J441" s="151">
        <v>9623.82</v>
      </c>
      <c r="K441" s="133"/>
    </row>
    <row r="442" spans="1:11" hidden="1" x14ac:dyDescent="0.25"/>
    <row r="443" spans="1:11" ht="178.5" hidden="1" x14ac:dyDescent="0.25">
      <c r="A443" s="6">
        <v>78</v>
      </c>
      <c r="B443" s="4" t="s">
        <v>258</v>
      </c>
      <c r="C443" s="8" t="s">
        <v>259</v>
      </c>
      <c r="D443" s="16" t="s">
        <v>241</v>
      </c>
      <c r="E443" s="14">
        <v>3</v>
      </c>
    </row>
    <row r="444" spans="1:11" ht="26.25" hidden="1" x14ac:dyDescent="0.25">
      <c r="C444" s="5" t="s">
        <v>43</v>
      </c>
      <c r="F444" s="11">
        <v>16.350000000000001</v>
      </c>
      <c r="G444" s="15" t="s">
        <v>260</v>
      </c>
      <c r="H444" s="13">
        <v>1.0669999999999999</v>
      </c>
      <c r="I444" s="11">
        <v>72.22</v>
      </c>
      <c r="J444" s="13">
        <v>56.35</v>
      </c>
      <c r="K444" s="11">
        <v>4069.6</v>
      </c>
    </row>
    <row r="445" spans="1:11" ht="26.25" hidden="1" x14ac:dyDescent="0.25">
      <c r="C445" s="7" t="s">
        <v>45</v>
      </c>
      <c r="F445" s="11">
        <v>3.61</v>
      </c>
      <c r="G445" s="15" t="s">
        <v>261</v>
      </c>
      <c r="H445" s="13">
        <v>1.0669999999999999</v>
      </c>
      <c r="I445" s="11">
        <v>17.329999999999998</v>
      </c>
      <c r="J445" s="13">
        <v>14.48</v>
      </c>
      <c r="K445" s="11">
        <v>250.94</v>
      </c>
    </row>
    <row r="446" spans="1:11" ht="26.25" hidden="1" x14ac:dyDescent="0.25">
      <c r="C446" s="7" t="s">
        <v>47</v>
      </c>
      <c r="F446" s="11">
        <v>0.3</v>
      </c>
      <c r="G446" s="15" t="s">
        <v>261</v>
      </c>
      <c r="H446" s="13">
        <v>1.0669999999999999</v>
      </c>
      <c r="I446" s="11">
        <v>1.44</v>
      </c>
      <c r="J446" s="13">
        <v>56.35</v>
      </c>
      <c r="K446" s="11">
        <v>81.14</v>
      </c>
    </row>
    <row r="447" spans="1:11" hidden="1" x14ac:dyDescent="0.25">
      <c r="C447" s="7" t="s">
        <v>48</v>
      </c>
      <c r="F447" s="11">
        <v>10.17</v>
      </c>
      <c r="G447" s="15" t="s">
        <v>49</v>
      </c>
      <c r="H447" s="14" t="s">
        <v>50</v>
      </c>
      <c r="I447" s="11">
        <v>30.51</v>
      </c>
      <c r="J447" s="13">
        <v>8.18</v>
      </c>
      <c r="K447" s="11">
        <v>249.57</v>
      </c>
    </row>
    <row r="448" spans="1:11" hidden="1" x14ac:dyDescent="0.25">
      <c r="C448" s="7" t="s">
        <v>51</v>
      </c>
      <c r="D448" s="11" t="s">
        <v>52</v>
      </c>
      <c r="E448" s="14">
        <v>109</v>
      </c>
      <c r="I448" s="11">
        <v>80.290000000000006</v>
      </c>
      <c r="J448" s="14">
        <v>109</v>
      </c>
      <c r="K448" s="11">
        <v>4524.3100000000004</v>
      </c>
    </row>
    <row r="449" spans="1:11" hidden="1" x14ac:dyDescent="0.25">
      <c r="C449" s="7" t="s">
        <v>53</v>
      </c>
      <c r="D449" s="11" t="s">
        <v>52</v>
      </c>
      <c r="E449" s="14">
        <v>61</v>
      </c>
      <c r="I449" s="11">
        <v>44.93</v>
      </c>
      <c r="J449" s="14">
        <v>61</v>
      </c>
      <c r="K449" s="11">
        <v>2531.9499999999998</v>
      </c>
    </row>
    <row r="450" spans="1:11" ht="26.25" hidden="1" x14ac:dyDescent="0.25">
      <c r="C450" s="7" t="s">
        <v>54</v>
      </c>
      <c r="D450" s="11" t="s">
        <v>55</v>
      </c>
      <c r="E450" s="13">
        <v>1.39</v>
      </c>
      <c r="G450" s="15" t="s">
        <v>260</v>
      </c>
      <c r="H450" s="13">
        <v>1.0669999999999999</v>
      </c>
      <c r="I450" s="12">
        <v>6.1401582000000001</v>
      </c>
    </row>
    <row r="451" spans="1:11" hidden="1" x14ac:dyDescent="0.25">
      <c r="A451" s="34"/>
      <c r="B451" s="34"/>
      <c r="C451" s="34" t="s">
        <v>56</v>
      </c>
      <c r="D451" s="34"/>
      <c r="E451" s="34"/>
      <c r="F451" s="34"/>
      <c r="G451" s="34"/>
      <c r="H451" s="149">
        <v>245.28</v>
      </c>
      <c r="I451" s="150"/>
      <c r="J451" s="149">
        <v>11626.37</v>
      </c>
      <c r="K451" s="150"/>
    </row>
    <row r="452" spans="1:11" hidden="1" x14ac:dyDescent="0.25">
      <c r="C452" s="10" t="s">
        <v>57</v>
      </c>
      <c r="H452" s="151">
        <v>0</v>
      </c>
      <c r="I452" s="133"/>
      <c r="J452" s="151">
        <v>0</v>
      </c>
      <c r="K452" s="133"/>
    </row>
    <row r="453" spans="1:11" hidden="1" x14ac:dyDescent="0.25">
      <c r="C453" s="10" t="s">
        <v>58</v>
      </c>
      <c r="H453" s="151">
        <v>245.28</v>
      </c>
      <c r="I453" s="133"/>
      <c r="J453" s="151">
        <v>11626.37</v>
      </c>
      <c r="K453" s="133"/>
    </row>
    <row r="454" spans="1:11" hidden="1" x14ac:dyDescent="0.25"/>
    <row r="455" spans="1:11" ht="90" hidden="1" x14ac:dyDescent="0.25">
      <c r="A455" s="6">
        <v>79</v>
      </c>
      <c r="B455" s="4" t="s">
        <v>262</v>
      </c>
      <c r="C455" s="8" t="s">
        <v>263</v>
      </c>
      <c r="D455" s="16" t="s">
        <v>61</v>
      </c>
      <c r="E455" s="14">
        <v>3</v>
      </c>
      <c r="F455" s="11">
        <v>595.1</v>
      </c>
      <c r="H455" s="14" t="s">
        <v>50</v>
      </c>
      <c r="I455" s="11">
        <v>1785.3</v>
      </c>
      <c r="J455" s="13">
        <v>9.84</v>
      </c>
      <c r="K455" s="11">
        <v>17567.349999999999</v>
      </c>
    </row>
    <row r="456" spans="1:11" hidden="1" x14ac:dyDescent="0.25">
      <c r="C456" s="10" t="s">
        <v>58</v>
      </c>
      <c r="H456" s="151">
        <v>1785.3</v>
      </c>
      <c r="I456" s="133"/>
      <c r="J456" s="151">
        <v>17567.349999999999</v>
      </c>
      <c r="K456" s="133"/>
    </row>
    <row r="457" spans="1:11" hidden="1" x14ac:dyDescent="0.25"/>
    <row r="458" spans="1:11" ht="141" hidden="1" x14ac:dyDescent="0.25">
      <c r="A458" s="6">
        <v>80</v>
      </c>
      <c r="B458" s="4" t="s">
        <v>264</v>
      </c>
      <c r="C458" s="8" t="s">
        <v>265</v>
      </c>
      <c r="D458" s="16" t="s">
        <v>266</v>
      </c>
      <c r="E458" s="14">
        <v>226</v>
      </c>
    </row>
    <row r="459" spans="1:11" ht="38.25" hidden="1" x14ac:dyDescent="0.25">
      <c r="C459" s="9" t="s">
        <v>267</v>
      </c>
    </row>
    <row r="460" spans="1:11" ht="26.25" hidden="1" x14ac:dyDescent="0.25">
      <c r="C460" s="5" t="s">
        <v>43</v>
      </c>
      <c r="F460" s="11">
        <v>14.87</v>
      </c>
      <c r="G460" s="15" t="s">
        <v>209</v>
      </c>
      <c r="H460" s="13">
        <v>1.0669999999999999</v>
      </c>
      <c r="I460" s="11">
        <v>4518.08</v>
      </c>
      <c r="J460" s="13">
        <v>56.35</v>
      </c>
      <c r="K460" s="11">
        <v>254593.81</v>
      </c>
    </row>
    <row r="461" spans="1:11" ht="26.25" hidden="1" x14ac:dyDescent="0.25">
      <c r="C461" s="7" t="s">
        <v>45</v>
      </c>
      <c r="F461" s="11">
        <v>2.38</v>
      </c>
      <c r="G461" s="15" t="s">
        <v>268</v>
      </c>
      <c r="H461" s="13">
        <v>1.0669999999999999</v>
      </c>
      <c r="I461" s="11">
        <v>954.54</v>
      </c>
      <c r="J461" s="13">
        <v>14.55</v>
      </c>
      <c r="K461" s="11">
        <v>13888.56</v>
      </c>
    </row>
    <row r="462" spans="1:11" ht="26.25" hidden="1" x14ac:dyDescent="0.25">
      <c r="C462" s="7" t="s">
        <v>47</v>
      </c>
      <c r="F462" s="11">
        <v>0.13</v>
      </c>
      <c r="G462" s="15" t="s">
        <v>268</v>
      </c>
      <c r="H462" s="13">
        <v>1.0669999999999999</v>
      </c>
      <c r="I462" s="11">
        <v>52.14</v>
      </c>
      <c r="J462" s="13">
        <v>56.35</v>
      </c>
      <c r="K462" s="11">
        <v>2938.09</v>
      </c>
    </row>
    <row r="463" spans="1:11" hidden="1" x14ac:dyDescent="0.25">
      <c r="C463" s="7" t="s">
        <v>48</v>
      </c>
      <c r="F463" s="11">
        <v>7.92</v>
      </c>
      <c r="G463" s="15" t="s">
        <v>49</v>
      </c>
      <c r="H463" s="14" t="s">
        <v>50</v>
      </c>
      <c r="I463" s="11">
        <v>1789.92</v>
      </c>
      <c r="J463" s="13">
        <v>7.82</v>
      </c>
      <c r="K463" s="11">
        <v>13997.17</v>
      </c>
    </row>
    <row r="464" spans="1:11" hidden="1" x14ac:dyDescent="0.25">
      <c r="C464" s="7" t="s">
        <v>51</v>
      </c>
      <c r="D464" s="11" t="s">
        <v>52</v>
      </c>
      <c r="E464" s="14">
        <v>109</v>
      </c>
      <c r="I464" s="11">
        <v>4981.54</v>
      </c>
      <c r="J464" s="14">
        <v>109</v>
      </c>
      <c r="K464" s="11">
        <v>280709.77</v>
      </c>
    </row>
    <row r="465" spans="1:11" hidden="1" x14ac:dyDescent="0.25">
      <c r="C465" s="7" t="s">
        <v>53</v>
      </c>
      <c r="D465" s="11" t="s">
        <v>52</v>
      </c>
      <c r="E465" s="14">
        <v>61</v>
      </c>
      <c r="I465" s="11">
        <v>2787.83</v>
      </c>
      <c r="J465" s="14">
        <v>61</v>
      </c>
      <c r="K465" s="11">
        <v>157094.46</v>
      </c>
    </row>
    <row r="466" spans="1:11" ht="26.25" hidden="1" x14ac:dyDescent="0.25">
      <c r="C466" s="7" t="s">
        <v>54</v>
      </c>
      <c r="D466" s="11" t="s">
        <v>55</v>
      </c>
      <c r="E466" s="13">
        <v>1.22</v>
      </c>
      <c r="G466" s="15" t="s">
        <v>209</v>
      </c>
      <c r="H466" s="13">
        <v>1.0669999999999999</v>
      </c>
      <c r="I466" s="12">
        <v>370.6834824</v>
      </c>
    </row>
    <row r="467" spans="1:11" hidden="1" x14ac:dyDescent="0.25">
      <c r="A467" s="35"/>
      <c r="B467" s="35"/>
      <c r="C467" s="35" t="s">
        <v>56</v>
      </c>
      <c r="D467" s="35"/>
      <c r="E467" s="35"/>
      <c r="F467" s="35"/>
      <c r="G467" s="35"/>
      <c r="H467" s="149">
        <v>15031.91</v>
      </c>
      <c r="I467" s="150"/>
      <c r="J467" s="149">
        <v>720283.77</v>
      </c>
      <c r="K467" s="150"/>
    </row>
    <row r="468" spans="1:11" hidden="1" x14ac:dyDescent="0.25">
      <c r="C468" s="10" t="s">
        <v>57</v>
      </c>
      <c r="H468" s="151">
        <v>0</v>
      </c>
      <c r="I468" s="133"/>
      <c r="J468" s="151">
        <v>0</v>
      </c>
      <c r="K468" s="133"/>
    </row>
    <row r="469" spans="1:11" hidden="1" x14ac:dyDescent="0.25">
      <c r="C469" s="10" t="s">
        <v>58</v>
      </c>
      <c r="H469" s="151">
        <v>15031.91</v>
      </c>
      <c r="I469" s="133"/>
      <c r="J469" s="151">
        <v>720283.77</v>
      </c>
      <c r="K469" s="133"/>
    </row>
    <row r="470" spans="1:11" hidden="1" x14ac:dyDescent="0.25"/>
    <row r="471" spans="1:11" ht="90" hidden="1" x14ac:dyDescent="0.25">
      <c r="A471" s="6">
        <v>81</v>
      </c>
      <c r="B471" s="4" t="s">
        <v>269</v>
      </c>
      <c r="C471" s="8" t="s">
        <v>270</v>
      </c>
      <c r="D471" s="16" t="s">
        <v>245</v>
      </c>
      <c r="E471" s="14">
        <v>120</v>
      </c>
      <c r="F471" s="11">
        <v>1362.71</v>
      </c>
      <c r="H471" s="14" t="s">
        <v>50</v>
      </c>
      <c r="I471" s="11">
        <v>163525.20000000001</v>
      </c>
      <c r="J471" s="13">
        <v>2.75</v>
      </c>
      <c r="K471" s="11">
        <v>449694.3</v>
      </c>
    </row>
    <row r="472" spans="1:11" hidden="1" x14ac:dyDescent="0.25">
      <c r="C472" s="10" t="s">
        <v>58</v>
      </c>
      <c r="H472" s="151">
        <v>163525.20000000001</v>
      </c>
      <c r="I472" s="133"/>
      <c r="J472" s="151">
        <v>449694.3</v>
      </c>
      <c r="K472" s="133"/>
    </row>
    <row r="473" spans="1:11" hidden="1" x14ac:dyDescent="0.25"/>
    <row r="474" spans="1:11" ht="90" hidden="1" x14ac:dyDescent="0.25">
      <c r="A474" s="6">
        <v>82</v>
      </c>
      <c r="B474" s="4" t="s">
        <v>271</v>
      </c>
      <c r="C474" s="8" t="s">
        <v>272</v>
      </c>
      <c r="D474" s="16" t="s">
        <v>245</v>
      </c>
      <c r="E474" s="14">
        <v>80</v>
      </c>
      <c r="F474" s="11">
        <v>69.22</v>
      </c>
      <c r="H474" s="14" t="s">
        <v>50</v>
      </c>
      <c r="I474" s="11">
        <v>5537.6</v>
      </c>
      <c r="J474" s="13">
        <v>3.05</v>
      </c>
      <c r="K474" s="11">
        <v>16889.68</v>
      </c>
    </row>
    <row r="475" spans="1:11" ht="25.5" hidden="1" x14ac:dyDescent="0.25">
      <c r="C475" s="9" t="s">
        <v>273</v>
      </c>
    </row>
    <row r="476" spans="1:11" hidden="1" x14ac:dyDescent="0.25">
      <c r="C476" s="10" t="s">
        <v>58</v>
      </c>
      <c r="H476" s="151">
        <v>5537.6</v>
      </c>
      <c r="I476" s="133"/>
      <c r="J476" s="151">
        <v>16889.68</v>
      </c>
      <c r="K476" s="133"/>
    </row>
    <row r="477" spans="1:11" hidden="1" x14ac:dyDescent="0.25"/>
    <row r="478" spans="1:11" ht="90" hidden="1" x14ac:dyDescent="0.25">
      <c r="A478" s="6">
        <v>83</v>
      </c>
      <c r="B478" s="4" t="s">
        <v>274</v>
      </c>
      <c r="C478" s="8" t="s">
        <v>275</v>
      </c>
      <c r="D478" s="16" t="s">
        <v>245</v>
      </c>
      <c r="E478" s="14">
        <v>13</v>
      </c>
      <c r="F478" s="11">
        <v>79.61</v>
      </c>
      <c r="H478" s="14" t="s">
        <v>50</v>
      </c>
      <c r="I478" s="11">
        <v>1034.93</v>
      </c>
      <c r="J478" s="13">
        <v>3.27</v>
      </c>
      <c r="K478" s="11">
        <v>3384.22</v>
      </c>
    </row>
    <row r="479" spans="1:11" ht="25.5" hidden="1" x14ac:dyDescent="0.25">
      <c r="C479" s="9" t="s">
        <v>276</v>
      </c>
    </row>
    <row r="480" spans="1:11" hidden="1" x14ac:dyDescent="0.25">
      <c r="C480" s="10" t="s">
        <v>58</v>
      </c>
      <c r="H480" s="151">
        <v>1034.93</v>
      </c>
      <c r="I480" s="133"/>
      <c r="J480" s="151">
        <v>3384.22</v>
      </c>
      <c r="K480" s="133"/>
    </row>
    <row r="481" spans="1:11" hidden="1" x14ac:dyDescent="0.25"/>
    <row r="482" spans="1:11" ht="90" hidden="1" x14ac:dyDescent="0.25">
      <c r="A482" s="6">
        <v>84</v>
      </c>
      <c r="B482" s="4" t="s">
        <v>277</v>
      </c>
      <c r="C482" s="8" t="s">
        <v>278</v>
      </c>
      <c r="D482" s="16" t="s">
        <v>245</v>
      </c>
      <c r="E482" s="14">
        <v>13</v>
      </c>
      <c r="F482" s="11">
        <v>110.77</v>
      </c>
      <c r="H482" s="14" t="s">
        <v>50</v>
      </c>
      <c r="I482" s="11">
        <v>1440.01</v>
      </c>
      <c r="J482" s="13">
        <v>3.18</v>
      </c>
      <c r="K482" s="11">
        <v>4579.2299999999996</v>
      </c>
    </row>
    <row r="483" spans="1:11" ht="25.5" hidden="1" x14ac:dyDescent="0.25">
      <c r="C483" s="9" t="s">
        <v>279</v>
      </c>
    </row>
    <row r="484" spans="1:11" hidden="1" x14ac:dyDescent="0.25">
      <c r="C484" s="10" t="s">
        <v>58</v>
      </c>
      <c r="H484" s="151">
        <v>1440.01</v>
      </c>
      <c r="I484" s="133"/>
      <c r="J484" s="151">
        <v>4579.2299999999996</v>
      </c>
      <c r="K484" s="133"/>
    </row>
    <row r="485" spans="1:11" hidden="1" x14ac:dyDescent="0.25"/>
    <row r="486" spans="1:11" ht="229.5" hidden="1" x14ac:dyDescent="0.25">
      <c r="A486" s="6">
        <v>85</v>
      </c>
      <c r="B486" s="4" t="s">
        <v>280</v>
      </c>
      <c r="C486" s="8" t="s">
        <v>281</v>
      </c>
      <c r="D486" s="16" t="s">
        <v>282</v>
      </c>
      <c r="E486" s="14">
        <v>3</v>
      </c>
    </row>
    <row r="487" spans="1:11" ht="26.25" hidden="1" x14ac:dyDescent="0.25">
      <c r="C487" s="5" t="s">
        <v>43</v>
      </c>
      <c r="F487" s="11">
        <v>36.46</v>
      </c>
      <c r="G487" s="15" t="s">
        <v>44</v>
      </c>
      <c r="H487" s="13">
        <v>1.0669999999999999</v>
      </c>
      <c r="I487" s="11">
        <v>169.11</v>
      </c>
      <c r="J487" s="13">
        <v>56.35</v>
      </c>
      <c r="K487" s="11">
        <v>9529.35</v>
      </c>
    </row>
    <row r="488" spans="1:11" ht="26.25" hidden="1" x14ac:dyDescent="0.25">
      <c r="C488" s="7" t="s">
        <v>45</v>
      </c>
      <c r="F488" s="11">
        <v>1.08</v>
      </c>
      <c r="G488" s="15" t="s">
        <v>46</v>
      </c>
      <c r="H488" s="13">
        <v>1.0669999999999999</v>
      </c>
      <c r="I488" s="11">
        <v>5.44</v>
      </c>
      <c r="J488" s="13">
        <v>15.29</v>
      </c>
      <c r="K488" s="11">
        <v>83.18</v>
      </c>
    </row>
    <row r="489" spans="1:11" ht="26.25" hidden="1" x14ac:dyDescent="0.25">
      <c r="C489" s="7" t="s">
        <v>47</v>
      </c>
      <c r="F489" s="11">
        <v>0.13</v>
      </c>
      <c r="G489" s="15" t="s">
        <v>46</v>
      </c>
      <c r="H489" s="13">
        <v>1.0669999999999999</v>
      </c>
      <c r="I489" s="11">
        <v>0.66</v>
      </c>
      <c r="J489" s="13">
        <v>56.35</v>
      </c>
      <c r="K489" s="11">
        <v>37.19</v>
      </c>
    </row>
    <row r="490" spans="1:11" hidden="1" x14ac:dyDescent="0.25">
      <c r="C490" s="7" t="s">
        <v>48</v>
      </c>
      <c r="F490" s="11">
        <v>2.7</v>
      </c>
      <c r="G490" s="15" t="s">
        <v>96</v>
      </c>
      <c r="H490" s="14" t="s">
        <v>50</v>
      </c>
      <c r="I490" s="11">
        <v>8.1</v>
      </c>
      <c r="J490" s="13">
        <v>6.63</v>
      </c>
      <c r="K490" s="11">
        <v>53.7</v>
      </c>
    </row>
    <row r="491" spans="1:11" hidden="1" x14ac:dyDescent="0.25">
      <c r="C491" s="7" t="s">
        <v>51</v>
      </c>
      <c r="D491" s="11" t="s">
        <v>52</v>
      </c>
      <c r="E491" s="14">
        <v>109</v>
      </c>
      <c r="I491" s="11">
        <v>185.05</v>
      </c>
      <c r="J491" s="14">
        <v>109</v>
      </c>
      <c r="K491" s="11">
        <v>10427.530000000001</v>
      </c>
    </row>
    <row r="492" spans="1:11" hidden="1" x14ac:dyDescent="0.25">
      <c r="C492" s="7" t="s">
        <v>53</v>
      </c>
      <c r="D492" s="11" t="s">
        <v>52</v>
      </c>
      <c r="E492" s="14">
        <v>61</v>
      </c>
      <c r="I492" s="11">
        <v>103.56</v>
      </c>
      <c r="J492" s="14">
        <v>61</v>
      </c>
      <c r="K492" s="11">
        <v>5835.59</v>
      </c>
    </row>
    <row r="493" spans="1:11" ht="26.25" hidden="1" x14ac:dyDescent="0.25">
      <c r="C493" s="7" t="s">
        <v>54</v>
      </c>
      <c r="D493" s="11" t="s">
        <v>55</v>
      </c>
      <c r="E493" s="13">
        <v>3.14</v>
      </c>
      <c r="G493" s="15" t="s">
        <v>44</v>
      </c>
      <c r="H493" s="13">
        <v>1.0669999999999999</v>
      </c>
      <c r="I493" s="12">
        <v>14.564101859999999</v>
      </c>
    </row>
    <row r="494" spans="1:11" hidden="1" x14ac:dyDescent="0.25">
      <c r="A494" s="36"/>
      <c r="B494" s="36"/>
      <c r="C494" s="36" t="s">
        <v>56</v>
      </c>
      <c r="D494" s="36"/>
      <c r="E494" s="36"/>
      <c r="F494" s="36"/>
      <c r="G494" s="36"/>
      <c r="H494" s="149">
        <v>471.26</v>
      </c>
      <c r="I494" s="150"/>
      <c r="J494" s="149">
        <v>25929.35</v>
      </c>
      <c r="K494" s="150"/>
    </row>
    <row r="495" spans="1:11" hidden="1" x14ac:dyDescent="0.25">
      <c r="C495" s="10" t="s">
        <v>57</v>
      </c>
      <c r="H495" s="151">
        <v>0</v>
      </c>
      <c r="I495" s="133"/>
      <c r="J495" s="151">
        <v>0</v>
      </c>
      <c r="K495" s="133"/>
    </row>
    <row r="496" spans="1:11" hidden="1" x14ac:dyDescent="0.25">
      <c r="C496" s="10" t="s">
        <v>58</v>
      </c>
      <c r="H496" s="151">
        <v>471.26</v>
      </c>
      <c r="I496" s="133"/>
      <c r="J496" s="151">
        <v>25929.35</v>
      </c>
      <c r="K496" s="133"/>
    </row>
    <row r="497" spans="1:11" hidden="1" x14ac:dyDescent="0.25"/>
    <row r="498" spans="1:11" ht="140.25" hidden="1" x14ac:dyDescent="0.25">
      <c r="A498" s="6">
        <v>86</v>
      </c>
      <c r="B498" s="4" t="s">
        <v>283</v>
      </c>
      <c r="C498" s="3" t="s">
        <v>284</v>
      </c>
      <c r="D498" s="16" t="s">
        <v>245</v>
      </c>
      <c r="E498" s="14">
        <v>1</v>
      </c>
      <c r="F498" s="11">
        <v>1016.94</v>
      </c>
      <c r="H498" s="14" t="s">
        <v>50</v>
      </c>
      <c r="I498" s="11">
        <v>1016.94</v>
      </c>
      <c r="J498" s="13">
        <v>3.27</v>
      </c>
      <c r="K498" s="11">
        <v>3325.39</v>
      </c>
    </row>
    <row r="499" spans="1:11" hidden="1" x14ac:dyDescent="0.25">
      <c r="C499" s="10" t="s">
        <v>58</v>
      </c>
      <c r="H499" s="151">
        <v>1016.94</v>
      </c>
      <c r="I499" s="133"/>
      <c r="J499" s="151">
        <v>3325.39</v>
      </c>
      <c r="K499" s="133"/>
    </row>
    <row r="500" spans="1:11" hidden="1" x14ac:dyDescent="0.25"/>
    <row r="501" spans="1:11" ht="140.25" hidden="1" x14ac:dyDescent="0.25">
      <c r="A501" s="6">
        <v>87</v>
      </c>
      <c r="B501" s="4" t="s">
        <v>285</v>
      </c>
      <c r="C501" s="3" t="s">
        <v>286</v>
      </c>
      <c r="D501" s="16" t="s">
        <v>245</v>
      </c>
      <c r="E501" s="14">
        <v>2</v>
      </c>
      <c r="F501" s="11">
        <v>1032.1500000000001</v>
      </c>
      <c r="H501" s="14" t="s">
        <v>50</v>
      </c>
      <c r="I501" s="11">
        <v>2064.3000000000002</v>
      </c>
      <c r="J501" s="13">
        <v>3.68</v>
      </c>
      <c r="K501" s="11">
        <v>7596.62</v>
      </c>
    </row>
    <row r="502" spans="1:11" hidden="1" x14ac:dyDescent="0.25">
      <c r="C502" s="10" t="s">
        <v>58</v>
      </c>
      <c r="H502" s="151">
        <v>2064.3000000000002</v>
      </c>
      <c r="I502" s="133"/>
      <c r="J502" s="151">
        <v>7596.62</v>
      </c>
      <c r="K502" s="133"/>
    </row>
    <row r="503" spans="1:11" hidden="1" x14ac:dyDescent="0.25"/>
    <row r="504" spans="1:11" ht="229.5" hidden="1" x14ac:dyDescent="0.25">
      <c r="A504" s="6">
        <v>88</v>
      </c>
      <c r="B504" s="4" t="s">
        <v>287</v>
      </c>
      <c r="C504" s="8" t="s">
        <v>288</v>
      </c>
      <c r="D504" s="16" t="s">
        <v>282</v>
      </c>
      <c r="E504" s="14">
        <v>8</v>
      </c>
    </row>
    <row r="505" spans="1:11" ht="26.25" hidden="1" x14ac:dyDescent="0.25">
      <c r="C505" s="5" t="s">
        <v>43</v>
      </c>
      <c r="F505" s="11">
        <v>51.04</v>
      </c>
      <c r="G505" s="15" t="s">
        <v>44</v>
      </c>
      <c r="H505" s="13">
        <v>1.0669999999999999</v>
      </c>
      <c r="I505" s="11">
        <v>631.29999999999995</v>
      </c>
      <c r="J505" s="13">
        <v>56.35</v>
      </c>
      <c r="K505" s="11">
        <v>35573.760000000002</v>
      </c>
    </row>
    <row r="506" spans="1:11" ht="26.25" hidden="1" x14ac:dyDescent="0.25">
      <c r="C506" s="7" t="s">
        <v>45</v>
      </c>
      <c r="F506" s="11">
        <v>2.98</v>
      </c>
      <c r="G506" s="15" t="s">
        <v>46</v>
      </c>
      <c r="H506" s="13">
        <v>1.0669999999999999</v>
      </c>
      <c r="I506" s="11">
        <v>40.06</v>
      </c>
      <c r="J506" s="13">
        <v>14.53</v>
      </c>
      <c r="K506" s="11">
        <v>582.07000000000005</v>
      </c>
    </row>
    <row r="507" spans="1:11" ht="26.25" hidden="1" x14ac:dyDescent="0.25">
      <c r="C507" s="7" t="s">
        <v>47</v>
      </c>
      <c r="F507" s="11">
        <v>0.3</v>
      </c>
      <c r="G507" s="15" t="s">
        <v>46</v>
      </c>
      <c r="H507" s="13">
        <v>1.0669999999999999</v>
      </c>
      <c r="I507" s="11">
        <v>4.03</v>
      </c>
      <c r="J507" s="13">
        <v>56.35</v>
      </c>
      <c r="K507" s="11">
        <v>227.09</v>
      </c>
    </row>
    <row r="508" spans="1:11" hidden="1" x14ac:dyDescent="0.25">
      <c r="C508" s="7" t="s">
        <v>48</v>
      </c>
      <c r="F508" s="11">
        <v>4.2</v>
      </c>
      <c r="G508" s="15" t="s">
        <v>96</v>
      </c>
      <c r="H508" s="14" t="s">
        <v>50</v>
      </c>
      <c r="I508" s="11">
        <v>33.6</v>
      </c>
      <c r="J508" s="13">
        <v>6.6</v>
      </c>
      <c r="K508" s="11">
        <v>221.76</v>
      </c>
    </row>
    <row r="509" spans="1:11" hidden="1" x14ac:dyDescent="0.25">
      <c r="C509" s="7" t="s">
        <v>51</v>
      </c>
      <c r="D509" s="11" t="s">
        <v>52</v>
      </c>
      <c r="E509" s="14">
        <v>109</v>
      </c>
      <c r="I509" s="11">
        <v>692.51</v>
      </c>
      <c r="J509" s="14">
        <v>109</v>
      </c>
      <c r="K509" s="11">
        <v>39022.93</v>
      </c>
    </row>
    <row r="510" spans="1:11" hidden="1" x14ac:dyDescent="0.25">
      <c r="C510" s="7" t="s">
        <v>53</v>
      </c>
      <c r="D510" s="11" t="s">
        <v>52</v>
      </c>
      <c r="E510" s="14">
        <v>61</v>
      </c>
      <c r="I510" s="11">
        <v>387.55</v>
      </c>
      <c r="J510" s="14">
        <v>61</v>
      </c>
      <c r="K510" s="11">
        <v>21838.52</v>
      </c>
    </row>
    <row r="511" spans="1:11" ht="26.25" hidden="1" x14ac:dyDescent="0.25">
      <c r="C511" s="7" t="s">
        <v>54</v>
      </c>
      <c r="D511" s="11" t="s">
        <v>55</v>
      </c>
      <c r="E511" s="13">
        <v>4.45</v>
      </c>
      <c r="G511" s="15" t="s">
        <v>44</v>
      </c>
      <c r="H511" s="13">
        <v>1.0669999999999999</v>
      </c>
      <c r="I511" s="12">
        <v>55.040554800000002</v>
      </c>
    </row>
    <row r="512" spans="1:11" hidden="1" x14ac:dyDescent="0.25">
      <c r="A512" s="37"/>
      <c r="B512" s="37"/>
      <c r="C512" s="37" t="s">
        <v>56</v>
      </c>
      <c r="D512" s="37"/>
      <c r="E512" s="37"/>
      <c r="F512" s="37"/>
      <c r="G512" s="37"/>
      <c r="H512" s="149">
        <v>1785.02</v>
      </c>
      <c r="I512" s="150"/>
      <c r="J512" s="149">
        <v>97239.039999999994</v>
      </c>
      <c r="K512" s="150"/>
    </row>
    <row r="513" spans="1:11" hidden="1" x14ac:dyDescent="0.25">
      <c r="C513" s="10" t="s">
        <v>57</v>
      </c>
      <c r="H513" s="151">
        <v>0</v>
      </c>
      <c r="I513" s="133"/>
      <c r="J513" s="151">
        <v>0</v>
      </c>
      <c r="K513" s="133"/>
    </row>
    <row r="514" spans="1:11" hidden="1" x14ac:dyDescent="0.25">
      <c r="C514" s="10" t="s">
        <v>58</v>
      </c>
      <c r="H514" s="151">
        <v>1785.02</v>
      </c>
      <c r="I514" s="133"/>
      <c r="J514" s="151">
        <v>97239.039999999994</v>
      </c>
      <c r="K514" s="133"/>
    </row>
    <row r="515" spans="1:11" hidden="1" x14ac:dyDescent="0.25"/>
    <row r="516" spans="1:11" ht="141" hidden="1" x14ac:dyDescent="0.25">
      <c r="A516" s="6">
        <v>89</v>
      </c>
      <c r="B516" s="4" t="s">
        <v>289</v>
      </c>
      <c r="C516" s="8" t="s">
        <v>290</v>
      </c>
      <c r="D516" s="16" t="s">
        <v>245</v>
      </c>
      <c r="E516" s="14">
        <v>8</v>
      </c>
      <c r="F516" s="11">
        <v>1518.85</v>
      </c>
      <c r="H516" s="14" t="s">
        <v>50</v>
      </c>
      <c r="I516" s="11">
        <v>12150.8</v>
      </c>
      <c r="J516" s="13">
        <v>4.54</v>
      </c>
      <c r="K516" s="11">
        <v>55164.63</v>
      </c>
    </row>
    <row r="517" spans="1:11" hidden="1" x14ac:dyDescent="0.25">
      <c r="C517" s="10" t="s">
        <v>58</v>
      </c>
      <c r="H517" s="151">
        <v>12150.8</v>
      </c>
      <c r="I517" s="133"/>
      <c r="J517" s="151">
        <v>55164.63</v>
      </c>
      <c r="K517" s="133"/>
    </row>
    <row r="518" spans="1:11" hidden="1" x14ac:dyDescent="0.25"/>
    <row r="519" spans="1:11" ht="229.5" hidden="1" x14ac:dyDescent="0.25">
      <c r="A519" s="6">
        <v>90</v>
      </c>
      <c r="B519" s="4" t="s">
        <v>291</v>
      </c>
      <c r="C519" s="8" t="s">
        <v>292</v>
      </c>
      <c r="D519" s="16" t="s">
        <v>282</v>
      </c>
      <c r="E519" s="14">
        <v>2</v>
      </c>
    </row>
    <row r="520" spans="1:11" ht="26.25" hidden="1" x14ac:dyDescent="0.25">
      <c r="C520" s="5" t="s">
        <v>43</v>
      </c>
      <c r="F520" s="11">
        <v>76.02</v>
      </c>
      <c r="G520" s="15" t="s">
        <v>44</v>
      </c>
      <c r="H520" s="13">
        <v>1.0669999999999999</v>
      </c>
      <c r="I520" s="11">
        <v>235.07</v>
      </c>
      <c r="J520" s="13">
        <v>56.35</v>
      </c>
      <c r="K520" s="11">
        <v>13246.19</v>
      </c>
    </row>
    <row r="521" spans="1:11" ht="26.25" hidden="1" x14ac:dyDescent="0.25">
      <c r="C521" s="7" t="s">
        <v>45</v>
      </c>
      <c r="F521" s="11">
        <v>3.17</v>
      </c>
      <c r="G521" s="15" t="s">
        <v>46</v>
      </c>
      <c r="H521" s="13">
        <v>1.0669999999999999</v>
      </c>
      <c r="I521" s="11">
        <v>10.65</v>
      </c>
      <c r="J521" s="13">
        <v>14.21</v>
      </c>
      <c r="K521" s="11">
        <v>151.34</v>
      </c>
    </row>
    <row r="522" spans="1:11" ht="26.25" hidden="1" x14ac:dyDescent="0.25">
      <c r="C522" s="7" t="s">
        <v>47</v>
      </c>
      <c r="F522" s="11">
        <v>0.3</v>
      </c>
      <c r="G522" s="15" t="s">
        <v>46</v>
      </c>
      <c r="H522" s="13">
        <v>1.0669999999999999</v>
      </c>
      <c r="I522" s="11">
        <v>1.01</v>
      </c>
      <c r="J522" s="13">
        <v>56.35</v>
      </c>
      <c r="K522" s="11">
        <v>56.91</v>
      </c>
    </row>
    <row r="523" spans="1:11" hidden="1" x14ac:dyDescent="0.25">
      <c r="C523" s="7" t="s">
        <v>48</v>
      </c>
      <c r="F523" s="11">
        <v>6.2</v>
      </c>
      <c r="G523" s="15" t="s">
        <v>96</v>
      </c>
      <c r="H523" s="14" t="s">
        <v>50</v>
      </c>
      <c r="I523" s="11">
        <v>12.4</v>
      </c>
      <c r="J523" s="13">
        <v>6.64</v>
      </c>
      <c r="K523" s="11">
        <v>82.34</v>
      </c>
    </row>
    <row r="524" spans="1:11" hidden="1" x14ac:dyDescent="0.25">
      <c r="C524" s="7" t="s">
        <v>51</v>
      </c>
      <c r="D524" s="11" t="s">
        <v>52</v>
      </c>
      <c r="E524" s="14">
        <v>109</v>
      </c>
      <c r="I524" s="11">
        <v>257.33</v>
      </c>
      <c r="J524" s="14">
        <v>109</v>
      </c>
      <c r="K524" s="11">
        <v>14500.38</v>
      </c>
    </row>
    <row r="525" spans="1:11" hidden="1" x14ac:dyDescent="0.25">
      <c r="C525" s="7" t="s">
        <v>53</v>
      </c>
      <c r="D525" s="11" t="s">
        <v>52</v>
      </c>
      <c r="E525" s="14">
        <v>61</v>
      </c>
      <c r="I525" s="11">
        <v>144.01</v>
      </c>
      <c r="J525" s="14">
        <v>61</v>
      </c>
      <c r="K525" s="11">
        <v>8114.89</v>
      </c>
    </row>
    <row r="526" spans="1:11" ht="26.25" hidden="1" x14ac:dyDescent="0.25">
      <c r="C526" s="7" t="s">
        <v>54</v>
      </c>
      <c r="D526" s="11" t="s">
        <v>55</v>
      </c>
      <c r="E526" s="13">
        <v>6.8</v>
      </c>
      <c r="G526" s="15" t="s">
        <v>44</v>
      </c>
      <c r="H526" s="13">
        <v>1.0669999999999999</v>
      </c>
      <c r="I526" s="12">
        <v>21.026728800000001</v>
      </c>
    </row>
    <row r="527" spans="1:11" hidden="1" x14ac:dyDescent="0.25">
      <c r="A527" s="38"/>
      <c r="B527" s="38"/>
      <c r="C527" s="38" t="s">
        <v>56</v>
      </c>
      <c r="D527" s="38"/>
      <c r="E527" s="38"/>
      <c r="F527" s="38"/>
      <c r="G527" s="38"/>
      <c r="H527" s="149">
        <v>659.46</v>
      </c>
      <c r="I527" s="150"/>
      <c r="J527" s="149">
        <v>36095.14</v>
      </c>
      <c r="K527" s="150"/>
    </row>
    <row r="528" spans="1:11" hidden="1" x14ac:dyDescent="0.25">
      <c r="C528" s="10" t="s">
        <v>57</v>
      </c>
      <c r="H528" s="151">
        <v>0</v>
      </c>
      <c r="I528" s="133"/>
      <c r="J528" s="151">
        <v>0</v>
      </c>
      <c r="K528" s="133"/>
    </row>
    <row r="529" spans="1:11" hidden="1" x14ac:dyDescent="0.25">
      <c r="C529" s="10" t="s">
        <v>58</v>
      </c>
      <c r="H529" s="151">
        <v>659.46</v>
      </c>
      <c r="I529" s="133"/>
      <c r="J529" s="151">
        <v>36095.14</v>
      </c>
      <c r="K529" s="133"/>
    </row>
    <row r="530" spans="1:11" hidden="1" x14ac:dyDescent="0.25"/>
    <row r="531" spans="1:11" ht="141" hidden="1" x14ac:dyDescent="0.25">
      <c r="A531" s="6">
        <v>91</v>
      </c>
      <c r="B531" s="4" t="s">
        <v>293</v>
      </c>
      <c r="C531" s="8" t="s">
        <v>294</v>
      </c>
      <c r="D531" s="16" t="s">
        <v>245</v>
      </c>
      <c r="E531" s="14">
        <v>2</v>
      </c>
      <c r="F531" s="11">
        <v>2829.84</v>
      </c>
      <c r="H531" s="14" t="s">
        <v>50</v>
      </c>
      <c r="I531" s="11">
        <v>5659.68</v>
      </c>
      <c r="J531" s="13">
        <v>4.37</v>
      </c>
      <c r="K531" s="11">
        <v>24732.799999999999</v>
      </c>
    </row>
    <row r="532" spans="1:11" hidden="1" x14ac:dyDescent="0.25">
      <c r="C532" s="10" t="s">
        <v>58</v>
      </c>
      <c r="H532" s="151">
        <v>5659.68</v>
      </c>
      <c r="I532" s="133"/>
      <c r="J532" s="151">
        <v>24732.799999999999</v>
      </c>
      <c r="K532" s="133"/>
    </row>
    <row r="533" spans="1:11" hidden="1" x14ac:dyDescent="0.25"/>
    <row r="534" spans="1:11" ht="229.5" hidden="1" x14ac:dyDescent="0.25">
      <c r="A534" s="6">
        <v>92</v>
      </c>
      <c r="B534" s="4" t="s">
        <v>295</v>
      </c>
      <c r="C534" s="8" t="s">
        <v>296</v>
      </c>
      <c r="D534" s="16" t="s">
        <v>282</v>
      </c>
      <c r="E534" s="14">
        <v>2</v>
      </c>
    </row>
    <row r="535" spans="1:11" ht="26.25" hidden="1" x14ac:dyDescent="0.25">
      <c r="C535" s="5" t="s">
        <v>43</v>
      </c>
      <c r="F535" s="11">
        <v>112.92</v>
      </c>
      <c r="G535" s="15" t="s">
        <v>44</v>
      </c>
      <c r="H535" s="13">
        <v>1.0669999999999999</v>
      </c>
      <c r="I535" s="11">
        <v>349.17</v>
      </c>
      <c r="J535" s="13">
        <v>56.35</v>
      </c>
      <c r="K535" s="11">
        <v>19675.73</v>
      </c>
    </row>
    <row r="536" spans="1:11" ht="26.25" hidden="1" x14ac:dyDescent="0.25">
      <c r="C536" s="7" t="s">
        <v>45</v>
      </c>
      <c r="F536" s="11">
        <v>7.72</v>
      </c>
      <c r="G536" s="15" t="s">
        <v>46</v>
      </c>
      <c r="H536" s="13">
        <v>1.0669999999999999</v>
      </c>
      <c r="I536" s="11">
        <v>25.95</v>
      </c>
      <c r="J536" s="13">
        <v>15.01</v>
      </c>
      <c r="K536" s="11">
        <v>389.51</v>
      </c>
    </row>
    <row r="537" spans="1:11" ht="26.25" hidden="1" x14ac:dyDescent="0.25">
      <c r="C537" s="7" t="s">
        <v>47</v>
      </c>
      <c r="F537" s="11">
        <v>0.84</v>
      </c>
      <c r="G537" s="15" t="s">
        <v>46</v>
      </c>
      <c r="H537" s="13">
        <v>1.0669999999999999</v>
      </c>
      <c r="I537" s="11">
        <v>2.82</v>
      </c>
      <c r="J537" s="13">
        <v>56.35</v>
      </c>
      <c r="K537" s="11">
        <v>158.91</v>
      </c>
    </row>
    <row r="538" spans="1:11" hidden="1" x14ac:dyDescent="0.25">
      <c r="C538" s="7" t="s">
        <v>48</v>
      </c>
      <c r="F538" s="11">
        <v>6.8</v>
      </c>
      <c r="G538" s="15" t="s">
        <v>96</v>
      </c>
      <c r="H538" s="14" t="s">
        <v>50</v>
      </c>
      <c r="I538" s="11">
        <v>13.6</v>
      </c>
      <c r="J538" s="13">
        <v>6.63</v>
      </c>
      <c r="K538" s="11">
        <v>90.17</v>
      </c>
    </row>
    <row r="539" spans="1:11" hidden="1" x14ac:dyDescent="0.25">
      <c r="C539" s="7" t="s">
        <v>51</v>
      </c>
      <c r="D539" s="11" t="s">
        <v>52</v>
      </c>
      <c r="E539" s="14">
        <v>109</v>
      </c>
      <c r="I539" s="11">
        <v>383.67</v>
      </c>
      <c r="J539" s="14">
        <v>109</v>
      </c>
      <c r="K539" s="11">
        <v>21619.759999999998</v>
      </c>
    </row>
    <row r="540" spans="1:11" hidden="1" x14ac:dyDescent="0.25">
      <c r="C540" s="7" t="s">
        <v>53</v>
      </c>
      <c r="D540" s="11" t="s">
        <v>52</v>
      </c>
      <c r="E540" s="14">
        <v>61</v>
      </c>
      <c r="I540" s="11">
        <v>214.71</v>
      </c>
      <c r="J540" s="14">
        <v>61</v>
      </c>
      <c r="K540" s="11">
        <v>12099.13</v>
      </c>
    </row>
    <row r="541" spans="1:11" ht="26.25" hidden="1" x14ac:dyDescent="0.25">
      <c r="C541" s="7" t="s">
        <v>54</v>
      </c>
      <c r="D541" s="11" t="s">
        <v>55</v>
      </c>
      <c r="E541" s="13">
        <v>10.1</v>
      </c>
      <c r="G541" s="15" t="s">
        <v>44</v>
      </c>
      <c r="H541" s="13">
        <v>1.0669999999999999</v>
      </c>
      <c r="I541" s="12">
        <v>31.230876599999998</v>
      </c>
    </row>
    <row r="542" spans="1:11" hidden="1" x14ac:dyDescent="0.25">
      <c r="A542" s="39"/>
      <c r="B542" s="39"/>
      <c r="C542" s="39" t="s">
        <v>56</v>
      </c>
      <c r="D542" s="39"/>
      <c r="E542" s="39"/>
      <c r="F542" s="39"/>
      <c r="G542" s="39"/>
      <c r="H542" s="149">
        <v>987.1</v>
      </c>
      <c r="I542" s="150"/>
      <c r="J542" s="149">
        <v>53874.3</v>
      </c>
      <c r="K542" s="150"/>
    </row>
    <row r="543" spans="1:11" hidden="1" x14ac:dyDescent="0.25">
      <c r="C543" s="10" t="s">
        <v>57</v>
      </c>
      <c r="H543" s="151">
        <v>0</v>
      </c>
      <c r="I543" s="133"/>
      <c r="J543" s="151">
        <v>0</v>
      </c>
      <c r="K543" s="133"/>
    </row>
    <row r="544" spans="1:11" hidden="1" x14ac:dyDescent="0.25">
      <c r="C544" s="10" t="s">
        <v>58</v>
      </c>
      <c r="H544" s="151">
        <v>987.1</v>
      </c>
      <c r="I544" s="133"/>
      <c r="J544" s="151">
        <v>53874.3</v>
      </c>
      <c r="K544" s="133"/>
    </row>
    <row r="545" spans="1:11" hidden="1" x14ac:dyDescent="0.25"/>
    <row r="546" spans="1:11" ht="141" hidden="1" x14ac:dyDescent="0.25">
      <c r="A546" s="6">
        <v>93</v>
      </c>
      <c r="B546" s="4" t="s">
        <v>297</v>
      </c>
      <c r="C546" s="8" t="s">
        <v>298</v>
      </c>
      <c r="D546" s="16" t="s">
        <v>245</v>
      </c>
      <c r="E546" s="14">
        <v>2</v>
      </c>
      <c r="F546" s="11">
        <v>3099.37</v>
      </c>
      <c r="H546" s="14" t="s">
        <v>50</v>
      </c>
      <c r="I546" s="11">
        <v>6198.74</v>
      </c>
      <c r="J546" s="13">
        <v>5.29</v>
      </c>
      <c r="K546" s="11">
        <v>32791.33</v>
      </c>
    </row>
    <row r="547" spans="1:11" hidden="1" x14ac:dyDescent="0.25">
      <c r="C547" s="10" t="s">
        <v>58</v>
      </c>
      <c r="H547" s="151">
        <v>6198.74</v>
      </c>
      <c r="I547" s="133"/>
      <c r="J547" s="151">
        <v>32791.33</v>
      </c>
      <c r="K547" s="133"/>
    </row>
    <row r="548" spans="1:11" hidden="1" x14ac:dyDescent="0.25"/>
    <row r="549" spans="1:11" ht="15.95" hidden="1" customHeight="1" x14ac:dyDescent="0.25">
      <c r="A549" s="148" t="s">
        <v>299</v>
      </c>
      <c r="B549" s="133"/>
      <c r="C549" s="133"/>
      <c r="D549" s="133"/>
      <c r="E549" s="133"/>
      <c r="F549" s="133"/>
      <c r="G549" s="133"/>
      <c r="H549" s="133"/>
      <c r="I549" s="133"/>
      <c r="J549" s="133"/>
      <c r="K549" s="133"/>
    </row>
    <row r="550" spans="1:11" hidden="1" x14ac:dyDescent="0.25"/>
    <row r="551" spans="1:11" ht="166.5" hidden="1" x14ac:dyDescent="0.25">
      <c r="A551" s="6">
        <v>94</v>
      </c>
      <c r="B551" s="4" t="s">
        <v>300</v>
      </c>
      <c r="C551" s="8" t="s">
        <v>301</v>
      </c>
      <c r="D551" s="16" t="s">
        <v>245</v>
      </c>
      <c r="E551" s="14">
        <v>78</v>
      </c>
      <c r="F551" s="11">
        <v>444.64</v>
      </c>
      <c r="H551" s="14" t="s">
        <v>50</v>
      </c>
      <c r="I551" s="11">
        <v>34681.919999999998</v>
      </c>
      <c r="J551" s="13">
        <v>0.62</v>
      </c>
      <c r="K551" s="11">
        <v>21502.79</v>
      </c>
    </row>
    <row r="552" spans="1:11" hidden="1" x14ac:dyDescent="0.25">
      <c r="C552" s="10" t="s">
        <v>58</v>
      </c>
      <c r="H552" s="151">
        <v>34681.919999999998</v>
      </c>
      <c r="I552" s="133"/>
      <c r="J552" s="151">
        <v>21502.79</v>
      </c>
      <c r="K552" s="133"/>
    </row>
    <row r="553" spans="1:11" hidden="1" x14ac:dyDescent="0.25"/>
    <row r="554" spans="1:11" ht="166.5" hidden="1" x14ac:dyDescent="0.25">
      <c r="A554" s="6">
        <v>95</v>
      </c>
      <c r="B554" s="4" t="s">
        <v>302</v>
      </c>
      <c r="C554" s="8" t="s">
        <v>303</v>
      </c>
      <c r="D554" s="16" t="s">
        <v>245</v>
      </c>
      <c r="E554" s="14">
        <v>13</v>
      </c>
      <c r="F554" s="11">
        <v>448.33</v>
      </c>
      <c r="H554" s="14" t="s">
        <v>50</v>
      </c>
      <c r="I554" s="11">
        <v>5828.29</v>
      </c>
      <c r="J554" s="13">
        <v>0.68</v>
      </c>
      <c r="K554" s="11">
        <v>3963.24</v>
      </c>
    </row>
    <row r="555" spans="1:11" hidden="1" x14ac:dyDescent="0.25">
      <c r="C555" s="10" t="s">
        <v>58</v>
      </c>
      <c r="H555" s="151">
        <v>5828.29</v>
      </c>
      <c r="I555" s="133"/>
      <c r="J555" s="151">
        <v>3963.24</v>
      </c>
      <c r="K555" s="133"/>
    </row>
    <row r="556" spans="1:11" hidden="1" x14ac:dyDescent="0.25"/>
    <row r="557" spans="1:11" ht="166.5" hidden="1" x14ac:dyDescent="0.25">
      <c r="A557" s="6">
        <v>96</v>
      </c>
      <c r="B557" s="4" t="s">
        <v>304</v>
      </c>
      <c r="C557" s="8" t="s">
        <v>305</v>
      </c>
      <c r="D557" s="16" t="s">
        <v>245</v>
      </c>
      <c r="E557" s="14">
        <v>84</v>
      </c>
      <c r="F557" s="11">
        <v>453.74</v>
      </c>
      <c r="H557" s="14" t="s">
        <v>50</v>
      </c>
      <c r="I557" s="11">
        <v>38114.160000000003</v>
      </c>
      <c r="J557" s="13">
        <v>0.78</v>
      </c>
      <c r="K557" s="11">
        <v>29729.040000000001</v>
      </c>
    </row>
    <row r="558" spans="1:11" hidden="1" x14ac:dyDescent="0.25">
      <c r="C558" s="10" t="s">
        <v>58</v>
      </c>
      <c r="H558" s="151">
        <v>38114.160000000003</v>
      </c>
      <c r="I558" s="133"/>
      <c r="J558" s="151">
        <v>29729.040000000001</v>
      </c>
      <c r="K558" s="133"/>
    </row>
    <row r="559" spans="1:11" hidden="1" x14ac:dyDescent="0.25"/>
    <row r="560" spans="1:11" ht="166.5" hidden="1" x14ac:dyDescent="0.25">
      <c r="A560" s="6">
        <v>97</v>
      </c>
      <c r="B560" s="4" t="s">
        <v>306</v>
      </c>
      <c r="C560" s="8" t="s">
        <v>307</v>
      </c>
      <c r="D560" s="16" t="s">
        <v>245</v>
      </c>
      <c r="E560" s="14">
        <v>47</v>
      </c>
      <c r="F560" s="11">
        <v>467.19</v>
      </c>
      <c r="H560" s="14" t="s">
        <v>50</v>
      </c>
      <c r="I560" s="11">
        <v>21957.93</v>
      </c>
      <c r="J560" s="13">
        <v>0.87</v>
      </c>
      <c r="K560" s="11">
        <v>19103.400000000001</v>
      </c>
    </row>
    <row r="561" spans="1:15" hidden="1" x14ac:dyDescent="0.25">
      <c r="C561" s="10" t="s">
        <v>58</v>
      </c>
      <c r="H561" s="151">
        <v>21957.93</v>
      </c>
      <c r="I561" s="133"/>
      <c r="J561" s="151">
        <v>19103.400000000001</v>
      </c>
      <c r="K561" s="133"/>
    </row>
    <row r="562" spans="1:15" hidden="1" x14ac:dyDescent="0.25"/>
    <row r="563" spans="1:15" ht="166.5" hidden="1" x14ac:dyDescent="0.25">
      <c r="A563" s="6">
        <v>98</v>
      </c>
      <c r="B563" s="4" t="s">
        <v>308</v>
      </c>
      <c r="C563" s="8" t="s">
        <v>309</v>
      </c>
      <c r="D563" s="16" t="s">
        <v>245</v>
      </c>
      <c r="E563" s="14">
        <v>6</v>
      </c>
      <c r="F563" s="11">
        <v>481.93</v>
      </c>
      <c r="H563" s="14" t="s">
        <v>50</v>
      </c>
      <c r="I563" s="11">
        <v>2891.58</v>
      </c>
      <c r="J563" s="13">
        <v>1.03</v>
      </c>
      <c r="K563" s="11">
        <v>2978.33</v>
      </c>
    </row>
    <row r="564" spans="1:15" hidden="1" x14ac:dyDescent="0.25">
      <c r="C564" s="10" t="s">
        <v>58</v>
      </c>
      <c r="H564" s="151">
        <v>2891.58</v>
      </c>
      <c r="I564" s="133"/>
      <c r="J564" s="151">
        <v>2978.33</v>
      </c>
      <c r="K564" s="133"/>
    </row>
    <row r="565" spans="1:15" hidden="1" x14ac:dyDescent="0.25"/>
    <row r="566" spans="1:15" ht="90" x14ac:dyDescent="0.25">
      <c r="A566" s="93">
        <v>99</v>
      </c>
      <c r="B566" s="94" t="s">
        <v>310</v>
      </c>
      <c r="C566" s="118" t="s">
        <v>311</v>
      </c>
      <c r="D566" s="96" t="s">
        <v>61</v>
      </c>
      <c r="E566" s="117">
        <v>5</v>
      </c>
      <c r="F566" s="98">
        <v>152.13999999999999</v>
      </c>
      <c r="G566" s="99"/>
      <c r="H566" s="97" t="s">
        <v>50</v>
      </c>
      <c r="I566" s="98">
        <v>760.7</v>
      </c>
      <c r="J566" s="100">
        <v>7.57</v>
      </c>
      <c r="K566" s="98">
        <v>5758.5</v>
      </c>
      <c r="L566" t="s">
        <v>785</v>
      </c>
      <c r="O566" s="116">
        <f>K566</f>
        <v>5758.5</v>
      </c>
    </row>
    <row r="567" spans="1:15" hidden="1" x14ac:dyDescent="0.25">
      <c r="C567" s="10" t="s">
        <v>58</v>
      </c>
      <c r="H567" s="151">
        <v>760.7</v>
      </c>
      <c r="I567" s="133"/>
      <c r="J567" s="151">
        <v>5758.5</v>
      </c>
      <c r="K567" s="133"/>
    </row>
    <row r="568" spans="1:15" hidden="1" x14ac:dyDescent="0.25"/>
    <row r="569" spans="1:15" ht="90" x14ac:dyDescent="0.25">
      <c r="A569" s="93">
        <v>100</v>
      </c>
      <c r="B569" s="94" t="s">
        <v>312</v>
      </c>
      <c r="C569" s="101" t="s">
        <v>313</v>
      </c>
      <c r="D569" s="96" t="s">
        <v>61</v>
      </c>
      <c r="E569" s="117">
        <v>1</v>
      </c>
      <c r="F569" s="98">
        <v>109.03</v>
      </c>
      <c r="G569" s="99"/>
      <c r="H569" s="97" t="s">
        <v>50</v>
      </c>
      <c r="I569" s="98">
        <v>109.03</v>
      </c>
      <c r="J569" s="100">
        <v>7.57</v>
      </c>
      <c r="K569" s="98">
        <v>825.36</v>
      </c>
      <c r="L569" t="s">
        <v>785</v>
      </c>
      <c r="O569" s="116">
        <f>K569</f>
        <v>825.36</v>
      </c>
    </row>
    <row r="570" spans="1:15" hidden="1" x14ac:dyDescent="0.25">
      <c r="C570" s="10" t="s">
        <v>58</v>
      </c>
      <c r="H570" s="151">
        <v>109.03</v>
      </c>
      <c r="I570" s="133"/>
      <c r="J570" s="151">
        <v>825.36</v>
      </c>
      <c r="K570" s="133"/>
    </row>
    <row r="571" spans="1:15" hidden="1" x14ac:dyDescent="0.25"/>
    <row r="572" spans="1:15" ht="90" x14ac:dyDescent="0.25">
      <c r="A572" s="93">
        <v>101</v>
      </c>
      <c r="B572" s="94" t="s">
        <v>314</v>
      </c>
      <c r="C572" s="101" t="s">
        <v>315</v>
      </c>
      <c r="D572" s="96" t="s">
        <v>61</v>
      </c>
      <c r="E572" s="117">
        <v>1</v>
      </c>
      <c r="F572" s="98">
        <v>178.1</v>
      </c>
      <c r="G572" s="99"/>
      <c r="H572" s="97" t="s">
        <v>50</v>
      </c>
      <c r="I572" s="98">
        <v>178.1</v>
      </c>
      <c r="J572" s="100">
        <v>7.57</v>
      </c>
      <c r="K572" s="98">
        <v>1348.22</v>
      </c>
      <c r="L572" t="s">
        <v>785</v>
      </c>
      <c r="O572" s="116">
        <f>K572</f>
        <v>1348.22</v>
      </c>
    </row>
    <row r="573" spans="1:15" hidden="1" x14ac:dyDescent="0.25">
      <c r="C573" s="10" t="s">
        <v>58</v>
      </c>
      <c r="H573" s="151">
        <v>178.1</v>
      </c>
      <c r="I573" s="133"/>
      <c r="J573" s="151">
        <v>1348.22</v>
      </c>
      <c r="K573" s="133"/>
    </row>
    <row r="574" spans="1:15" hidden="1" x14ac:dyDescent="0.25"/>
    <row r="575" spans="1:15" ht="90" x14ac:dyDescent="0.25">
      <c r="A575" s="93">
        <v>102</v>
      </c>
      <c r="B575" s="94" t="s">
        <v>316</v>
      </c>
      <c r="C575" s="101" t="s">
        <v>317</v>
      </c>
      <c r="D575" s="96" t="s">
        <v>61</v>
      </c>
      <c r="E575" s="117">
        <v>1</v>
      </c>
      <c r="F575" s="98">
        <v>294.35000000000002</v>
      </c>
      <c r="G575" s="99"/>
      <c r="H575" s="97" t="s">
        <v>50</v>
      </c>
      <c r="I575" s="98">
        <v>294.35000000000002</v>
      </c>
      <c r="J575" s="100">
        <v>7.57</v>
      </c>
      <c r="K575" s="98">
        <v>2228.23</v>
      </c>
      <c r="L575" t="s">
        <v>785</v>
      </c>
      <c r="O575" s="116">
        <f>K575</f>
        <v>2228.23</v>
      </c>
    </row>
    <row r="576" spans="1:15" hidden="1" x14ac:dyDescent="0.25">
      <c r="C576" s="10" t="s">
        <v>58</v>
      </c>
      <c r="H576" s="151">
        <v>294.35000000000002</v>
      </c>
      <c r="I576" s="133"/>
      <c r="J576" s="151">
        <v>2228.23</v>
      </c>
      <c r="K576" s="133"/>
    </row>
    <row r="577" spans="1:11" hidden="1" x14ac:dyDescent="0.25"/>
    <row r="578" spans="1:11" ht="29.1" hidden="1" customHeight="1" x14ac:dyDescent="0.25">
      <c r="A578" s="148" t="s">
        <v>318</v>
      </c>
      <c r="B578" s="133"/>
      <c r="C578" s="133"/>
      <c r="D578" s="133"/>
      <c r="E578" s="133"/>
      <c r="F578" s="133"/>
      <c r="G578" s="133"/>
      <c r="H578" s="133"/>
      <c r="I578" s="133"/>
      <c r="J578" s="133"/>
      <c r="K578" s="133"/>
    </row>
    <row r="579" spans="1:11" hidden="1" x14ac:dyDescent="0.25"/>
    <row r="580" spans="1:11" ht="165.75" hidden="1" x14ac:dyDescent="0.25">
      <c r="A580" s="6">
        <v>103</v>
      </c>
      <c r="B580" s="4" t="s">
        <v>319</v>
      </c>
      <c r="C580" s="8" t="s">
        <v>320</v>
      </c>
      <c r="D580" s="16" t="s">
        <v>321</v>
      </c>
      <c r="E580" s="14">
        <v>79</v>
      </c>
    </row>
    <row r="581" spans="1:11" ht="63.75" hidden="1" x14ac:dyDescent="0.25">
      <c r="C581" s="9" t="s">
        <v>322</v>
      </c>
    </row>
    <row r="582" spans="1:11" ht="26.25" hidden="1" x14ac:dyDescent="0.25">
      <c r="C582" s="5" t="s">
        <v>43</v>
      </c>
      <c r="F582" s="11">
        <v>47.28</v>
      </c>
      <c r="G582" s="15" t="s">
        <v>323</v>
      </c>
      <c r="H582" s="13">
        <v>1.0669999999999999</v>
      </c>
      <c r="I582" s="11">
        <v>4812.34</v>
      </c>
      <c r="J582" s="13">
        <v>56.35</v>
      </c>
      <c r="K582" s="11">
        <v>271175.36</v>
      </c>
    </row>
    <row r="583" spans="1:11" ht="26.25" hidden="1" x14ac:dyDescent="0.25">
      <c r="C583" s="7" t="s">
        <v>45</v>
      </c>
      <c r="F583" s="11">
        <v>1.1499999999999999</v>
      </c>
      <c r="G583" s="15" t="s">
        <v>324</v>
      </c>
      <c r="H583" s="13">
        <v>1.0669999999999999</v>
      </c>
      <c r="I583" s="11">
        <v>127.23</v>
      </c>
      <c r="J583" s="13">
        <v>14.91</v>
      </c>
      <c r="K583" s="11">
        <v>1897</v>
      </c>
    </row>
    <row r="584" spans="1:11" ht="26.25" hidden="1" x14ac:dyDescent="0.25">
      <c r="C584" s="7" t="s">
        <v>47</v>
      </c>
      <c r="F584" s="11">
        <v>0.13</v>
      </c>
      <c r="G584" s="15" t="s">
        <v>324</v>
      </c>
      <c r="H584" s="13">
        <v>1.0669999999999999</v>
      </c>
      <c r="I584" s="11">
        <v>14.38</v>
      </c>
      <c r="J584" s="13">
        <v>56.35</v>
      </c>
      <c r="K584" s="11">
        <v>810.31</v>
      </c>
    </row>
    <row r="585" spans="1:11" hidden="1" x14ac:dyDescent="0.25">
      <c r="C585" s="7" t="s">
        <v>48</v>
      </c>
      <c r="F585" s="11">
        <v>24.1</v>
      </c>
      <c r="G585" s="15" t="s">
        <v>49</v>
      </c>
      <c r="H585" s="14" t="s">
        <v>50</v>
      </c>
      <c r="I585" s="11">
        <v>1903.9</v>
      </c>
      <c r="J585" s="13">
        <v>16.350000000000001</v>
      </c>
      <c r="K585" s="11">
        <v>31128.77</v>
      </c>
    </row>
    <row r="586" spans="1:11" ht="51.75" hidden="1" x14ac:dyDescent="0.25">
      <c r="A586" s="6" t="s">
        <v>325</v>
      </c>
      <c r="B586" s="4" t="s">
        <v>326</v>
      </c>
      <c r="C586" s="8" t="s">
        <v>327</v>
      </c>
      <c r="D586" s="16" t="s">
        <v>328</v>
      </c>
      <c r="E586" s="13">
        <v>1.422E-2</v>
      </c>
      <c r="F586" s="11">
        <v>22524.65</v>
      </c>
      <c r="H586" s="14" t="s">
        <v>50</v>
      </c>
      <c r="I586" s="11">
        <v>320.3</v>
      </c>
      <c r="J586" s="13">
        <v>5.93</v>
      </c>
      <c r="K586" s="11">
        <v>1899.38</v>
      </c>
    </row>
    <row r="587" spans="1:11" hidden="1" x14ac:dyDescent="0.25">
      <c r="C587" s="7" t="s">
        <v>51</v>
      </c>
      <c r="D587" s="11" t="s">
        <v>52</v>
      </c>
      <c r="E587" s="14">
        <v>109</v>
      </c>
      <c r="I587" s="11">
        <v>5261.12</v>
      </c>
      <c r="J587" s="14">
        <v>109</v>
      </c>
      <c r="K587" s="11">
        <v>296464.38</v>
      </c>
    </row>
    <row r="588" spans="1:11" hidden="1" x14ac:dyDescent="0.25">
      <c r="C588" s="7" t="s">
        <v>53</v>
      </c>
      <c r="D588" s="11" t="s">
        <v>52</v>
      </c>
      <c r="E588" s="14">
        <v>61</v>
      </c>
      <c r="I588" s="11">
        <v>2944.3</v>
      </c>
      <c r="J588" s="14">
        <v>61</v>
      </c>
      <c r="K588" s="11">
        <v>165911.26</v>
      </c>
    </row>
    <row r="589" spans="1:11" ht="26.25" hidden="1" x14ac:dyDescent="0.25">
      <c r="C589" s="7" t="s">
        <v>54</v>
      </c>
      <c r="D589" s="11" t="s">
        <v>55</v>
      </c>
      <c r="E589" s="13">
        <v>4.0199999999999996</v>
      </c>
      <c r="G589" s="15" t="s">
        <v>323</v>
      </c>
      <c r="H589" s="13">
        <v>1.0669999999999999</v>
      </c>
      <c r="I589" s="12">
        <v>409.17086595000001</v>
      </c>
    </row>
    <row r="590" spans="1:11" hidden="1" x14ac:dyDescent="0.25">
      <c r="A590" s="40"/>
      <c r="B590" s="40"/>
      <c r="C590" s="40" t="s">
        <v>56</v>
      </c>
      <c r="D590" s="40"/>
      <c r="E590" s="40"/>
      <c r="F590" s="40"/>
      <c r="G590" s="40"/>
      <c r="H590" s="149">
        <v>15369.19</v>
      </c>
      <c r="I590" s="150"/>
      <c r="J590" s="149">
        <v>768476.15</v>
      </c>
      <c r="K590" s="150"/>
    </row>
    <row r="591" spans="1:11" hidden="1" x14ac:dyDescent="0.25">
      <c r="C591" s="10" t="s">
        <v>57</v>
      </c>
      <c r="H591" s="151">
        <v>0</v>
      </c>
      <c r="I591" s="133"/>
      <c r="J591" s="151">
        <v>0</v>
      </c>
      <c r="K591" s="133"/>
    </row>
    <row r="592" spans="1:11" hidden="1" x14ac:dyDescent="0.25">
      <c r="C592" s="10" t="s">
        <v>58</v>
      </c>
      <c r="H592" s="151">
        <v>15369.19</v>
      </c>
      <c r="I592" s="133"/>
      <c r="J592" s="151">
        <v>768476.15</v>
      </c>
      <c r="K592" s="133"/>
    </row>
    <row r="593" spans="1:15" hidden="1" x14ac:dyDescent="0.25"/>
    <row r="594" spans="1:15" ht="76.5" x14ac:dyDescent="0.25">
      <c r="A594" s="93">
        <v>104</v>
      </c>
      <c r="B594" s="94" t="s">
        <v>329</v>
      </c>
      <c r="C594" s="95" t="s">
        <v>330</v>
      </c>
      <c r="D594" s="96" t="s">
        <v>245</v>
      </c>
      <c r="E594" s="117">
        <v>4</v>
      </c>
      <c r="F594" s="98">
        <v>1634.48</v>
      </c>
      <c r="G594" s="99"/>
      <c r="H594" s="97" t="s">
        <v>50</v>
      </c>
      <c r="I594" s="98">
        <v>6537.92</v>
      </c>
      <c r="J594" s="100">
        <v>9.27</v>
      </c>
      <c r="K594" s="98">
        <v>60606.52</v>
      </c>
      <c r="L594" t="s">
        <v>785</v>
      </c>
      <c r="O594" s="116">
        <f>K594</f>
        <v>60606.52</v>
      </c>
    </row>
    <row r="595" spans="1:15" hidden="1" x14ac:dyDescent="0.25">
      <c r="C595" s="10" t="s">
        <v>58</v>
      </c>
      <c r="H595" s="151">
        <v>6537.92</v>
      </c>
      <c r="I595" s="133"/>
      <c r="J595" s="151">
        <v>60606.52</v>
      </c>
      <c r="K595" s="133"/>
    </row>
    <row r="596" spans="1:15" hidden="1" x14ac:dyDescent="0.25"/>
    <row r="597" spans="1:15" ht="76.5" x14ac:dyDescent="0.25">
      <c r="A597" s="93">
        <v>105</v>
      </c>
      <c r="B597" s="94" t="s">
        <v>329</v>
      </c>
      <c r="C597" s="95" t="s">
        <v>331</v>
      </c>
      <c r="D597" s="96" t="s">
        <v>245</v>
      </c>
      <c r="E597" s="117">
        <v>1</v>
      </c>
      <c r="F597" s="98">
        <v>1634.48</v>
      </c>
      <c r="G597" s="99"/>
      <c r="H597" s="97" t="s">
        <v>50</v>
      </c>
      <c r="I597" s="98">
        <v>1634.48</v>
      </c>
      <c r="J597" s="100">
        <v>9.27</v>
      </c>
      <c r="K597" s="98">
        <v>15151.63</v>
      </c>
      <c r="L597" t="s">
        <v>785</v>
      </c>
      <c r="O597" s="116">
        <f>K597</f>
        <v>15151.63</v>
      </c>
    </row>
    <row r="598" spans="1:15" hidden="1" x14ac:dyDescent="0.25">
      <c r="C598" s="10" t="s">
        <v>58</v>
      </c>
      <c r="H598" s="151">
        <v>1634.48</v>
      </c>
      <c r="I598" s="133"/>
      <c r="J598" s="151">
        <v>15151.63</v>
      </c>
      <c r="K598" s="133"/>
    </row>
    <row r="599" spans="1:15" hidden="1" x14ac:dyDescent="0.25"/>
    <row r="600" spans="1:15" ht="76.5" x14ac:dyDescent="0.25">
      <c r="A600" s="93">
        <v>106</v>
      </c>
      <c r="B600" s="94" t="s">
        <v>329</v>
      </c>
      <c r="C600" s="95" t="s">
        <v>332</v>
      </c>
      <c r="D600" s="96" t="s">
        <v>245</v>
      </c>
      <c r="E600" s="117">
        <v>9</v>
      </c>
      <c r="F600" s="98">
        <v>1634.48</v>
      </c>
      <c r="G600" s="99"/>
      <c r="H600" s="97" t="s">
        <v>50</v>
      </c>
      <c r="I600" s="98">
        <v>14710.32</v>
      </c>
      <c r="J600" s="100">
        <v>9.27</v>
      </c>
      <c r="K600" s="98">
        <v>136364.67000000001</v>
      </c>
      <c r="L600" t="s">
        <v>785</v>
      </c>
      <c r="O600" s="116">
        <f>K600</f>
        <v>136364.67000000001</v>
      </c>
    </row>
    <row r="601" spans="1:15" hidden="1" x14ac:dyDescent="0.25">
      <c r="C601" s="10" t="s">
        <v>58</v>
      </c>
      <c r="H601" s="151">
        <v>14710.32</v>
      </c>
      <c r="I601" s="133"/>
      <c r="J601" s="151">
        <v>136364.67000000001</v>
      </c>
      <c r="K601" s="133"/>
    </row>
    <row r="602" spans="1:15" hidden="1" x14ac:dyDescent="0.25"/>
    <row r="603" spans="1:15" ht="76.5" x14ac:dyDescent="0.25">
      <c r="A603" s="93">
        <v>107</v>
      </c>
      <c r="B603" s="94" t="s">
        <v>333</v>
      </c>
      <c r="C603" s="95" t="s">
        <v>334</v>
      </c>
      <c r="D603" s="96" t="s">
        <v>245</v>
      </c>
      <c r="E603" s="117">
        <v>10</v>
      </c>
      <c r="F603" s="98">
        <v>1491.24</v>
      </c>
      <c r="G603" s="99"/>
      <c r="H603" s="97" t="s">
        <v>50</v>
      </c>
      <c r="I603" s="98">
        <v>14912.4</v>
      </c>
      <c r="J603" s="100">
        <v>8.42</v>
      </c>
      <c r="K603" s="98">
        <v>125562.41</v>
      </c>
      <c r="L603" t="s">
        <v>785</v>
      </c>
      <c r="O603" s="116">
        <f>K603</f>
        <v>125562.41</v>
      </c>
    </row>
    <row r="604" spans="1:15" hidden="1" x14ac:dyDescent="0.25">
      <c r="C604" s="10" t="s">
        <v>58</v>
      </c>
      <c r="H604" s="151">
        <v>14912.4</v>
      </c>
      <c r="I604" s="133"/>
      <c r="J604" s="151">
        <v>125562.41</v>
      </c>
      <c r="K604" s="133"/>
    </row>
    <row r="605" spans="1:15" hidden="1" x14ac:dyDescent="0.25"/>
    <row r="606" spans="1:15" ht="76.5" x14ac:dyDescent="0.25">
      <c r="A606" s="93">
        <v>108</v>
      </c>
      <c r="B606" s="94" t="s">
        <v>333</v>
      </c>
      <c r="C606" s="95" t="s">
        <v>335</v>
      </c>
      <c r="D606" s="96" t="s">
        <v>245</v>
      </c>
      <c r="E606" s="117">
        <v>1</v>
      </c>
      <c r="F606" s="98">
        <v>1491.24</v>
      </c>
      <c r="G606" s="99"/>
      <c r="H606" s="97" t="s">
        <v>50</v>
      </c>
      <c r="I606" s="98">
        <v>1491.24</v>
      </c>
      <c r="J606" s="100">
        <v>8.42</v>
      </c>
      <c r="K606" s="98">
        <v>12556.24</v>
      </c>
      <c r="L606" t="s">
        <v>785</v>
      </c>
      <c r="O606" s="116">
        <f>K606</f>
        <v>12556.24</v>
      </c>
    </row>
    <row r="607" spans="1:15" hidden="1" x14ac:dyDescent="0.25">
      <c r="C607" s="10" t="s">
        <v>58</v>
      </c>
      <c r="H607" s="151">
        <v>1491.24</v>
      </c>
      <c r="I607" s="133"/>
      <c r="J607" s="151">
        <v>12556.24</v>
      </c>
      <c r="K607" s="133"/>
    </row>
    <row r="608" spans="1:15" hidden="1" x14ac:dyDescent="0.25"/>
    <row r="609" spans="1:15" ht="76.5" x14ac:dyDescent="0.25">
      <c r="A609" s="93">
        <v>109</v>
      </c>
      <c r="B609" s="94" t="s">
        <v>336</v>
      </c>
      <c r="C609" s="95" t="s">
        <v>337</v>
      </c>
      <c r="D609" s="96" t="s">
        <v>245</v>
      </c>
      <c r="E609" s="117">
        <v>7</v>
      </c>
      <c r="F609" s="98">
        <v>1532.74</v>
      </c>
      <c r="G609" s="99"/>
      <c r="H609" s="97" t="s">
        <v>50</v>
      </c>
      <c r="I609" s="98">
        <v>10729.18</v>
      </c>
      <c r="J609" s="100">
        <v>8.67</v>
      </c>
      <c r="K609" s="98">
        <v>93021.99</v>
      </c>
      <c r="L609" t="s">
        <v>785</v>
      </c>
      <c r="O609" s="116">
        <f>K609</f>
        <v>93021.99</v>
      </c>
    </row>
    <row r="610" spans="1:15" hidden="1" x14ac:dyDescent="0.25">
      <c r="C610" s="10" t="s">
        <v>58</v>
      </c>
      <c r="H610" s="151">
        <v>10729.18</v>
      </c>
      <c r="I610" s="133"/>
      <c r="J610" s="151">
        <v>93021.99</v>
      </c>
      <c r="K610" s="133"/>
    </row>
    <row r="611" spans="1:15" hidden="1" x14ac:dyDescent="0.25"/>
    <row r="612" spans="1:15" ht="76.5" x14ac:dyDescent="0.25">
      <c r="A612" s="93">
        <v>110</v>
      </c>
      <c r="B612" s="94" t="s">
        <v>336</v>
      </c>
      <c r="C612" s="95" t="s">
        <v>338</v>
      </c>
      <c r="D612" s="96" t="s">
        <v>245</v>
      </c>
      <c r="E612" s="117">
        <v>6</v>
      </c>
      <c r="F612" s="98">
        <v>1532.74</v>
      </c>
      <c r="G612" s="99"/>
      <c r="H612" s="97" t="s">
        <v>50</v>
      </c>
      <c r="I612" s="98">
        <v>9196.44</v>
      </c>
      <c r="J612" s="100">
        <v>8.67</v>
      </c>
      <c r="K612" s="98">
        <v>79733.13</v>
      </c>
      <c r="L612" t="s">
        <v>785</v>
      </c>
      <c r="O612" s="116">
        <f>K612</f>
        <v>79733.13</v>
      </c>
    </row>
    <row r="613" spans="1:15" hidden="1" x14ac:dyDescent="0.25">
      <c r="C613" s="10" t="s">
        <v>58</v>
      </c>
      <c r="H613" s="151">
        <v>9196.44</v>
      </c>
      <c r="I613" s="133"/>
      <c r="J613" s="151">
        <v>79733.13</v>
      </c>
      <c r="K613" s="133"/>
    </row>
    <row r="614" spans="1:15" hidden="1" x14ac:dyDescent="0.25"/>
    <row r="615" spans="1:15" ht="76.5" x14ac:dyDescent="0.25">
      <c r="A615" s="93">
        <v>111</v>
      </c>
      <c r="B615" s="94" t="s">
        <v>336</v>
      </c>
      <c r="C615" s="95" t="s">
        <v>339</v>
      </c>
      <c r="D615" s="96" t="s">
        <v>245</v>
      </c>
      <c r="E615" s="117">
        <v>6</v>
      </c>
      <c r="F615" s="98">
        <v>1532.74</v>
      </c>
      <c r="G615" s="99"/>
      <c r="H615" s="97" t="s">
        <v>50</v>
      </c>
      <c r="I615" s="98">
        <v>9196.44</v>
      </c>
      <c r="J615" s="100">
        <v>8.67</v>
      </c>
      <c r="K615" s="98">
        <v>79733.13</v>
      </c>
      <c r="L615" t="s">
        <v>785</v>
      </c>
      <c r="O615" s="116">
        <f>K615</f>
        <v>79733.13</v>
      </c>
    </row>
    <row r="616" spans="1:15" hidden="1" x14ac:dyDescent="0.25">
      <c r="C616" s="10" t="s">
        <v>58</v>
      </c>
      <c r="H616" s="151">
        <v>9196.44</v>
      </c>
      <c r="I616" s="133"/>
      <c r="J616" s="151">
        <v>79733.13</v>
      </c>
      <c r="K616" s="133"/>
    </row>
    <row r="617" spans="1:15" hidden="1" x14ac:dyDescent="0.25"/>
    <row r="618" spans="1:15" ht="89.25" x14ac:dyDescent="0.25">
      <c r="A618" s="93">
        <v>112</v>
      </c>
      <c r="B618" s="94" t="s">
        <v>340</v>
      </c>
      <c r="C618" s="95" t="s">
        <v>341</v>
      </c>
      <c r="D618" s="96" t="s">
        <v>245</v>
      </c>
      <c r="E618" s="117">
        <v>4</v>
      </c>
      <c r="F618" s="98">
        <v>1380.86</v>
      </c>
      <c r="G618" s="99"/>
      <c r="H618" s="97" t="s">
        <v>50</v>
      </c>
      <c r="I618" s="98">
        <v>5523.44</v>
      </c>
      <c r="J618" s="100">
        <v>8.8699999999999992</v>
      </c>
      <c r="K618" s="98">
        <v>48992.91</v>
      </c>
      <c r="L618" t="s">
        <v>785</v>
      </c>
      <c r="O618" s="116">
        <f>K618</f>
        <v>48992.91</v>
      </c>
    </row>
    <row r="619" spans="1:15" hidden="1" x14ac:dyDescent="0.25">
      <c r="C619" s="10" t="s">
        <v>58</v>
      </c>
      <c r="H619" s="151">
        <v>5523.44</v>
      </c>
      <c r="I619" s="133"/>
      <c r="J619" s="151">
        <v>48992.91</v>
      </c>
      <c r="K619" s="133"/>
    </row>
    <row r="620" spans="1:15" hidden="1" x14ac:dyDescent="0.25"/>
    <row r="621" spans="1:15" ht="128.25" x14ac:dyDescent="0.25">
      <c r="A621" s="93">
        <v>113</v>
      </c>
      <c r="B621" s="94" t="s">
        <v>342</v>
      </c>
      <c r="C621" s="101" t="s">
        <v>343</v>
      </c>
      <c r="D621" s="96" t="s">
        <v>61</v>
      </c>
      <c r="E621" s="117">
        <v>5</v>
      </c>
      <c r="F621" s="98">
        <v>2691.46</v>
      </c>
      <c r="G621" s="99"/>
      <c r="H621" s="97" t="s">
        <v>50</v>
      </c>
      <c r="I621" s="98">
        <v>13457.3</v>
      </c>
      <c r="J621" s="100">
        <v>7.57</v>
      </c>
      <c r="K621" s="98">
        <v>101871.76</v>
      </c>
      <c r="L621" t="s">
        <v>785</v>
      </c>
      <c r="O621" s="116">
        <f>K621</f>
        <v>101871.76</v>
      </c>
    </row>
    <row r="622" spans="1:15" hidden="1" x14ac:dyDescent="0.25">
      <c r="C622" s="10" t="s">
        <v>58</v>
      </c>
      <c r="H622" s="151">
        <v>13457.3</v>
      </c>
      <c r="I622" s="133"/>
      <c r="J622" s="151">
        <v>101871.76</v>
      </c>
      <c r="K622" s="133"/>
    </row>
    <row r="623" spans="1:15" hidden="1" x14ac:dyDescent="0.25"/>
    <row r="624" spans="1:15" ht="128.25" x14ac:dyDescent="0.25">
      <c r="A624" s="93">
        <v>114</v>
      </c>
      <c r="B624" s="94" t="s">
        <v>344</v>
      </c>
      <c r="C624" s="101" t="s">
        <v>345</v>
      </c>
      <c r="D624" s="96" t="s">
        <v>61</v>
      </c>
      <c r="E624" s="117">
        <v>1</v>
      </c>
      <c r="F624" s="98">
        <v>2679.78</v>
      </c>
      <c r="G624" s="99"/>
      <c r="H624" s="97" t="s">
        <v>50</v>
      </c>
      <c r="I624" s="98">
        <v>2679.78</v>
      </c>
      <c r="J624" s="100">
        <v>7.57</v>
      </c>
      <c r="K624" s="98">
        <v>20285.93</v>
      </c>
      <c r="L624" t="s">
        <v>785</v>
      </c>
      <c r="O624" s="116">
        <f>K624</f>
        <v>20285.93</v>
      </c>
    </row>
    <row r="625" spans="1:15" hidden="1" x14ac:dyDescent="0.25">
      <c r="C625" s="10" t="s">
        <v>58</v>
      </c>
      <c r="H625" s="151">
        <v>2679.78</v>
      </c>
      <c r="I625" s="133"/>
      <c r="J625" s="151">
        <v>20285.93</v>
      </c>
      <c r="K625" s="133"/>
    </row>
    <row r="626" spans="1:15" hidden="1" x14ac:dyDescent="0.25"/>
    <row r="627" spans="1:15" ht="128.25" x14ac:dyDescent="0.25">
      <c r="A627" s="93">
        <v>115</v>
      </c>
      <c r="B627" s="94" t="s">
        <v>346</v>
      </c>
      <c r="C627" s="118" t="s">
        <v>347</v>
      </c>
      <c r="D627" s="96" t="s">
        <v>61</v>
      </c>
      <c r="E627" s="117">
        <v>5</v>
      </c>
      <c r="F627" s="98">
        <v>2719.84</v>
      </c>
      <c r="G627" s="99"/>
      <c r="H627" s="97" t="s">
        <v>50</v>
      </c>
      <c r="I627" s="98">
        <v>13599.2</v>
      </c>
      <c r="J627" s="100">
        <v>7.57</v>
      </c>
      <c r="K627" s="98">
        <v>102945.94</v>
      </c>
      <c r="L627" t="s">
        <v>785</v>
      </c>
      <c r="O627" s="116">
        <f>K627</f>
        <v>102945.94</v>
      </c>
    </row>
    <row r="628" spans="1:15" hidden="1" x14ac:dyDescent="0.25">
      <c r="C628" s="10" t="s">
        <v>58</v>
      </c>
      <c r="H628" s="151">
        <v>13599.2</v>
      </c>
      <c r="I628" s="133"/>
      <c r="J628" s="151">
        <v>102945.94</v>
      </c>
      <c r="K628" s="133"/>
    </row>
    <row r="629" spans="1:15" hidden="1" x14ac:dyDescent="0.25"/>
    <row r="630" spans="1:15" ht="128.25" x14ac:dyDescent="0.25">
      <c r="A630" s="93">
        <v>116</v>
      </c>
      <c r="B630" s="94" t="s">
        <v>348</v>
      </c>
      <c r="C630" s="118" t="s">
        <v>349</v>
      </c>
      <c r="D630" s="96" t="s">
        <v>61</v>
      </c>
      <c r="E630" s="117">
        <v>1</v>
      </c>
      <c r="F630" s="98">
        <v>2708.78</v>
      </c>
      <c r="G630" s="99"/>
      <c r="H630" s="97" t="s">
        <v>50</v>
      </c>
      <c r="I630" s="98">
        <v>2708.78</v>
      </c>
      <c r="J630" s="100">
        <v>7.57</v>
      </c>
      <c r="K630" s="98">
        <v>20505.46</v>
      </c>
      <c r="L630" t="s">
        <v>785</v>
      </c>
      <c r="O630" s="116">
        <f>K630</f>
        <v>20505.46</v>
      </c>
    </row>
    <row r="631" spans="1:15" hidden="1" x14ac:dyDescent="0.25">
      <c r="C631" s="10" t="s">
        <v>58</v>
      </c>
      <c r="H631" s="151">
        <v>2708.78</v>
      </c>
      <c r="I631" s="133"/>
      <c r="J631" s="151">
        <v>20505.46</v>
      </c>
      <c r="K631" s="133"/>
    </row>
    <row r="632" spans="1:15" hidden="1" x14ac:dyDescent="0.25"/>
    <row r="633" spans="1:15" ht="128.25" x14ac:dyDescent="0.25">
      <c r="A633" s="93">
        <v>117</v>
      </c>
      <c r="B633" s="94" t="s">
        <v>350</v>
      </c>
      <c r="C633" s="101" t="s">
        <v>351</v>
      </c>
      <c r="D633" s="96" t="s">
        <v>61</v>
      </c>
      <c r="E633" s="117">
        <v>1</v>
      </c>
      <c r="F633" s="98">
        <v>2927.51</v>
      </c>
      <c r="G633" s="99"/>
      <c r="H633" s="97" t="s">
        <v>50</v>
      </c>
      <c r="I633" s="98">
        <v>2927.51</v>
      </c>
      <c r="J633" s="100">
        <v>7.57</v>
      </c>
      <c r="K633" s="98">
        <v>22161.25</v>
      </c>
      <c r="L633" t="s">
        <v>785</v>
      </c>
      <c r="O633" s="116">
        <f>K633</f>
        <v>22161.25</v>
      </c>
    </row>
    <row r="634" spans="1:15" hidden="1" x14ac:dyDescent="0.25">
      <c r="C634" s="10" t="s">
        <v>58</v>
      </c>
      <c r="H634" s="151">
        <v>2927.51</v>
      </c>
      <c r="I634" s="133"/>
      <c r="J634" s="151">
        <v>22161.25</v>
      </c>
      <c r="K634" s="133"/>
    </row>
    <row r="635" spans="1:15" hidden="1" x14ac:dyDescent="0.25"/>
    <row r="636" spans="1:15" ht="102" x14ac:dyDescent="0.25">
      <c r="A636" s="93">
        <v>118</v>
      </c>
      <c r="B636" s="94" t="s">
        <v>352</v>
      </c>
      <c r="C636" s="95" t="s">
        <v>353</v>
      </c>
      <c r="D636" s="96" t="s">
        <v>245</v>
      </c>
      <c r="E636" s="117">
        <v>1</v>
      </c>
      <c r="F636" s="98">
        <v>1548.44</v>
      </c>
      <c r="G636" s="99"/>
      <c r="H636" s="97" t="s">
        <v>50</v>
      </c>
      <c r="I636" s="98">
        <v>1548.44</v>
      </c>
      <c r="J636" s="100">
        <v>10.53</v>
      </c>
      <c r="K636" s="98">
        <v>16305.07</v>
      </c>
      <c r="L636" t="s">
        <v>785</v>
      </c>
      <c r="O636" s="116">
        <f>K636</f>
        <v>16305.07</v>
      </c>
    </row>
    <row r="637" spans="1:15" hidden="1" x14ac:dyDescent="0.25">
      <c r="C637" s="10" t="s">
        <v>58</v>
      </c>
      <c r="H637" s="151">
        <v>1548.44</v>
      </c>
      <c r="I637" s="133"/>
      <c r="J637" s="151">
        <v>16305.07</v>
      </c>
      <c r="K637" s="133"/>
    </row>
    <row r="638" spans="1:15" hidden="1" x14ac:dyDescent="0.25"/>
    <row r="639" spans="1:15" ht="102" x14ac:dyDescent="0.25">
      <c r="A639" s="93">
        <v>119</v>
      </c>
      <c r="B639" s="94" t="s">
        <v>354</v>
      </c>
      <c r="C639" s="131" t="s">
        <v>355</v>
      </c>
      <c r="D639" s="96" t="s">
        <v>245</v>
      </c>
      <c r="E639" s="117">
        <v>4</v>
      </c>
      <c r="F639" s="98">
        <v>1583.3</v>
      </c>
      <c r="G639" s="99"/>
      <c r="H639" s="97" t="s">
        <v>50</v>
      </c>
      <c r="I639" s="98">
        <v>6333.2</v>
      </c>
      <c r="J639" s="100">
        <v>10.7</v>
      </c>
      <c r="K639" s="98">
        <v>67765.240000000005</v>
      </c>
      <c r="L639" t="s">
        <v>785</v>
      </c>
      <c r="O639" s="116">
        <f>K639</f>
        <v>67765.240000000005</v>
      </c>
    </row>
    <row r="640" spans="1:15" hidden="1" x14ac:dyDescent="0.25">
      <c r="C640" s="10" t="s">
        <v>58</v>
      </c>
      <c r="H640" s="151">
        <v>6333.2</v>
      </c>
      <c r="I640" s="133"/>
      <c r="J640" s="151">
        <v>67765.240000000005</v>
      </c>
      <c r="K640" s="133"/>
    </row>
    <row r="641" spans="1:15" hidden="1" x14ac:dyDescent="0.25"/>
    <row r="642" spans="1:15" ht="128.25" x14ac:dyDescent="0.25">
      <c r="A642" s="93">
        <v>120</v>
      </c>
      <c r="B642" s="94" t="s">
        <v>356</v>
      </c>
      <c r="C642" s="101" t="s">
        <v>357</v>
      </c>
      <c r="D642" s="96" t="s">
        <v>61</v>
      </c>
      <c r="E642" s="117">
        <v>3</v>
      </c>
      <c r="F642" s="98">
        <v>3704.93</v>
      </c>
      <c r="G642" s="99"/>
      <c r="H642" s="97" t="s">
        <v>50</v>
      </c>
      <c r="I642" s="98">
        <v>11114.79</v>
      </c>
      <c r="J642" s="100">
        <v>7.57</v>
      </c>
      <c r="K642" s="98">
        <v>84138.96</v>
      </c>
      <c r="O642" s="116">
        <f>K642</f>
        <v>84138.96</v>
      </c>
    </row>
    <row r="643" spans="1:15" hidden="1" x14ac:dyDescent="0.25">
      <c r="C643" s="10" t="s">
        <v>58</v>
      </c>
      <c r="H643" s="151">
        <v>11114.79</v>
      </c>
      <c r="I643" s="133"/>
      <c r="J643" s="151">
        <v>84138.96</v>
      </c>
      <c r="K643" s="133"/>
    </row>
    <row r="644" spans="1:15" hidden="1" x14ac:dyDescent="0.25"/>
    <row r="645" spans="1:15" ht="128.25" x14ac:dyDescent="0.25">
      <c r="A645" s="93">
        <v>121</v>
      </c>
      <c r="B645" s="94" t="s">
        <v>358</v>
      </c>
      <c r="C645" s="101" t="s">
        <v>359</v>
      </c>
      <c r="D645" s="96" t="s">
        <v>61</v>
      </c>
      <c r="E645" s="117">
        <v>1</v>
      </c>
      <c r="F645" s="98">
        <v>2809.22</v>
      </c>
      <c r="G645" s="99"/>
      <c r="H645" s="97" t="s">
        <v>50</v>
      </c>
      <c r="I645" s="98">
        <v>2809.22</v>
      </c>
      <c r="J645" s="100">
        <v>7.57</v>
      </c>
      <c r="K645" s="98">
        <v>21265.8</v>
      </c>
      <c r="O645" s="116">
        <f>K645</f>
        <v>21265.8</v>
      </c>
    </row>
    <row r="646" spans="1:15" hidden="1" x14ac:dyDescent="0.25">
      <c r="C646" s="10" t="s">
        <v>58</v>
      </c>
      <c r="H646" s="151">
        <v>2809.22</v>
      </c>
      <c r="I646" s="133"/>
      <c r="J646" s="151">
        <v>21265.8</v>
      </c>
      <c r="K646" s="133"/>
    </row>
    <row r="647" spans="1:15" hidden="1" x14ac:dyDescent="0.25"/>
    <row r="648" spans="1:15" ht="128.25" x14ac:dyDescent="0.25">
      <c r="A648" s="93">
        <v>122</v>
      </c>
      <c r="B648" s="94" t="s">
        <v>360</v>
      </c>
      <c r="C648" s="101" t="s">
        <v>361</v>
      </c>
      <c r="D648" s="96" t="s">
        <v>61</v>
      </c>
      <c r="E648" s="117">
        <v>2</v>
      </c>
      <c r="F648" s="98">
        <v>3045.12</v>
      </c>
      <c r="G648" s="99"/>
      <c r="H648" s="97" t="s">
        <v>50</v>
      </c>
      <c r="I648" s="98">
        <v>6090.24</v>
      </c>
      <c r="J648" s="100">
        <v>7.57</v>
      </c>
      <c r="K648" s="98">
        <v>46103.12</v>
      </c>
      <c r="O648" s="116">
        <f>K648</f>
        <v>46103.12</v>
      </c>
    </row>
    <row r="649" spans="1:15" hidden="1" x14ac:dyDescent="0.25">
      <c r="C649" s="10" t="s">
        <v>58</v>
      </c>
      <c r="H649" s="151">
        <v>6090.24</v>
      </c>
      <c r="I649" s="133"/>
      <c r="J649" s="151">
        <v>46103.12</v>
      </c>
      <c r="K649" s="133"/>
    </row>
    <row r="650" spans="1:15" hidden="1" x14ac:dyDescent="0.25"/>
    <row r="651" spans="1:15" ht="128.25" x14ac:dyDescent="0.25">
      <c r="A651" s="93">
        <v>123</v>
      </c>
      <c r="B651" s="94" t="s">
        <v>362</v>
      </c>
      <c r="C651" s="101" t="s">
        <v>363</v>
      </c>
      <c r="D651" s="96" t="s">
        <v>61</v>
      </c>
      <c r="E651" s="117">
        <v>4</v>
      </c>
      <c r="F651" s="98">
        <v>3045.12</v>
      </c>
      <c r="G651" s="99"/>
      <c r="H651" s="97" t="s">
        <v>50</v>
      </c>
      <c r="I651" s="98">
        <v>12180.48</v>
      </c>
      <c r="J651" s="100">
        <v>7.57</v>
      </c>
      <c r="K651" s="98">
        <v>92206.23</v>
      </c>
      <c r="O651" s="116">
        <f>K651</f>
        <v>92206.23</v>
      </c>
    </row>
    <row r="652" spans="1:15" hidden="1" x14ac:dyDescent="0.25">
      <c r="C652" s="10" t="s">
        <v>58</v>
      </c>
      <c r="H652" s="151">
        <v>12180.48</v>
      </c>
      <c r="I652" s="133"/>
      <c r="J652" s="151">
        <v>92206.23</v>
      </c>
      <c r="K652" s="133"/>
    </row>
    <row r="653" spans="1:15" hidden="1" x14ac:dyDescent="0.25"/>
    <row r="654" spans="1:15" ht="128.25" x14ac:dyDescent="0.25">
      <c r="A654" s="93">
        <v>124</v>
      </c>
      <c r="B654" s="94" t="s">
        <v>364</v>
      </c>
      <c r="C654" s="101" t="s">
        <v>365</v>
      </c>
      <c r="D654" s="96" t="s">
        <v>61</v>
      </c>
      <c r="E654" s="117">
        <v>3</v>
      </c>
      <c r="F654" s="98">
        <v>3403.58</v>
      </c>
      <c r="G654" s="99"/>
      <c r="H654" s="97" t="s">
        <v>50</v>
      </c>
      <c r="I654" s="98">
        <v>10210.74</v>
      </c>
      <c r="J654" s="100">
        <v>7.57</v>
      </c>
      <c r="K654" s="98">
        <v>77295.3</v>
      </c>
      <c r="O654" s="116">
        <f>K654</f>
        <v>77295.3</v>
      </c>
    </row>
    <row r="655" spans="1:15" hidden="1" x14ac:dyDescent="0.25">
      <c r="C655" s="10" t="s">
        <v>58</v>
      </c>
      <c r="H655" s="151">
        <v>10210.74</v>
      </c>
      <c r="I655" s="133"/>
      <c r="J655" s="151">
        <v>77295.3</v>
      </c>
      <c r="K655" s="133"/>
    </row>
    <row r="656" spans="1:15" hidden="1" x14ac:dyDescent="0.25"/>
    <row r="657" spans="1:15" ht="115.5" hidden="1" x14ac:dyDescent="0.25">
      <c r="A657" s="6">
        <v>125</v>
      </c>
      <c r="B657" s="4" t="s">
        <v>366</v>
      </c>
      <c r="C657" s="8" t="s">
        <v>367</v>
      </c>
      <c r="D657" s="16" t="s">
        <v>368</v>
      </c>
      <c r="E657" s="14">
        <v>113</v>
      </c>
    </row>
    <row r="658" spans="1:15" ht="38.25" hidden="1" x14ac:dyDescent="0.25">
      <c r="C658" s="9" t="s">
        <v>369</v>
      </c>
    </row>
    <row r="659" spans="1:15" hidden="1" x14ac:dyDescent="0.25">
      <c r="C659" s="5" t="s">
        <v>43</v>
      </c>
      <c r="F659" s="11">
        <v>16.489999999999998</v>
      </c>
      <c r="H659" s="13">
        <v>1.0669999999999999</v>
      </c>
      <c r="I659" s="11">
        <v>1988.22</v>
      </c>
      <c r="J659" s="13">
        <v>56.35</v>
      </c>
      <c r="K659" s="11">
        <v>112036.2</v>
      </c>
    </row>
    <row r="660" spans="1:15" hidden="1" x14ac:dyDescent="0.25">
      <c r="C660" s="7" t="s">
        <v>45</v>
      </c>
      <c r="F660" s="11">
        <v>0.83</v>
      </c>
      <c r="H660" s="13">
        <v>1.0669999999999999</v>
      </c>
      <c r="I660" s="11">
        <v>100.07</v>
      </c>
      <c r="J660" s="13">
        <v>17.100000000000001</v>
      </c>
      <c r="K660" s="11">
        <v>1711.2</v>
      </c>
    </row>
    <row r="661" spans="1:15" hidden="1" x14ac:dyDescent="0.25">
      <c r="C661" s="7" t="s">
        <v>47</v>
      </c>
      <c r="F661" s="11">
        <v>0.13</v>
      </c>
      <c r="H661" s="13">
        <v>1.0669999999999999</v>
      </c>
      <c r="I661" s="11">
        <v>15.67</v>
      </c>
      <c r="J661" s="13">
        <v>56.35</v>
      </c>
      <c r="K661" s="11">
        <v>883</v>
      </c>
    </row>
    <row r="662" spans="1:15" hidden="1" x14ac:dyDescent="0.25">
      <c r="C662" s="7" t="s">
        <v>48</v>
      </c>
      <c r="F662" s="11">
        <v>16.52</v>
      </c>
      <c r="H662" s="14" t="s">
        <v>50</v>
      </c>
      <c r="I662" s="11">
        <v>1866.76</v>
      </c>
      <c r="J662" s="13">
        <v>4.99</v>
      </c>
      <c r="K662" s="11">
        <v>9315.1299999999992</v>
      </c>
    </row>
    <row r="663" spans="1:15" hidden="1" x14ac:dyDescent="0.25">
      <c r="C663" s="7" t="s">
        <v>51</v>
      </c>
      <c r="D663" s="11" t="s">
        <v>52</v>
      </c>
      <c r="E663" s="14">
        <v>109</v>
      </c>
      <c r="I663" s="11">
        <v>2184.2399999999998</v>
      </c>
      <c r="J663" s="14">
        <v>109</v>
      </c>
      <c r="K663" s="11">
        <v>123081.93</v>
      </c>
    </row>
    <row r="664" spans="1:15" hidden="1" x14ac:dyDescent="0.25">
      <c r="C664" s="7" t="s">
        <v>53</v>
      </c>
      <c r="D664" s="11" t="s">
        <v>52</v>
      </c>
      <c r="E664" s="14">
        <v>61</v>
      </c>
      <c r="I664" s="11">
        <v>1222.3699999999999</v>
      </c>
      <c r="J664" s="14">
        <v>61</v>
      </c>
      <c r="K664" s="11">
        <v>68880.710000000006</v>
      </c>
    </row>
    <row r="665" spans="1:15" hidden="1" x14ac:dyDescent="0.25">
      <c r="C665" s="7" t="s">
        <v>54</v>
      </c>
      <c r="D665" s="11" t="s">
        <v>55</v>
      </c>
      <c r="E665" s="13">
        <v>1.42</v>
      </c>
      <c r="H665" s="13">
        <v>1.0669999999999999</v>
      </c>
      <c r="I665" s="12">
        <v>171.21082000000001</v>
      </c>
    </row>
    <row r="666" spans="1:15" hidden="1" x14ac:dyDescent="0.25">
      <c r="A666" s="41"/>
      <c r="B666" s="41"/>
      <c r="C666" s="41" t="s">
        <v>56</v>
      </c>
      <c r="D666" s="41"/>
      <c r="E666" s="41"/>
      <c r="F666" s="41"/>
      <c r="G666" s="41"/>
      <c r="H666" s="149">
        <v>7361.66</v>
      </c>
      <c r="I666" s="150"/>
      <c r="J666" s="149">
        <v>315025.17</v>
      </c>
      <c r="K666" s="150"/>
    </row>
    <row r="667" spans="1:15" hidden="1" x14ac:dyDescent="0.25">
      <c r="C667" s="10" t="s">
        <v>57</v>
      </c>
      <c r="H667" s="151">
        <v>0</v>
      </c>
      <c r="I667" s="133"/>
      <c r="J667" s="151">
        <v>0</v>
      </c>
      <c r="K667" s="133"/>
    </row>
    <row r="668" spans="1:15" hidden="1" x14ac:dyDescent="0.25">
      <c r="C668" s="10" t="s">
        <v>58</v>
      </c>
      <c r="H668" s="151">
        <v>7361.66</v>
      </c>
      <c r="I668" s="133"/>
      <c r="J668" s="151">
        <v>315025.17</v>
      </c>
      <c r="K668" s="133"/>
    </row>
    <row r="669" spans="1:15" hidden="1" x14ac:dyDescent="0.25"/>
    <row r="670" spans="1:15" ht="102.75" x14ac:dyDescent="0.25">
      <c r="A670" s="93">
        <v>126</v>
      </c>
      <c r="B670" s="94" t="s">
        <v>370</v>
      </c>
      <c r="C670" s="101" t="s">
        <v>371</v>
      </c>
      <c r="D670" s="96" t="s">
        <v>61</v>
      </c>
      <c r="E670" s="117">
        <v>51</v>
      </c>
      <c r="F670" s="98">
        <v>1060.81</v>
      </c>
      <c r="G670" s="99"/>
      <c r="H670" s="97" t="s">
        <v>50</v>
      </c>
      <c r="I670" s="98">
        <v>54101.31</v>
      </c>
      <c r="J670" s="100">
        <v>7.57</v>
      </c>
      <c r="K670" s="98">
        <v>409546.92</v>
      </c>
      <c r="L670" t="s">
        <v>785</v>
      </c>
      <c r="O670" s="116">
        <f>K670</f>
        <v>409546.92</v>
      </c>
    </row>
    <row r="671" spans="1:15" hidden="1" x14ac:dyDescent="0.25">
      <c r="C671" s="10" t="s">
        <v>58</v>
      </c>
      <c r="H671" s="151">
        <v>54101.31</v>
      </c>
      <c r="I671" s="133"/>
      <c r="J671" s="151">
        <v>409546.92</v>
      </c>
      <c r="K671" s="133"/>
    </row>
    <row r="672" spans="1:15" hidden="1" x14ac:dyDescent="0.25"/>
    <row r="673" spans="1:15" ht="102.75" x14ac:dyDescent="0.25">
      <c r="A673" s="93">
        <v>127</v>
      </c>
      <c r="B673" s="94" t="s">
        <v>372</v>
      </c>
      <c r="C673" s="101" t="s">
        <v>373</v>
      </c>
      <c r="D673" s="96" t="s">
        <v>61</v>
      </c>
      <c r="E673" s="97">
        <v>11</v>
      </c>
      <c r="F673" s="98">
        <v>1092.2</v>
      </c>
      <c r="G673" s="99"/>
      <c r="H673" s="97" t="s">
        <v>50</v>
      </c>
      <c r="I673" s="98">
        <v>12014.2</v>
      </c>
      <c r="J673" s="100">
        <v>7.57</v>
      </c>
      <c r="K673" s="98">
        <v>90947.49</v>
      </c>
      <c r="L673" t="s">
        <v>785</v>
      </c>
      <c r="O673" s="116">
        <f>K673</f>
        <v>90947.49</v>
      </c>
    </row>
    <row r="674" spans="1:15" hidden="1" x14ac:dyDescent="0.25">
      <c r="C674" s="10" t="s">
        <v>58</v>
      </c>
      <c r="H674" s="151">
        <v>12014.2</v>
      </c>
      <c r="I674" s="133"/>
      <c r="J674" s="151">
        <v>90947.49</v>
      </c>
      <c r="K674" s="133"/>
    </row>
    <row r="675" spans="1:15" hidden="1" x14ac:dyDescent="0.25"/>
    <row r="676" spans="1:15" ht="102.75" x14ac:dyDescent="0.25">
      <c r="A676" s="93">
        <v>128</v>
      </c>
      <c r="B676" s="94" t="s">
        <v>374</v>
      </c>
      <c r="C676" s="101" t="s">
        <v>375</v>
      </c>
      <c r="D676" s="96" t="s">
        <v>61</v>
      </c>
      <c r="E676" s="97">
        <v>36</v>
      </c>
      <c r="F676" s="98">
        <v>1141.78</v>
      </c>
      <c r="G676" s="99"/>
      <c r="H676" s="97" t="s">
        <v>50</v>
      </c>
      <c r="I676" s="98">
        <v>41104.080000000002</v>
      </c>
      <c r="J676" s="100">
        <v>7.57</v>
      </c>
      <c r="K676" s="98">
        <v>311157.89</v>
      </c>
      <c r="L676" t="s">
        <v>785</v>
      </c>
      <c r="O676" s="116">
        <f>K676</f>
        <v>311157.89</v>
      </c>
    </row>
    <row r="677" spans="1:15" hidden="1" x14ac:dyDescent="0.25">
      <c r="C677" s="10" t="s">
        <v>58</v>
      </c>
      <c r="H677" s="151">
        <v>41104.080000000002</v>
      </c>
      <c r="I677" s="133"/>
      <c r="J677" s="151">
        <v>311157.89</v>
      </c>
      <c r="K677" s="133"/>
    </row>
    <row r="678" spans="1:15" hidden="1" x14ac:dyDescent="0.25"/>
    <row r="679" spans="1:15" ht="102.75" x14ac:dyDescent="0.25">
      <c r="A679" s="93">
        <v>129</v>
      </c>
      <c r="B679" s="94" t="s">
        <v>376</v>
      </c>
      <c r="C679" s="101" t="s">
        <v>377</v>
      </c>
      <c r="D679" s="96" t="s">
        <v>61</v>
      </c>
      <c r="E679" s="97">
        <v>11</v>
      </c>
      <c r="F679" s="98">
        <v>1171.52</v>
      </c>
      <c r="G679" s="99"/>
      <c r="H679" s="97" t="s">
        <v>50</v>
      </c>
      <c r="I679" s="98">
        <v>12886.72</v>
      </c>
      <c r="J679" s="100">
        <v>7.57</v>
      </c>
      <c r="K679" s="98">
        <v>97552.47</v>
      </c>
      <c r="L679" t="s">
        <v>785</v>
      </c>
      <c r="O679" s="116">
        <f>K679</f>
        <v>97552.47</v>
      </c>
    </row>
    <row r="680" spans="1:15" hidden="1" x14ac:dyDescent="0.25">
      <c r="C680" s="10" t="s">
        <v>58</v>
      </c>
      <c r="H680" s="151">
        <v>12886.72</v>
      </c>
      <c r="I680" s="133"/>
      <c r="J680" s="151">
        <v>97552.47</v>
      </c>
      <c r="K680" s="133"/>
    </row>
    <row r="681" spans="1:15" hidden="1" x14ac:dyDescent="0.25"/>
    <row r="682" spans="1:15" ht="102.75" x14ac:dyDescent="0.25">
      <c r="A682" s="93">
        <v>130</v>
      </c>
      <c r="B682" s="94" t="s">
        <v>378</v>
      </c>
      <c r="C682" s="101" t="s">
        <v>379</v>
      </c>
      <c r="D682" s="96" t="s">
        <v>61</v>
      </c>
      <c r="E682" s="97">
        <v>4</v>
      </c>
      <c r="F682" s="98">
        <v>1665.58</v>
      </c>
      <c r="G682" s="99"/>
      <c r="H682" s="97" t="s">
        <v>50</v>
      </c>
      <c r="I682" s="98">
        <v>6662.32</v>
      </c>
      <c r="J682" s="100">
        <v>7.57</v>
      </c>
      <c r="K682" s="98">
        <v>50433.760000000002</v>
      </c>
      <c r="L682" t="s">
        <v>785</v>
      </c>
      <c r="O682" s="116">
        <f>K682</f>
        <v>50433.760000000002</v>
      </c>
    </row>
    <row r="683" spans="1:15" hidden="1" x14ac:dyDescent="0.25">
      <c r="C683" s="10" t="s">
        <v>58</v>
      </c>
      <c r="H683" s="151">
        <v>6662.32</v>
      </c>
      <c r="I683" s="133"/>
      <c r="J683" s="151">
        <v>50433.760000000002</v>
      </c>
      <c r="K683" s="133"/>
    </row>
    <row r="684" spans="1:15" hidden="1" x14ac:dyDescent="0.25"/>
    <row r="685" spans="1:15" ht="229.5" hidden="1" x14ac:dyDescent="0.25">
      <c r="A685" s="6">
        <v>131</v>
      </c>
      <c r="B685" s="4" t="s">
        <v>380</v>
      </c>
      <c r="C685" s="8" t="s">
        <v>381</v>
      </c>
      <c r="D685" s="16" t="s">
        <v>368</v>
      </c>
      <c r="E685" s="14">
        <v>2</v>
      </c>
    </row>
    <row r="686" spans="1:15" ht="26.25" hidden="1" x14ac:dyDescent="0.25">
      <c r="C686" s="5" t="s">
        <v>43</v>
      </c>
      <c r="F686" s="11">
        <v>18.579999999999998</v>
      </c>
      <c r="G686" s="15" t="s">
        <v>382</v>
      </c>
      <c r="H686" s="13">
        <v>1.0669999999999999</v>
      </c>
      <c r="I686" s="11">
        <v>57.45</v>
      </c>
      <c r="J686" s="13">
        <v>56.35</v>
      </c>
      <c r="K686" s="11">
        <v>3237.31</v>
      </c>
    </row>
    <row r="687" spans="1:15" ht="26.25" hidden="1" x14ac:dyDescent="0.25">
      <c r="C687" s="7" t="s">
        <v>45</v>
      </c>
      <c r="F687" s="11">
        <v>0.83</v>
      </c>
      <c r="G687" s="15" t="s">
        <v>383</v>
      </c>
      <c r="H687" s="13">
        <v>1.0669999999999999</v>
      </c>
      <c r="I687" s="11">
        <v>2.79</v>
      </c>
      <c r="J687" s="13">
        <v>17.100000000000001</v>
      </c>
      <c r="K687" s="11">
        <v>47.71</v>
      </c>
    </row>
    <row r="688" spans="1:15" ht="26.25" hidden="1" x14ac:dyDescent="0.25">
      <c r="C688" s="7" t="s">
        <v>47</v>
      </c>
      <c r="F688" s="11">
        <v>0.13</v>
      </c>
      <c r="G688" s="15" t="s">
        <v>383</v>
      </c>
      <c r="H688" s="13">
        <v>1.0669999999999999</v>
      </c>
      <c r="I688" s="11">
        <v>0.44</v>
      </c>
      <c r="J688" s="13">
        <v>56.35</v>
      </c>
      <c r="K688" s="11">
        <v>24.79</v>
      </c>
    </row>
    <row r="689" spans="1:15" hidden="1" x14ac:dyDescent="0.25">
      <c r="C689" s="7" t="s">
        <v>48</v>
      </c>
      <c r="F689" s="11">
        <v>12.76</v>
      </c>
      <c r="G689" s="15" t="s">
        <v>96</v>
      </c>
      <c r="H689" s="14" t="s">
        <v>50</v>
      </c>
      <c r="I689" s="11">
        <v>25.52</v>
      </c>
      <c r="J689" s="13">
        <v>5.47</v>
      </c>
      <c r="K689" s="11">
        <v>139.59</v>
      </c>
    </row>
    <row r="690" spans="1:15" hidden="1" x14ac:dyDescent="0.25">
      <c r="C690" s="7" t="s">
        <v>51</v>
      </c>
      <c r="D690" s="11" t="s">
        <v>52</v>
      </c>
      <c r="E690" s="14">
        <v>109</v>
      </c>
      <c r="I690" s="11">
        <v>63.1</v>
      </c>
      <c r="J690" s="14">
        <v>109</v>
      </c>
      <c r="K690" s="11">
        <v>3555.69</v>
      </c>
    </row>
    <row r="691" spans="1:15" hidden="1" x14ac:dyDescent="0.25">
      <c r="C691" s="7" t="s">
        <v>53</v>
      </c>
      <c r="D691" s="11" t="s">
        <v>52</v>
      </c>
      <c r="E691" s="14">
        <v>61</v>
      </c>
      <c r="I691" s="11">
        <v>35.31</v>
      </c>
      <c r="J691" s="14">
        <v>61</v>
      </c>
      <c r="K691" s="11">
        <v>1989.88</v>
      </c>
    </row>
    <row r="692" spans="1:15" ht="26.25" hidden="1" x14ac:dyDescent="0.25">
      <c r="C692" s="7" t="s">
        <v>54</v>
      </c>
      <c r="D692" s="11" t="s">
        <v>55</v>
      </c>
      <c r="E692" s="13">
        <v>1.6</v>
      </c>
      <c r="G692" s="15" t="s">
        <v>382</v>
      </c>
      <c r="H692" s="13">
        <v>1.0669999999999999</v>
      </c>
      <c r="I692" s="12">
        <v>4.9474656000000001</v>
      </c>
    </row>
    <row r="693" spans="1:15" hidden="1" x14ac:dyDescent="0.25">
      <c r="A693" s="42"/>
      <c r="B693" s="42"/>
      <c r="C693" s="42" t="s">
        <v>56</v>
      </c>
      <c r="D693" s="42"/>
      <c r="E693" s="42"/>
      <c r="F693" s="42"/>
      <c r="G693" s="42"/>
      <c r="H693" s="149">
        <v>184.17</v>
      </c>
      <c r="I693" s="150"/>
      <c r="J693" s="149">
        <v>8970.18</v>
      </c>
      <c r="K693" s="150"/>
    </row>
    <row r="694" spans="1:15" hidden="1" x14ac:dyDescent="0.25">
      <c r="C694" s="10" t="s">
        <v>57</v>
      </c>
      <c r="H694" s="151">
        <v>0</v>
      </c>
      <c r="I694" s="133"/>
      <c r="J694" s="151">
        <v>0</v>
      </c>
      <c r="K694" s="133"/>
    </row>
    <row r="695" spans="1:15" hidden="1" x14ac:dyDescent="0.25">
      <c r="C695" s="10" t="s">
        <v>58</v>
      </c>
      <c r="H695" s="151">
        <v>184.17</v>
      </c>
      <c r="I695" s="133"/>
      <c r="J695" s="151">
        <v>8970.18</v>
      </c>
      <c r="K695" s="133"/>
    </row>
    <row r="696" spans="1:15" hidden="1" x14ac:dyDescent="0.25"/>
    <row r="697" spans="1:15" ht="102.75" x14ac:dyDescent="0.25">
      <c r="A697" s="93">
        <v>132</v>
      </c>
      <c r="B697" s="94" t="s">
        <v>384</v>
      </c>
      <c r="C697" s="101" t="s">
        <v>385</v>
      </c>
      <c r="D697" s="96" t="s">
        <v>61</v>
      </c>
      <c r="E697" s="97">
        <v>2</v>
      </c>
      <c r="F697" s="98">
        <v>1604.43</v>
      </c>
      <c r="G697" s="99"/>
      <c r="H697" s="97" t="s">
        <v>50</v>
      </c>
      <c r="I697" s="98">
        <v>3208.86</v>
      </c>
      <c r="J697" s="100">
        <v>7.57</v>
      </c>
      <c r="K697" s="98">
        <v>24291.07</v>
      </c>
      <c r="L697" t="s">
        <v>785</v>
      </c>
      <c r="O697" s="116">
        <f>K697</f>
        <v>24291.07</v>
      </c>
    </row>
    <row r="698" spans="1:15" hidden="1" x14ac:dyDescent="0.25">
      <c r="C698" s="10" t="s">
        <v>58</v>
      </c>
      <c r="H698" s="151">
        <v>3208.86</v>
      </c>
      <c r="I698" s="133"/>
      <c r="J698" s="151">
        <v>24291.07</v>
      </c>
      <c r="K698" s="133"/>
    </row>
    <row r="699" spans="1:15" hidden="1" x14ac:dyDescent="0.25"/>
    <row r="700" spans="1:15" ht="15.95" hidden="1" customHeight="1" x14ac:dyDescent="0.25">
      <c r="A700" s="148" t="s">
        <v>386</v>
      </c>
      <c r="B700" s="133"/>
      <c r="C700" s="133"/>
      <c r="D700" s="133"/>
      <c r="E700" s="133"/>
      <c r="F700" s="133"/>
      <c r="G700" s="133"/>
      <c r="H700" s="133"/>
      <c r="I700" s="133"/>
      <c r="J700" s="133"/>
      <c r="K700" s="133"/>
    </row>
    <row r="701" spans="1:15" hidden="1" x14ac:dyDescent="0.25"/>
    <row r="702" spans="1:15" ht="178.5" hidden="1" x14ac:dyDescent="0.25">
      <c r="A702" s="6">
        <v>133</v>
      </c>
      <c r="B702" s="4" t="s">
        <v>387</v>
      </c>
      <c r="C702" s="8" t="s">
        <v>388</v>
      </c>
      <c r="D702" s="16" t="s">
        <v>389</v>
      </c>
      <c r="E702" s="14">
        <v>200</v>
      </c>
    </row>
    <row r="703" spans="1:15" ht="26.25" hidden="1" x14ac:dyDescent="0.25">
      <c r="C703" s="5" t="s">
        <v>43</v>
      </c>
      <c r="F703" s="11">
        <v>6.5</v>
      </c>
      <c r="G703" s="15" t="s">
        <v>260</v>
      </c>
      <c r="H703" s="13">
        <v>1.0469999999999999</v>
      </c>
      <c r="I703" s="11">
        <v>1878.32</v>
      </c>
      <c r="J703" s="13">
        <v>56.35</v>
      </c>
      <c r="K703" s="11">
        <v>105843.33</v>
      </c>
    </row>
    <row r="704" spans="1:15" ht="26.25" hidden="1" x14ac:dyDescent="0.25">
      <c r="C704" s="7" t="s">
        <v>45</v>
      </c>
      <c r="F704" s="11">
        <v>0.17</v>
      </c>
      <c r="G704" s="15" t="s">
        <v>261</v>
      </c>
      <c r="H704" s="13">
        <v>1.0469999999999999</v>
      </c>
      <c r="I704" s="11">
        <v>53.4</v>
      </c>
      <c r="J704" s="13">
        <v>16.71</v>
      </c>
      <c r="K704" s="11">
        <v>892.31</v>
      </c>
    </row>
    <row r="705" spans="1:11" ht="26.25" hidden="1" x14ac:dyDescent="0.25">
      <c r="C705" s="7" t="s">
        <v>47</v>
      </c>
      <c r="F705" s="11">
        <v>0.03</v>
      </c>
      <c r="G705" s="15" t="s">
        <v>261</v>
      </c>
      <c r="H705" s="13">
        <v>1.0469999999999999</v>
      </c>
      <c r="I705" s="11">
        <v>9.42</v>
      </c>
      <c r="J705" s="13">
        <v>56.35</v>
      </c>
      <c r="K705" s="11">
        <v>530.82000000000005</v>
      </c>
    </row>
    <row r="706" spans="1:11" hidden="1" x14ac:dyDescent="0.25">
      <c r="C706" s="7" t="s">
        <v>48</v>
      </c>
      <c r="F706" s="11">
        <v>11.18</v>
      </c>
      <c r="G706" s="15" t="s">
        <v>49</v>
      </c>
      <c r="H706" s="13">
        <v>1.0189999999999999</v>
      </c>
      <c r="I706" s="11">
        <v>2278.48</v>
      </c>
      <c r="J706" s="13">
        <v>29.49</v>
      </c>
      <c r="K706" s="11">
        <v>67192.38</v>
      </c>
    </row>
    <row r="707" spans="1:11" ht="178.5" hidden="1" x14ac:dyDescent="0.25">
      <c r="A707" s="6" t="s">
        <v>390</v>
      </c>
      <c r="B707" s="4" t="s">
        <v>391</v>
      </c>
      <c r="C707" s="8" t="s">
        <v>392</v>
      </c>
      <c r="D707" s="16" t="s">
        <v>393</v>
      </c>
      <c r="E707" s="14">
        <v>400</v>
      </c>
      <c r="F707" s="11">
        <v>2.35</v>
      </c>
      <c r="G707" s="15" t="s">
        <v>49</v>
      </c>
      <c r="H707" s="13">
        <v>1.0189999999999999</v>
      </c>
      <c r="I707" s="11">
        <v>957.86</v>
      </c>
      <c r="J707" s="13">
        <v>15.59</v>
      </c>
      <c r="K707" s="11">
        <v>14933.04</v>
      </c>
    </row>
    <row r="708" spans="1:11" ht="230.25" hidden="1" x14ac:dyDescent="0.25">
      <c r="A708" s="6" t="s">
        <v>394</v>
      </c>
      <c r="B708" s="4" t="s">
        <v>395</v>
      </c>
      <c r="C708" s="8" t="s">
        <v>396</v>
      </c>
      <c r="D708" s="16" t="s">
        <v>397</v>
      </c>
      <c r="E708" s="14">
        <v>50</v>
      </c>
      <c r="F708" s="11">
        <v>144.93</v>
      </c>
      <c r="G708" s="15" t="s">
        <v>49</v>
      </c>
      <c r="H708" s="13">
        <v>1.0189999999999999</v>
      </c>
      <c r="I708" s="11">
        <v>7384.18</v>
      </c>
      <c r="J708" s="13">
        <v>7.82</v>
      </c>
      <c r="K708" s="11">
        <v>57744.29</v>
      </c>
    </row>
    <row r="709" spans="1:11" hidden="1" x14ac:dyDescent="0.25">
      <c r="C709" s="7" t="s">
        <v>51</v>
      </c>
      <c r="D709" s="11" t="s">
        <v>52</v>
      </c>
      <c r="E709" s="14">
        <v>87</v>
      </c>
      <c r="I709" s="11">
        <v>1642.33</v>
      </c>
      <c r="J709" s="14">
        <v>87</v>
      </c>
      <c r="K709" s="11">
        <v>92545.51</v>
      </c>
    </row>
    <row r="710" spans="1:11" hidden="1" x14ac:dyDescent="0.25">
      <c r="C710" s="7" t="s">
        <v>53</v>
      </c>
      <c r="D710" s="11" t="s">
        <v>52</v>
      </c>
      <c r="E710" s="14">
        <v>47</v>
      </c>
      <c r="I710" s="11">
        <v>887.24</v>
      </c>
      <c r="J710" s="14">
        <v>47</v>
      </c>
      <c r="K710" s="11">
        <v>49995.85</v>
      </c>
    </row>
    <row r="711" spans="1:11" ht="26.25" hidden="1" x14ac:dyDescent="0.25">
      <c r="C711" s="7" t="s">
        <v>54</v>
      </c>
      <c r="D711" s="11" t="s">
        <v>55</v>
      </c>
      <c r="E711" s="13">
        <v>0.5</v>
      </c>
      <c r="G711" s="15" t="s">
        <v>260</v>
      </c>
      <c r="H711" s="13">
        <v>1.0469999999999999</v>
      </c>
      <c r="I711" s="12">
        <v>144.48599999999999</v>
      </c>
    </row>
    <row r="712" spans="1:11" hidden="1" x14ac:dyDescent="0.25">
      <c r="A712" s="43"/>
      <c r="B712" s="43"/>
      <c r="C712" s="43" t="s">
        <v>56</v>
      </c>
      <c r="D712" s="43"/>
      <c r="E712" s="43"/>
      <c r="F712" s="43"/>
      <c r="G712" s="43"/>
      <c r="H712" s="149">
        <v>15081.81</v>
      </c>
      <c r="I712" s="150"/>
      <c r="J712" s="149">
        <v>389146.71</v>
      </c>
      <c r="K712" s="150"/>
    </row>
    <row r="713" spans="1:11" hidden="1" x14ac:dyDescent="0.25">
      <c r="C713" s="10" t="s">
        <v>57</v>
      </c>
      <c r="H713" s="151">
        <v>0</v>
      </c>
      <c r="I713" s="133"/>
      <c r="J713" s="151">
        <v>0</v>
      </c>
      <c r="K713" s="133"/>
    </row>
    <row r="714" spans="1:11" hidden="1" x14ac:dyDescent="0.25">
      <c r="C714" s="10" t="s">
        <v>58</v>
      </c>
      <c r="H714" s="151">
        <v>15081.81</v>
      </c>
      <c r="I714" s="133"/>
      <c r="J714" s="151">
        <v>389146.71</v>
      </c>
      <c r="K714" s="133"/>
    </row>
    <row r="715" spans="1:11" hidden="1" x14ac:dyDescent="0.25"/>
    <row r="716" spans="1:11" ht="115.5" hidden="1" x14ac:dyDescent="0.25">
      <c r="A716" s="102">
        <v>134</v>
      </c>
      <c r="B716" s="103" t="s">
        <v>398</v>
      </c>
      <c r="C716" s="104" t="s">
        <v>399</v>
      </c>
      <c r="D716" s="105" t="s">
        <v>199</v>
      </c>
      <c r="E716" s="106">
        <v>200</v>
      </c>
      <c r="F716" s="107">
        <v>65.42</v>
      </c>
      <c r="G716" s="108"/>
      <c r="H716" s="106" t="s">
        <v>50</v>
      </c>
      <c r="I716" s="107">
        <v>13084</v>
      </c>
      <c r="J716" s="109">
        <v>9.84</v>
      </c>
      <c r="K716" s="107">
        <v>128746.56</v>
      </c>
    </row>
    <row r="717" spans="1:11" hidden="1" x14ac:dyDescent="0.25">
      <c r="C717" s="10" t="s">
        <v>58</v>
      </c>
      <c r="H717" s="151">
        <v>13084</v>
      </c>
      <c r="I717" s="133"/>
      <c r="J717" s="151">
        <v>128746.56</v>
      </c>
      <c r="K717" s="133"/>
    </row>
    <row r="718" spans="1:11" hidden="1" x14ac:dyDescent="0.25"/>
    <row r="719" spans="1:11" ht="243" hidden="1" x14ac:dyDescent="0.25">
      <c r="A719" s="6">
        <v>135</v>
      </c>
      <c r="B719" s="4" t="s">
        <v>400</v>
      </c>
      <c r="C719" s="8" t="s">
        <v>401</v>
      </c>
      <c r="D719" s="16" t="s">
        <v>402</v>
      </c>
      <c r="E719" s="13">
        <v>17.5</v>
      </c>
    </row>
    <row r="720" spans="1:11" ht="38.25" hidden="1" x14ac:dyDescent="0.25">
      <c r="C720" s="9" t="s">
        <v>403</v>
      </c>
    </row>
    <row r="721" spans="1:11" ht="26.25" hidden="1" x14ac:dyDescent="0.25">
      <c r="C721" s="5" t="s">
        <v>43</v>
      </c>
      <c r="F721" s="11">
        <v>171.05</v>
      </c>
      <c r="G721" s="15" t="s">
        <v>260</v>
      </c>
      <c r="H721" s="13">
        <v>1.0469999999999999</v>
      </c>
      <c r="I721" s="11">
        <v>4325.01</v>
      </c>
      <c r="J721" s="13">
        <v>56.35</v>
      </c>
      <c r="K721" s="11">
        <v>243714.31</v>
      </c>
    </row>
    <row r="722" spans="1:11" ht="26.25" hidden="1" x14ac:dyDescent="0.25">
      <c r="C722" s="7" t="s">
        <v>45</v>
      </c>
      <c r="F722" s="11">
        <v>7.48</v>
      </c>
      <c r="G722" s="15" t="s">
        <v>261</v>
      </c>
      <c r="H722" s="13">
        <v>1.0469999999999999</v>
      </c>
      <c r="I722" s="11">
        <v>205.58</v>
      </c>
      <c r="J722" s="13">
        <v>17.07</v>
      </c>
      <c r="K722" s="11">
        <v>3509.25</v>
      </c>
    </row>
    <row r="723" spans="1:11" ht="26.25" hidden="1" x14ac:dyDescent="0.25">
      <c r="C723" s="7" t="s">
        <v>47</v>
      </c>
      <c r="F723" s="11">
        <v>1.1399999999999999</v>
      </c>
      <c r="G723" s="15" t="s">
        <v>261</v>
      </c>
      <c r="H723" s="13">
        <v>1.0469999999999999</v>
      </c>
      <c r="I723" s="11">
        <v>31.33</v>
      </c>
      <c r="J723" s="13">
        <v>56.35</v>
      </c>
      <c r="K723" s="11">
        <v>1765.45</v>
      </c>
    </row>
    <row r="724" spans="1:11" hidden="1" x14ac:dyDescent="0.25">
      <c r="C724" s="7" t="s">
        <v>48</v>
      </c>
      <c r="F724" s="11">
        <v>1287.8</v>
      </c>
      <c r="G724" s="15" t="s">
        <v>49</v>
      </c>
      <c r="H724" s="13">
        <v>1.0189999999999999</v>
      </c>
      <c r="I724" s="11">
        <v>22964.69</v>
      </c>
      <c r="J724" s="13">
        <v>6.09</v>
      </c>
      <c r="K724" s="11">
        <v>139854.96</v>
      </c>
    </row>
    <row r="725" spans="1:11" hidden="1" x14ac:dyDescent="0.25">
      <c r="C725" s="7" t="s">
        <v>51</v>
      </c>
      <c r="D725" s="11" t="s">
        <v>52</v>
      </c>
      <c r="E725" s="14">
        <v>87</v>
      </c>
      <c r="I725" s="11">
        <v>3790.02</v>
      </c>
      <c r="J725" s="14">
        <v>87</v>
      </c>
      <c r="K725" s="11">
        <v>213567.39</v>
      </c>
    </row>
    <row r="726" spans="1:11" hidden="1" x14ac:dyDescent="0.25">
      <c r="C726" s="7" t="s">
        <v>53</v>
      </c>
      <c r="D726" s="11" t="s">
        <v>52</v>
      </c>
      <c r="E726" s="14">
        <v>47</v>
      </c>
      <c r="I726" s="11">
        <v>2047.48</v>
      </c>
      <c r="J726" s="14">
        <v>47</v>
      </c>
      <c r="K726" s="11">
        <v>115375.49</v>
      </c>
    </row>
    <row r="727" spans="1:11" ht="26.25" hidden="1" x14ac:dyDescent="0.25">
      <c r="C727" s="7" t="s">
        <v>54</v>
      </c>
      <c r="D727" s="11" t="s">
        <v>55</v>
      </c>
      <c r="E727" s="13">
        <v>14.62</v>
      </c>
      <c r="G727" s="15" t="s">
        <v>260</v>
      </c>
      <c r="H727" s="13">
        <v>1.0469999999999999</v>
      </c>
      <c r="I727" s="12">
        <v>369.66743100000002</v>
      </c>
    </row>
    <row r="728" spans="1:11" hidden="1" x14ac:dyDescent="0.25">
      <c r="A728" s="44"/>
      <c r="B728" s="44"/>
      <c r="C728" s="44" t="s">
        <v>56</v>
      </c>
      <c r="D728" s="44"/>
      <c r="E728" s="44"/>
      <c r="F728" s="44"/>
      <c r="G728" s="44"/>
      <c r="H728" s="149">
        <v>33332.78</v>
      </c>
      <c r="I728" s="150"/>
      <c r="J728" s="149">
        <v>716021.4</v>
      </c>
      <c r="K728" s="150"/>
    </row>
    <row r="729" spans="1:11" hidden="1" x14ac:dyDescent="0.25">
      <c r="C729" s="10" t="s">
        <v>57</v>
      </c>
      <c r="H729" s="151">
        <v>0</v>
      </c>
      <c r="I729" s="133"/>
      <c r="J729" s="151">
        <v>0</v>
      </c>
      <c r="K729" s="133"/>
    </row>
    <row r="730" spans="1:11" hidden="1" x14ac:dyDescent="0.25">
      <c r="C730" s="10" t="s">
        <v>58</v>
      </c>
      <c r="H730" s="151">
        <v>33332.78</v>
      </c>
      <c r="I730" s="133"/>
      <c r="J730" s="151">
        <v>716021.4</v>
      </c>
      <c r="K730" s="133"/>
    </row>
    <row r="731" spans="1:11" hidden="1" x14ac:dyDescent="0.25"/>
    <row r="732" spans="1:11" ht="281.25" hidden="1" x14ac:dyDescent="0.25">
      <c r="A732" s="6">
        <v>136</v>
      </c>
      <c r="B732" s="4" t="s">
        <v>404</v>
      </c>
      <c r="C732" s="8" t="s">
        <v>405</v>
      </c>
      <c r="D732" s="16" t="s">
        <v>199</v>
      </c>
      <c r="E732" s="13">
        <v>805.00649999999996</v>
      </c>
      <c r="F732" s="11">
        <v>37.58</v>
      </c>
      <c r="H732" s="14" t="s">
        <v>50</v>
      </c>
      <c r="I732" s="11">
        <v>30252.14</v>
      </c>
      <c r="J732" s="13">
        <v>8.14</v>
      </c>
      <c r="K732" s="11">
        <v>246252.42</v>
      </c>
    </row>
    <row r="733" spans="1:11" hidden="1" x14ac:dyDescent="0.25">
      <c r="C733" s="10" t="s">
        <v>58</v>
      </c>
      <c r="H733" s="151">
        <v>30252.14</v>
      </c>
      <c r="I733" s="133"/>
      <c r="J733" s="151">
        <v>246252.42</v>
      </c>
      <c r="K733" s="133"/>
    </row>
    <row r="734" spans="1:11" hidden="1" x14ac:dyDescent="0.25"/>
    <row r="735" spans="1:11" ht="268.5" hidden="1" x14ac:dyDescent="0.25">
      <c r="A735" s="6">
        <v>137</v>
      </c>
      <c r="B735" s="4" t="s">
        <v>406</v>
      </c>
      <c r="C735" s="8" t="s">
        <v>407</v>
      </c>
      <c r="D735" s="16" t="s">
        <v>199</v>
      </c>
      <c r="E735" s="13">
        <v>107.3342</v>
      </c>
      <c r="F735" s="11">
        <v>29.42</v>
      </c>
      <c r="H735" s="14" t="s">
        <v>50</v>
      </c>
      <c r="I735" s="11">
        <v>3157.77</v>
      </c>
      <c r="J735" s="13">
        <v>6.36</v>
      </c>
      <c r="K735" s="11">
        <v>20083.419999999998</v>
      </c>
    </row>
    <row r="736" spans="1:11" hidden="1" x14ac:dyDescent="0.25">
      <c r="C736" s="10" t="s">
        <v>58</v>
      </c>
      <c r="H736" s="151">
        <v>3157.77</v>
      </c>
      <c r="I736" s="133"/>
      <c r="J736" s="151">
        <v>20083.419999999998</v>
      </c>
      <c r="K736" s="133"/>
    </row>
    <row r="737" spans="1:11" hidden="1" x14ac:dyDescent="0.25"/>
    <row r="738" spans="1:11" ht="268.5" hidden="1" x14ac:dyDescent="0.25">
      <c r="A738" s="6">
        <v>138</v>
      </c>
      <c r="B738" s="4" t="s">
        <v>408</v>
      </c>
      <c r="C738" s="8" t="s">
        <v>409</v>
      </c>
      <c r="D738" s="16" t="s">
        <v>199</v>
      </c>
      <c r="E738" s="13">
        <v>966.00779999999997</v>
      </c>
      <c r="F738" s="11">
        <v>24.63</v>
      </c>
      <c r="H738" s="14" t="s">
        <v>50</v>
      </c>
      <c r="I738" s="11">
        <v>23792.77</v>
      </c>
      <c r="J738" s="13">
        <v>4.83</v>
      </c>
      <c r="K738" s="11">
        <v>114919.08</v>
      </c>
    </row>
    <row r="739" spans="1:11" hidden="1" x14ac:dyDescent="0.25">
      <c r="C739" s="10" t="s">
        <v>58</v>
      </c>
      <c r="H739" s="151">
        <v>23792.77</v>
      </c>
      <c r="I739" s="133"/>
      <c r="J739" s="151">
        <v>114919.08</v>
      </c>
      <c r="K739" s="133"/>
    </row>
    <row r="740" spans="1:11" hidden="1" x14ac:dyDescent="0.25"/>
    <row r="741" spans="1:11" hidden="1" x14ac:dyDescent="0.25"/>
    <row r="742" spans="1:11" hidden="1" x14ac:dyDescent="0.25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</row>
    <row r="743" spans="1:11" ht="15.95" hidden="1" customHeight="1" x14ac:dyDescent="0.25">
      <c r="A743" s="152" t="s">
        <v>410</v>
      </c>
      <c r="B743" s="133"/>
      <c r="C743" s="133"/>
      <c r="D743" s="133"/>
      <c r="E743" s="133"/>
      <c r="F743" s="133"/>
      <c r="G743" s="133"/>
      <c r="H743" s="151">
        <v>773815.25</v>
      </c>
      <c r="I743" s="133"/>
      <c r="J743" s="151">
        <v>6975303.0199999996</v>
      </c>
      <c r="K743" s="133"/>
    </row>
    <row r="744" spans="1:11" hidden="1" x14ac:dyDescent="0.25"/>
    <row r="745" spans="1:11" hidden="1" x14ac:dyDescent="0.25"/>
    <row r="746" spans="1:11" ht="17.100000000000001" hidden="1" customHeight="1" x14ac:dyDescent="0.25">
      <c r="A746" s="147" t="s">
        <v>411</v>
      </c>
      <c r="B746" s="133"/>
      <c r="C746" s="133"/>
      <c r="D746" s="133"/>
      <c r="E746" s="133"/>
      <c r="F746" s="133"/>
      <c r="G746" s="133"/>
      <c r="H746" s="133"/>
      <c r="I746" s="133"/>
      <c r="J746" s="133"/>
      <c r="K746" s="133"/>
    </row>
    <row r="747" spans="1:11" hidden="1" x14ac:dyDescent="0.25"/>
    <row r="748" spans="1:11" ht="15.95" hidden="1" customHeight="1" x14ac:dyDescent="0.25">
      <c r="A748" s="148" t="s">
        <v>412</v>
      </c>
      <c r="B748" s="133"/>
      <c r="C748" s="133"/>
      <c r="D748" s="133"/>
      <c r="E748" s="133"/>
      <c r="F748" s="133"/>
      <c r="G748" s="133"/>
      <c r="H748" s="133"/>
      <c r="I748" s="133"/>
      <c r="J748" s="133"/>
      <c r="K748" s="133"/>
    </row>
    <row r="749" spans="1:11" hidden="1" x14ac:dyDescent="0.25"/>
    <row r="750" spans="1:11" ht="229.5" hidden="1" x14ac:dyDescent="0.25">
      <c r="A750" s="6">
        <v>139</v>
      </c>
      <c r="B750" s="4" t="s">
        <v>413</v>
      </c>
      <c r="C750" s="8" t="s">
        <v>414</v>
      </c>
      <c r="D750" s="16" t="s">
        <v>415</v>
      </c>
      <c r="E750" s="14">
        <v>5</v>
      </c>
    </row>
    <row r="751" spans="1:11" ht="26.25" hidden="1" x14ac:dyDescent="0.25">
      <c r="C751" s="5" t="s">
        <v>43</v>
      </c>
      <c r="F751" s="11">
        <v>96.3</v>
      </c>
      <c r="G751" s="15" t="s">
        <v>44</v>
      </c>
      <c r="H751" s="13">
        <v>1.0669999999999999</v>
      </c>
      <c r="I751" s="11">
        <v>744.44</v>
      </c>
      <c r="J751" s="13">
        <v>56.35</v>
      </c>
      <c r="K751" s="11">
        <v>41949.19</v>
      </c>
    </row>
    <row r="752" spans="1:11" ht="26.25" hidden="1" x14ac:dyDescent="0.25">
      <c r="C752" s="7" t="s">
        <v>45</v>
      </c>
      <c r="F752" s="11">
        <v>54.69</v>
      </c>
      <c r="G752" s="15" t="s">
        <v>46</v>
      </c>
      <c r="H752" s="13">
        <v>1.0669999999999999</v>
      </c>
      <c r="I752" s="11">
        <v>459.54</v>
      </c>
      <c r="J752" s="13">
        <v>15.51</v>
      </c>
      <c r="K752" s="11">
        <v>7127.47</v>
      </c>
    </row>
    <row r="753" spans="1:15" ht="26.25" hidden="1" x14ac:dyDescent="0.25">
      <c r="C753" s="7" t="s">
        <v>47</v>
      </c>
      <c r="F753" s="11">
        <v>6.45</v>
      </c>
      <c r="G753" s="15" t="s">
        <v>46</v>
      </c>
      <c r="H753" s="13">
        <v>1.0669999999999999</v>
      </c>
      <c r="I753" s="11">
        <v>54.2</v>
      </c>
      <c r="J753" s="13">
        <v>56.35</v>
      </c>
      <c r="K753" s="11">
        <v>3054.17</v>
      </c>
    </row>
    <row r="754" spans="1:15" hidden="1" x14ac:dyDescent="0.25">
      <c r="C754" s="7" t="s">
        <v>48</v>
      </c>
      <c r="F754" s="11">
        <v>90.05</v>
      </c>
      <c r="G754" s="15" t="s">
        <v>96</v>
      </c>
      <c r="H754" s="14" t="s">
        <v>50</v>
      </c>
      <c r="I754" s="11">
        <v>450.25</v>
      </c>
      <c r="J754" s="13">
        <v>4.8899999999999997</v>
      </c>
      <c r="K754" s="11">
        <v>2201.7199999999998</v>
      </c>
    </row>
    <row r="755" spans="1:15" hidden="1" x14ac:dyDescent="0.25">
      <c r="C755" s="7" t="s">
        <v>51</v>
      </c>
      <c r="D755" s="11" t="s">
        <v>52</v>
      </c>
      <c r="E755" s="14">
        <v>109</v>
      </c>
      <c r="I755" s="11">
        <v>870.52</v>
      </c>
      <c r="J755" s="14">
        <v>109</v>
      </c>
      <c r="K755" s="11">
        <v>49053.66</v>
      </c>
    </row>
    <row r="756" spans="1:15" hidden="1" x14ac:dyDescent="0.25">
      <c r="C756" s="7" t="s">
        <v>53</v>
      </c>
      <c r="D756" s="11" t="s">
        <v>52</v>
      </c>
      <c r="E756" s="14">
        <v>61</v>
      </c>
      <c r="I756" s="11">
        <v>487.17</v>
      </c>
      <c r="J756" s="14">
        <v>61</v>
      </c>
      <c r="K756" s="11">
        <v>27452.05</v>
      </c>
    </row>
    <row r="757" spans="1:15" ht="26.25" hidden="1" x14ac:dyDescent="0.25">
      <c r="C757" s="7" t="s">
        <v>54</v>
      </c>
      <c r="D757" s="11" t="s">
        <v>55</v>
      </c>
      <c r="E757" s="13">
        <v>7.71</v>
      </c>
      <c r="G757" s="15" t="s">
        <v>44</v>
      </c>
      <c r="H757" s="13">
        <v>1.0669999999999999</v>
      </c>
      <c r="I757" s="12">
        <v>59.601499650000001</v>
      </c>
    </row>
    <row r="758" spans="1:15" hidden="1" x14ac:dyDescent="0.25">
      <c r="A758" s="46"/>
      <c r="B758" s="46"/>
      <c r="C758" s="46" t="s">
        <v>56</v>
      </c>
      <c r="D758" s="46"/>
      <c r="E758" s="46"/>
      <c r="F758" s="46"/>
      <c r="G758" s="46"/>
      <c r="H758" s="149">
        <v>3011.92</v>
      </c>
      <c r="I758" s="150"/>
      <c r="J758" s="149">
        <v>127784.09</v>
      </c>
      <c r="K758" s="150"/>
    </row>
    <row r="759" spans="1:15" hidden="1" x14ac:dyDescent="0.25">
      <c r="C759" s="10" t="s">
        <v>57</v>
      </c>
      <c r="H759" s="151">
        <v>0</v>
      </c>
      <c r="I759" s="133"/>
      <c r="J759" s="151">
        <v>0</v>
      </c>
      <c r="K759" s="133"/>
    </row>
    <row r="760" spans="1:15" hidden="1" x14ac:dyDescent="0.25">
      <c r="C760" s="10" t="s">
        <v>58</v>
      </c>
      <c r="H760" s="151">
        <v>3011.92</v>
      </c>
      <c r="I760" s="133"/>
      <c r="J760" s="151">
        <v>127784.09</v>
      </c>
      <c r="K760" s="133"/>
    </row>
    <row r="761" spans="1:15" hidden="1" x14ac:dyDescent="0.25"/>
    <row r="762" spans="1:15" ht="102.75" x14ac:dyDescent="0.25">
      <c r="A762" s="93">
        <v>140</v>
      </c>
      <c r="B762" s="94" t="s">
        <v>416</v>
      </c>
      <c r="C762" s="101" t="s">
        <v>417</v>
      </c>
      <c r="D762" s="96" t="s">
        <v>61</v>
      </c>
      <c r="E762" s="117">
        <v>1</v>
      </c>
      <c r="F762" s="98">
        <v>37247.46</v>
      </c>
      <c r="G762" s="99"/>
      <c r="H762" s="97" t="s">
        <v>50</v>
      </c>
      <c r="I762" s="98">
        <v>37247.46</v>
      </c>
      <c r="J762" s="100">
        <v>7.57</v>
      </c>
      <c r="K762" s="98">
        <v>281963.27</v>
      </c>
      <c r="L762" t="s">
        <v>785</v>
      </c>
      <c r="O762" s="116">
        <f>K762</f>
        <v>281963.27</v>
      </c>
    </row>
    <row r="763" spans="1:15" hidden="1" x14ac:dyDescent="0.25">
      <c r="C763" s="10" t="s">
        <v>58</v>
      </c>
      <c r="H763" s="151">
        <v>37247.46</v>
      </c>
      <c r="I763" s="133"/>
      <c r="J763" s="151">
        <v>281963.27</v>
      </c>
      <c r="K763" s="133"/>
    </row>
    <row r="764" spans="1:15" hidden="1" x14ac:dyDescent="0.25"/>
    <row r="765" spans="1:15" ht="102.75" x14ac:dyDescent="0.25">
      <c r="A765" s="93">
        <v>141</v>
      </c>
      <c r="B765" s="94" t="s">
        <v>418</v>
      </c>
      <c r="C765" s="101" t="s">
        <v>419</v>
      </c>
      <c r="D765" s="96" t="s">
        <v>61</v>
      </c>
      <c r="E765" s="117">
        <v>1</v>
      </c>
      <c r="F765" s="98">
        <v>37247.46</v>
      </c>
      <c r="G765" s="99"/>
      <c r="H765" s="97" t="s">
        <v>50</v>
      </c>
      <c r="I765" s="98">
        <v>37247.46</v>
      </c>
      <c r="J765" s="100">
        <v>7.57</v>
      </c>
      <c r="K765" s="98">
        <v>281963.27</v>
      </c>
      <c r="L765" t="s">
        <v>785</v>
      </c>
      <c r="O765" s="116">
        <f>K765</f>
        <v>281963.27</v>
      </c>
    </row>
    <row r="766" spans="1:15" hidden="1" x14ac:dyDescent="0.25">
      <c r="C766" s="10" t="s">
        <v>58</v>
      </c>
      <c r="H766" s="151">
        <v>37247.46</v>
      </c>
      <c r="I766" s="133"/>
      <c r="J766" s="151">
        <v>281963.27</v>
      </c>
      <c r="K766" s="133"/>
    </row>
    <row r="767" spans="1:15" hidden="1" x14ac:dyDescent="0.25"/>
    <row r="768" spans="1:15" ht="102.75" x14ac:dyDescent="0.25">
      <c r="A768" s="93">
        <v>142</v>
      </c>
      <c r="B768" s="94" t="s">
        <v>420</v>
      </c>
      <c r="C768" s="101" t="s">
        <v>421</v>
      </c>
      <c r="D768" s="96" t="s">
        <v>61</v>
      </c>
      <c r="E768" s="117">
        <v>1</v>
      </c>
      <c r="F768" s="98">
        <v>37247.46</v>
      </c>
      <c r="G768" s="99"/>
      <c r="H768" s="97" t="s">
        <v>50</v>
      </c>
      <c r="I768" s="98">
        <v>37247.46</v>
      </c>
      <c r="J768" s="100">
        <v>7.57</v>
      </c>
      <c r="K768" s="98">
        <v>281963.27</v>
      </c>
      <c r="L768" t="s">
        <v>785</v>
      </c>
      <c r="O768" s="116">
        <f>K768</f>
        <v>281963.27</v>
      </c>
    </row>
    <row r="769" spans="1:15" hidden="1" x14ac:dyDescent="0.25">
      <c r="C769" s="10" t="s">
        <v>58</v>
      </c>
      <c r="H769" s="151">
        <v>37247.46</v>
      </c>
      <c r="I769" s="133"/>
      <c r="J769" s="151">
        <v>281963.27</v>
      </c>
      <c r="K769" s="133"/>
    </row>
    <row r="770" spans="1:15" hidden="1" x14ac:dyDescent="0.25"/>
    <row r="771" spans="1:15" ht="102.75" x14ac:dyDescent="0.25">
      <c r="A771" s="93">
        <v>143</v>
      </c>
      <c r="B771" s="94" t="s">
        <v>422</v>
      </c>
      <c r="C771" s="101" t="s">
        <v>423</v>
      </c>
      <c r="D771" s="96" t="s">
        <v>61</v>
      </c>
      <c r="E771" s="117">
        <v>1</v>
      </c>
      <c r="F771" s="98">
        <v>64931.16</v>
      </c>
      <c r="G771" s="99"/>
      <c r="H771" s="97" t="s">
        <v>50</v>
      </c>
      <c r="I771" s="98">
        <v>64931.16</v>
      </c>
      <c r="J771" s="100">
        <v>7.57</v>
      </c>
      <c r="K771" s="98">
        <v>491528.88</v>
      </c>
      <c r="L771" t="s">
        <v>785</v>
      </c>
      <c r="O771" s="116">
        <f>K771</f>
        <v>491528.88</v>
      </c>
    </row>
    <row r="772" spans="1:15" hidden="1" x14ac:dyDescent="0.25">
      <c r="C772" s="10" t="s">
        <v>58</v>
      </c>
      <c r="H772" s="151">
        <v>64931.16</v>
      </c>
      <c r="I772" s="133"/>
      <c r="J772" s="151">
        <v>491528.88</v>
      </c>
      <c r="K772" s="133"/>
    </row>
    <row r="773" spans="1:15" hidden="1" x14ac:dyDescent="0.25"/>
    <row r="774" spans="1:15" ht="102.75" x14ac:dyDescent="0.25">
      <c r="A774" s="93">
        <v>144</v>
      </c>
      <c r="B774" s="94" t="s">
        <v>424</v>
      </c>
      <c r="C774" s="101" t="s">
        <v>425</v>
      </c>
      <c r="D774" s="96" t="s">
        <v>61</v>
      </c>
      <c r="E774" s="117">
        <v>1</v>
      </c>
      <c r="F774" s="98">
        <v>37247.46</v>
      </c>
      <c r="G774" s="99"/>
      <c r="H774" s="97" t="s">
        <v>50</v>
      </c>
      <c r="I774" s="98">
        <v>37247.46</v>
      </c>
      <c r="J774" s="100">
        <v>7.57</v>
      </c>
      <c r="K774" s="98">
        <v>281963.27</v>
      </c>
      <c r="L774" t="s">
        <v>785</v>
      </c>
      <c r="O774" s="116">
        <f>K774</f>
        <v>281963.27</v>
      </c>
    </row>
    <row r="775" spans="1:15" hidden="1" x14ac:dyDescent="0.25">
      <c r="C775" s="10" t="s">
        <v>58</v>
      </c>
      <c r="H775" s="151">
        <v>37247.46</v>
      </c>
      <c r="I775" s="133"/>
      <c r="J775" s="151">
        <v>281963.27</v>
      </c>
      <c r="K775" s="133"/>
    </row>
    <row r="776" spans="1:15" hidden="1" x14ac:dyDescent="0.25"/>
    <row r="777" spans="1:15" ht="229.5" hidden="1" x14ac:dyDescent="0.25">
      <c r="A777" s="6">
        <v>145</v>
      </c>
      <c r="B777" s="4" t="s">
        <v>426</v>
      </c>
      <c r="C777" s="8" t="s">
        <v>427</v>
      </c>
      <c r="D777" s="16" t="s">
        <v>415</v>
      </c>
      <c r="E777" s="14">
        <v>1</v>
      </c>
    </row>
    <row r="778" spans="1:15" ht="26.25" hidden="1" x14ac:dyDescent="0.25">
      <c r="C778" s="5" t="s">
        <v>43</v>
      </c>
      <c r="F778" s="11">
        <v>129.91999999999999</v>
      </c>
      <c r="G778" s="15" t="s">
        <v>44</v>
      </c>
      <c r="H778" s="13">
        <v>1.0669999999999999</v>
      </c>
      <c r="I778" s="11">
        <v>200.87</v>
      </c>
      <c r="J778" s="13">
        <v>56.35</v>
      </c>
      <c r="K778" s="11">
        <v>11319.02</v>
      </c>
    </row>
    <row r="779" spans="1:15" ht="26.25" hidden="1" x14ac:dyDescent="0.25">
      <c r="C779" s="7" t="s">
        <v>45</v>
      </c>
      <c r="F779" s="11">
        <v>100.68</v>
      </c>
      <c r="G779" s="15" t="s">
        <v>46</v>
      </c>
      <c r="H779" s="13">
        <v>1.0669999999999999</v>
      </c>
      <c r="I779" s="11">
        <v>169.2</v>
      </c>
      <c r="J779" s="13">
        <v>15.52</v>
      </c>
      <c r="K779" s="11">
        <v>2625.98</v>
      </c>
    </row>
    <row r="780" spans="1:15" ht="26.25" hidden="1" x14ac:dyDescent="0.25">
      <c r="C780" s="7" t="s">
        <v>47</v>
      </c>
      <c r="F780" s="11">
        <v>11.9</v>
      </c>
      <c r="G780" s="15" t="s">
        <v>46</v>
      </c>
      <c r="H780" s="13">
        <v>1.0669999999999999</v>
      </c>
      <c r="I780" s="11">
        <v>20</v>
      </c>
      <c r="J780" s="13">
        <v>56.35</v>
      </c>
      <c r="K780" s="11">
        <v>1127</v>
      </c>
    </row>
    <row r="781" spans="1:15" hidden="1" x14ac:dyDescent="0.25">
      <c r="C781" s="7" t="s">
        <v>48</v>
      </c>
      <c r="F781" s="11">
        <v>167.07</v>
      </c>
      <c r="G781" s="15" t="s">
        <v>96</v>
      </c>
      <c r="H781" s="14" t="s">
        <v>50</v>
      </c>
      <c r="I781" s="11">
        <v>167.07</v>
      </c>
      <c r="J781" s="13">
        <v>4.92</v>
      </c>
      <c r="K781" s="11">
        <v>821.98</v>
      </c>
    </row>
    <row r="782" spans="1:15" hidden="1" x14ac:dyDescent="0.25">
      <c r="C782" s="7" t="s">
        <v>51</v>
      </c>
      <c r="D782" s="11" t="s">
        <v>52</v>
      </c>
      <c r="E782" s="14">
        <v>109</v>
      </c>
      <c r="I782" s="11">
        <v>240.75</v>
      </c>
      <c r="J782" s="14">
        <v>109</v>
      </c>
      <c r="K782" s="11">
        <v>13566.16</v>
      </c>
    </row>
    <row r="783" spans="1:15" hidden="1" x14ac:dyDescent="0.25">
      <c r="C783" s="7" t="s">
        <v>53</v>
      </c>
      <c r="D783" s="11" t="s">
        <v>52</v>
      </c>
      <c r="E783" s="14">
        <v>61</v>
      </c>
      <c r="I783" s="11">
        <v>134.72999999999999</v>
      </c>
      <c r="J783" s="14">
        <v>61</v>
      </c>
      <c r="K783" s="11">
        <v>7592.07</v>
      </c>
    </row>
    <row r="784" spans="1:15" ht="26.25" hidden="1" x14ac:dyDescent="0.25">
      <c r="C784" s="7" t="s">
        <v>54</v>
      </c>
      <c r="D784" s="11" t="s">
        <v>55</v>
      </c>
      <c r="E784" s="13">
        <v>10.8</v>
      </c>
      <c r="G784" s="15" t="s">
        <v>44</v>
      </c>
      <c r="H784" s="13">
        <v>1.0669999999999999</v>
      </c>
      <c r="I784" s="12">
        <v>16.697696400000002</v>
      </c>
    </row>
    <row r="785" spans="1:15" hidden="1" x14ac:dyDescent="0.25">
      <c r="A785" s="47"/>
      <c r="B785" s="47"/>
      <c r="C785" s="47" t="s">
        <v>56</v>
      </c>
      <c r="D785" s="47"/>
      <c r="E785" s="47"/>
      <c r="F785" s="47"/>
      <c r="G785" s="47"/>
      <c r="H785" s="149">
        <v>912.62</v>
      </c>
      <c r="I785" s="150"/>
      <c r="J785" s="149">
        <v>35925.21</v>
      </c>
      <c r="K785" s="150"/>
    </row>
    <row r="786" spans="1:15" hidden="1" x14ac:dyDescent="0.25">
      <c r="C786" s="10" t="s">
        <v>57</v>
      </c>
      <c r="H786" s="151">
        <v>0</v>
      </c>
      <c r="I786" s="133"/>
      <c r="J786" s="151">
        <v>0</v>
      </c>
      <c r="K786" s="133"/>
    </row>
    <row r="787" spans="1:15" hidden="1" x14ac:dyDescent="0.25">
      <c r="C787" s="10" t="s">
        <v>58</v>
      </c>
      <c r="H787" s="151">
        <v>912.62</v>
      </c>
      <c r="I787" s="133"/>
      <c r="J787" s="151">
        <v>35925.21</v>
      </c>
      <c r="K787" s="133"/>
    </row>
    <row r="788" spans="1:15" hidden="1" x14ac:dyDescent="0.25"/>
    <row r="789" spans="1:15" ht="102.75" x14ac:dyDescent="0.25">
      <c r="A789" s="93">
        <v>146</v>
      </c>
      <c r="B789" s="94" t="s">
        <v>428</v>
      </c>
      <c r="C789" s="101" t="s">
        <v>429</v>
      </c>
      <c r="D789" s="96" t="s">
        <v>61</v>
      </c>
      <c r="E789" s="117">
        <v>1</v>
      </c>
      <c r="F789" s="98">
        <v>137032.04999999999</v>
      </c>
      <c r="G789" s="99"/>
      <c r="H789" s="97" t="s">
        <v>50</v>
      </c>
      <c r="I789" s="98">
        <v>137032.04999999999</v>
      </c>
      <c r="J789" s="100">
        <v>7.57</v>
      </c>
      <c r="K789" s="98">
        <v>1037332.62</v>
      </c>
      <c r="L789" t="s">
        <v>785</v>
      </c>
      <c r="O789" s="116">
        <f>K789</f>
        <v>1037332.62</v>
      </c>
    </row>
    <row r="790" spans="1:15" hidden="1" x14ac:dyDescent="0.25">
      <c r="C790" s="10" t="s">
        <v>58</v>
      </c>
      <c r="H790" s="151">
        <v>137032.04999999999</v>
      </c>
      <c r="I790" s="133"/>
      <c r="J790" s="151">
        <v>1037332.62</v>
      </c>
      <c r="K790" s="133"/>
    </row>
    <row r="791" spans="1:15" hidden="1" x14ac:dyDescent="0.25"/>
    <row r="792" spans="1:15" ht="229.5" hidden="1" x14ac:dyDescent="0.25">
      <c r="A792" s="6">
        <v>147</v>
      </c>
      <c r="B792" s="4" t="s">
        <v>430</v>
      </c>
      <c r="C792" s="3" t="s">
        <v>431</v>
      </c>
      <c r="D792" s="16" t="s">
        <v>368</v>
      </c>
      <c r="E792" s="14">
        <v>6</v>
      </c>
    </row>
    <row r="793" spans="1:15" ht="26.25" hidden="1" x14ac:dyDescent="0.25">
      <c r="C793" s="5" t="s">
        <v>43</v>
      </c>
      <c r="F793" s="11">
        <v>25.66</v>
      </c>
      <c r="G793" s="15" t="s">
        <v>44</v>
      </c>
      <c r="H793" s="13">
        <v>1.0669999999999999</v>
      </c>
      <c r="I793" s="11">
        <v>238.03</v>
      </c>
      <c r="J793" s="13">
        <v>56.35</v>
      </c>
      <c r="K793" s="11">
        <v>13412.99</v>
      </c>
    </row>
    <row r="794" spans="1:15" ht="26.25" hidden="1" x14ac:dyDescent="0.25">
      <c r="C794" s="7" t="s">
        <v>45</v>
      </c>
      <c r="F794" s="11">
        <v>3.45</v>
      </c>
      <c r="G794" s="15" t="s">
        <v>46</v>
      </c>
      <c r="H794" s="13">
        <v>1.0669999999999999</v>
      </c>
      <c r="I794" s="11">
        <v>34.79</v>
      </c>
      <c r="J794" s="13">
        <v>15.72</v>
      </c>
      <c r="K794" s="11">
        <v>546.9</v>
      </c>
    </row>
    <row r="795" spans="1:15" ht="26.25" hidden="1" x14ac:dyDescent="0.25">
      <c r="C795" s="7" t="s">
        <v>47</v>
      </c>
      <c r="F795" s="11">
        <v>0.42</v>
      </c>
      <c r="G795" s="15" t="s">
        <v>46</v>
      </c>
      <c r="H795" s="13">
        <v>1.0669999999999999</v>
      </c>
      <c r="I795" s="11">
        <v>4.2300000000000004</v>
      </c>
      <c r="J795" s="13">
        <v>56.35</v>
      </c>
      <c r="K795" s="11">
        <v>238.36</v>
      </c>
    </row>
    <row r="796" spans="1:15" hidden="1" x14ac:dyDescent="0.25">
      <c r="C796" s="7" t="s">
        <v>48</v>
      </c>
      <c r="F796" s="11">
        <v>48.4</v>
      </c>
      <c r="G796" s="15" t="s">
        <v>96</v>
      </c>
      <c r="H796" s="14" t="s">
        <v>50</v>
      </c>
      <c r="I796" s="11">
        <v>290.39999999999998</v>
      </c>
      <c r="J796" s="13">
        <v>5.01</v>
      </c>
      <c r="K796" s="11">
        <v>1454.9</v>
      </c>
    </row>
    <row r="797" spans="1:15" hidden="1" x14ac:dyDescent="0.25">
      <c r="C797" s="7" t="s">
        <v>51</v>
      </c>
      <c r="D797" s="11" t="s">
        <v>52</v>
      </c>
      <c r="E797" s="14">
        <v>109</v>
      </c>
      <c r="I797" s="11">
        <v>264.06</v>
      </c>
      <c r="J797" s="14">
        <v>109</v>
      </c>
      <c r="K797" s="11">
        <v>14879.97</v>
      </c>
    </row>
    <row r="798" spans="1:15" hidden="1" x14ac:dyDescent="0.25">
      <c r="C798" s="7" t="s">
        <v>53</v>
      </c>
      <c r="D798" s="11" t="s">
        <v>52</v>
      </c>
      <c r="E798" s="14">
        <v>61</v>
      </c>
      <c r="I798" s="11">
        <v>147.78</v>
      </c>
      <c r="J798" s="14">
        <v>61</v>
      </c>
      <c r="K798" s="11">
        <v>8327.32</v>
      </c>
    </row>
    <row r="799" spans="1:15" ht="26.25" hidden="1" x14ac:dyDescent="0.25">
      <c r="C799" s="7" t="s">
        <v>54</v>
      </c>
      <c r="D799" s="11" t="s">
        <v>55</v>
      </c>
      <c r="E799" s="13">
        <v>2.21</v>
      </c>
      <c r="G799" s="15" t="s">
        <v>44</v>
      </c>
      <c r="H799" s="13">
        <v>1.0669999999999999</v>
      </c>
      <c r="I799" s="12">
        <v>20.501060580000001</v>
      </c>
    </row>
    <row r="800" spans="1:15" hidden="1" x14ac:dyDescent="0.25">
      <c r="A800" s="48"/>
      <c r="B800" s="48"/>
      <c r="C800" s="48" t="s">
        <v>56</v>
      </c>
      <c r="D800" s="48"/>
      <c r="E800" s="48"/>
      <c r="F800" s="48"/>
      <c r="G800" s="48"/>
      <c r="H800" s="149">
        <v>975.06</v>
      </c>
      <c r="I800" s="150"/>
      <c r="J800" s="149">
        <v>38622.080000000002</v>
      </c>
      <c r="K800" s="150"/>
    </row>
    <row r="801" spans="1:11" hidden="1" x14ac:dyDescent="0.25">
      <c r="C801" s="10" t="s">
        <v>57</v>
      </c>
      <c r="H801" s="151">
        <v>0</v>
      </c>
      <c r="I801" s="133"/>
      <c r="J801" s="151">
        <v>0</v>
      </c>
      <c r="K801" s="133"/>
    </row>
    <row r="802" spans="1:11" hidden="1" x14ac:dyDescent="0.25">
      <c r="C802" s="10" t="s">
        <v>58</v>
      </c>
      <c r="H802" s="151">
        <v>975.06</v>
      </c>
      <c r="I802" s="133"/>
      <c r="J802" s="151">
        <v>38622.080000000002</v>
      </c>
      <c r="K802" s="133"/>
    </row>
    <row r="803" spans="1:11" hidden="1" x14ac:dyDescent="0.25"/>
    <row r="804" spans="1:11" ht="15.95" hidden="1" customHeight="1" x14ac:dyDescent="0.25">
      <c r="A804" s="148" t="s">
        <v>432</v>
      </c>
      <c r="B804" s="133"/>
      <c r="C804" s="133"/>
      <c r="D804" s="133"/>
      <c r="E804" s="133"/>
      <c r="F804" s="133"/>
      <c r="G804" s="133"/>
      <c r="H804" s="133"/>
      <c r="I804" s="133"/>
      <c r="J804" s="133"/>
      <c r="K804" s="133"/>
    </row>
    <row r="805" spans="1:11" hidden="1" x14ac:dyDescent="0.25"/>
    <row r="806" spans="1:11" ht="229.5" hidden="1" x14ac:dyDescent="0.25">
      <c r="A806" s="6">
        <v>148</v>
      </c>
      <c r="B806" s="4" t="s">
        <v>433</v>
      </c>
      <c r="C806" s="8" t="s">
        <v>434</v>
      </c>
      <c r="D806" s="16" t="s">
        <v>415</v>
      </c>
      <c r="E806" s="14">
        <v>5</v>
      </c>
    </row>
    <row r="807" spans="1:11" ht="26.25" hidden="1" x14ac:dyDescent="0.25">
      <c r="C807" s="5" t="s">
        <v>43</v>
      </c>
      <c r="F807" s="11">
        <v>62.6</v>
      </c>
      <c r="G807" s="15" t="s">
        <v>44</v>
      </c>
      <c r="H807" s="13">
        <v>1.0669999999999999</v>
      </c>
      <c r="I807" s="11">
        <v>483.92</v>
      </c>
      <c r="J807" s="13">
        <v>56.35</v>
      </c>
      <c r="K807" s="11">
        <v>27268.89</v>
      </c>
    </row>
    <row r="808" spans="1:11" ht="26.25" hidden="1" x14ac:dyDescent="0.25">
      <c r="C808" s="7" t="s">
        <v>45</v>
      </c>
      <c r="F808" s="11">
        <v>9.27</v>
      </c>
      <c r="G808" s="15" t="s">
        <v>46</v>
      </c>
      <c r="H808" s="13">
        <v>1.0669999999999999</v>
      </c>
      <c r="I808" s="11">
        <v>77.89</v>
      </c>
      <c r="J808" s="13">
        <v>16.559999999999999</v>
      </c>
      <c r="K808" s="11">
        <v>1289.8599999999999</v>
      </c>
    </row>
    <row r="809" spans="1:11" ht="26.25" hidden="1" x14ac:dyDescent="0.25">
      <c r="C809" s="7" t="s">
        <v>47</v>
      </c>
      <c r="F809" s="11">
        <v>1.31</v>
      </c>
      <c r="G809" s="15" t="s">
        <v>46</v>
      </c>
      <c r="H809" s="13">
        <v>1.0669999999999999</v>
      </c>
      <c r="I809" s="11">
        <v>11.01</v>
      </c>
      <c r="J809" s="13">
        <v>56.35</v>
      </c>
      <c r="K809" s="11">
        <v>620.41</v>
      </c>
    </row>
    <row r="810" spans="1:11" hidden="1" x14ac:dyDescent="0.25">
      <c r="C810" s="7" t="s">
        <v>48</v>
      </c>
      <c r="F810" s="11">
        <v>2.62</v>
      </c>
      <c r="G810" s="15" t="s">
        <v>96</v>
      </c>
      <c r="H810" s="14" t="s">
        <v>50</v>
      </c>
      <c r="I810" s="11">
        <v>13.1</v>
      </c>
      <c r="J810" s="13">
        <v>4.96</v>
      </c>
      <c r="K810" s="11">
        <v>64.98</v>
      </c>
    </row>
    <row r="811" spans="1:11" hidden="1" x14ac:dyDescent="0.25">
      <c r="C811" s="7" t="s">
        <v>51</v>
      </c>
      <c r="D811" s="11" t="s">
        <v>52</v>
      </c>
      <c r="E811" s="14">
        <v>109</v>
      </c>
      <c r="I811" s="11">
        <v>539.47</v>
      </c>
      <c r="J811" s="14">
        <v>109</v>
      </c>
      <c r="K811" s="11">
        <v>30399.34</v>
      </c>
    </row>
    <row r="812" spans="1:11" hidden="1" x14ac:dyDescent="0.25">
      <c r="C812" s="7" t="s">
        <v>53</v>
      </c>
      <c r="D812" s="11" t="s">
        <v>52</v>
      </c>
      <c r="E812" s="14">
        <v>61</v>
      </c>
      <c r="I812" s="11">
        <v>301.91000000000003</v>
      </c>
      <c r="J812" s="14">
        <v>61</v>
      </c>
      <c r="K812" s="11">
        <v>17012.47</v>
      </c>
    </row>
    <row r="813" spans="1:11" ht="26.25" hidden="1" x14ac:dyDescent="0.25">
      <c r="C813" s="7" t="s">
        <v>54</v>
      </c>
      <c r="D813" s="11" t="s">
        <v>55</v>
      </c>
      <c r="E813" s="13">
        <v>4.96</v>
      </c>
      <c r="G813" s="15" t="s">
        <v>44</v>
      </c>
      <c r="H813" s="13">
        <v>1.0669999999999999</v>
      </c>
      <c r="I813" s="12">
        <v>38.342858399999997</v>
      </c>
    </row>
    <row r="814" spans="1:11" hidden="1" x14ac:dyDescent="0.25">
      <c r="A814" s="49"/>
      <c r="B814" s="49"/>
      <c r="C814" s="49" t="s">
        <v>56</v>
      </c>
      <c r="D814" s="49"/>
      <c r="E814" s="49"/>
      <c r="F814" s="49"/>
      <c r="G814" s="49"/>
      <c r="H814" s="149">
        <v>1416.29</v>
      </c>
      <c r="I814" s="150"/>
      <c r="J814" s="149">
        <v>76035.539999999994</v>
      </c>
      <c r="K814" s="150"/>
    </row>
    <row r="815" spans="1:11" hidden="1" x14ac:dyDescent="0.25">
      <c r="C815" s="10" t="s">
        <v>57</v>
      </c>
      <c r="H815" s="151">
        <v>0</v>
      </c>
      <c r="I815" s="133"/>
      <c r="J815" s="151">
        <v>0</v>
      </c>
      <c r="K815" s="133"/>
    </row>
    <row r="816" spans="1:11" hidden="1" x14ac:dyDescent="0.25">
      <c r="C816" s="10" t="s">
        <v>58</v>
      </c>
      <c r="H816" s="151">
        <v>1416.29</v>
      </c>
      <c r="I816" s="133"/>
      <c r="J816" s="151">
        <v>76035.539999999994</v>
      </c>
      <c r="K816" s="133"/>
    </row>
    <row r="817" spans="1:15" hidden="1" x14ac:dyDescent="0.25"/>
    <row r="818" spans="1:15" ht="102.75" x14ac:dyDescent="0.25">
      <c r="A818" s="93">
        <v>149</v>
      </c>
      <c r="B818" s="94" t="s">
        <v>435</v>
      </c>
      <c r="C818" s="101" t="s">
        <v>436</v>
      </c>
      <c r="D818" s="96" t="s">
        <v>61</v>
      </c>
      <c r="E818" s="117">
        <v>1</v>
      </c>
      <c r="F818" s="98">
        <v>15702.48</v>
      </c>
      <c r="G818" s="99"/>
      <c r="H818" s="97" t="s">
        <v>50</v>
      </c>
      <c r="I818" s="98">
        <v>15702.48</v>
      </c>
      <c r="J818" s="100">
        <v>7.57</v>
      </c>
      <c r="K818" s="98">
        <v>118867.77</v>
      </c>
      <c r="L818" t="s">
        <v>785</v>
      </c>
      <c r="O818" s="116">
        <f>K818</f>
        <v>118867.77</v>
      </c>
    </row>
    <row r="819" spans="1:15" hidden="1" x14ac:dyDescent="0.25">
      <c r="C819" s="10" t="s">
        <v>58</v>
      </c>
      <c r="H819" s="151">
        <v>15702.48</v>
      </c>
      <c r="I819" s="133"/>
      <c r="J819" s="151">
        <v>118867.77</v>
      </c>
      <c r="K819" s="133"/>
    </row>
    <row r="820" spans="1:15" hidden="1" x14ac:dyDescent="0.25"/>
    <row r="821" spans="1:15" ht="102.75" x14ac:dyDescent="0.25">
      <c r="A821" s="93">
        <v>150</v>
      </c>
      <c r="B821" s="94" t="s">
        <v>437</v>
      </c>
      <c r="C821" s="101" t="s">
        <v>438</v>
      </c>
      <c r="D821" s="96" t="s">
        <v>61</v>
      </c>
      <c r="E821" s="117">
        <v>1</v>
      </c>
      <c r="F821" s="98">
        <v>15702.48</v>
      </c>
      <c r="G821" s="99"/>
      <c r="H821" s="97" t="s">
        <v>50</v>
      </c>
      <c r="I821" s="98">
        <v>15702.48</v>
      </c>
      <c r="J821" s="100">
        <v>7.57</v>
      </c>
      <c r="K821" s="98">
        <v>118867.77</v>
      </c>
      <c r="L821" t="s">
        <v>785</v>
      </c>
      <c r="O821" s="116">
        <f>K821</f>
        <v>118867.77</v>
      </c>
    </row>
    <row r="822" spans="1:15" hidden="1" x14ac:dyDescent="0.25">
      <c r="C822" s="10" t="s">
        <v>58</v>
      </c>
      <c r="H822" s="151">
        <v>15702.48</v>
      </c>
      <c r="I822" s="133"/>
      <c r="J822" s="151">
        <v>118867.77</v>
      </c>
      <c r="K822" s="133"/>
    </row>
    <row r="823" spans="1:15" hidden="1" x14ac:dyDescent="0.25"/>
    <row r="824" spans="1:15" ht="102.75" x14ac:dyDescent="0.25">
      <c r="A824" s="93">
        <v>151</v>
      </c>
      <c r="B824" s="94" t="s">
        <v>439</v>
      </c>
      <c r="C824" s="101" t="s">
        <v>440</v>
      </c>
      <c r="D824" s="96" t="s">
        <v>61</v>
      </c>
      <c r="E824" s="117">
        <v>1</v>
      </c>
      <c r="F824" s="98">
        <v>15702.48</v>
      </c>
      <c r="G824" s="99"/>
      <c r="H824" s="97" t="s">
        <v>50</v>
      </c>
      <c r="I824" s="98">
        <v>15702.48</v>
      </c>
      <c r="J824" s="100">
        <v>7.57</v>
      </c>
      <c r="K824" s="98">
        <v>118867.77</v>
      </c>
      <c r="L824" t="s">
        <v>785</v>
      </c>
      <c r="O824" s="116">
        <f>K824</f>
        <v>118867.77</v>
      </c>
    </row>
    <row r="825" spans="1:15" hidden="1" x14ac:dyDescent="0.25">
      <c r="C825" s="10" t="s">
        <v>58</v>
      </c>
      <c r="H825" s="151">
        <v>15702.48</v>
      </c>
      <c r="I825" s="133"/>
      <c r="J825" s="151">
        <v>118867.77</v>
      </c>
      <c r="K825" s="133"/>
    </row>
    <row r="826" spans="1:15" hidden="1" x14ac:dyDescent="0.25"/>
    <row r="827" spans="1:15" ht="102.75" x14ac:dyDescent="0.25">
      <c r="A827" s="93">
        <v>152</v>
      </c>
      <c r="B827" s="94" t="s">
        <v>441</v>
      </c>
      <c r="C827" s="101" t="s">
        <v>442</v>
      </c>
      <c r="D827" s="96" t="s">
        <v>61</v>
      </c>
      <c r="E827" s="117">
        <v>1</v>
      </c>
      <c r="F827" s="98">
        <v>15702.48</v>
      </c>
      <c r="G827" s="99"/>
      <c r="H827" s="97" t="s">
        <v>50</v>
      </c>
      <c r="I827" s="98">
        <v>15702.48</v>
      </c>
      <c r="J827" s="100">
        <v>7.57</v>
      </c>
      <c r="K827" s="98">
        <v>118867.77</v>
      </c>
      <c r="L827" t="s">
        <v>785</v>
      </c>
      <c r="O827" s="116">
        <f>K827</f>
        <v>118867.77</v>
      </c>
    </row>
    <row r="828" spans="1:15" hidden="1" x14ac:dyDescent="0.25">
      <c r="C828" s="10" t="s">
        <v>58</v>
      </c>
      <c r="H828" s="151">
        <v>15702.48</v>
      </c>
      <c r="I828" s="133"/>
      <c r="J828" s="151">
        <v>118867.77</v>
      </c>
      <c r="K828" s="133"/>
    </row>
    <row r="829" spans="1:15" hidden="1" x14ac:dyDescent="0.25"/>
    <row r="830" spans="1:15" ht="102.75" x14ac:dyDescent="0.25">
      <c r="A830" s="93">
        <v>153</v>
      </c>
      <c r="B830" s="94" t="s">
        <v>443</v>
      </c>
      <c r="C830" s="101" t="s">
        <v>444</v>
      </c>
      <c r="D830" s="96" t="s">
        <v>61</v>
      </c>
      <c r="E830" s="117">
        <v>1</v>
      </c>
      <c r="F830" s="98">
        <v>13415.21</v>
      </c>
      <c r="G830" s="99"/>
      <c r="H830" s="97" t="s">
        <v>50</v>
      </c>
      <c r="I830" s="98">
        <v>13415.21</v>
      </c>
      <c r="J830" s="100">
        <v>7.57</v>
      </c>
      <c r="K830" s="98">
        <v>101553.14</v>
      </c>
      <c r="L830" t="s">
        <v>785</v>
      </c>
      <c r="O830" s="116">
        <f>K830</f>
        <v>101553.14</v>
      </c>
    </row>
    <row r="831" spans="1:15" hidden="1" x14ac:dyDescent="0.25">
      <c r="C831" s="10" t="s">
        <v>58</v>
      </c>
      <c r="H831" s="151">
        <v>13415.21</v>
      </c>
      <c r="I831" s="133"/>
      <c r="J831" s="151">
        <v>101553.14</v>
      </c>
      <c r="K831" s="133"/>
    </row>
    <row r="832" spans="1:15" hidden="1" x14ac:dyDescent="0.25"/>
    <row r="833" spans="1:15" ht="229.5" hidden="1" x14ac:dyDescent="0.25">
      <c r="A833" s="6">
        <v>154</v>
      </c>
      <c r="B833" s="4" t="s">
        <v>445</v>
      </c>
      <c r="C833" s="8" t="s">
        <v>446</v>
      </c>
      <c r="D833" s="16" t="s">
        <v>415</v>
      </c>
      <c r="E833" s="14">
        <v>3</v>
      </c>
    </row>
    <row r="834" spans="1:15" ht="26.25" hidden="1" x14ac:dyDescent="0.25">
      <c r="C834" s="5" t="s">
        <v>43</v>
      </c>
      <c r="F834" s="11">
        <v>158.80000000000001</v>
      </c>
      <c r="G834" s="15" t="s">
        <v>44</v>
      </c>
      <c r="H834" s="13">
        <v>1.0669999999999999</v>
      </c>
      <c r="I834" s="11">
        <v>736.55</v>
      </c>
      <c r="J834" s="13">
        <v>56.35</v>
      </c>
      <c r="K834" s="11">
        <v>41504.589999999997</v>
      </c>
    </row>
    <row r="835" spans="1:15" ht="26.25" hidden="1" x14ac:dyDescent="0.25">
      <c r="C835" s="7" t="s">
        <v>45</v>
      </c>
      <c r="F835" s="11">
        <v>35.42</v>
      </c>
      <c r="G835" s="15" t="s">
        <v>46</v>
      </c>
      <c r="H835" s="13">
        <v>1.0669999999999999</v>
      </c>
      <c r="I835" s="11">
        <v>178.57</v>
      </c>
      <c r="J835" s="13">
        <v>16.54</v>
      </c>
      <c r="K835" s="11">
        <v>2953.55</v>
      </c>
    </row>
    <row r="836" spans="1:15" ht="26.25" hidden="1" x14ac:dyDescent="0.25">
      <c r="C836" s="7" t="s">
        <v>47</v>
      </c>
      <c r="F836" s="11">
        <v>4.97</v>
      </c>
      <c r="G836" s="15" t="s">
        <v>46</v>
      </c>
      <c r="H836" s="13">
        <v>1.0669999999999999</v>
      </c>
      <c r="I836" s="11">
        <v>25.06</v>
      </c>
      <c r="J836" s="13">
        <v>56.35</v>
      </c>
      <c r="K836" s="11">
        <v>1412.13</v>
      </c>
    </row>
    <row r="837" spans="1:15" hidden="1" x14ac:dyDescent="0.25">
      <c r="C837" s="7" t="s">
        <v>48</v>
      </c>
      <c r="F837" s="11">
        <v>255.19</v>
      </c>
      <c r="G837" s="15" t="s">
        <v>96</v>
      </c>
      <c r="H837" s="14" t="s">
        <v>50</v>
      </c>
      <c r="I837" s="11">
        <v>765.57</v>
      </c>
      <c r="J837" s="13">
        <v>4.93</v>
      </c>
      <c r="K837" s="11">
        <v>3774.26</v>
      </c>
    </row>
    <row r="838" spans="1:15" hidden="1" x14ac:dyDescent="0.25">
      <c r="C838" s="7" t="s">
        <v>51</v>
      </c>
      <c r="D838" s="11" t="s">
        <v>52</v>
      </c>
      <c r="E838" s="14">
        <v>109</v>
      </c>
      <c r="I838" s="11">
        <v>830.15</v>
      </c>
      <c r="J838" s="14">
        <v>109</v>
      </c>
      <c r="K838" s="11">
        <v>46779.22</v>
      </c>
    </row>
    <row r="839" spans="1:15" hidden="1" x14ac:dyDescent="0.25">
      <c r="C839" s="7" t="s">
        <v>53</v>
      </c>
      <c r="D839" s="11" t="s">
        <v>52</v>
      </c>
      <c r="E839" s="14">
        <v>61</v>
      </c>
      <c r="I839" s="11">
        <v>464.58</v>
      </c>
      <c r="J839" s="14">
        <v>61</v>
      </c>
      <c r="K839" s="11">
        <v>26179.200000000001</v>
      </c>
    </row>
    <row r="840" spans="1:15" ht="26.25" hidden="1" x14ac:dyDescent="0.25">
      <c r="C840" s="7" t="s">
        <v>54</v>
      </c>
      <c r="D840" s="11" t="s">
        <v>55</v>
      </c>
      <c r="E840" s="13">
        <v>13.2</v>
      </c>
      <c r="G840" s="15" t="s">
        <v>44</v>
      </c>
      <c r="H840" s="13">
        <v>1.0669999999999999</v>
      </c>
      <c r="I840" s="12">
        <v>61.2248868</v>
      </c>
    </row>
    <row r="841" spans="1:15" hidden="1" x14ac:dyDescent="0.25">
      <c r="A841" s="50"/>
      <c r="B841" s="50"/>
      <c r="C841" s="50" t="s">
        <v>56</v>
      </c>
      <c r="D841" s="50"/>
      <c r="E841" s="50"/>
      <c r="F841" s="50"/>
      <c r="G841" s="50"/>
      <c r="H841" s="149">
        <v>2975.42</v>
      </c>
      <c r="I841" s="150"/>
      <c r="J841" s="149">
        <v>121190.82</v>
      </c>
      <c r="K841" s="150"/>
    </row>
    <row r="842" spans="1:15" hidden="1" x14ac:dyDescent="0.25">
      <c r="C842" s="10" t="s">
        <v>57</v>
      </c>
      <c r="H842" s="151">
        <v>0</v>
      </c>
      <c r="I842" s="133"/>
      <c r="J842" s="151">
        <v>0</v>
      </c>
      <c r="K842" s="133"/>
    </row>
    <row r="843" spans="1:15" hidden="1" x14ac:dyDescent="0.25">
      <c r="C843" s="10" t="s">
        <v>58</v>
      </c>
      <c r="H843" s="151">
        <v>2975.42</v>
      </c>
      <c r="I843" s="133"/>
      <c r="J843" s="151">
        <v>121190.82</v>
      </c>
      <c r="K843" s="133"/>
    </row>
    <row r="844" spans="1:15" hidden="1" x14ac:dyDescent="0.25"/>
    <row r="845" spans="1:15" ht="102.75" x14ac:dyDescent="0.25">
      <c r="A845" s="93">
        <v>155</v>
      </c>
      <c r="B845" s="94" t="s">
        <v>447</v>
      </c>
      <c r="C845" s="101" t="s">
        <v>448</v>
      </c>
      <c r="D845" s="96" t="s">
        <v>61</v>
      </c>
      <c r="E845" s="117">
        <v>1</v>
      </c>
      <c r="F845" s="98">
        <v>29651.01</v>
      </c>
      <c r="G845" s="99"/>
      <c r="H845" s="97" t="s">
        <v>50</v>
      </c>
      <c r="I845" s="98">
        <v>29651.01</v>
      </c>
      <c r="J845" s="100">
        <v>7.57</v>
      </c>
      <c r="K845" s="98">
        <v>224458.15</v>
      </c>
      <c r="L845" t="s">
        <v>785</v>
      </c>
      <c r="O845" s="116">
        <f>K845</f>
        <v>224458.15</v>
      </c>
    </row>
    <row r="846" spans="1:15" hidden="1" x14ac:dyDescent="0.25">
      <c r="C846" s="10" t="s">
        <v>58</v>
      </c>
      <c r="H846" s="151">
        <v>29651.01</v>
      </c>
      <c r="I846" s="133"/>
      <c r="J846" s="151">
        <v>224458.15</v>
      </c>
      <c r="K846" s="133"/>
    </row>
    <row r="847" spans="1:15" hidden="1" x14ac:dyDescent="0.25"/>
    <row r="848" spans="1:15" ht="102.75" x14ac:dyDescent="0.25">
      <c r="A848" s="93">
        <v>156</v>
      </c>
      <c r="B848" s="94" t="s">
        <v>449</v>
      </c>
      <c r="C848" s="101" t="s">
        <v>450</v>
      </c>
      <c r="D848" s="96" t="s">
        <v>61</v>
      </c>
      <c r="E848" s="117">
        <v>1</v>
      </c>
      <c r="F848" s="98">
        <v>27280.77</v>
      </c>
      <c r="G848" s="99"/>
      <c r="H848" s="97" t="s">
        <v>50</v>
      </c>
      <c r="I848" s="98">
        <v>27280.77</v>
      </c>
      <c r="J848" s="100">
        <v>7.57</v>
      </c>
      <c r="K848" s="98">
        <v>206515.43</v>
      </c>
      <c r="L848" t="s">
        <v>785</v>
      </c>
      <c r="O848" s="116">
        <f>K848</f>
        <v>206515.43</v>
      </c>
    </row>
    <row r="849" spans="1:15" hidden="1" x14ac:dyDescent="0.25">
      <c r="C849" s="10" t="s">
        <v>58</v>
      </c>
      <c r="H849" s="151">
        <v>27280.77</v>
      </c>
      <c r="I849" s="133"/>
      <c r="J849" s="151">
        <v>206515.43</v>
      </c>
      <c r="K849" s="133"/>
    </row>
    <row r="850" spans="1:15" hidden="1" x14ac:dyDescent="0.25"/>
    <row r="851" spans="1:15" ht="102.75" x14ac:dyDescent="0.25">
      <c r="A851" s="93">
        <v>157</v>
      </c>
      <c r="B851" s="94" t="s">
        <v>451</v>
      </c>
      <c r="C851" s="101" t="s">
        <v>452</v>
      </c>
      <c r="D851" s="96" t="s">
        <v>61</v>
      </c>
      <c r="E851" s="117">
        <v>1</v>
      </c>
      <c r="F851" s="98">
        <v>27280.77</v>
      </c>
      <c r="G851" s="99"/>
      <c r="H851" s="97" t="s">
        <v>50</v>
      </c>
      <c r="I851" s="98">
        <v>27280.77</v>
      </c>
      <c r="J851" s="100">
        <v>7.57</v>
      </c>
      <c r="K851" s="98">
        <v>206515.43</v>
      </c>
      <c r="L851" t="s">
        <v>785</v>
      </c>
      <c r="O851" s="116">
        <f>K851</f>
        <v>206515.43</v>
      </c>
    </row>
    <row r="852" spans="1:15" hidden="1" x14ac:dyDescent="0.25">
      <c r="C852" s="10" t="s">
        <v>58</v>
      </c>
      <c r="H852" s="151">
        <v>27280.77</v>
      </c>
      <c r="I852" s="133"/>
      <c r="J852" s="151">
        <v>206515.43</v>
      </c>
      <c r="K852" s="133"/>
    </row>
    <row r="853" spans="1:15" hidden="1" x14ac:dyDescent="0.25"/>
    <row r="854" spans="1:15" ht="15.95" hidden="1" customHeight="1" x14ac:dyDescent="0.25">
      <c r="A854" s="148" t="s">
        <v>191</v>
      </c>
      <c r="B854" s="133"/>
      <c r="C854" s="133"/>
      <c r="D854" s="133"/>
      <c r="E854" s="133"/>
      <c r="F854" s="133"/>
      <c r="G854" s="133"/>
      <c r="H854" s="133"/>
      <c r="I854" s="133"/>
      <c r="J854" s="133"/>
      <c r="K854" s="133"/>
    </row>
    <row r="855" spans="1:15" hidden="1" x14ac:dyDescent="0.25"/>
    <row r="856" spans="1:15" ht="242.25" hidden="1" x14ac:dyDescent="0.25">
      <c r="A856" s="6">
        <v>158</v>
      </c>
      <c r="B856" s="4" t="s">
        <v>453</v>
      </c>
      <c r="C856" s="8" t="s">
        <v>454</v>
      </c>
      <c r="D856" s="16" t="s">
        <v>194</v>
      </c>
      <c r="E856" s="13">
        <v>0.14000000000000001</v>
      </c>
    </row>
    <row r="857" spans="1:15" ht="38.25" hidden="1" x14ac:dyDescent="0.25">
      <c r="C857" s="9" t="s">
        <v>455</v>
      </c>
    </row>
    <row r="858" spans="1:15" ht="26.25" hidden="1" x14ac:dyDescent="0.25">
      <c r="C858" s="5" t="s">
        <v>43</v>
      </c>
      <c r="F858" s="11">
        <v>760.64</v>
      </c>
      <c r="G858" s="15" t="s">
        <v>44</v>
      </c>
      <c r="H858" s="13">
        <v>1.0669999999999999</v>
      </c>
      <c r="I858" s="11">
        <v>164.64</v>
      </c>
      <c r="J858" s="13">
        <v>56.35</v>
      </c>
      <c r="K858" s="11">
        <v>9277.4599999999991</v>
      </c>
    </row>
    <row r="859" spans="1:15" ht="26.25" hidden="1" x14ac:dyDescent="0.25">
      <c r="C859" s="7" t="s">
        <v>45</v>
      </c>
      <c r="F859" s="11">
        <v>124.16</v>
      </c>
      <c r="G859" s="15" t="s">
        <v>46</v>
      </c>
      <c r="H859" s="13">
        <v>1.0669999999999999</v>
      </c>
      <c r="I859" s="11">
        <v>29.21</v>
      </c>
      <c r="J859" s="13">
        <v>15.04</v>
      </c>
      <c r="K859" s="11">
        <v>439.32</v>
      </c>
    </row>
    <row r="860" spans="1:15" ht="26.25" hidden="1" x14ac:dyDescent="0.25">
      <c r="C860" s="7" t="s">
        <v>47</v>
      </c>
      <c r="F860" s="11">
        <v>13.42</v>
      </c>
      <c r="G860" s="15" t="s">
        <v>46</v>
      </c>
      <c r="H860" s="13">
        <v>1.0669999999999999</v>
      </c>
      <c r="I860" s="11">
        <v>3.16</v>
      </c>
      <c r="J860" s="13">
        <v>56.35</v>
      </c>
      <c r="K860" s="11">
        <v>178.07</v>
      </c>
    </row>
    <row r="861" spans="1:15" hidden="1" x14ac:dyDescent="0.25">
      <c r="C861" s="7" t="s">
        <v>48</v>
      </c>
      <c r="F861" s="11">
        <v>105.41</v>
      </c>
      <c r="G861" s="15" t="s">
        <v>96</v>
      </c>
      <c r="H861" s="14" t="s">
        <v>50</v>
      </c>
      <c r="I861" s="11">
        <v>14.76</v>
      </c>
      <c r="J861" s="13">
        <v>3.9</v>
      </c>
      <c r="K861" s="11">
        <v>57.56</v>
      </c>
    </row>
    <row r="862" spans="1:15" hidden="1" x14ac:dyDescent="0.25">
      <c r="C862" s="7" t="s">
        <v>51</v>
      </c>
      <c r="D862" s="11" t="s">
        <v>52</v>
      </c>
      <c r="E862" s="14">
        <v>109</v>
      </c>
      <c r="I862" s="11">
        <v>182.9</v>
      </c>
      <c r="J862" s="14">
        <v>109</v>
      </c>
      <c r="K862" s="11">
        <v>10306.530000000001</v>
      </c>
    </row>
    <row r="863" spans="1:15" hidden="1" x14ac:dyDescent="0.25">
      <c r="C863" s="7" t="s">
        <v>53</v>
      </c>
      <c r="D863" s="11" t="s">
        <v>52</v>
      </c>
      <c r="E863" s="14">
        <v>61</v>
      </c>
      <c r="I863" s="11">
        <v>102.36</v>
      </c>
      <c r="J863" s="14">
        <v>61</v>
      </c>
      <c r="K863" s="11">
        <v>5767.87</v>
      </c>
    </row>
    <row r="864" spans="1:15" ht="26.25" hidden="1" x14ac:dyDescent="0.25">
      <c r="C864" s="7" t="s">
        <v>54</v>
      </c>
      <c r="D864" s="11" t="s">
        <v>55</v>
      </c>
      <c r="E864" s="13">
        <v>64.16</v>
      </c>
      <c r="G864" s="15" t="s">
        <v>44</v>
      </c>
      <c r="H864" s="13">
        <v>1.0669999999999999</v>
      </c>
      <c r="I864" s="12">
        <v>13.887535939199999</v>
      </c>
    </row>
    <row r="865" spans="1:11" hidden="1" x14ac:dyDescent="0.25">
      <c r="A865" s="51"/>
      <c r="B865" s="51"/>
      <c r="C865" s="51" t="s">
        <v>56</v>
      </c>
      <c r="D865" s="51"/>
      <c r="E865" s="51"/>
      <c r="F865" s="51"/>
      <c r="G865" s="51"/>
      <c r="H865" s="149">
        <v>493.87</v>
      </c>
      <c r="I865" s="150"/>
      <c r="J865" s="149">
        <v>25848.74</v>
      </c>
      <c r="K865" s="150"/>
    </row>
    <row r="866" spans="1:11" hidden="1" x14ac:dyDescent="0.25">
      <c r="C866" s="10" t="s">
        <v>57</v>
      </c>
      <c r="H866" s="151">
        <v>0</v>
      </c>
      <c r="I866" s="133"/>
      <c r="J866" s="151">
        <v>0</v>
      </c>
      <c r="K866" s="133"/>
    </row>
    <row r="867" spans="1:11" hidden="1" x14ac:dyDescent="0.25">
      <c r="C867" s="10" t="s">
        <v>58</v>
      </c>
      <c r="H867" s="151">
        <v>493.87</v>
      </c>
      <c r="I867" s="133"/>
      <c r="J867" s="151">
        <v>25848.74</v>
      </c>
      <c r="K867" s="133"/>
    </row>
    <row r="868" spans="1:11" hidden="1" x14ac:dyDescent="0.25"/>
    <row r="869" spans="1:11" ht="102.75" hidden="1" x14ac:dyDescent="0.25">
      <c r="A869" s="6">
        <v>159</v>
      </c>
      <c r="B869" s="4" t="s">
        <v>456</v>
      </c>
      <c r="C869" s="8" t="s">
        <v>457</v>
      </c>
      <c r="D869" s="16" t="s">
        <v>199</v>
      </c>
      <c r="E869" s="14">
        <v>14</v>
      </c>
      <c r="F869" s="11">
        <v>102.58</v>
      </c>
      <c r="H869" s="14" t="s">
        <v>50</v>
      </c>
      <c r="I869" s="11">
        <v>1436.12</v>
      </c>
      <c r="J869" s="13">
        <v>12.61</v>
      </c>
      <c r="K869" s="11">
        <v>18109.47</v>
      </c>
    </row>
    <row r="870" spans="1:11" hidden="1" x14ac:dyDescent="0.25">
      <c r="C870" s="10" t="s">
        <v>58</v>
      </c>
      <c r="H870" s="151">
        <v>1436.12</v>
      </c>
      <c r="I870" s="133"/>
      <c r="J870" s="151">
        <v>18109.47</v>
      </c>
      <c r="K870" s="133"/>
    </row>
    <row r="871" spans="1:11" hidden="1" x14ac:dyDescent="0.25"/>
    <row r="872" spans="1:11" ht="242.25" hidden="1" x14ac:dyDescent="0.25">
      <c r="A872" s="6">
        <v>160</v>
      </c>
      <c r="B872" s="4" t="s">
        <v>458</v>
      </c>
      <c r="C872" s="8" t="s">
        <v>459</v>
      </c>
      <c r="D872" s="16" t="s">
        <v>194</v>
      </c>
      <c r="E872" s="13">
        <v>1.95</v>
      </c>
    </row>
    <row r="873" spans="1:11" ht="38.25" hidden="1" x14ac:dyDescent="0.25">
      <c r="C873" s="9" t="s">
        <v>460</v>
      </c>
    </row>
    <row r="874" spans="1:11" ht="26.25" hidden="1" x14ac:dyDescent="0.25">
      <c r="C874" s="5" t="s">
        <v>43</v>
      </c>
      <c r="F874" s="11">
        <v>513.19000000000005</v>
      </c>
      <c r="G874" s="15" t="s">
        <v>44</v>
      </c>
      <c r="H874" s="13">
        <v>1.0669999999999999</v>
      </c>
      <c r="I874" s="11">
        <v>1547.2</v>
      </c>
      <c r="J874" s="13">
        <v>56.35</v>
      </c>
      <c r="K874" s="11">
        <v>87184.72</v>
      </c>
    </row>
    <row r="875" spans="1:11" ht="26.25" hidden="1" x14ac:dyDescent="0.25">
      <c r="C875" s="7" t="s">
        <v>45</v>
      </c>
      <c r="F875" s="11">
        <v>111.72</v>
      </c>
      <c r="G875" s="15" t="s">
        <v>46</v>
      </c>
      <c r="H875" s="13">
        <v>1.0669999999999999</v>
      </c>
      <c r="I875" s="11">
        <v>366.11</v>
      </c>
      <c r="J875" s="13">
        <v>15.08</v>
      </c>
      <c r="K875" s="11">
        <v>5520.94</v>
      </c>
    </row>
    <row r="876" spans="1:11" ht="26.25" hidden="1" x14ac:dyDescent="0.25">
      <c r="C876" s="7" t="s">
        <v>47</v>
      </c>
      <c r="F876" s="11">
        <v>12.16</v>
      </c>
      <c r="G876" s="15" t="s">
        <v>46</v>
      </c>
      <c r="H876" s="13">
        <v>1.0669999999999999</v>
      </c>
      <c r="I876" s="11">
        <v>39.85</v>
      </c>
      <c r="J876" s="13">
        <v>56.35</v>
      </c>
      <c r="K876" s="11">
        <v>2245.5500000000002</v>
      </c>
    </row>
    <row r="877" spans="1:11" hidden="1" x14ac:dyDescent="0.25">
      <c r="C877" s="7" t="s">
        <v>48</v>
      </c>
      <c r="F877" s="11">
        <v>50.76</v>
      </c>
      <c r="G877" s="15" t="s">
        <v>96</v>
      </c>
      <c r="H877" s="14" t="s">
        <v>50</v>
      </c>
      <c r="I877" s="11">
        <v>98.98</v>
      </c>
      <c r="J877" s="13">
        <v>3.79</v>
      </c>
      <c r="K877" s="11">
        <v>375.13</v>
      </c>
    </row>
    <row r="878" spans="1:11" hidden="1" x14ac:dyDescent="0.25">
      <c r="C878" s="7" t="s">
        <v>51</v>
      </c>
      <c r="D878" s="11" t="s">
        <v>52</v>
      </c>
      <c r="E878" s="14">
        <v>109</v>
      </c>
      <c r="I878" s="11">
        <v>1729.88</v>
      </c>
      <c r="J878" s="14">
        <v>109</v>
      </c>
      <c r="K878" s="11">
        <v>97478.99</v>
      </c>
    </row>
    <row r="879" spans="1:11" hidden="1" x14ac:dyDescent="0.25">
      <c r="C879" s="7" t="s">
        <v>53</v>
      </c>
      <c r="D879" s="11" t="s">
        <v>52</v>
      </c>
      <c r="E879" s="14">
        <v>61</v>
      </c>
      <c r="I879" s="11">
        <v>968.1</v>
      </c>
      <c r="J879" s="14">
        <v>61</v>
      </c>
      <c r="K879" s="11">
        <v>54552.46</v>
      </c>
    </row>
    <row r="880" spans="1:11" ht="26.25" hidden="1" x14ac:dyDescent="0.25">
      <c r="C880" s="7" t="s">
        <v>54</v>
      </c>
      <c r="D880" s="11" t="s">
        <v>55</v>
      </c>
      <c r="E880" s="13">
        <v>43.57</v>
      </c>
      <c r="G880" s="15" t="s">
        <v>44</v>
      </c>
      <c r="H880" s="13">
        <v>1.0669999999999999</v>
      </c>
      <c r="I880" s="12">
        <v>131.35753080449999</v>
      </c>
    </row>
    <row r="881" spans="1:11" hidden="1" x14ac:dyDescent="0.25">
      <c r="A881" s="52"/>
      <c r="B881" s="52"/>
      <c r="C881" s="52" t="s">
        <v>56</v>
      </c>
      <c r="D881" s="52"/>
      <c r="E881" s="52"/>
      <c r="F881" s="52"/>
      <c r="G881" s="52"/>
      <c r="H881" s="149">
        <v>4710.2700000000004</v>
      </c>
      <c r="I881" s="150"/>
      <c r="J881" s="149">
        <v>245112.24</v>
      </c>
      <c r="K881" s="150"/>
    </row>
    <row r="882" spans="1:11" hidden="1" x14ac:dyDescent="0.25">
      <c r="C882" s="10" t="s">
        <v>57</v>
      </c>
      <c r="H882" s="151">
        <v>0</v>
      </c>
      <c r="I882" s="133"/>
      <c r="J882" s="151">
        <v>0</v>
      </c>
      <c r="K882" s="133"/>
    </row>
    <row r="883" spans="1:11" hidden="1" x14ac:dyDescent="0.25">
      <c r="C883" s="10" t="s">
        <v>58</v>
      </c>
      <c r="H883" s="151">
        <v>4710.2700000000004</v>
      </c>
      <c r="I883" s="133"/>
      <c r="J883" s="151">
        <v>245112.24</v>
      </c>
      <c r="K883" s="133"/>
    </row>
    <row r="884" spans="1:11" hidden="1" x14ac:dyDescent="0.25"/>
    <row r="885" spans="1:11" ht="102.75" hidden="1" x14ac:dyDescent="0.25">
      <c r="A885" s="6">
        <v>161</v>
      </c>
      <c r="B885" s="4" t="s">
        <v>456</v>
      </c>
      <c r="C885" s="8" t="s">
        <v>457</v>
      </c>
      <c r="D885" s="16" t="s">
        <v>199</v>
      </c>
      <c r="E885" s="13">
        <v>1.95</v>
      </c>
      <c r="F885" s="11">
        <v>102.58</v>
      </c>
      <c r="H885" s="14" t="s">
        <v>50</v>
      </c>
      <c r="I885" s="11">
        <v>200.03</v>
      </c>
      <c r="J885" s="13">
        <v>12.61</v>
      </c>
      <c r="K885" s="11">
        <v>2522.38</v>
      </c>
    </row>
    <row r="886" spans="1:11" ht="38.25" hidden="1" x14ac:dyDescent="0.25">
      <c r="C886" s="9" t="s">
        <v>461</v>
      </c>
    </row>
    <row r="887" spans="1:11" hidden="1" x14ac:dyDescent="0.25">
      <c r="C887" s="10" t="s">
        <v>58</v>
      </c>
      <c r="H887" s="151">
        <v>200.03</v>
      </c>
      <c r="I887" s="133"/>
      <c r="J887" s="151">
        <v>2522.38</v>
      </c>
      <c r="K887" s="133"/>
    </row>
    <row r="888" spans="1:11" hidden="1" x14ac:dyDescent="0.25"/>
    <row r="889" spans="1:11" ht="242.25" hidden="1" x14ac:dyDescent="0.25">
      <c r="A889" s="6">
        <v>162</v>
      </c>
      <c r="B889" s="4" t="s">
        <v>462</v>
      </c>
      <c r="C889" s="8" t="s">
        <v>463</v>
      </c>
      <c r="D889" s="16" t="s">
        <v>194</v>
      </c>
      <c r="E889" s="13">
        <v>4.68</v>
      </c>
    </row>
    <row r="890" spans="1:11" ht="51" hidden="1" x14ac:dyDescent="0.25">
      <c r="C890" s="9" t="s">
        <v>464</v>
      </c>
    </row>
    <row r="891" spans="1:11" ht="26.25" hidden="1" x14ac:dyDescent="0.25">
      <c r="C891" s="5" t="s">
        <v>43</v>
      </c>
      <c r="F891" s="11">
        <v>397.61</v>
      </c>
      <c r="G891" s="15" t="s">
        <v>44</v>
      </c>
      <c r="H891" s="13">
        <v>1.0669999999999999</v>
      </c>
      <c r="I891" s="11">
        <v>2876.97</v>
      </c>
      <c r="J891" s="13">
        <v>56.35</v>
      </c>
      <c r="K891" s="11">
        <v>162117.26</v>
      </c>
    </row>
    <row r="892" spans="1:11" ht="26.25" hidden="1" x14ac:dyDescent="0.25">
      <c r="C892" s="7" t="s">
        <v>45</v>
      </c>
      <c r="F892" s="11">
        <v>111.07</v>
      </c>
      <c r="G892" s="15" t="s">
        <v>46</v>
      </c>
      <c r="H892" s="13">
        <v>1.0669999999999999</v>
      </c>
      <c r="I892" s="11">
        <v>873.55</v>
      </c>
      <c r="J892" s="13">
        <v>15.11</v>
      </c>
      <c r="K892" s="11">
        <v>13199.34</v>
      </c>
    </row>
    <row r="893" spans="1:11" ht="26.25" hidden="1" x14ac:dyDescent="0.25">
      <c r="C893" s="7" t="s">
        <v>47</v>
      </c>
      <c r="F893" s="11">
        <v>12.16</v>
      </c>
      <c r="G893" s="15" t="s">
        <v>46</v>
      </c>
      <c r="H893" s="13">
        <v>1.0669999999999999</v>
      </c>
      <c r="I893" s="11">
        <v>95.64</v>
      </c>
      <c r="J893" s="13">
        <v>56.35</v>
      </c>
      <c r="K893" s="11">
        <v>5389.31</v>
      </c>
    </row>
    <row r="894" spans="1:11" hidden="1" x14ac:dyDescent="0.25">
      <c r="C894" s="7" t="s">
        <v>48</v>
      </c>
      <c r="F894" s="11">
        <v>45.18</v>
      </c>
      <c r="G894" s="15" t="s">
        <v>96</v>
      </c>
      <c r="H894" s="14" t="s">
        <v>50</v>
      </c>
      <c r="I894" s="11">
        <v>211.44</v>
      </c>
      <c r="J894" s="13">
        <v>3.72</v>
      </c>
      <c r="K894" s="11">
        <v>786.56</v>
      </c>
    </row>
    <row r="895" spans="1:11" hidden="1" x14ac:dyDescent="0.25">
      <c r="C895" s="7" t="s">
        <v>51</v>
      </c>
      <c r="D895" s="11" t="s">
        <v>52</v>
      </c>
      <c r="E895" s="14">
        <v>109</v>
      </c>
      <c r="I895" s="11">
        <v>3240.14</v>
      </c>
      <c r="J895" s="14">
        <v>109</v>
      </c>
      <c r="K895" s="11">
        <v>182582.16</v>
      </c>
    </row>
    <row r="896" spans="1:11" hidden="1" x14ac:dyDescent="0.25">
      <c r="C896" s="7" t="s">
        <v>53</v>
      </c>
      <c r="D896" s="11" t="s">
        <v>52</v>
      </c>
      <c r="E896" s="14">
        <v>61</v>
      </c>
      <c r="I896" s="11">
        <v>1813.29</v>
      </c>
      <c r="J896" s="14">
        <v>61</v>
      </c>
      <c r="K896" s="11">
        <v>102179.01</v>
      </c>
    </row>
    <row r="897" spans="1:11" ht="26.25" hidden="1" x14ac:dyDescent="0.25">
      <c r="C897" s="7" t="s">
        <v>54</v>
      </c>
      <c r="D897" s="11" t="s">
        <v>55</v>
      </c>
      <c r="E897" s="13">
        <v>33.869999999999997</v>
      </c>
      <c r="G897" s="15" t="s">
        <v>44</v>
      </c>
      <c r="H897" s="13">
        <v>1.0669999999999999</v>
      </c>
      <c r="I897" s="12">
        <v>245.07209006279999</v>
      </c>
    </row>
    <row r="898" spans="1:11" hidden="1" x14ac:dyDescent="0.25">
      <c r="A898" s="53"/>
      <c r="B898" s="53"/>
      <c r="C898" s="53" t="s">
        <v>56</v>
      </c>
      <c r="D898" s="53"/>
      <c r="E898" s="53"/>
      <c r="F898" s="53"/>
      <c r="G898" s="53"/>
      <c r="H898" s="149">
        <v>9015.39</v>
      </c>
      <c r="I898" s="150"/>
      <c r="J898" s="149">
        <v>460864.33</v>
      </c>
      <c r="K898" s="150"/>
    </row>
    <row r="899" spans="1:11" hidden="1" x14ac:dyDescent="0.25">
      <c r="C899" s="10" t="s">
        <v>57</v>
      </c>
      <c r="H899" s="151">
        <v>0</v>
      </c>
      <c r="I899" s="133"/>
      <c r="J899" s="151">
        <v>0</v>
      </c>
      <c r="K899" s="133"/>
    </row>
    <row r="900" spans="1:11" hidden="1" x14ac:dyDescent="0.25">
      <c r="C900" s="10" t="s">
        <v>58</v>
      </c>
      <c r="H900" s="151">
        <v>9015.39</v>
      </c>
      <c r="I900" s="133"/>
      <c r="J900" s="151">
        <v>460864.33</v>
      </c>
      <c r="K900" s="133"/>
    </row>
    <row r="901" spans="1:11" hidden="1" x14ac:dyDescent="0.25"/>
    <row r="902" spans="1:11" ht="102.75" hidden="1" x14ac:dyDescent="0.25">
      <c r="A902" s="6">
        <v>163</v>
      </c>
      <c r="B902" s="4" t="s">
        <v>456</v>
      </c>
      <c r="C902" s="8" t="s">
        <v>457</v>
      </c>
      <c r="D902" s="16" t="s">
        <v>199</v>
      </c>
      <c r="E902" s="14">
        <v>468</v>
      </c>
      <c r="F902" s="11">
        <v>102.58</v>
      </c>
      <c r="H902" s="14" t="s">
        <v>50</v>
      </c>
      <c r="I902" s="11">
        <v>48007.44</v>
      </c>
      <c r="J902" s="13">
        <v>12.61</v>
      </c>
      <c r="K902" s="11">
        <v>605373.81999999995</v>
      </c>
    </row>
    <row r="903" spans="1:11" hidden="1" x14ac:dyDescent="0.25">
      <c r="C903" s="10" t="s">
        <v>58</v>
      </c>
      <c r="H903" s="151">
        <v>48007.44</v>
      </c>
      <c r="I903" s="133"/>
      <c r="J903" s="151">
        <v>605373.81999999995</v>
      </c>
      <c r="K903" s="133"/>
    </row>
    <row r="904" spans="1:11" hidden="1" x14ac:dyDescent="0.25"/>
    <row r="905" spans="1:11" ht="242.25" hidden="1" x14ac:dyDescent="0.25">
      <c r="A905" s="6">
        <v>164</v>
      </c>
      <c r="B905" s="4" t="s">
        <v>465</v>
      </c>
      <c r="C905" s="8" t="s">
        <v>466</v>
      </c>
      <c r="D905" s="16" t="s">
        <v>194</v>
      </c>
      <c r="E905" s="13">
        <v>0.04</v>
      </c>
    </row>
    <row r="906" spans="1:11" ht="38.25" hidden="1" x14ac:dyDescent="0.25">
      <c r="C906" s="9" t="s">
        <v>467</v>
      </c>
    </row>
    <row r="907" spans="1:11" ht="26.25" hidden="1" x14ac:dyDescent="0.25">
      <c r="C907" s="5" t="s">
        <v>43</v>
      </c>
      <c r="F907" s="11">
        <v>254.35</v>
      </c>
      <c r="G907" s="15" t="s">
        <v>44</v>
      </c>
      <c r="H907" s="13">
        <v>1.0669999999999999</v>
      </c>
      <c r="I907" s="11">
        <v>15.73</v>
      </c>
      <c r="J907" s="13">
        <v>56.35</v>
      </c>
      <c r="K907" s="11">
        <v>886.39</v>
      </c>
    </row>
    <row r="908" spans="1:11" ht="26.25" hidden="1" x14ac:dyDescent="0.25">
      <c r="C908" s="7" t="s">
        <v>45</v>
      </c>
      <c r="F908" s="11">
        <v>107.82</v>
      </c>
      <c r="G908" s="15" t="s">
        <v>46</v>
      </c>
      <c r="H908" s="13">
        <v>1.0669999999999999</v>
      </c>
      <c r="I908" s="11">
        <v>7.25</v>
      </c>
      <c r="J908" s="13">
        <v>15.1</v>
      </c>
      <c r="K908" s="11">
        <v>109.48</v>
      </c>
    </row>
    <row r="909" spans="1:11" ht="26.25" hidden="1" x14ac:dyDescent="0.25">
      <c r="C909" s="7" t="s">
        <v>47</v>
      </c>
      <c r="F909" s="11">
        <v>11.78</v>
      </c>
      <c r="G909" s="15" t="s">
        <v>46</v>
      </c>
      <c r="H909" s="13">
        <v>1.0669999999999999</v>
      </c>
      <c r="I909" s="11">
        <v>0.79</v>
      </c>
      <c r="J909" s="13">
        <v>56.35</v>
      </c>
      <c r="K909" s="11">
        <v>44.52</v>
      </c>
    </row>
    <row r="910" spans="1:11" hidden="1" x14ac:dyDescent="0.25">
      <c r="C910" s="7" t="s">
        <v>48</v>
      </c>
      <c r="F910" s="11">
        <v>25.93</v>
      </c>
      <c r="G910" s="15" t="s">
        <v>96</v>
      </c>
      <c r="H910" s="14" t="s">
        <v>50</v>
      </c>
      <c r="I910" s="11">
        <v>1.04</v>
      </c>
      <c r="J910" s="13">
        <v>3.58</v>
      </c>
      <c r="K910" s="11">
        <v>3.72</v>
      </c>
    </row>
    <row r="911" spans="1:11" hidden="1" x14ac:dyDescent="0.25">
      <c r="C911" s="7" t="s">
        <v>51</v>
      </c>
      <c r="D911" s="11" t="s">
        <v>52</v>
      </c>
      <c r="E911" s="14">
        <v>109</v>
      </c>
      <c r="I911" s="11">
        <v>18.010000000000002</v>
      </c>
      <c r="J911" s="14">
        <v>109</v>
      </c>
      <c r="K911" s="11">
        <v>1014.69</v>
      </c>
    </row>
    <row r="912" spans="1:11" hidden="1" x14ac:dyDescent="0.25">
      <c r="C912" s="7" t="s">
        <v>53</v>
      </c>
      <c r="D912" s="11" t="s">
        <v>52</v>
      </c>
      <c r="E912" s="14">
        <v>61</v>
      </c>
      <c r="I912" s="11">
        <v>10.08</v>
      </c>
      <c r="J912" s="14">
        <v>61</v>
      </c>
      <c r="K912" s="11">
        <v>567.86</v>
      </c>
    </row>
    <row r="913" spans="1:11" ht="26.25" hidden="1" x14ac:dyDescent="0.25">
      <c r="C913" s="7" t="s">
        <v>54</v>
      </c>
      <c r="D913" s="11" t="s">
        <v>55</v>
      </c>
      <c r="E913" s="13">
        <v>21.88</v>
      </c>
      <c r="G913" s="15" t="s">
        <v>44</v>
      </c>
      <c r="H913" s="13">
        <v>1.0669999999999999</v>
      </c>
      <c r="I913" s="12">
        <v>1.3531318416</v>
      </c>
    </row>
    <row r="914" spans="1:11" hidden="1" x14ac:dyDescent="0.25">
      <c r="A914" s="54"/>
      <c r="B914" s="54"/>
      <c r="C914" s="54" t="s">
        <v>56</v>
      </c>
      <c r="D914" s="54"/>
      <c r="E914" s="54"/>
      <c r="F914" s="54"/>
      <c r="G914" s="54"/>
      <c r="H914" s="149">
        <v>52.11</v>
      </c>
      <c r="I914" s="150"/>
      <c r="J914" s="149">
        <v>2582.14</v>
      </c>
      <c r="K914" s="150"/>
    </row>
    <row r="915" spans="1:11" hidden="1" x14ac:dyDescent="0.25">
      <c r="C915" s="10" t="s">
        <v>57</v>
      </c>
      <c r="H915" s="151">
        <v>0</v>
      </c>
      <c r="I915" s="133"/>
      <c r="J915" s="151">
        <v>0</v>
      </c>
      <c r="K915" s="133"/>
    </row>
    <row r="916" spans="1:11" hidden="1" x14ac:dyDescent="0.25">
      <c r="C916" s="10" t="s">
        <v>58</v>
      </c>
      <c r="H916" s="151">
        <v>52.11</v>
      </c>
      <c r="I916" s="133"/>
      <c r="J916" s="151">
        <v>2582.14</v>
      </c>
      <c r="K916" s="133"/>
    </row>
    <row r="917" spans="1:11" hidden="1" x14ac:dyDescent="0.25"/>
    <row r="918" spans="1:11" ht="102.75" hidden="1" x14ac:dyDescent="0.25">
      <c r="A918" s="6">
        <v>165</v>
      </c>
      <c r="B918" s="4" t="s">
        <v>456</v>
      </c>
      <c r="C918" s="8" t="s">
        <v>457</v>
      </c>
      <c r="D918" s="16" t="s">
        <v>199</v>
      </c>
      <c r="E918" s="14">
        <v>4</v>
      </c>
      <c r="F918" s="11">
        <v>102.58</v>
      </c>
      <c r="H918" s="14" t="s">
        <v>50</v>
      </c>
      <c r="I918" s="11">
        <v>410.32</v>
      </c>
      <c r="J918" s="13">
        <v>12.61</v>
      </c>
      <c r="K918" s="11">
        <v>5174.1400000000003</v>
      </c>
    </row>
    <row r="919" spans="1:11" hidden="1" x14ac:dyDescent="0.25">
      <c r="C919" s="10" t="s">
        <v>58</v>
      </c>
      <c r="H919" s="151">
        <v>410.32</v>
      </c>
      <c r="I919" s="133"/>
      <c r="J919" s="151">
        <v>5174.1400000000003</v>
      </c>
      <c r="K919" s="133"/>
    </row>
    <row r="920" spans="1:11" hidden="1" x14ac:dyDescent="0.25"/>
    <row r="921" spans="1:11" ht="242.25" hidden="1" x14ac:dyDescent="0.25">
      <c r="A921" s="6">
        <v>166</v>
      </c>
      <c r="B921" s="4" t="s">
        <v>468</v>
      </c>
      <c r="C921" s="8" t="s">
        <v>469</v>
      </c>
      <c r="D921" s="16" t="s">
        <v>194</v>
      </c>
      <c r="E921" s="13">
        <v>0.7</v>
      </c>
    </row>
    <row r="922" spans="1:11" ht="25.5" hidden="1" x14ac:dyDescent="0.25">
      <c r="C922" s="9" t="s">
        <v>470</v>
      </c>
    </row>
    <row r="923" spans="1:11" ht="26.25" hidden="1" x14ac:dyDescent="0.25">
      <c r="C923" s="5" t="s">
        <v>43</v>
      </c>
      <c r="F923" s="11">
        <v>208.51</v>
      </c>
      <c r="G923" s="15" t="s">
        <v>44</v>
      </c>
      <c r="H923" s="13">
        <v>1.0669999999999999</v>
      </c>
      <c r="I923" s="11">
        <v>225.66</v>
      </c>
      <c r="J923" s="13">
        <v>56.35</v>
      </c>
      <c r="K923" s="11">
        <v>12715.94</v>
      </c>
    </row>
    <row r="924" spans="1:11" ht="26.25" hidden="1" x14ac:dyDescent="0.25">
      <c r="C924" s="7" t="s">
        <v>45</v>
      </c>
      <c r="F924" s="11">
        <v>107.58</v>
      </c>
      <c r="G924" s="15" t="s">
        <v>46</v>
      </c>
      <c r="H924" s="13">
        <v>1.0669999999999999</v>
      </c>
      <c r="I924" s="11">
        <v>126.55</v>
      </c>
      <c r="J924" s="13">
        <v>15.11</v>
      </c>
      <c r="K924" s="11">
        <v>1912.17</v>
      </c>
    </row>
    <row r="925" spans="1:11" ht="26.25" hidden="1" x14ac:dyDescent="0.25">
      <c r="C925" s="7" t="s">
        <v>47</v>
      </c>
      <c r="F925" s="11">
        <v>11.78</v>
      </c>
      <c r="G925" s="15" t="s">
        <v>46</v>
      </c>
      <c r="H925" s="13">
        <v>1.0669999999999999</v>
      </c>
      <c r="I925" s="11">
        <v>13.86</v>
      </c>
      <c r="J925" s="13">
        <v>56.35</v>
      </c>
      <c r="K925" s="11">
        <v>781.01</v>
      </c>
    </row>
    <row r="926" spans="1:11" hidden="1" x14ac:dyDescent="0.25">
      <c r="C926" s="7" t="s">
        <v>48</v>
      </c>
      <c r="F926" s="11">
        <v>17.95</v>
      </c>
      <c r="G926" s="15" t="s">
        <v>96</v>
      </c>
      <c r="H926" s="14" t="s">
        <v>50</v>
      </c>
      <c r="I926" s="11">
        <v>12.57</v>
      </c>
      <c r="J926" s="13">
        <v>3.55</v>
      </c>
      <c r="K926" s="11">
        <v>44.62</v>
      </c>
    </row>
    <row r="927" spans="1:11" hidden="1" x14ac:dyDescent="0.25">
      <c r="C927" s="7" t="s">
        <v>51</v>
      </c>
      <c r="D927" s="11" t="s">
        <v>52</v>
      </c>
      <c r="E927" s="14">
        <v>109</v>
      </c>
      <c r="I927" s="11">
        <v>261.08</v>
      </c>
      <c r="J927" s="14">
        <v>109</v>
      </c>
      <c r="K927" s="11">
        <v>14711.68</v>
      </c>
    </row>
    <row r="928" spans="1:11" hidden="1" x14ac:dyDescent="0.25">
      <c r="C928" s="7" t="s">
        <v>53</v>
      </c>
      <c r="D928" s="11" t="s">
        <v>52</v>
      </c>
      <c r="E928" s="14">
        <v>61</v>
      </c>
      <c r="I928" s="11">
        <v>146.11000000000001</v>
      </c>
      <c r="J928" s="14">
        <v>61</v>
      </c>
      <c r="K928" s="11">
        <v>8233.14</v>
      </c>
    </row>
    <row r="929" spans="1:11" ht="26.25" hidden="1" x14ac:dyDescent="0.25">
      <c r="C929" s="7" t="s">
        <v>54</v>
      </c>
      <c r="D929" s="11" t="s">
        <v>55</v>
      </c>
      <c r="E929" s="13">
        <v>18.07</v>
      </c>
      <c r="G929" s="15" t="s">
        <v>44</v>
      </c>
      <c r="H929" s="13">
        <v>1.0669999999999999</v>
      </c>
      <c r="I929" s="12">
        <v>19.556403867</v>
      </c>
    </row>
    <row r="930" spans="1:11" hidden="1" x14ac:dyDescent="0.25">
      <c r="A930" s="55"/>
      <c r="B930" s="55"/>
      <c r="C930" s="55" t="s">
        <v>56</v>
      </c>
      <c r="D930" s="55"/>
      <c r="E930" s="55"/>
      <c r="F930" s="55"/>
      <c r="G930" s="55"/>
      <c r="H930" s="149">
        <v>771.97</v>
      </c>
      <c r="I930" s="150"/>
      <c r="J930" s="149">
        <v>37617.550000000003</v>
      </c>
      <c r="K930" s="150"/>
    </row>
    <row r="931" spans="1:11" hidden="1" x14ac:dyDescent="0.25">
      <c r="C931" s="10" t="s">
        <v>57</v>
      </c>
      <c r="H931" s="151">
        <v>0</v>
      </c>
      <c r="I931" s="133"/>
      <c r="J931" s="151">
        <v>0</v>
      </c>
      <c r="K931" s="133"/>
    </row>
    <row r="932" spans="1:11" hidden="1" x14ac:dyDescent="0.25">
      <c r="C932" s="10" t="s">
        <v>58</v>
      </c>
      <c r="H932" s="151">
        <v>771.97</v>
      </c>
      <c r="I932" s="133"/>
      <c r="J932" s="151">
        <v>37617.550000000003</v>
      </c>
      <c r="K932" s="133"/>
    </row>
    <row r="933" spans="1:11" hidden="1" x14ac:dyDescent="0.25"/>
    <row r="934" spans="1:11" ht="102.75" hidden="1" x14ac:dyDescent="0.25">
      <c r="A934" s="6">
        <v>167</v>
      </c>
      <c r="B934" s="4" t="s">
        <v>471</v>
      </c>
      <c r="C934" s="8" t="s">
        <v>472</v>
      </c>
      <c r="D934" s="16" t="s">
        <v>199</v>
      </c>
      <c r="E934" s="14">
        <v>70</v>
      </c>
      <c r="F934" s="11">
        <v>97.79</v>
      </c>
      <c r="H934" s="14" t="s">
        <v>50</v>
      </c>
      <c r="I934" s="11">
        <v>6845.3</v>
      </c>
      <c r="J934" s="13">
        <v>14.26</v>
      </c>
      <c r="K934" s="11">
        <v>97613.98</v>
      </c>
    </row>
    <row r="935" spans="1:11" hidden="1" x14ac:dyDescent="0.25">
      <c r="C935" s="10" t="s">
        <v>58</v>
      </c>
      <c r="H935" s="151">
        <v>6845.3</v>
      </c>
      <c r="I935" s="133"/>
      <c r="J935" s="151">
        <v>97613.98</v>
      </c>
      <c r="K935" s="133"/>
    </row>
    <row r="936" spans="1:11" hidden="1" x14ac:dyDescent="0.25"/>
    <row r="937" spans="1:11" ht="229.5" hidden="1" x14ac:dyDescent="0.25">
      <c r="A937" s="6">
        <v>168</v>
      </c>
      <c r="B937" s="4" t="s">
        <v>473</v>
      </c>
      <c r="C937" s="8" t="s">
        <v>474</v>
      </c>
      <c r="D937" s="16" t="s">
        <v>194</v>
      </c>
      <c r="E937" s="13">
        <v>0.2</v>
      </c>
    </row>
    <row r="938" spans="1:11" ht="25.5" hidden="1" x14ac:dyDescent="0.25">
      <c r="C938" s="9" t="s">
        <v>217</v>
      </c>
    </row>
    <row r="939" spans="1:11" ht="26.25" hidden="1" x14ac:dyDescent="0.25">
      <c r="C939" s="5" t="s">
        <v>43</v>
      </c>
      <c r="F939" s="11">
        <v>1502.57</v>
      </c>
      <c r="G939" s="15" t="s">
        <v>44</v>
      </c>
      <c r="H939" s="13">
        <v>1.0669999999999999</v>
      </c>
      <c r="I939" s="11">
        <v>464.62</v>
      </c>
      <c r="J939" s="13">
        <v>56.35</v>
      </c>
      <c r="K939" s="11">
        <v>26181.34</v>
      </c>
    </row>
    <row r="940" spans="1:11" ht="26.25" hidden="1" x14ac:dyDescent="0.25">
      <c r="C940" s="7" t="s">
        <v>45</v>
      </c>
      <c r="F940" s="11">
        <v>863.36</v>
      </c>
      <c r="G940" s="15" t="s">
        <v>46</v>
      </c>
      <c r="H940" s="13">
        <v>1.0669999999999999</v>
      </c>
      <c r="I940" s="11">
        <v>290.18</v>
      </c>
      <c r="J940" s="13">
        <v>26.32</v>
      </c>
      <c r="K940" s="11">
        <v>7637.54</v>
      </c>
    </row>
    <row r="941" spans="1:11" ht="26.25" hidden="1" x14ac:dyDescent="0.25">
      <c r="C941" s="7" t="s">
        <v>47</v>
      </c>
      <c r="F941" s="11">
        <v>281.72000000000003</v>
      </c>
      <c r="G941" s="15" t="s">
        <v>46</v>
      </c>
      <c r="H941" s="13">
        <v>1.0669999999999999</v>
      </c>
      <c r="I941" s="11">
        <v>94.69</v>
      </c>
      <c r="J941" s="13">
        <v>56.35</v>
      </c>
      <c r="K941" s="11">
        <v>5335.78</v>
      </c>
    </row>
    <row r="942" spans="1:11" hidden="1" x14ac:dyDescent="0.25">
      <c r="C942" s="7" t="s">
        <v>48</v>
      </c>
      <c r="F942" s="11">
        <v>662.88</v>
      </c>
      <c r="G942" s="15" t="s">
        <v>96</v>
      </c>
      <c r="H942" s="14" t="s">
        <v>50</v>
      </c>
      <c r="I942" s="11">
        <v>132.58000000000001</v>
      </c>
      <c r="J942" s="13">
        <v>5.39</v>
      </c>
      <c r="K942" s="11">
        <v>714.61</v>
      </c>
    </row>
    <row r="943" spans="1:11" hidden="1" x14ac:dyDescent="0.25">
      <c r="C943" s="7" t="s">
        <v>51</v>
      </c>
      <c r="D943" s="11" t="s">
        <v>52</v>
      </c>
      <c r="E943" s="14">
        <v>109</v>
      </c>
      <c r="I943" s="11">
        <v>609.65</v>
      </c>
      <c r="J943" s="14">
        <v>109</v>
      </c>
      <c r="K943" s="11">
        <v>34353.660000000003</v>
      </c>
    </row>
    <row r="944" spans="1:11" hidden="1" x14ac:dyDescent="0.25">
      <c r="C944" s="7" t="s">
        <v>53</v>
      </c>
      <c r="D944" s="11" t="s">
        <v>52</v>
      </c>
      <c r="E944" s="14">
        <v>61</v>
      </c>
      <c r="I944" s="11">
        <v>341.18</v>
      </c>
      <c r="J944" s="14">
        <v>61</v>
      </c>
      <c r="K944" s="11">
        <v>19225.439999999999</v>
      </c>
    </row>
    <row r="945" spans="1:11" ht="26.25" hidden="1" x14ac:dyDescent="0.25">
      <c r="C945" s="7" t="s">
        <v>54</v>
      </c>
      <c r="D945" s="11" t="s">
        <v>55</v>
      </c>
      <c r="E945" s="14">
        <v>131</v>
      </c>
      <c r="G945" s="15" t="s">
        <v>44</v>
      </c>
      <c r="H945" s="13">
        <v>1.0669999999999999</v>
      </c>
      <c r="I945" s="12">
        <v>40.507374599999999</v>
      </c>
    </row>
    <row r="946" spans="1:11" hidden="1" x14ac:dyDescent="0.25">
      <c r="A946" s="56"/>
      <c r="B946" s="56"/>
      <c r="C946" s="56" t="s">
        <v>56</v>
      </c>
      <c r="D946" s="56"/>
      <c r="E946" s="56"/>
      <c r="F946" s="56"/>
      <c r="G946" s="56"/>
      <c r="H946" s="149">
        <v>1838.21</v>
      </c>
      <c r="I946" s="150"/>
      <c r="J946" s="149">
        <v>88112.59</v>
      </c>
      <c r="K946" s="150"/>
    </row>
    <row r="947" spans="1:11" hidden="1" x14ac:dyDescent="0.25">
      <c r="C947" s="10" t="s">
        <v>57</v>
      </c>
      <c r="H947" s="151">
        <v>0</v>
      </c>
      <c r="I947" s="133"/>
      <c r="J947" s="151">
        <v>0</v>
      </c>
      <c r="K947" s="133"/>
    </row>
    <row r="948" spans="1:11" hidden="1" x14ac:dyDescent="0.25">
      <c r="C948" s="10" t="s">
        <v>58</v>
      </c>
      <c r="H948" s="151">
        <v>1838.21</v>
      </c>
      <c r="I948" s="133"/>
      <c r="J948" s="151">
        <v>88112.59</v>
      </c>
      <c r="K948" s="133"/>
    </row>
    <row r="949" spans="1:11" hidden="1" x14ac:dyDescent="0.25"/>
    <row r="950" spans="1:11" ht="115.5" hidden="1" x14ac:dyDescent="0.25">
      <c r="A950" s="6">
        <v>169</v>
      </c>
      <c r="B950" s="4" t="s">
        <v>475</v>
      </c>
      <c r="C950" s="8" t="s">
        <v>476</v>
      </c>
      <c r="D950" s="16" t="s">
        <v>199</v>
      </c>
      <c r="E950" s="14">
        <v>20</v>
      </c>
      <c r="F950" s="11">
        <v>104.91</v>
      </c>
      <c r="H950" s="14" t="s">
        <v>50</v>
      </c>
      <c r="I950" s="11">
        <v>2098.1999999999998</v>
      </c>
      <c r="J950" s="13">
        <v>18.38</v>
      </c>
      <c r="K950" s="11">
        <v>38564.92</v>
      </c>
    </row>
    <row r="951" spans="1:11" hidden="1" x14ac:dyDescent="0.25">
      <c r="C951" s="10" t="s">
        <v>58</v>
      </c>
      <c r="H951" s="151">
        <v>2098.1999999999998</v>
      </c>
      <c r="I951" s="133"/>
      <c r="J951" s="151">
        <v>38564.92</v>
      </c>
      <c r="K951" s="133"/>
    </row>
    <row r="952" spans="1:11" hidden="1" x14ac:dyDescent="0.25"/>
    <row r="953" spans="1:11" ht="229.5" hidden="1" x14ac:dyDescent="0.25">
      <c r="A953" s="6">
        <v>170</v>
      </c>
      <c r="B953" s="4" t="s">
        <v>477</v>
      </c>
      <c r="C953" s="8" t="s">
        <v>478</v>
      </c>
      <c r="D953" s="16" t="s">
        <v>194</v>
      </c>
      <c r="E953" s="13">
        <v>0.16</v>
      </c>
    </row>
    <row r="954" spans="1:11" ht="38.25" hidden="1" x14ac:dyDescent="0.25">
      <c r="C954" s="9" t="s">
        <v>479</v>
      </c>
    </row>
    <row r="955" spans="1:11" ht="26.25" hidden="1" x14ac:dyDescent="0.25">
      <c r="C955" s="5" t="s">
        <v>43</v>
      </c>
      <c r="F955" s="11">
        <v>1284.6400000000001</v>
      </c>
      <c r="G955" s="15" t="s">
        <v>44</v>
      </c>
      <c r="H955" s="13">
        <v>1.0669999999999999</v>
      </c>
      <c r="I955" s="11">
        <v>317.79000000000002</v>
      </c>
      <c r="J955" s="13">
        <v>56.35</v>
      </c>
      <c r="K955" s="11">
        <v>17907.47</v>
      </c>
    </row>
    <row r="956" spans="1:11" ht="26.25" hidden="1" x14ac:dyDescent="0.25">
      <c r="C956" s="7" t="s">
        <v>45</v>
      </c>
      <c r="F956" s="11">
        <v>670.85</v>
      </c>
      <c r="G956" s="15" t="s">
        <v>46</v>
      </c>
      <c r="H956" s="13">
        <v>1.0669999999999999</v>
      </c>
      <c r="I956" s="11">
        <v>180.38</v>
      </c>
      <c r="J956" s="13">
        <v>25.59</v>
      </c>
      <c r="K956" s="11">
        <v>4615.92</v>
      </c>
    </row>
    <row r="957" spans="1:11" ht="26.25" hidden="1" x14ac:dyDescent="0.25">
      <c r="C957" s="7" t="s">
        <v>47</v>
      </c>
      <c r="F957" s="11">
        <v>208.99</v>
      </c>
      <c r="G957" s="15" t="s">
        <v>46</v>
      </c>
      <c r="H957" s="13">
        <v>1.0669999999999999</v>
      </c>
      <c r="I957" s="11">
        <v>56.19</v>
      </c>
      <c r="J957" s="13">
        <v>56.35</v>
      </c>
      <c r="K957" s="11">
        <v>3166.31</v>
      </c>
    </row>
    <row r="958" spans="1:11" hidden="1" x14ac:dyDescent="0.25">
      <c r="C958" s="7" t="s">
        <v>48</v>
      </c>
      <c r="F958" s="11">
        <v>744.55</v>
      </c>
      <c r="G958" s="15" t="s">
        <v>96</v>
      </c>
      <c r="H958" s="14" t="s">
        <v>50</v>
      </c>
      <c r="I958" s="11">
        <v>119.13</v>
      </c>
      <c r="J958" s="13">
        <v>5.4</v>
      </c>
      <c r="K958" s="11">
        <v>643.29999999999995</v>
      </c>
    </row>
    <row r="959" spans="1:11" hidden="1" x14ac:dyDescent="0.25">
      <c r="C959" s="7" t="s">
        <v>51</v>
      </c>
      <c r="D959" s="11" t="s">
        <v>52</v>
      </c>
      <c r="E959" s="14">
        <v>109</v>
      </c>
      <c r="I959" s="11">
        <v>407.64</v>
      </c>
      <c r="J959" s="14">
        <v>109</v>
      </c>
      <c r="K959" s="11">
        <v>22970.42</v>
      </c>
    </row>
    <row r="960" spans="1:11" hidden="1" x14ac:dyDescent="0.25">
      <c r="C960" s="7" t="s">
        <v>53</v>
      </c>
      <c r="D960" s="11" t="s">
        <v>52</v>
      </c>
      <c r="E960" s="14">
        <v>61</v>
      </c>
      <c r="I960" s="11">
        <v>228.13</v>
      </c>
      <c r="J960" s="14">
        <v>61</v>
      </c>
      <c r="K960" s="11">
        <v>12855.01</v>
      </c>
    </row>
    <row r="961" spans="1:11" ht="26.25" hidden="1" x14ac:dyDescent="0.25">
      <c r="C961" s="7" t="s">
        <v>54</v>
      </c>
      <c r="D961" s="11" t="s">
        <v>55</v>
      </c>
      <c r="E961" s="14">
        <v>112</v>
      </c>
      <c r="G961" s="15" t="s">
        <v>44</v>
      </c>
      <c r="H961" s="13">
        <v>1.0669999999999999</v>
      </c>
      <c r="I961" s="12">
        <v>27.705807360000001</v>
      </c>
    </row>
    <row r="962" spans="1:11" hidden="1" x14ac:dyDescent="0.25">
      <c r="A962" s="57"/>
      <c r="B962" s="57"/>
      <c r="C962" s="57" t="s">
        <v>56</v>
      </c>
      <c r="D962" s="57"/>
      <c r="E962" s="57"/>
      <c r="F962" s="57"/>
      <c r="G962" s="57"/>
      <c r="H962" s="149">
        <v>1253.07</v>
      </c>
      <c r="I962" s="150"/>
      <c r="J962" s="149">
        <v>58992.12</v>
      </c>
      <c r="K962" s="150"/>
    </row>
    <row r="963" spans="1:11" hidden="1" x14ac:dyDescent="0.25">
      <c r="C963" s="10" t="s">
        <v>57</v>
      </c>
      <c r="H963" s="151">
        <v>0</v>
      </c>
      <c r="I963" s="133"/>
      <c r="J963" s="151">
        <v>0</v>
      </c>
      <c r="K963" s="133"/>
    </row>
    <row r="964" spans="1:11" hidden="1" x14ac:dyDescent="0.25">
      <c r="C964" s="10" t="s">
        <v>58</v>
      </c>
      <c r="H964" s="151">
        <v>1253.07</v>
      </c>
      <c r="I964" s="133"/>
      <c r="J964" s="151">
        <v>58992.12</v>
      </c>
      <c r="K964" s="133"/>
    </row>
    <row r="965" spans="1:11" hidden="1" x14ac:dyDescent="0.25"/>
    <row r="966" spans="1:11" ht="115.5" hidden="1" x14ac:dyDescent="0.25">
      <c r="A966" s="6">
        <v>171</v>
      </c>
      <c r="B966" s="4" t="s">
        <v>475</v>
      </c>
      <c r="C966" s="8" t="s">
        <v>476</v>
      </c>
      <c r="D966" s="16" t="s">
        <v>199</v>
      </c>
      <c r="E966" s="14">
        <v>16</v>
      </c>
      <c r="F966" s="11">
        <v>104.91</v>
      </c>
      <c r="H966" s="14" t="s">
        <v>50</v>
      </c>
      <c r="I966" s="11">
        <v>1678.56</v>
      </c>
      <c r="J966" s="13">
        <v>18.38</v>
      </c>
      <c r="K966" s="11">
        <v>30851.93</v>
      </c>
    </row>
    <row r="967" spans="1:11" hidden="1" x14ac:dyDescent="0.25">
      <c r="C967" s="10" t="s">
        <v>58</v>
      </c>
      <c r="H967" s="151">
        <v>1678.56</v>
      </c>
      <c r="I967" s="133"/>
      <c r="J967" s="151">
        <v>30851.93</v>
      </c>
      <c r="K967" s="133"/>
    </row>
    <row r="968" spans="1:11" hidden="1" x14ac:dyDescent="0.25"/>
    <row r="969" spans="1:11" ht="229.5" hidden="1" x14ac:dyDescent="0.25">
      <c r="A969" s="6">
        <v>172</v>
      </c>
      <c r="B969" s="4" t="s">
        <v>480</v>
      </c>
      <c r="C969" s="8" t="s">
        <v>481</v>
      </c>
      <c r="D969" s="16" t="s">
        <v>194</v>
      </c>
      <c r="E969" s="13">
        <v>0.18</v>
      </c>
    </row>
    <row r="970" spans="1:11" ht="38.25" hidden="1" x14ac:dyDescent="0.25">
      <c r="C970" s="9" t="s">
        <v>482</v>
      </c>
    </row>
    <row r="971" spans="1:11" ht="26.25" hidden="1" x14ac:dyDescent="0.25">
      <c r="C971" s="5" t="s">
        <v>43</v>
      </c>
      <c r="F971" s="11">
        <v>883.19</v>
      </c>
      <c r="G971" s="15" t="s">
        <v>44</v>
      </c>
      <c r="H971" s="13">
        <v>1.0669999999999999</v>
      </c>
      <c r="I971" s="11">
        <v>245.79</v>
      </c>
      <c r="J971" s="13">
        <v>56.35</v>
      </c>
      <c r="K971" s="11">
        <v>13850.27</v>
      </c>
    </row>
    <row r="972" spans="1:11" ht="26.25" hidden="1" x14ac:dyDescent="0.25">
      <c r="C972" s="7" t="s">
        <v>45</v>
      </c>
      <c r="F972" s="11">
        <v>689.28</v>
      </c>
      <c r="G972" s="15" t="s">
        <v>46</v>
      </c>
      <c r="H972" s="13">
        <v>1.0669999999999999</v>
      </c>
      <c r="I972" s="11">
        <v>208.5</v>
      </c>
      <c r="J972" s="13">
        <v>25.44</v>
      </c>
      <c r="K972" s="11">
        <v>5304.24</v>
      </c>
    </row>
    <row r="973" spans="1:11" ht="26.25" hidden="1" x14ac:dyDescent="0.25">
      <c r="C973" s="7" t="s">
        <v>47</v>
      </c>
      <c r="F973" s="11">
        <v>212.23</v>
      </c>
      <c r="G973" s="15" t="s">
        <v>46</v>
      </c>
      <c r="H973" s="13">
        <v>1.0669999999999999</v>
      </c>
      <c r="I973" s="11">
        <v>64.2</v>
      </c>
      <c r="J973" s="13">
        <v>56.35</v>
      </c>
      <c r="K973" s="11">
        <v>3617.67</v>
      </c>
    </row>
    <row r="974" spans="1:11" hidden="1" x14ac:dyDescent="0.25">
      <c r="C974" s="7" t="s">
        <v>48</v>
      </c>
      <c r="F974" s="11">
        <v>662.88</v>
      </c>
      <c r="G974" s="15" t="s">
        <v>96</v>
      </c>
      <c r="H974" s="14" t="s">
        <v>50</v>
      </c>
      <c r="I974" s="11">
        <v>119.32</v>
      </c>
      <c r="J974" s="13">
        <v>5.39</v>
      </c>
      <c r="K974" s="11">
        <v>643.13</v>
      </c>
    </row>
    <row r="975" spans="1:11" hidden="1" x14ac:dyDescent="0.25">
      <c r="C975" s="7" t="s">
        <v>51</v>
      </c>
      <c r="D975" s="11" t="s">
        <v>52</v>
      </c>
      <c r="E975" s="14">
        <v>109</v>
      </c>
      <c r="I975" s="11">
        <v>337.89</v>
      </c>
      <c r="J975" s="14">
        <v>109</v>
      </c>
      <c r="K975" s="11">
        <v>19040.05</v>
      </c>
    </row>
    <row r="976" spans="1:11" hidden="1" x14ac:dyDescent="0.25">
      <c r="C976" s="7" t="s">
        <v>53</v>
      </c>
      <c r="D976" s="11" t="s">
        <v>52</v>
      </c>
      <c r="E976" s="14">
        <v>61</v>
      </c>
      <c r="I976" s="11">
        <v>189.09</v>
      </c>
      <c r="J976" s="14">
        <v>61</v>
      </c>
      <c r="K976" s="11">
        <v>10655.44</v>
      </c>
    </row>
    <row r="977" spans="1:11" ht="26.25" hidden="1" x14ac:dyDescent="0.25">
      <c r="C977" s="7" t="s">
        <v>54</v>
      </c>
      <c r="D977" s="11" t="s">
        <v>55</v>
      </c>
      <c r="E977" s="14">
        <v>77</v>
      </c>
      <c r="G977" s="15" t="s">
        <v>44</v>
      </c>
      <c r="H977" s="13">
        <v>1.0669999999999999</v>
      </c>
      <c r="I977" s="12">
        <v>21.428710379999998</v>
      </c>
    </row>
    <row r="978" spans="1:11" hidden="1" x14ac:dyDescent="0.25">
      <c r="A978" s="58"/>
      <c r="B978" s="58"/>
      <c r="C978" s="58" t="s">
        <v>56</v>
      </c>
      <c r="D978" s="58"/>
      <c r="E978" s="58"/>
      <c r="F978" s="58"/>
      <c r="G978" s="58"/>
      <c r="H978" s="149">
        <v>1100.5899999999999</v>
      </c>
      <c r="I978" s="150"/>
      <c r="J978" s="149">
        <v>49493.13</v>
      </c>
      <c r="K978" s="150"/>
    </row>
    <row r="979" spans="1:11" hidden="1" x14ac:dyDescent="0.25">
      <c r="C979" s="10" t="s">
        <v>57</v>
      </c>
      <c r="H979" s="151">
        <v>0</v>
      </c>
      <c r="I979" s="133"/>
      <c r="J979" s="151">
        <v>0</v>
      </c>
      <c r="K979" s="133"/>
    </row>
    <row r="980" spans="1:11" hidden="1" x14ac:dyDescent="0.25">
      <c r="C980" s="10" t="s">
        <v>58</v>
      </c>
      <c r="H980" s="151">
        <v>1100.5899999999999</v>
      </c>
      <c r="I980" s="133"/>
      <c r="J980" s="151">
        <v>49493.13</v>
      </c>
      <c r="K980" s="133"/>
    </row>
    <row r="981" spans="1:11" hidden="1" x14ac:dyDescent="0.25"/>
    <row r="982" spans="1:11" ht="115.5" hidden="1" x14ac:dyDescent="0.25">
      <c r="A982" s="6">
        <v>173</v>
      </c>
      <c r="B982" s="4" t="s">
        <v>475</v>
      </c>
      <c r="C982" s="8" t="s">
        <v>476</v>
      </c>
      <c r="D982" s="16" t="s">
        <v>199</v>
      </c>
      <c r="E982" s="14">
        <v>18</v>
      </c>
      <c r="F982" s="11">
        <v>104.91</v>
      </c>
      <c r="H982" s="14" t="s">
        <v>50</v>
      </c>
      <c r="I982" s="11">
        <v>1888.38</v>
      </c>
      <c r="J982" s="13">
        <v>18.38</v>
      </c>
      <c r="K982" s="11">
        <v>34708.42</v>
      </c>
    </row>
    <row r="983" spans="1:11" hidden="1" x14ac:dyDescent="0.25">
      <c r="C983" s="10" t="s">
        <v>58</v>
      </c>
      <c r="H983" s="151">
        <v>1888.38</v>
      </c>
      <c r="I983" s="133"/>
      <c r="J983" s="151">
        <v>34708.42</v>
      </c>
      <c r="K983" s="133"/>
    </row>
    <row r="984" spans="1:11" hidden="1" x14ac:dyDescent="0.25"/>
    <row r="985" spans="1:11" ht="230.25" hidden="1" x14ac:dyDescent="0.25">
      <c r="A985" s="6">
        <v>174</v>
      </c>
      <c r="B985" s="4" t="s">
        <v>483</v>
      </c>
      <c r="C985" s="8" t="s">
        <v>484</v>
      </c>
      <c r="D985" s="16" t="s">
        <v>194</v>
      </c>
      <c r="E985" s="13">
        <v>0.03</v>
      </c>
    </row>
    <row r="986" spans="1:11" ht="38.25" hidden="1" x14ac:dyDescent="0.25">
      <c r="C986" s="9" t="s">
        <v>485</v>
      </c>
    </row>
    <row r="987" spans="1:11" ht="26.25" hidden="1" x14ac:dyDescent="0.25">
      <c r="C987" s="5" t="s">
        <v>43</v>
      </c>
      <c r="F987" s="11">
        <v>711.14</v>
      </c>
      <c r="G987" s="15" t="s">
        <v>44</v>
      </c>
      <c r="H987" s="13">
        <v>1.0669999999999999</v>
      </c>
      <c r="I987" s="11">
        <v>32.979999999999997</v>
      </c>
      <c r="J987" s="13">
        <v>56.35</v>
      </c>
      <c r="K987" s="11">
        <v>1858.42</v>
      </c>
    </row>
    <row r="988" spans="1:11" ht="26.25" hidden="1" x14ac:dyDescent="0.25">
      <c r="C988" s="7" t="s">
        <v>45</v>
      </c>
      <c r="F988" s="11">
        <v>388.53</v>
      </c>
      <c r="G988" s="15" t="s">
        <v>46</v>
      </c>
      <c r="H988" s="13">
        <v>1.0669999999999999</v>
      </c>
      <c r="I988" s="11">
        <v>19.59</v>
      </c>
      <c r="J988" s="13">
        <v>23.49</v>
      </c>
      <c r="K988" s="11">
        <v>460.17</v>
      </c>
    </row>
    <row r="989" spans="1:11" ht="26.25" hidden="1" x14ac:dyDescent="0.25">
      <c r="C989" s="7" t="s">
        <v>47</v>
      </c>
      <c r="F989" s="11">
        <v>105.17</v>
      </c>
      <c r="G989" s="15" t="s">
        <v>46</v>
      </c>
      <c r="H989" s="13">
        <v>1.0669999999999999</v>
      </c>
      <c r="I989" s="11">
        <v>5.3</v>
      </c>
      <c r="J989" s="13">
        <v>56.35</v>
      </c>
      <c r="K989" s="11">
        <v>298.66000000000003</v>
      </c>
    </row>
    <row r="990" spans="1:11" hidden="1" x14ac:dyDescent="0.25">
      <c r="C990" s="7" t="s">
        <v>48</v>
      </c>
      <c r="F990" s="11">
        <v>516.07000000000005</v>
      </c>
      <c r="G990" s="15" t="s">
        <v>96</v>
      </c>
      <c r="H990" s="14" t="s">
        <v>50</v>
      </c>
      <c r="I990" s="11">
        <v>15.48</v>
      </c>
      <c r="J990" s="13">
        <v>5.63</v>
      </c>
      <c r="K990" s="11">
        <v>87.15</v>
      </c>
    </row>
    <row r="991" spans="1:11" hidden="1" x14ac:dyDescent="0.25">
      <c r="C991" s="7" t="s">
        <v>51</v>
      </c>
      <c r="D991" s="11" t="s">
        <v>52</v>
      </c>
      <c r="E991" s="14">
        <v>109</v>
      </c>
      <c r="I991" s="11">
        <v>41.73</v>
      </c>
      <c r="J991" s="14">
        <v>109</v>
      </c>
      <c r="K991" s="11">
        <v>2351.2199999999998</v>
      </c>
    </row>
    <row r="992" spans="1:11" hidden="1" x14ac:dyDescent="0.25">
      <c r="C992" s="7" t="s">
        <v>53</v>
      </c>
      <c r="D992" s="11" t="s">
        <v>52</v>
      </c>
      <c r="E992" s="14">
        <v>61</v>
      </c>
      <c r="I992" s="11">
        <v>23.35</v>
      </c>
      <c r="J992" s="14">
        <v>61</v>
      </c>
      <c r="K992" s="11">
        <v>1315.82</v>
      </c>
    </row>
    <row r="993" spans="1:11" ht="26.25" hidden="1" x14ac:dyDescent="0.25">
      <c r="C993" s="7" t="s">
        <v>54</v>
      </c>
      <c r="D993" s="11" t="s">
        <v>55</v>
      </c>
      <c r="E993" s="14">
        <v>62</v>
      </c>
      <c r="G993" s="15" t="s">
        <v>44</v>
      </c>
      <c r="H993" s="13">
        <v>1.0669999999999999</v>
      </c>
      <c r="I993" s="12">
        <v>2.8757143799999998</v>
      </c>
    </row>
    <row r="994" spans="1:11" hidden="1" x14ac:dyDescent="0.25">
      <c r="A994" s="59"/>
      <c r="B994" s="59"/>
      <c r="C994" s="59" t="s">
        <v>56</v>
      </c>
      <c r="D994" s="59"/>
      <c r="E994" s="59"/>
      <c r="F994" s="59"/>
      <c r="G994" s="59"/>
      <c r="H994" s="149">
        <v>133.13</v>
      </c>
      <c r="I994" s="150"/>
      <c r="J994" s="149">
        <v>6072.78</v>
      </c>
      <c r="K994" s="150"/>
    </row>
    <row r="995" spans="1:11" hidden="1" x14ac:dyDescent="0.25">
      <c r="C995" s="10" t="s">
        <v>57</v>
      </c>
      <c r="H995" s="151">
        <v>0</v>
      </c>
      <c r="I995" s="133"/>
      <c r="J995" s="151">
        <v>0</v>
      </c>
      <c r="K995" s="133"/>
    </row>
    <row r="996" spans="1:11" hidden="1" x14ac:dyDescent="0.25">
      <c r="C996" s="10" t="s">
        <v>58</v>
      </c>
      <c r="H996" s="151">
        <v>133.13</v>
      </c>
      <c r="I996" s="133"/>
      <c r="J996" s="151">
        <v>6072.78</v>
      </c>
      <c r="K996" s="133"/>
    </row>
    <row r="997" spans="1:11" hidden="1" x14ac:dyDescent="0.25"/>
    <row r="998" spans="1:11" ht="115.5" hidden="1" x14ac:dyDescent="0.25">
      <c r="A998" s="6">
        <v>175</v>
      </c>
      <c r="B998" s="4" t="s">
        <v>486</v>
      </c>
      <c r="C998" s="8" t="s">
        <v>487</v>
      </c>
      <c r="D998" s="16" t="s">
        <v>199</v>
      </c>
      <c r="E998" s="14">
        <v>3</v>
      </c>
      <c r="F998" s="11">
        <v>110.5</v>
      </c>
      <c r="H998" s="14" t="s">
        <v>50</v>
      </c>
      <c r="I998" s="11">
        <v>331.5</v>
      </c>
      <c r="J998" s="13">
        <v>12.69</v>
      </c>
      <c r="K998" s="11">
        <v>4206.74</v>
      </c>
    </row>
    <row r="999" spans="1:11" hidden="1" x14ac:dyDescent="0.25">
      <c r="C999" s="10" t="s">
        <v>58</v>
      </c>
      <c r="H999" s="151">
        <v>331.5</v>
      </c>
      <c r="I999" s="133"/>
      <c r="J999" s="151">
        <v>4206.74</v>
      </c>
      <c r="K999" s="133"/>
    </row>
    <row r="1000" spans="1:11" hidden="1" x14ac:dyDescent="0.25"/>
    <row r="1001" spans="1:11" ht="90" hidden="1" x14ac:dyDescent="0.25">
      <c r="A1001" s="6">
        <v>176</v>
      </c>
      <c r="B1001" s="4" t="s">
        <v>234</v>
      </c>
      <c r="C1001" s="8" t="s">
        <v>235</v>
      </c>
      <c r="D1001" s="16" t="s">
        <v>199</v>
      </c>
      <c r="E1001" s="14">
        <v>320</v>
      </c>
      <c r="F1001" s="11">
        <v>472.88</v>
      </c>
      <c r="H1001" s="14" t="s">
        <v>50</v>
      </c>
      <c r="I1001" s="11">
        <v>151321.60000000001</v>
      </c>
      <c r="J1001" s="13">
        <v>4.04</v>
      </c>
      <c r="K1001" s="11">
        <v>611339.26</v>
      </c>
    </row>
    <row r="1002" spans="1:11" hidden="1" x14ac:dyDescent="0.25">
      <c r="C1002" s="10" t="s">
        <v>58</v>
      </c>
      <c r="H1002" s="151">
        <v>151321.60000000001</v>
      </c>
      <c r="I1002" s="133"/>
      <c r="J1002" s="151">
        <v>611339.26</v>
      </c>
      <c r="K1002" s="133"/>
    </row>
    <row r="1003" spans="1:11" hidden="1" x14ac:dyDescent="0.25"/>
    <row r="1004" spans="1:11" ht="29.1" hidden="1" customHeight="1" x14ac:dyDescent="0.25">
      <c r="A1004" s="148" t="s">
        <v>488</v>
      </c>
      <c r="B1004" s="133"/>
      <c r="C1004" s="133"/>
      <c r="D1004" s="133"/>
      <c r="E1004" s="133"/>
      <c r="F1004" s="133"/>
      <c r="G1004" s="133"/>
      <c r="H1004" s="133"/>
      <c r="I1004" s="133"/>
      <c r="J1004" s="133"/>
      <c r="K1004" s="133"/>
    </row>
    <row r="1005" spans="1:11" hidden="1" x14ac:dyDescent="0.25"/>
    <row r="1006" spans="1:11" ht="153" hidden="1" x14ac:dyDescent="0.25">
      <c r="A1006" s="6">
        <v>177</v>
      </c>
      <c r="B1006" s="4" t="s">
        <v>489</v>
      </c>
      <c r="C1006" s="8" t="s">
        <v>490</v>
      </c>
      <c r="D1006" s="16" t="s">
        <v>321</v>
      </c>
      <c r="E1006" s="14">
        <v>43</v>
      </c>
    </row>
    <row r="1007" spans="1:11" ht="51" hidden="1" x14ac:dyDescent="0.25">
      <c r="C1007" s="9" t="s">
        <v>491</v>
      </c>
    </row>
    <row r="1008" spans="1:11" ht="26.25" hidden="1" x14ac:dyDescent="0.25">
      <c r="C1008" s="5" t="s">
        <v>43</v>
      </c>
      <c r="F1008" s="11">
        <v>63.39</v>
      </c>
      <c r="G1008" s="15" t="s">
        <v>209</v>
      </c>
      <c r="H1008" s="13">
        <v>1.0669999999999999</v>
      </c>
      <c r="I1008" s="11">
        <v>3664.58</v>
      </c>
      <c r="J1008" s="13">
        <v>56.35</v>
      </c>
      <c r="K1008" s="11">
        <v>206499.08</v>
      </c>
    </row>
    <row r="1009" spans="1:15" ht="26.25" hidden="1" x14ac:dyDescent="0.25">
      <c r="C1009" s="7" t="s">
        <v>45</v>
      </c>
      <c r="F1009" s="11">
        <v>4.72</v>
      </c>
      <c r="G1009" s="15" t="s">
        <v>209</v>
      </c>
      <c r="H1009" s="13">
        <v>1.0669999999999999</v>
      </c>
      <c r="I1009" s="11">
        <v>272.86</v>
      </c>
      <c r="J1009" s="13">
        <v>15.34</v>
      </c>
      <c r="K1009" s="11">
        <v>4185.67</v>
      </c>
    </row>
    <row r="1010" spans="1:15" ht="26.25" hidden="1" x14ac:dyDescent="0.25">
      <c r="C1010" s="7" t="s">
        <v>47</v>
      </c>
      <c r="F1010" s="11">
        <v>0.55000000000000004</v>
      </c>
      <c r="G1010" s="15" t="s">
        <v>209</v>
      </c>
      <c r="H1010" s="13">
        <v>1.0669999999999999</v>
      </c>
      <c r="I1010" s="11">
        <v>31.8</v>
      </c>
      <c r="J1010" s="13">
        <v>56.35</v>
      </c>
      <c r="K1010" s="11">
        <v>1791.93</v>
      </c>
    </row>
    <row r="1011" spans="1:15" hidden="1" x14ac:dyDescent="0.25">
      <c r="C1011" s="7" t="s">
        <v>48</v>
      </c>
      <c r="F1011" s="11">
        <v>31.62</v>
      </c>
      <c r="G1011" s="15" t="s">
        <v>49</v>
      </c>
      <c r="H1011" s="14" t="s">
        <v>50</v>
      </c>
      <c r="I1011" s="11">
        <v>1359.66</v>
      </c>
      <c r="J1011" s="13">
        <v>14.94</v>
      </c>
      <c r="K1011" s="11">
        <v>20313.32</v>
      </c>
    </row>
    <row r="1012" spans="1:15" ht="140.25" hidden="1" x14ac:dyDescent="0.25">
      <c r="A1012" s="6" t="s">
        <v>492</v>
      </c>
      <c r="B1012" s="4" t="s">
        <v>493</v>
      </c>
      <c r="C1012" s="8" t="s">
        <v>494</v>
      </c>
      <c r="D1012" s="16" t="s">
        <v>328</v>
      </c>
      <c r="E1012" s="13">
        <v>3.44E-2</v>
      </c>
      <c r="F1012" s="11">
        <v>22524.65</v>
      </c>
      <c r="G1012" s="15" t="s">
        <v>49</v>
      </c>
      <c r="H1012" s="14" t="s">
        <v>50</v>
      </c>
      <c r="I1012" s="11">
        <v>774.85</v>
      </c>
      <c r="J1012" s="13">
        <v>5.93</v>
      </c>
      <c r="K1012" s="11">
        <v>4594.8599999999997</v>
      </c>
    </row>
    <row r="1013" spans="1:15" hidden="1" x14ac:dyDescent="0.25">
      <c r="C1013" s="7" t="s">
        <v>51</v>
      </c>
      <c r="D1013" s="11" t="s">
        <v>52</v>
      </c>
      <c r="E1013" s="14">
        <v>109</v>
      </c>
      <c r="I1013" s="11">
        <v>4029.05</v>
      </c>
      <c r="J1013" s="14">
        <v>109</v>
      </c>
      <c r="K1013" s="11">
        <v>227037.2</v>
      </c>
    </row>
    <row r="1014" spans="1:15" hidden="1" x14ac:dyDescent="0.25">
      <c r="C1014" s="7" t="s">
        <v>53</v>
      </c>
      <c r="D1014" s="11" t="s">
        <v>52</v>
      </c>
      <c r="E1014" s="14">
        <v>61</v>
      </c>
      <c r="I1014" s="11">
        <v>2254.79</v>
      </c>
      <c r="J1014" s="14">
        <v>61</v>
      </c>
      <c r="K1014" s="11">
        <v>127057.52</v>
      </c>
    </row>
    <row r="1015" spans="1:15" ht="26.25" hidden="1" x14ac:dyDescent="0.25">
      <c r="C1015" s="7" t="s">
        <v>54</v>
      </c>
      <c r="D1015" s="11" t="s">
        <v>55</v>
      </c>
      <c r="E1015" s="13">
        <v>5.46</v>
      </c>
      <c r="G1015" s="15" t="s">
        <v>209</v>
      </c>
      <c r="H1015" s="13">
        <v>1.0669999999999999</v>
      </c>
      <c r="I1015" s="12">
        <v>315.64292760000001</v>
      </c>
    </row>
    <row r="1016" spans="1:15" hidden="1" x14ac:dyDescent="0.25">
      <c r="A1016" s="60"/>
      <c r="B1016" s="60"/>
      <c r="C1016" s="60" t="s">
        <v>56</v>
      </c>
      <c r="D1016" s="60"/>
      <c r="E1016" s="60"/>
      <c r="F1016" s="60"/>
      <c r="G1016" s="60"/>
      <c r="H1016" s="149">
        <v>12355.79</v>
      </c>
      <c r="I1016" s="150"/>
      <c r="J1016" s="149">
        <v>589687.65</v>
      </c>
      <c r="K1016" s="150"/>
    </row>
    <row r="1017" spans="1:15" hidden="1" x14ac:dyDescent="0.25">
      <c r="C1017" s="10" t="s">
        <v>57</v>
      </c>
      <c r="H1017" s="151">
        <v>0</v>
      </c>
      <c r="I1017" s="133"/>
      <c r="J1017" s="151">
        <v>0</v>
      </c>
      <c r="K1017" s="133"/>
    </row>
    <row r="1018" spans="1:15" hidden="1" x14ac:dyDescent="0.25">
      <c r="C1018" s="10" t="s">
        <v>58</v>
      </c>
      <c r="H1018" s="151">
        <v>12355.79</v>
      </c>
      <c r="I1018" s="133"/>
      <c r="J1018" s="151">
        <v>589687.65</v>
      </c>
      <c r="K1018" s="133"/>
    </row>
    <row r="1019" spans="1:15" hidden="1" x14ac:dyDescent="0.25"/>
    <row r="1020" spans="1:15" ht="166.5" x14ac:dyDescent="0.25">
      <c r="A1020" s="93">
        <v>178</v>
      </c>
      <c r="B1020" s="94" t="s">
        <v>495</v>
      </c>
      <c r="C1020" s="118" t="s">
        <v>496</v>
      </c>
      <c r="D1020" s="96" t="s">
        <v>61</v>
      </c>
      <c r="E1020" s="117">
        <v>1</v>
      </c>
      <c r="F1020" s="98">
        <v>6771.94</v>
      </c>
      <c r="G1020" s="99"/>
      <c r="H1020" s="97" t="s">
        <v>50</v>
      </c>
      <c r="I1020" s="98">
        <v>6771.94</v>
      </c>
      <c r="J1020" s="100">
        <v>7.57</v>
      </c>
      <c r="K1020" s="98">
        <v>51263.59</v>
      </c>
      <c r="L1020" t="s">
        <v>785</v>
      </c>
      <c r="O1020" s="116">
        <f>K1020</f>
        <v>51263.59</v>
      </c>
    </row>
    <row r="1021" spans="1:15" hidden="1" x14ac:dyDescent="0.25">
      <c r="C1021" s="10" t="s">
        <v>58</v>
      </c>
      <c r="H1021" s="151">
        <v>6771.94</v>
      </c>
      <c r="I1021" s="133"/>
      <c r="J1021" s="151">
        <v>51263.59</v>
      </c>
      <c r="K1021" s="133"/>
    </row>
    <row r="1022" spans="1:15" hidden="1" x14ac:dyDescent="0.25"/>
    <row r="1023" spans="1:15" ht="166.5" x14ac:dyDescent="0.25">
      <c r="A1023" s="93">
        <v>179</v>
      </c>
      <c r="B1023" s="94" t="s">
        <v>497</v>
      </c>
      <c r="C1023" s="101" t="s">
        <v>498</v>
      </c>
      <c r="D1023" s="96" t="s">
        <v>61</v>
      </c>
      <c r="E1023" s="117">
        <v>1</v>
      </c>
      <c r="F1023" s="98">
        <v>6455.92</v>
      </c>
      <c r="G1023" s="99"/>
      <c r="H1023" s="97" t="s">
        <v>50</v>
      </c>
      <c r="I1023" s="98">
        <v>6455.92</v>
      </c>
      <c r="J1023" s="100">
        <v>7.57</v>
      </c>
      <c r="K1023" s="98">
        <v>48871.31</v>
      </c>
      <c r="L1023" t="s">
        <v>785</v>
      </c>
      <c r="O1023" s="116">
        <f>K1023</f>
        <v>48871.31</v>
      </c>
    </row>
    <row r="1024" spans="1:15" hidden="1" x14ac:dyDescent="0.25">
      <c r="C1024" s="10" t="s">
        <v>58</v>
      </c>
      <c r="H1024" s="151">
        <v>6455.92</v>
      </c>
      <c r="I1024" s="133"/>
      <c r="J1024" s="151">
        <v>48871.31</v>
      </c>
      <c r="K1024" s="133"/>
    </row>
    <row r="1025" spans="1:15" hidden="1" x14ac:dyDescent="0.25"/>
    <row r="1026" spans="1:15" ht="166.5" x14ac:dyDescent="0.25">
      <c r="A1026" s="93">
        <v>180</v>
      </c>
      <c r="B1026" s="94" t="s">
        <v>499</v>
      </c>
      <c r="C1026" s="101" t="s">
        <v>500</v>
      </c>
      <c r="D1026" s="96" t="s">
        <v>61</v>
      </c>
      <c r="E1026" s="117">
        <v>1</v>
      </c>
      <c r="F1026" s="98">
        <v>5993.18</v>
      </c>
      <c r="G1026" s="99"/>
      <c r="H1026" s="97" t="s">
        <v>50</v>
      </c>
      <c r="I1026" s="98">
        <v>5993.18</v>
      </c>
      <c r="J1026" s="100">
        <v>7.57</v>
      </c>
      <c r="K1026" s="98">
        <v>45368.37</v>
      </c>
      <c r="L1026" t="s">
        <v>785</v>
      </c>
      <c r="O1026" s="116">
        <f>K1026</f>
        <v>45368.37</v>
      </c>
    </row>
    <row r="1027" spans="1:15" hidden="1" x14ac:dyDescent="0.25">
      <c r="C1027" s="10" t="s">
        <v>58</v>
      </c>
      <c r="H1027" s="151">
        <v>5993.18</v>
      </c>
      <c r="I1027" s="133"/>
      <c r="J1027" s="151">
        <v>45368.37</v>
      </c>
      <c r="K1027" s="133"/>
    </row>
    <row r="1028" spans="1:15" hidden="1" x14ac:dyDescent="0.25"/>
    <row r="1029" spans="1:15" ht="166.5" x14ac:dyDescent="0.25">
      <c r="A1029" s="93">
        <v>181</v>
      </c>
      <c r="B1029" s="94" t="s">
        <v>501</v>
      </c>
      <c r="C1029" s="101" t="s">
        <v>502</v>
      </c>
      <c r="D1029" s="96" t="s">
        <v>61</v>
      </c>
      <c r="E1029" s="117">
        <v>1</v>
      </c>
      <c r="F1029" s="98">
        <v>5643.29</v>
      </c>
      <c r="G1029" s="99"/>
      <c r="H1029" s="97" t="s">
        <v>50</v>
      </c>
      <c r="I1029" s="98">
        <v>5643.29</v>
      </c>
      <c r="J1029" s="100">
        <v>7.57</v>
      </c>
      <c r="K1029" s="98">
        <v>42719.71</v>
      </c>
      <c r="L1029" t="s">
        <v>785</v>
      </c>
      <c r="O1029" s="116">
        <f>K1029</f>
        <v>42719.71</v>
      </c>
    </row>
    <row r="1030" spans="1:15" hidden="1" x14ac:dyDescent="0.25">
      <c r="C1030" s="10" t="s">
        <v>58</v>
      </c>
      <c r="H1030" s="151">
        <v>5643.29</v>
      </c>
      <c r="I1030" s="133"/>
      <c r="J1030" s="151">
        <v>42719.71</v>
      </c>
      <c r="K1030" s="133"/>
    </row>
    <row r="1031" spans="1:15" hidden="1" x14ac:dyDescent="0.25"/>
    <row r="1032" spans="1:15" ht="166.5" x14ac:dyDescent="0.25">
      <c r="A1032" s="93">
        <v>182</v>
      </c>
      <c r="B1032" s="94" t="s">
        <v>503</v>
      </c>
      <c r="C1032" s="101" t="s">
        <v>504</v>
      </c>
      <c r="D1032" s="96" t="s">
        <v>61</v>
      </c>
      <c r="E1032" s="117">
        <v>7</v>
      </c>
      <c r="F1032" s="98">
        <v>5186.18</v>
      </c>
      <c r="G1032" s="99"/>
      <c r="H1032" s="97" t="s">
        <v>50</v>
      </c>
      <c r="I1032" s="98">
        <v>36303.26</v>
      </c>
      <c r="J1032" s="100">
        <v>7.57</v>
      </c>
      <c r="K1032" s="98">
        <v>274815.68</v>
      </c>
      <c r="L1032" t="s">
        <v>785</v>
      </c>
      <c r="O1032" s="116">
        <f>K1032</f>
        <v>274815.68</v>
      </c>
    </row>
    <row r="1033" spans="1:15" hidden="1" x14ac:dyDescent="0.25">
      <c r="C1033" s="10" t="s">
        <v>58</v>
      </c>
      <c r="H1033" s="151">
        <v>36303.26</v>
      </c>
      <c r="I1033" s="133"/>
      <c r="J1033" s="151">
        <v>274815.68</v>
      </c>
      <c r="K1033" s="133"/>
    </row>
    <row r="1034" spans="1:15" hidden="1" x14ac:dyDescent="0.25"/>
    <row r="1035" spans="1:15" ht="166.5" x14ac:dyDescent="0.25">
      <c r="A1035" s="93">
        <v>183</v>
      </c>
      <c r="B1035" s="94" t="s">
        <v>505</v>
      </c>
      <c r="C1035" s="101" t="s">
        <v>506</v>
      </c>
      <c r="D1035" s="96" t="s">
        <v>61</v>
      </c>
      <c r="E1035" s="117">
        <v>6</v>
      </c>
      <c r="F1035" s="98">
        <v>5186.18</v>
      </c>
      <c r="G1035" s="99"/>
      <c r="H1035" s="97" t="s">
        <v>50</v>
      </c>
      <c r="I1035" s="98">
        <v>31117.08</v>
      </c>
      <c r="J1035" s="100">
        <v>7.57</v>
      </c>
      <c r="K1035" s="98">
        <v>235556.3</v>
      </c>
      <c r="L1035" t="s">
        <v>785</v>
      </c>
      <c r="O1035" s="116">
        <f>K1035</f>
        <v>235556.3</v>
      </c>
    </row>
    <row r="1036" spans="1:15" hidden="1" x14ac:dyDescent="0.25">
      <c r="C1036" s="10" t="s">
        <v>58</v>
      </c>
      <c r="H1036" s="151">
        <v>31117.08</v>
      </c>
      <c r="I1036" s="133"/>
      <c r="J1036" s="151">
        <v>235556.3</v>
      </c>
      <c r="K1036" s="133"/>
    </row>
    <row r="1037" spans="1:15" hidden="1" x14ac:dyDescent="0.25"/>
    <row r="1038" spans="1:15" ht="166.5" x14ac:dyDescent="0.25">
      <c r="A1038" s="93">
        <v>184</v>
      </c>
      <c r="B1038" s="94" t="s">
        <v>507</v>
      </c>
      <c r="C1038" s="101" t="s">
        <v>508</v>
      </c>
      <c r="D1038" s="96" t="s">
        <v>61</v>
      </c>
      <c r="E1038" s="117">
        <v>2</v>
      </c>
      <c r="F1038" s="98">
        <v>4979.6400000000003</v>
      </c>
      <c r="G1038" s="99"/>
      <c r="H1038" s="97" t="s">
        <v>50</v>
      </c>
      <c r="I1038" s="98">
        <v>9959.2800000000007</v>
      </c>
      <c r="J1038" s="100">
        <v>7.57</v>
      </c>
      <c r="K1038" s="98">
        <v>75391.75</v>
      </c>
      <c r="L1038" t="s">
        <v>785</v>
      </c>
      <c r="O1038" s="116">
        <f>K1038</f>
        <v>75391.75</v>
      </c>
    </row>
    <row r="1039" spans="1:15" hidden="1" x14ac:dyDescent="0.25">
      <c r="C1039" s="10" t="s">
        <v>58</v>
      </c>
      <c r="H1039" s="151">
        <v>9959.2800000000007</v>
      </c>
      <c r="I1039" s="133"/>
      <c r="J1039" s="151">
        <v>75391.75</v>
      </c>
      <c r="K1039" s="133"/>
    </row>
    <row r="1040" spans="1:15" hidden="1" x14ac:dyDescent="0.25"/>
    <row r="1041" spans="1:15" ht="166.5" x14ac:dyDescent="0.25">
      <c r="A1041" s="93">
        <v>185</v>
      </c>
      <c r="B1041" s="94" t="s">
        <v>509</v>
      </c>
      <c r="C1041" s="101" t="s">
        <v>510</v>
      </c>
      <c r="D1041" s="96" t="s">
        <v>61</v>
      </c>
      <c r="E1041" s="117">
        <v>1</v>
      </c>
      <c r="F1041" s="98">
        <v>4943.5200000000004</v>
      </c>
      <c r="G1041" s="99"/>
      <c r="H1041" s="97" t="s">
        <v>50</v>
      </c>
      <c r="I1041" s="98">
        <v>4943.5200000000004</v>
      </c>
      <c r="J1041" s="100">
        <v>7.57</v>
      </c>
      <c r="K1041" s="98">
        <v>37422.449999999997</v>
      </c>
      <c r="L1041" t="s">
        <v>785</v>
      </c>
      <c r="O1041" s="116">
        <f>K1041</f>
        <v>37422.449999999997</v>
      </c>
    </row>
    <row r="1042" spans="1:15" hidden="1" x14ac:dyDescent="0.25">
      <c r="C1042" s="10" t="s">
        <v>58</v>
      </c>
      <c r="H1042" s="151">
        <v>4943.5200000000004</v>
      </c>
      <c r="I1042" s="133"/>
      <c r="J1042" s="151">
        <v>37422.449999999997</v>
      </c>
      <c r="K1042" s="133"/>
    </row>
    <row r="1043" spans="1:15" hidden="1" x14ac:dyDescent="0.25"/>
    <row r="1044" spans="1:15" ht="166.5" x14ac:dyDescent="0.25">
      <c r="A1044" s="93">
        <v>186</v>
      </c>
      <c r="B1044" s="94" t="s">
        <v>511</v>
      </c>
      <c r="C1044" s="101" t="s">
        <v>512</v>
      </c>
      <c r="D1044" s="96" t="s">
        <v>61</v>
      </c>
      <c r="E1044" s="117">
        <v>10</v>
      </c>
      <c r="F1044" s="98">
        <v>4853.2299999999996</v>
      </c>
      <c r="G1044" s="99"/>
      <c r="H1044" s="97" t="s">
        <v>50</v>
      </c>
      <c r="I1044" s="98">
        <v>48532.3</v>
      </c>
      <c r="J1044" s="100">
        <v>7.57</v>
      </c>
      <c r="K1044" s="98">
        <v>367389.51</v>
      </c>
      <c r="L1044" t="s">
        <v>785</v>
      </c>
      <c r="O1044" s="116">
        <f>K1044</f>
        <v>367389.51</v>
      </c>
    </row>
    <row r="1045" spans="1:15" hidden="1" x14ac:dyDescent="0.25">
      <c r="C1045" s="10" t="s">
        <v>58</v>
      </c>
      <c r="H1045" s="151">
        <v>48532.3</v>
      </c>
      <c r="I1045" s="133"/>
      <c r="J1045" s="151">
        <v>367389.51</v>
      </c>
      <c r="K1045" s="133"/>
    </row>
    <row r="1046" spans="1:15" hidden="1" x14ac:dyDescent="0.25"/>
    <row r="1047" spans="1:15" ht="166.5" x14ac:dyDescent="0.25">
      <c r="A1047" s="93">
        <v>187</v>
      </c>
      <c r="B1047" s="94" t="s">
        <v>513</v>
      </c>
      <c r="C1047" s="101" t="s">
        <v>514</v>
      </c>
      <c r="D1047" s="96" t="s">
        <v>61</v>
      </c>
      <c r="E1047" s="117">
        <v>1</v>
      </c>
      <c r="F1047" s="98">
        <v>6455.92</v>
      </c>
      <c r="G1047" s="99"/>
      <c r="H1047" s="97" t="s">
        <v>50</v>
      </c>
      <c r="I1047" s="98">
        <v>6455.92</v>
      </c>
      <c r="J1047" s="100">
        <v>7.57</v>
      </c>
      <c r="K1047" s="98">
        <v>48871.31</v>
      </c>
      <c r="L1047" t="s">
        <v>785</v>
      </c>
      <c r="O1047" s="116">
        <f>K1047</f>
        <v>48871.31</v>
      </c>
    </row>
    <row r="1048" spans="1:15" hidden="1" x14ac:dyDescent="0.25">
      <c r="C1048" s="10" t="s">
        <v>58</v>
      </c>
      <c r="H1048" s="151">
        <v>6455.92</v>
      </c>
      <c r="I1048" s="133"/>
      <c r="J1048" s="151">
        <v>48871.31</v>
      </c>
      <c r="K1048" s="133"/>
    </row>
    <row r="1049" spans="1:15" hidden="1" x14ac:dyDescent="0.25"/>
    <row r="1050" spans="1:15" ht="166.5" x14ac:dyDescent="0.25">
      <c r="A1050" s="93">
        <v>188</v>
      </c>
      <c r="B1050" s="94" t="s">
        <v>515</v>
      </c>
      <c r="C1050" s="101" t="s">
        <v>516</v>
      </c>
      <c r="D1050" s="96" t="s">
        <v>61</v>
      </c>
      <c r="E1050" s="117">
        <v>1</v>
      </c>
      <c r="F1050" s="98">
        <v>4979.6400000000003</v>
      </c>
      <c r="G1050" s="99"/>
      <c r="H1050" s="97" t="s">
        <v>50</v>
      </c>
      <c r="I1050" s="98">
        <v>4979.6400000000003</v>
      </c>
      <c r="J1050" s="100">
        <v>7.57</v>
      </c>
      <c r="K1050" s="98">
        <v>37695.870000000003</v>
      </c>
      <c r="L1050" t="s">
        <v>785</v>
      </c>
      <c r="O1050" s="116">
        <f>K1050</f>
        <v>37695.870000000003</v>
      </c>
    </row>
    <row r="1051" spans="1:15" hidden="1" x14ac:dyDescent="0.25">
      <c r="C1051" s="10" t="s">
        <v>58</v>
      </c>
      <c r="H1051" s="151">
        <v>4979.6400000000003</v>
      </c>
      <c r="I1051" s="133"/>
      <c r="J1051" s="151">
        <v>37695.870000000003</v>
      </c>
      <c r="K1051" s="133"/>
    </row>
    <row r="1052" spans="1:15" hidden="1" x14ac:dyDescent="0.25"/>
    <row r="1053" spans="1:15" ht="166.5" x14ac:dyDescent="0.25">
      <c r="A1053" s="93">
        <v>189</v>
      </c>
      <c r="B1053" s="94" t="s">
        <v>517</v>
      </c>
      <c r="C1053" s="101" t="s">
        <v>518</v>
      </c>
      <c r="D1053" s="96" t="s">
        <v>61</v>
      </c>
      <c r="E1053" s="117">
        <v>1</v>
      </c>
      <c r="F1053" s="98">
        <v>4943.5200000000004</v>
      </c>
      <c r="G1053" s="99"/>
      <c r="H1053" s="97" t="s">
        <v>50</v>
      </c>
      <c r="I1053" s="98">
        <v>4943.5200000000004</v>
      </c>
      <c r="J1053" s="100">
        <v>7.57</v>
      </c>
      <c r="K1053" s="98">
        <v>37422.449999999997</v>
      </c>
      <c r="L1053" t="s">
        <v>785</v>
      </c>
      <c r="O1053" s="116">
        <f>K1053</f>
        <v>37422.449999999997</v>
      </c>
    </row>
    <row r="1054" spans="1:15" hidden="1" x14ac:dyDescent="0.25">
      <c r="C1054" s="10" t="s">
        <v>58</v>
      </c>
      <c r="H1054" s="151">
        <v>4943.5200000000004</v>
      </c>
      <c r="I1054" s="133"/>
      <c r="J1054" s="151">
        <v>37422.449999999997</v>
      </c>
      <c r="K1054" s="133"/>
    </row>
    <row r="1055" spans="1:15" hidden="1" x14ac:dyDescent="0.25"/>
    <row r="1056" spans="1:15" ht="166.5" x14ac:dyDescent="0.25">
      <c r="A1056" s="93">
        <v>190</v>
      </c>
      <c r="B1056" s="94" t="s">
        <v>519</v>
      </c>
      <c r="C1056" s="101" t="s">
        <v>520</v>
      </c>
      <c r="D1056" s="96" t="s">
        <v>61</v>
      </c>
      <c r="E1056" s="117">
        <v>2</v>
      </c>
      <c r="F1056" s="98">
        <v>4853.2299999999996</v>
      </c>
      <c r="G1056" s="99"/>
      <c r="H1056" s="97" t="s">
        <v>50</v>
      </c>
      <c r="I1056" s="98">
        <v>9706.4599999999991</v>
      </c>
      <c r="J1056" s="100">
        <v>7.57</v>
      </c>
      <c r="K1056" s="98">
        <v>73477.899999999994</v>
      </c>
      <c r="L1056" t="s">
        <v>785</v>
      </c>
      <c r="O1056" s="116">
        <f>K1056</f>
        <v>73477.899999999994</v>
      </c>
    </row>
    <row r="1057" spans="1:15" hidden="1" x14ac:dyDescent="0.25">
      <c r="C1057" s="10" t="s">
        <v>58</v>
      </c>
      <c r="H1057" s="151">
        <v>9706.4599999999991</v>
      </c>
      <c r="I1057" s="133"/>
      <c r="J1057" s="151">
        <v>73477.899999999994</v>
      </c>
      <c r="K1057" s="133"/>
    </row>
    <row r="1058" spans="1:15" hidden="1" x14ac:dyDescent="0.25"/>
    <row r="1059" spans="1:15" ht="166.5" x14ac:dyDescent="0.25">
      <c r="A1059" s="93">
        <v>191</v>
      </c>
      <c r="B1059" s="94" t="s">
        <v>521</v>
      </c>
      <c r="C1059" s="101" t="s">
        <v>522</v>
      </c>
      <c r="D1059" s="96" t="s">
        <v>61</v>
      </c>
      <c r="E1059" s="117">
        <v>3</v>
      </c>
      <c r="F1059" s="98">
        <v>2573.33</v>
      </c>
      <c r="G1059" s="99"/>
      <c r="H1059" s="97" t="s">
        <v>50</v>
      </c>
      <c r="I1059" s="98">
        <v>7719.99</v>
      </c>
      <c r="J1059" s="100">
        <v>7.57</v>
      </c>
      <c r="K1059" s="98">
        <v>58440.32</v>
      </c>
      <c r="L1059" t="s">
        <v>785</v>
      </c>
      <c r="O1059" s="116">
        <f>K1059</f>
        <v>58440.32</v>
      </c>
    </row>
    <row r="1060" spans="1:15" hidden="1" x14ac:dyDescent="0.25">
      <c r="C1060" s="10" t="s">
        <v>58</v>
      </c>
      <c r="H1060" s="151">
        <v>7719.99</v>
      </c>
      <c r="I1060" s="133"/>
      <c r="J1060" s="151">
        <v>58440.32</v>
      </c>
      <c r="K1060" s="133"/>
    </row>
    <row r="1061" spans="1:15" hidden="1" x14ac:dyDescent="0.25"/>
    <row r="1062" spans="1:15" ht="166.5" x14ac:dyDescent="0.25">
      <c r="A1062" s="93">
        <v>192</v>
      </c>
      <c r="B1062" s="94" t="s">
        <v>523</v>
      </c>
      <c r="C1062" s="101" t="s">
        <v>524</v>
      </c>
      <c r="D1062" s="96" t="s">
        <v>61</v>
      </c>
      <c r="E1062" s="117">
        <v>4</v>
      </c>
      <c r="F1062" s="98">
        <v>2595.91</v>
      </c>
      <c r="G1062" s="99"/>
      <c r="H1062" s="97" t="s">
        <v>50</v>
      </c>
      <c r="I1062" s="98">
        <v>10383.64</v>
      </c>
      <c r="J1062" s="100">
        <v>7.57</v>
      </c>
      <c r="K1062" s="98">
        <v>78604.149999999994</v>
      </c>
      <c r="L1062" t="s">
        <v>785</v>
      </c>
      <c r="O1062" s="116">
        <f>K1062</f>
        <v>78604.149999999994</v>
      </c>
    </row>
    <row r="1063" spans="1:15" hidden="1" x14ac:dyDescent="0.25">
      <c r="C1063" s="10" t="s">
        <v>58</v>
      </c>
      <c r="H1063" s="151">
        <v>10383.64</v>
      </c>
      <c r="I1063" s="133"/>
      <c r="J1063" s="151">
        <v>78604.149999999994</v>
      </c>
      <c r="K1063" s="133"/>
    </row>
    <row r="1064" spans="1:15" hidden="1" x14ac:dyDescent="0.25"/>
    <row r="1065" spans="1:15" ht="166.5" x14ac:dyDescent="0.25">
      <c r="A1065" s="93">
        <v>193</v>
      </c>
      <c r="B1065" s="94" t="s">
        <v>525</v>
      </c>
      <c r="C1065" s="101" t="s">
        <v>526</v>
      </c>
      <c r="D1065" s="96" t="s">
        <v>61</v>
      </c>
      <c r="E1065" s="117">
        <v>1</v>
      </c>
      <c r="F1065" s="98">
        <v>2821.65</v>
      </c>
      <c r="G1065" s="99"/>
      <c r="H1065" s="97" t="s">
        <v>50</v>
      </c>
      <c r="I1065" s="98">
        <v>2821.65</v>
      </c>
      <c r="J1065" s="100">
        <v>7.57</v>
      </c>
      <c r="K1065" s="98">
        <v>21359.89</v>
      </c>
      <c r="L1065" t="s">
        <v>785</v>
      </c>
      <c r="O1065" s="116">
        <f>K1065</f>
        <v>21359.89</v>
      </c>
    </row>
    <row r="1066" spans="1:15" hidden="1" x14ac:dyDescent="0.25">
      <c r="C1066" s="10" t="s">
        <v>58</v>
      </c>
      <c r="H1066" s="151">
        <v>2821.65</v>
      </c>
      <c r="I1066" s="133"/>
      <c r="J1066" s="151">
        <v>21359.89</v>
      </c>
      <c r="K1066" s="133"/>
    </row>
    <row r="1067" spans="1:15" hidden="1" x14ac:dyDescent="0.25"/>
    <row r="1068" spans="1:15" ht="15.95" hidden="1" customHeight="1" x14ac:dyDescent="0.25">
      <c r="A1068" s="148" t="s">
        <v>527</v>
      </c>
      <c r="B1068" s="133"/>
      <c r="C1068" s="133"/>
      <c r="D1068" s="133"/>
      <c r="E1068" s="133"/>
      <c r="F1068" s="133"/>
      <c r="G1068" s="133"/>
      <c r="H1068" s="133"/>
      <c r="I1068" s="133"/>
      <c r="J1068" s="133"/>
      <c r="K1068" s="133"/>
    </row>
    <row r="1069" spans="1:15" hidden="1" x14ac:dyDescent="0.25"/>
    <row r="1070" spans="1:15" ht="229.5" hidden="1" x14ac:dyDescent="0.25">
      <c r="A1070" s="6">
        <v>194</v>
      </c>
      <c r="B1070" s="4" t="s">
        <v>239</v>
      </c>
      <c r="C1070" s="8" t="s">
        <v>240</v>
      </c>
      <c r="D1070" s="16" t="s">
        <v>241</v>
      </c>
      <c r="E1070" s="14">
        <v>34</v>
      </c>
    </row>
    <row r="1071" spans="1:15" ht="51" hidden="1" x14ac:dyDescent="0.25">
      <c r="C1071" s="9" t="s">
        <v>528</v>
      </c>
    </row>
    <row r="1072" spans="1:15" ht="26.25" hidden="1" x14ac:dyDescent="0.25">
      <c r="C1072" s="5" t="s">
        <v>43</v>
      </c>
      <c r="F1072" s="11">
        <v>12.58</v>
      </c>
      <c r="G1072" s="15" t="s">
        <v>44</v>
      </c>
      <c r="H1072" s="13">
        <v>1.0669999999999999</v>
      </c>
      <c r="I1072" s="11">
        <v>661.29</v>
      </c>
      <c r="J1072" s="13">
        <v>56.35</v>
      </c>
      <c r="K1072" s="11">
        <v>37263.69</v>
      </c>
    </row>
    <row r="1073" spans="1:11" ht="26.25" hidden="1" x14ac:dyDescent="0.25">
      <c r="C1073" s="7" t="s">
        <v>45</v>
      </c>
      <c r="F1073" s="11">
        <v>1.76</v>
      </c>
      <c r="G1073" s="15" t="s">
        <v>46</v>
      </c>
      <c r="H1073" s="13">
        <v>1.0669999999999999</v>
      </c>
      <c r="I1073" s="11">
        <v>100.56</v>
      </c>
      <c r="J1073" s="13">
        <v>14.66</v>
      </c>
      <c r="K1073" s="11">
        <v>1474.21</v>
      </c>
    </row>
    <row r="1074" spans="1:11" ht="26.25" hidden="1" x14ac:dyDescent="0.25">
      <c r="C1074" s="7" t="s">
        <v>47</v>
      </c>
      <c r="F1074" s="11">
        <v>0.13</v>
      </c>
      <c r="G1074" s="15" t="s">
        <v>46</v>
      </c>
      <c r="H1074" s="13">
        <v>1.0669999999999999</v>
      </c>
      <c r="I1074" s="11">
        <v>7.43</v>
      </c>
      <c r="J1074" s="13">
        <v>56.35</v>
      </c>
      <c r="K1074" s="11">
        <v>418.68</v>
      </c>
    </row>
    <row r="1075" spans="1:11" hidden="1" x14ac:dyDescent="0.25">
      <c r="C1075" s="7" t="s">
        <v>48</v>
      </c>
      <c r="F1075" s="11">
        <v>3.03</v>
      </c>
      <c r="G1075" s="15" t="s">
        <v>96</v>
      </c>
      <c r="H1075" s="14" t="s">
        <v>50</v>
      </c>
      <c r="I1075" s="11">
        <v>103.02</v>
      </c>
      <c r="J1075" s="13">
        <v>11.37</v>
      </c>
      <c r="K1075" s="11">
        <v>1171.3399999999999</v>
      </c>
    </row>
    <row r="1076" spans="1:11" hidden="1" x14ac:dyDescent="0.25">
      <c r="C1076" s="7" t="s">
        <v>51</v>
      </c>
      <c r="D1076" s="11" t="s">
        <v>52</v>
      </c>
      <c r="E1076" s="14">
        <v>109</v>
      </c>
      <c r="I1076" s="11">
        <v>728.9</v>
      </c>
      <c r="J1076" s="14">
        <v>109</v>
      </c>
      <c r="K1076" s="11">
        <v>41073.78</v>
      </c>
    </row>
    <row r="1077" spans="1:11" hidden="1" x14ac:dyDescent="0.25">
      <c r="C1077" s="7" t="s">
        <v>53</v>
      </c>
      <c r="D1077" s="11" t="s">
        <v>52</v>
      </c>
      <c r="E1077" s="14">
        <v>61</v>
      </c>
      <c r="I1077" s="11">
        <v>407.92</v>
      </c>
      <c r="J1077" s="14">
        <v>61</v>
      </c>
      <c r="K1077" s="11">
        <v>22986.25</v>
      </c>
    </row>
    <row r="1078" spans="1:11" ht="26.25" hidden="1" x14ac:dyDescent="0.25">
      <c r="C1078" s="7" t="s">
        <v>54</v>
      </c>
      <c r="D1078" s="11" t="s">
        <v>55</v>
      </c>
      <c r="E1078" s="13">
        <v>1.07</v>
      </c>
      <c r="G1078" s="15" t="s">
        <v>44</v>
      </c>
      <c r="H1078" s="13">
        <v>1.0669999999999999</v>
      </c>
      <c r="I1078" s="12">
        <v>56.246499540000002</v>
      </c>
    </row>
    <row r="1079" spans="1:11" hidden="1" x14ac:dyDescent="0.25">
      <c r="A1079" s="61"/>
      <c r="B1079" s="61"/>
      <c r="C1079" s="61" t="s">
        <v>56</v>
      </c>
      <c r="D1079" s="61"/>
      <c r="E1079" s="61"/>
      <c r="F1079" s="61"/>
      <c r="G1079" s="61"/>
      <c r="H1079" s="149">
        <v>2001.69</v>
      </c>
      <c r="I1079" s="150"/>
      <c r="J1079" s="149">
        <v>103969.27</v>
      </c>
      <c r="K1079" s="150"/>
    </row>
    <row r="1080" spans="1:11" hidden="1" x14ac:dyDescent="0.25">
      <c r="C1080" s="10" t="s">
        <v>57</v>
      </c>
      <c r="H1080" s="151">
        <v>0</v>
      </c>
      <c r="I1080" s="133"/>
      <c r="J1080" s="151">
        <v>0</v>
      </c>
      <c r="K1080" s="133"/>
    </row>
    <row r="1081" spans="1:11" hidden="1" x14ac:dyDescent="0.25">
      <c r="C1081" s="10" t="s">
        <v>58</v>
      </c>
      <c r="H1081" s="151">
        <v>2001.69</v>
      </c>
      <c r="I1081" s="133"/>
      <c r="J1081" s="151">
        <v>103969.27</v>
      </c>
      <c r="K1081" s="133"/>
    </row>
    <row r="1082" spans="1:11" hidden="1" x14ac:dyDescent="0.25"/>
    <row r="1083" spans="1:11" ht="90" hidden="1" x14ac:dyDescent="0.25">
      <c r="A1083" s="6">
        <v>195</v>
      </c>
      <c r="B1083" s="4" t="s">
        <v>529</v>
      </c>
      <c r="C1083" s="8" t="s">
        <v>530</v>
      </c>
      <c r="D1083" s="16" t="s">
        <v>61</v>
      </c>
      <c r="E1083" s="14">
        <v>1</v>
      </c>
      <c r="F1083" s="11">
        <v>721.36</v>
      </c>
      <c r="H1083" s="14" t="s">
        <v>50</v>
      </c>
      <c r="I1083" s="11">
        <v>721.36</v>
      </c>
      <c r="J1083" s="13">
        <v>9.84</v>
      </c>
      <c r="K1083" s="11">
        <v>7098.18</v>
      </c>
    </row>
    <row r="1084" spans="1:11" hidden="1" x14ac:dyDescent="0.25">
      <c r="C1084" s="10" t="s">
        <v>58</v>
      </c>
      <c r="H1084" s="151">
        <v>721.36</v>
      </c>
      <c r="I1084" s="133"/>
      <c r="J1084" s="151">
        <v>7098.18</v>
      </c>
      <c r="K1084" s="133"/>
    </row>
    <row r="1085" spans="1:11" hidden="1" x14ac:dyDescent="0.25"/>
    <row r="1086" spans="1:11" ht="90" hidden="1" x14ac:dyDescent="0.25">
      <c r="A1086" s="6">
        <v>196</v>
      </c>
      <c r="B1086" s="4" t="s">
        <v>531</v>
      </c>
      <c r="C1086" s="8" t="s">
        <v>532</v>
      </c>
      <c r="D1086" s="16" t="s">
        <v>61</v>
      </c>
      <c r="E1086" s="14">
        <v>1</v>
      </c>
      <c r="F1086" s="11">
        <v>701.47</v>
      </c>
      <c r="H1086" s="14" t="s">
        <v>50</v>
      </c>
      <c r="I1086" s="11">
        <v>701.47</v>
      </c>
      <c r="J1086" s="13">
        <v>9.84</v>
      </c>
      <c r="K1086" s="11">
        <v>6902.46</v>
      </c>
    </row>
    <row r="1087" spans="1:11" hidden="1" x14ac:dyDescent="0.25">
      <c r="C1087" s="10" t="s">
        <v>58</v>
      </c>
      <c r="H1087" s="151">
        <v>701.47</v>
      </c>
      <c r="I1087" s="133"/>
      <c r="J1087" s="151">
        <v>6902.46</v>
      </c>
      <c r="K1087" s="133"/>
    </row>
    <row r="1088" spans="1:11" hidden="1" x14ac:dyDescent="0.25"/>
    <row r="1089" spans="1:11" ht="90" hidden="1" x14ac:dyDescent="0.25">
      <c r="A1089" s="6">
        <v>197</v>
      </c>
      <c r="B1089" s="4" t="s">
        <v>533</v>
      </c>
      <c r="C1089" s="8" t="s">
        <v>534</v>
      </c>
      <c r="D1089" s="16" t="s">
        <v>61</v>
      </c>
      <c r="E1089" s="14">
        <v>1</v>
      </c>
      <c r="F1089" s="11">
        <v>607.92999999999995</v>
      </c>
      <c r="H1089" s="14" t="s">
        <v>50</v>
      </c>
      <c r="I1089" s="11">
        <v>607.92999999999995</v>
      </c>
      <c r="J1089" s="13">
        <v>9.84</v>
      </c>
      <c r="K1089" s="11">
        <v>5982.03</v>
      </c>
    </row>
    <row r="1090" spans="1:11" hidden="1" x14ac:dyDescent="0.25">
      <c r="C1090" s="10" t="s">
        <v>58</v>
      </c>
      <c r="H1090" s="151">
        <v>607.92999999999995</v>
      </c>
      <c r="I1090" s="133"/>
      <c r="J1090" s="151">
        <v>5982.03</v>
      </c>
      <c r="K1090" s="133"/>
    </row>
    <row r="1091" spans="1:11" hidden="1" x14ac:dyDescent="0.25"/>
    <row r="1092" spans="1:11" ht="90" hidden="1" x14ac:dyDescent="0.25">
      <c r="A1092" s="6">
        <v>198</v>
      </c>
      <c r="B1092" s="4" t="s">
        <v>535</v>
      </c>
      <c r="C1092" s="8" t="s">
        <v>536</v>
      </c>
      <c r="D1092" s="16" t="s">
        <v>61</v>
      </c>
      <c r="E1092" s="14">
        <v>1</v>
      </c>
      <c r="F1092" s="11">
        <v>561.20000000000005</v>
      </c>
      <c r="H1092" s="14" t="s">
        <v>50</v>
      </c>
      <c r="I1092" s="11">
        <v>561.20000000000005</v>
      </c>
      <c r="J1092" s="13">
        <v>9.84</v>
      </c>
      <c r="K1092" s="11">
        <v>5522.21</v>
      </c>
    </row>
    <row r="1093" spans="1:11" hidden="1" x14ac:dyDescent="0.25">
      <c r="C1093" s="10" t="s">
        <v>58</v>
      </c>
      <c r="H1093" s="151">
        <v>561.20000000000005</v>
      </c>
      <c r="I1093" s="133"/>
      <c r="J1093" s="151">
        <v>5522.21</v>
      </c>
      <c r="K1093" s="133"/>
    </row>
    <row r="1094" spans="1:11" hidden="1" x14ac:dyDescent="0.25"/>
    <row r="1095" spans="1:11" ht="90" hidden="1" x14ac:dyDescent="0.25">
      <c r="A1095" s="6">
        <v>199</v>
      </c>
      <c r="B1095" s="4" t="s">
        <v>537</v>
      </c>
      <c r="C1095" s="8" t="s">
        <v>538</v>
      </c>
      <c r="D1095" s="16" t="s">
        <v>61</v>
      </c>
      <c r="E1095" s="14">
        <v>8</v>
      </c>
      <c r="F1095" s="11">
        <v>561.20000000000005</v>
      </c>
      <c r="H1095" s="14" t="s">
        <v>50</v>
      </c>
      <c r="I1095" s="11">
        <v>4489.6000000000004</v>
      </c>
      <c r="J1095" s="13">
        <v>9.84</v>
      </c>
      <c r="K1095" s="11">
        <v>44177.66</v>
      </c>
    </row>
    <row r="1096" spans="1:11" hidden="1" x14ac:dyDescent="0.25">
      <c r="C1096" s="10" t="s">
        <v>58</v>
      </c>
      <c r="H1096" s="151">
        <v>4489.6000000000004</v>
      </c>
      <c r="I1096" s="133"/>
      <c r="J1096" s="151">
        <v>44177.66</v>
      </c>
      <c r="K1096" s="133"/>
    </row>
    <row r="1097" spans="1:11" hidden="1" x14ac:dyDescent="0.25"/>
    <row r="1098" spans="1:11" ht="90" hidden="1" x14ac:dyDescent="0.25">
      <c r="A1098" s="6">
        <v>200</v>
      </c>
      <c r="B1098" s="4" t="s">
        <v>539</v>
      </c>
      <c r="C1098" s="8" t="s">
        <v>540</v>
      </c>
      <c r="D1098" s="16" t="s">
        <v>61</v>
      </c>
      <c r="E1098" s="14">
        <v>1</v>
      </c>
      <c r="F1098" s="11">
        <v>561.20000000000005</v>
      </c>
      <c r="H1098" s="14" t="s">
        <v>50</v>
      </c>
      <c r="I1098" s="11">
        <v>561.20000000000005</v>
      </c>
      <c r="J1098" s="13">
        <v>9.84</v>
      </c>
      <c r="K1098" s="11">
        <v>5522.21</v>
      </c>
    </row>
    <row r="1099" spans="1:11" hidden="1" x14ac:dyDescent="0.25">
      <c r="C1099" s="10" t="s">
        <v>58</v>
      </c>
      <c r="H1099" s="151">
        <v>561.20000000000005</v>
      </c>
      <c r="I1099" s="133"/>
      <c r="J1099" s="151">
        <v>5522.21</v>
      </c>
      <c r="K1099" s="133"/>
    </row>
    <row r="1100" spans="1:11" hidden="1" x14ac:dyDescent="0.25"/>
    <row r="1101" spans="1:11" ht="90" hidden="1" x14ac:dyDescent="0.25">
      <c r="A1101" s="6">
        <v>201</v>
      </c>
      <c r="B1101" s="4" t="s">
        <v>541</v>
      </c>
      <c r="C1101" s="8" t="s">
        <v>542</v>
      </c>
      <c r="D1101" s="16" t="s">
        <v>61</v>
      </c>
      <c r="E1101" s="14">
        <v>6</v>
      </c>
      <c r="F1101" s="11">
        <v>467.65</v>
      </c>
      <c r="H1101" s="14" t="s">
        <v>50</v>
      </c>
      <c r="I1101" s="11">
        <v>2805.9</v>
      </c>
      <c r="J1101" s="13">
        <v>9.84</v>
      </c>
      <c r="K1101" s="11">
        <v>27610.06</v>
      </c>
    </row>
    <row r="1102" spans="1:11" hidden="1" x14ac:dyDescent="0.25">
      <c r="C1102" s="10" t="s">
        <v>58</v>
      </c>
      <c r="H1102" s="151">
        <v>2805.9</v>
      </c>
      <c r="I1102" s="133"/>
      <c r="J1102" s="151">
        <v>27610.06</v>
      </c>
      <c r="K1102" s="133"/>
    </row>
    <row r="1103" spans="1:11" hidden="1" x14ac:dyDescent="0.25"/>
    <row r="1104" spans="1:11" ht="90" hidden="1" x14ac:dyDescent="0.25">
      <c r="A1104" s="6">
        <v>202</v>
      </c>
      <c r="B1104" s="4" t="s">
        <v>543</v>
      </c>
      <c r="C1104" s="8" t="s">
        <v>544</v>
      </c>
      <c r="D1104" s="16" t="s">
        <v>61</v>
      </c>
      <c r="E1104" s="14">
        <v>3</v>
      </c>
      <c r="F1104" s="11">
        <v>467.65</v>
      </c>
      <c r="H1104" s="14" t="s">
        <v>50</v>
      </c>
      <c r="I1104" s="11">
        <v>1402.95</v>
      </c>
      <c r="J1104" s="13">
        <v>9.84</v>
      </c>
      <c r="K1104" s="11">
        <v>13805.03</v>
      </c>
    </row>
    <row r="1105" spans="1:11" hidden="1" x14ac:dyDescent="0.25">
      <c r="C1105" s="10" t="s">
        <v>58</v>
      </c>
      <c r="H1105" s="151">
        <v>1402.95</v>
      </c>
      <c r="I1105" s="133"/>
      <c r="J1105" s="151">
        <v>13805.03</v>
      </c>
      <c r="K1105" s="133"/>
    </row>
    <row r="1106" spans="1:11" hidden="1" x14ac:dyDescent="0.25"/>
    <row r="1107" spans="1:11" ht="90" hidden="1" x14ac:dyDescent="0.25">
      <c r="A1107" s="6">
        <v>203</v>
      </c>
      <c r="B1107" s="4" t="s">
        <v>545</v>
      </c>
      <c r="C1107" s="8" t="s">
        <v>546</v>
      </c>
      <c r="D1107" s="16" t="s">
        <v>61</v>
      </c>
      <c r="E1107" s="14">
        <v>1</v>
      </c>
      <c r="F1107" s="11">
        <v>467.65</v>
      </c>
      <c r="H1107" s="14" t="s">
        <v>50</v>
      </c>
      <c r="I1107" s="11">
        <v>467.65</v>
      </c>
      <c r="J1107" s="13">
        <v>9.84</v>
      </c>
      <c r="K1107" s="11">
        <v>4601.68</v>
      </c>
    </row>
    <row r="1108" spans="1:11" hidden="1" x14ac:dyDescent="0.25">
      <c r="C1108" s="10" t="s">
        <v>58</v>
      </c>
      <c r="H1108" s="151">
        <v>467.65</v>
      </c>
      <c r="I1108" s="133"/>
      <c r="J1108" s="151">
        <v>4601.68</v>
      </c>
      <c r="K1108" s="133"/>
    </row>
    <row r="1109" spans="1:11" hidden="1" x14ac:dyDescent="0.25"/>
    <row r="1110" spans="1:11" ht="90" hidden="1" x14ac:dyDescent="0.25">
      <c r="A1110" s="6">
        <v>204</v>
      </c>
      <c r="B1110" s="4" t="s">
        <v>547</v>
      </c>
      <c r="C1110" s="8" t="s">
        <v>548</v>
      </c>
      <c r="D1110" s="16" t="s">
        <v>61</v>
      </c>
      <c r="E1110" s="14">
        <v>11</v>
      </c>
      <c r="F1110" s="11">
        <v>420.92</v>
      </c>
      <c r="H1110" s="14" t="s">
        <v>50</v>
      </c>
      <c r="I1110" s="11">
        <v>4630.12</v>
      </c>
      <c r="J1110" s="13">
        <v>9.84</v>
      </c>
      <c r="K1110" s="11">
        <v>45560.38</v>
      </c>
    </row>
    <row r="1111" spans="1:11" hidden="1" x14ac:dyDescent="0.25">
      <c r="C1111" s="10" t="s">
        <v>58</v>
      </c>
      <c r="H1111" s="151">
        <v>4630.12</v>
      </c>
      <c r="I1111" s="133"/>
      <c r="J1111" s="151">
        <v>45560.38</v>
      </c>
      <c r="K1111" s="133"/>
    </row>
    <row r="1112" spans="1:11" hidden="1" x14ac:dyDescent="0.25"/>
    <row r="1113" spans="1:11" ht="15.95" hidden="1" customHeight="1" x14ac:dyDescent="0.25">
      <c r="A1113" s="148" t="s">
        <v>549</v>
      </c>
      <c r="B1113" s="133"/>
      <c r="C1113" s="133"/>
      <c r="D1113" s="133"/>
      <c r="E1113" s="133"/>
      <c r="F1113" s="133"/>
      <c r="G1113" s="133"/>
      <c r="H1113" s="133"/>
      <c r="I1113" s="133"/>
      <c r="J1113" s="133"/>
      <c r="K1113" s="133"/>
    </row>
    <row r="1114" spans="1:11" hidden="1" x14ac:dyDescent="0.25"/>
    <row r="1115" spans="1:11" ht="243" hidden="1" x14ac:dyDescent="0.25">
      <c r="A1115" s="6">
        <v>205</v>
      </c>
      <c r="B1115" s="4" t="s">
        <v>550</v>
      </c>
      <c r="C1115" s="8" t="s">
        <v>551</v>
      </c>
      <c r="D1115" s="16" t="s">
        <v>402</v>
      </c>
      <c r="E1115" s="14">
        <v>12</v>
      </c>
    </row>
    <row r="1116" spans="1:11" ht="25.5" hidden="1" x14ac:dyDescent="0.25">
      <c r="C1116" s="9" t="s">
        <v>552</v>
      </c>
    </row>
    <row r="1117" spans="1:11" ht="26.25" hidden="1" x14ac:dyDescent="0.25">
      <c r="C1117" s="5" t="s">
        <v>43</v>
      </c>
      <c r="F1117" s="11">
        <v>171.05</v>
      </c>
      <c r="G1117" s="15" t="s">
        <v>553</v>
      </c>
      <c r="H1117" s="13">
        <v>1.0469999999999999</v>
      </c>
      <c r="I1117" s="11">
        <v>2965.72</v>
      </c>
      <c r="J1117" s="13">
        <v>56.35</v>
      </c>
      <c r="K1117" s="11">
        <v>167118.32</v>
      </c>
    </row>
    <row r="1118" spans="1:11" ht="26.25" hidden="1" x14ac:dyDescent="0.25">
      <c r="C1118" s="7" t="s">
        <v>45</v>
      </c>
      <c r="F1118" s="11">
        <v>7.48</v>
      </c>
      <c r="G1118" s="15" t="s">
        <v>554</v>
      </c>
      <c r="H1118" s="13">
        <v>1.0469999999999999</v>
      </c>
      <c r="I1118" s="11">
        <v>140.97</v>
      </c>
      <c r="J1118" s="13">
        <v>17.07</v>
      </c>
      <c r="K1118" s="11">
        <v>2406.36</v>
      </c>
    </row>
    <row r="1119" spans="1:11" ht="26.25" hidden="1" x14ac:dyDescent="0.25">
      <c r="C1119" s="7" t="s">
        <v>47</v>
      </c>
      <c r="F1119" s="11">
        <v>1.1399999999999999</v>
      </c>
      <c r="G1119" s="15" t="s">
        <v>554</v>
      </c>
      <c r="H1119" s="13">
        <v>1.0469999999999999</v>
      </c>
      <c r="I1119" s="11">
        <v>21.48</v>
      </c>
      <c r="J1119" s="13">
        <v>56.35</v>
      </c>
      <c r="K1119" s="11">
        <v>1210.4000000000001</v>
      </c>
    </row>
    <row r="1120" spans="1:11" hidden="1" x14ac:dyDescent="0.25">
      <c r="C1120" s="7" t="s">
        <v>48</v>
      </c>
      <c r="F1120" s="11">
        <v>1287.8</v>
      </c>
      <c r="G1120" s="15" t="s">
        <v>49</v>
      </c>
      <c r="H1120" s="13">
        <v>1.0189999999999999</v>
      </c>
      <c r="I1120" s="11">
        <v>15747.22</v>
      </c>
      <c r="J1120" s="13">
        <v>6.09</v>
      </c>
      <c r="K1120" s="11">
        <v>95900.57</v>
      </c>
    </row>
    <row r="1121" spans="1:11" hidden="1" x14ac:dyDescent="0.25">
      <c r="C1121" s="7" t="s">
        <v>51</v>
      </c>
      <c r="D1121" s="11" t="s">
        <v>52</v>
      </c>
      <c r="E1121" s="14">
        <v>87</v>
      </c>
      <c r="I1121" s="11">
        <v>2598.86</v>
      </c>
      <c r="J1121" s="14">
        <v>87</v>
      </c>
      <c r="K1121" s="11">
        <v>146445.99</v>
      </c>
    </row>
    <row r="1122" spans="1:11" hidden="1" x14ac:dyDescent="0.25">
      <c r="C1122" s="7" t="s">
        <v>53</v>
      </c>
      <c r="D1122" s="11" t="s">
        <v>52</v>
      </c>
      <c r="E1122" s="14">
        <v>47</v>
      </c>
      <c r="I1122" s="11">
        <v>1403.98</v>
      </c>
      <c r="J1122" s="14">
        <v>47</v>
      </c>
      <c r="K1122" s="11">
        <v>79114.5</v>
      </c>
    </row>
    <row r="1123" spans="1:11" ht="26.25" hidden="1" x14ac:dyDescent="0.25">
      <c r="C1123" s="7" t="s">
        <v>54</v>
      </c>
      <c r="D1123" s="11" t="s">
        <v>55</v>
      </c>
      <c r="E1123" s="13">
        <v>14.62</v>
      </c>
      <c r="G1123" s="15" t="s">
        <v>553</v>
      </c>
      <c r="H1123" s="13">
        <v>1.0469999999999999</v>
      </c>
      <c r="I1123" s="12">
        <v>253.48623839999999</v>
      </c>
    </row>
    <row r="1124" spans="1:11" hidden="1" x14ac:dyDescent="0.25">
      <c r="A1124" s="62"/>
      <c r="B1124" s="62"/>
      <c r="C1124" s="62" t="s">
        <v>56</v>
      </c>
      <c r="D1124" s="62"/>
      <c r="E1124" s="62"/>
      <c r="F1124" s="62"/>
      <c r="G1124" s="62"/>
      <c r="H1124" s="149">
        <v>22856.75</v>
      </c>
      <c r="I1124" s="150"/>
      <c r="J1124" s="149">
        <v>490985.74</v>
      </c>
      <c r="K1124" s="150"/>
    </row>
    <row r="1125" spans="1:11" hidden="1" x14ac:dyDescent="0.25">
      <c r="C1125" s="10" t="s">
        <v>57</v>
      </c>
      <c r="H1125" s="151">
        <v>0</v>
      </c>
      <c r="I1125" s="133"/>
      <c r="J1125" s="151">
        <v>0</v>
      </c>
      <c r="K1125" s="133"/>
    </row>
    <row r="1126" spans="1:11" hidden="1" x14ac:dyDescent="0.25">
      <c r="C1126" s="10" t="s">
        <v>58</v>
      </c>
      <c r="H1126" s="151">
        <v>22856.75</v>
      </c>
      <c r="I1126" s="133"/>
      <c r="J1126" s="151">
        <v>490985.74</v>
      </c>
      <c r="K1126" s="133"/>
    </row>
    <row r="1127" spans="1:11" hidden="1" x14ac:dyDescent="0.25"/>
    <row r="1128" spans="1:11" ht="268.5" hidden="1" x14ac:dyDescent="0.25">
      <c r="A1128" s="6">
        <v>206</v>
      </c>
      <c r="B1128" s="4" t="s">
        <v>406</v>
      </c>
      <c r="C1128" s="8" t="s">
        <v>407</v>
      </c>
      <c r="D1128" s="16" t="s">
        <v>199</v>
      </c>
      <c r="E1128" s="13">
        <v>1288.0103999999999</v>
      </c>
      <c r="F1128" s="11">
        <v>29.42</v>
      </c>
      <c r="H1128" s="14" t="s">
        <v>50</v>
      </c>
      <c r="I1128" s="11">
        <v>37893.269999999997</v>
      </c>
      <c r="J1128" s="13">
        <v>6.36</v>
      </c>
      <c r="K1128" s="11">
        <v>241001.2</v>
      </c>
    </row>
    <row r="1129" spans="1:11" hidden="1" x14ac:dyDescent="0.25">
      <c r="C1129" s="10" t="s">
        <v>58</v>
      </c>
      <c r="H1129" s="151">
        <v>37893.269999999997</v>
      </c>
      <c r="I1129" s="133"/>
      <c r="J1129" s="151">
        <v>241001.2</v>
      </c>
      <c r="K1129" s="133"/>
    </row>
    <row r="1130" spans="1:11" hidden="1" x14ac:dyDescent="0.25"/>
    <row r="1131" spans="1:11" hidden="1" x14ac:dyDescent="0.25"/>
    <row r="1132" spans="1:11" hidden="1" x14ac:dyDescent="0.25">
      <c r="A1132" s="63"/>
      <c r="B1132" s="63"/>
      <c r="C1132" s="63"/>
      <c r="D1132" s="63"/>
      <c r="E1132" s="63"/>
      <c r="F1132" s="63"/>
      <c r="G1132" s="63"/>
      <c r="H1132" s="63"/>
      <c r="I1132" s="63"/>
      <c r="J1132" s="63"/>
      <c r="K1132" s="63"/>
    </row>
    <row r="1133" spans="1:11" ht="15.95" hidden="1" customHeight="1" x14ac:dyDescent="0.25">
      <c r="A1133" s="152" t="s">
        <v>555</v>
      </c>
      <c r="B1133" s="133"/>
      <c r="C1133" s="133"/>
      <c r="D1133" s="133"/>
      <c r="E1133" s="133"/>
      <c r="F1133" s="133"/>
      <c r="G1133" s="133"/>
      <c r="H1133" s="151">
        <v>1049055.57</v>
      </c>
      <c r="I1133" s="133"/>
      <c r="J1133" s="151">
        <v>9821042.5500000007</v>
      </c>
      <c r="K1133" s="133"/>
    </row>
    <row r="1134" spans="1:11" hidden="1" x14ac:dyDescent="0.25"/>
    <row r="1135" spans="1:11" hidden="1" x14ac:dyDescent="0.25"/>
    <row r="1136" spans="1:11" ht="17.100000000000001" hidden="1" customHeight="1" x14ac:dyDescent="0.25">
      <c r="A1136" s="147" t="s">
        <v>556</v>
      </c>
      <c r="B1136" s="133"/>
      <c r="C1136" s="133"/>
      <c r="D1136" s="133"/>
      <c r="E1136" s="133"/>
      <c r="F1136" s="133"/>
      <c r="G1136" s="133"/>
      <c r="H1136" s="133"/>
      <c r="I1136" s="133"/>
      <c r="J1136" s="133"/>
      <c r="K1136" s="133"/>
    </row>
    <row r="1137" spans="1:11" hidden="1" x14ac:dyDescent="0.25"/>
    <row r="1138" spans="1:11" ht="178.5" hidden="1" x14ac:dyDescent="0.25">
      <c r="A1138" s="6">
        <v>207</v>
      </c>
      <c r="B1138" s="4" t="s">
        <v>557</v>
      </c>
      <c r="C1138" s="8" t="s">
        <v>558</v>
      </c>
      <c r="D1138" s="16" t="s">
        <v>559</v>
      </c>
      <c r="E1138" s="13">
        <v>0.3</v>
      </c>
    </row>
    <row r="1139" spans="1:11" ht="25.5" hidden="1" x14ac:dyDescent="0.25">
      <c r="C1139" s="9" t="s">
        <v>560</v>
      </c>
    </row>
    <row r="1140" spans="1:11" ht="26.25" hidden="1" x14ac:dyDescent="0.25">
      <c r="C1140" s="5" t="s">
        <v>43</v>
      </c>
      <c r="F1140" s="11">
        <v>370.95</v>
      </c>
      <c r="G1140" s="15" t="s">
        <v>553</v>
      </c>
      <c r="H1140" s="13">
        <v>1.0669999999999999</v>
      </c>
      <c r="I1140" s="11">
        <v>163.86</v>
      </c>
      <c r="J1140" s="13">
        <v>56.35</v>
      </c>
      <c r="K1140" s="11">
        <v>9233.51</v>
      </c>
    </row>
    <row r="1141" spans="1:11" ht="26.25" hidden="1" x14ac:dyDescent="0.25">
      <c r="C1141" s="7" t="s">
        <v>45</v>
      </c>
      <c r="F1141" s="11">
        <v>41.95</v>
      </c>
      <c r="G1141" s="15" t="s">
        <v>554</v>
      </c>
      <c r="H1141" s="13">
        <v>1.0669999999999999</v>
      </c>
      <c r="I1141" s="11">
        <v>20.14</v>
      </c>
      <c r="J1141" s="13">
        <v>16.22</v>
      </c>
      <c r="K1141" s="11">
        <v>326.67</v>
      </c>
    </row>
    <row r="1142" spans="1:11" ht="26.25" hidden="1" x14ac:dyDescent="0.25">
      <c r="C1142" s="7" t="s">
        <v>47</v>
      </c>
      <c r="F1142" s="11">
        <v>5.6</v>
      </c>
      <c r="G1142" s="15" t="s">
        <v>554</v>
      </c>
      <c r="H1142" s="13">
        <v>1.0669999999999999</v>
      </c>
      <c r="I1142" s="11">
        <v>2.69</v>
      </c>
      <c r="J1142" s="13">
        <v>56.35</v>
      </c>
      <c r="K1142" s="11">
        <v>151.58000000000001</v>
      </c>
    </row>
    <row r="1143" spans="1:11" hidden="1" x14ac:dyDescent="0.25">
      <c r="C1143" s="7" t="s">
        <v>48</v>
      </c>
      <c r="F1143" s="11">
        <v>32.51</v>
      </c>
      <c r="G1143" s="15" t="s">
        <v>49</v>
      </c>
      <c r="H1143" s="14" t="s">
        <v>50</v>
      </c>
      <c r="I1143" s="11">
        <v>9.75</v>
      </c>
      <c r="J1143" s="13">
        <v>7.08</v>
      </c>
      <c r="K1143" s="11">
        <v>69.03</v>
      </c>
    </row>
    <row r="1144" spans="1:11" ht="179.25" hidden="1" x14ac:dyDescent="0.25">
      <c r="A1144" s="6" t="s">
        <v>561</v>
      </c>
      <c r="B1144" s="4" t="s">
        <v>562</v>
      </c>
      <c r="C1144" s="8" t="s">
        <v>563</v>
      </c>
      <c r="D1144" s="16" t="s">
        <v>393</v>
      </c>
      <c r="E1144" s="14">
        <v>30</v>
      </c>
      <c r="F1144" s="11">
        <v>31.31</v>
      </c>
      <c r="G1144" s="15" t="s">
        <v>49</v>
      </c>
      <c r="H1144" s="14" t="s">
        <v>50</v>
      </c>
      <c r="I1144" s="11">
        <v>939.3</v>
      </c>
      <c r="J1144" s="13">
        <v>11.71</v>
      </c>
      <c r="K1144" s="11">
        <v>10999.2</v>
      </c>
    </row>
    <row r="1145" spans="1:11" hidden="1" x14ac:dyDescent="0.25">
      <c r="C1145" s="7" t="s">
        <v>51</v>
      </c>
      <c r="D1145" s="11" t="s">
        <v>52</v>
      </c>
      <c r="E1145" s="14">
        <v>109</v>
      </c>
      <c r="I1145" s="11">
        <v>181.54</v>
      </c>
      <c r="J1145" s="14">
        <v>109</v>
      </c>
      <c r="K1145" s="11">
        <v>10229.75</v>
      </c>
    </row>
    <row r="1146" spans="1:11" hidden="1" x14ac:dyDescent="0.25">
      <c r="C1146" s="7" t="s">
        <v>53</v>
      </c>
      <c r="D1146" s="11" t="s">
        <v>52</v>
      </c>
      <c r="E1146" s="14">
        <v>61</v>
      </c>
      <c r="I1146" s="11">
        <v>101.6</v>
      </c>
      <c r="J1146" s="14">
        <v>61</v>
      </c>
      <c r="K1146" s="11">
        <v>5724.9</v>
      </c>
    </row>
    <row r="1147" spans="1:11" ht="26.25" hidden="1" x14ac:dyDescent="0.25">
      <c r="C1147" s="7" t="s">
        <v>54</v>
      </c>
      <c r="D1147" s="11" t="s">
        <v>55</v>
      </c>
      <c r="E1147" s="13">
        <v>29.7</v>
      </c>
      <c r="G1147" s="15" t="s">
        <v>553</v>
      </c>
      <c r="H1147" s="13">
        <v>1.0669999999999999</v>
      </c>
      <c r="I1147" s="12">
        <v>13.119618600000001</v>
      </c>
    </row>
    <row r="1148" spans="1:11" hidden="1" x14ac:dyDescent="0.25">
      <c r="A1148" s="64"/>
      <c r="B1148" s="64"/>
      <c r="C1148" s="64" t="s">
        <v>56</v>
      </c>
      <c r="D1148" s="64"/>
      <c r="E1148" s="64"/>
      <c r="F1148" s="64"/>
      <c r="G1148" s="64"/>
      <c r="H1148" s="149">
        <v>1416.19</v>
      </c>
      <c r="I1148" s="150"/>
      <c r="J1148" s="149">
        <v>36583.06</v>
      </c>
      <c r="K1148" s="150"/>
    </row>
    <row r="1149" spans="1:11" hidden="1" x14ac:dyDescent="0.25">
      <c r="C1149" s="10" t="s">
        <v>57</v>
      </c>
      <c r="H1149" s="151">
        <v>0</v>
      </c>
      <c r="I1149" s="133"/>
      <c r="J1149" s="151">
        <v>0</v>
      </c>
      <c r="K1149" s="133"/>
    </row>
    <row r="1150" spans="1:11" hidden="1" x14ac:dyDescent="0.25">
      <c r="C1150" s="10" t="s">
        <v>58</v>
      </c>
      <c r="H1150" s="151">
        <v>1416.19</v>
      </c>
      <c r="I1150" s="133"/>
      <c r="J1150" s="151">
        <v>36583.06</v>
      </c>
      <c r="K1150" s="133"/>
    </row>
    <row r="1151" spans="1:11" hidden="1" x14ac:dyDescent="0.25"/>
    <row r="1152" spans="1:11" ht="178.5" hidden="1" x14ac:dyDescent="0.25">
      <c r="A1152" s="6">
        <v>208</v>
      </c>
      <c r="B1152" s="4" t="s">
        <v>564</v>
      </c>
      <c r="C1152" s="8" t="s">
        <v>565</v>
      </c>
      <c r="D1152" s="16" t="s">
        <v>559</v>
      </c>
      <c r="E1152" s="13">
        <v>0.3</v>
      </c>
    </row>
    <row r="1153" spans="1:11" ht="25.5" hidden="1" x14ac:dyDescent="0.25">
      <c r="C1153" s="9" t="s">
        <v>560</v>
      </c>
    </row>
    <row r="1154" spans="1:11" ht="26.25" hidden="1" x14ac:dyDescent="0.25">
      <c r="C1154" s="5" t="s">
        <v>43</v>
      </c>
      <c r="F1154" s="11">
        <v>370.95</v>
      </c>
      <c r="G1154" s="15" t="s">
        <v>553</v>
      </c>
      <c r="H1154" s="13">
        <v>1.0669999999999999</v>
      </c>
      <c r="I1154" s="11">
        <v>163.86</v>
      </c>
      <c r="J1154" s="13">
        <v>56.35</v>
      </c>
      <c r="K1154" s="11">
        <v>9233.51</v>
      </c>
    </row>
    <row r="1155" spans="1:11" ht="26.25" hidden="1" x14ac:dyDescent="0.25">
      <c r="C1155" s="7" t="s">
        <v>45</v>
      </c>
      <c r="F1155" s="11">
        <v>41.95</v>
      </c>
      <c r="G1155" s="15" t="s">
        <v>554</v>
      </c>
      <c r="H1155" s="13">
        <v>1.0669999999999999</v>
      </c>
      <c r="I1155" s="11">
        <v>20.14</v>
      </c>
      <c r="J1155" s="13">
        <v>16.22</v>
      </c>
      <c r="K1155" s="11">
        <v>326.67</v>
      </c>
    </row>
    <row r="1156" spans="1:11" ht="26.25" hidden="1" x14ac:dyDescent="0.25">
      <c r="C1156" s="7" t="s">
        <v>47</v>
      </c>
      <c r="F1156" s="11">
        <v>5.6</v>
      </c>
      <c r="G1156" s="15" t="s">
        <v>554</v>
      </c>
      <c r="H1156" s="13">
        <v>1.0669999999999999</v>
      </c>
      <c r="I1156" s="11">
        <v>2.69</v>
      </c>
      <c r="J1156" s="13">
        <v>56.35</v>
      </c>
      <c r="K1156" s="11">
        <v>151.58000000000001</v>
      </c>
    </row>
    <row r="1157" spans="1:11" hidden="1" x14ac:dyDescent="0.25">
      <c r="C1157" s="7" t="s">
        <v>48</v>
      </c>
      <c r="F1157" s="11">
        <v>32.96</v>
      </c>
      <c r="G1157" s="15" t="s">
        <v>49</v>
      </c>
      <c r="H1157" s="14" t="s">
        <v>50</v>
      </c>
      <c r="I1157" s="11">
        <v>9.89</v>
      </c>
      <c r="J1157" s="13">
        <v>7.09</v>
      </c>
      <c r="K1157" s="11">
        <v>70.12</v>
      </c>
    </row>
    <row r="1158" spans="1:11" ht="179.25" hidden="1" x14ac:dyDescent="0.25">
      <c r="A1158" s="6" t="s">
        <v>566</v>
      </c>
      <c r="B1158" s="4" t="s">
        <v>567</v>
      </c>
      <c r="C1158" s="8" t="s">
        <v>568</v>
      </c>
      <c r="D1158" s="16" t="s">
        <v>393</v>
      </c>
      <c r="E1158" s="14">
        <v>30</v>
      </c>
      <c r="F1158" s="11">
        <v>31.73</v>
      </c>
      <c r="G1158" s="15" t="s">
        <v>49</v>
      </c>
      <c r="H1158" s="14" t="s">
        <v>50</v>
      </c>
      <c r="I1158" s="11">
        <v>951.9</v>
      </c>
      <c r="J1158" s="13">
        <v>14.47</v>
      </c>
      <c r="K1158" s="11">
        <v>13773.99</v>
      </c>
    </row>
    <row r="1159" spans="1:11" hidden="1" x14ac:dyDescent="0.25">
      <c r="C1159" s="7" t="s">
        <v>51</v>
      </c>
      <c r="D1159" s="11" t="s">
        <v>52</v>
      </c>
      <c r="E1159" s="14">
        <v>109</v>
      </c>
      <c r="I1159" s="11">
        <v>181.54</v>
      </c>
      <c r="J1159" s="14">
        <v>109</v>
      </c>
      <c r="K1159" s="11">
        <v>10229.75</v>
      </c>
    </row>
    <row r="1160" spans="1:11" hidden="1" x14ac:dyDescent="0.25">
      <c r="C1160" s="7" t="s">
        <v>53</v>
      </c>
      <c r="D1160" s="11" t="s">
        <v>52</v>
      </c>
      <c r="E1160" s="14">
        <v>61</v>
      </c>
      <c r="I1160" s="11">
        <v>101.6</v>
      </c>
      <c r="J1160" s="14">
        <v>61</v>
      </c>
      <c r="K1160" s="11">
        <v>5724.9</v>
      </c>
    </row>
    <row r="1161" spans="1:11" ht="26.25" hidden="1" x14ac:dyDescent="0.25">
      <c r="C1161" s="7" t="s">
        <v>54</v>
      </c>
      <c r="D1161" s="11" t="s">
        <v>55</v>
      </c>
      <c r="E1161" s="13">
        <v>29.7</v>
      </c>
      <c r="G1161" s="15" t="s">
        <v>553</v>
      </c>
      <c r="H1161" s="13">
        <v>1.0669999999999999</v>
      </c>
      <c r="I1161" s="12">
        <v>13.119618600000001</v>
      </c>
    </row>
    <row r="1162" spans="1:11" hidden="1" x14ac:dyDescent="0.25">
      <c r="A1162" s="65"/>
      <c r="B1162" s="65"/>
      <c r="C1162" s="65" t="s">
        <v>56</v>
      </c>
      <c r="D1162" s="65"/>
      <c r="E1162" s="65"/>
      <c r="F1162" s="65"/>
      <c r="G1162" s="65"/>
      <c r="H1162" s="149">
        <v>1428.93</v>
      </c>
      <c r="I1162" s="150"/>
      <c r="J1162" s="149">
        <v>39358.94</v>
      </c>
      <c r="K1162" s="150"/>
    </row>
    <row r="1163" spans="1:11" hidden="1" x14ac:dyDescent="0.25">
      <c r="C1163" s="10" t="s">
        <v>57</v>
      </c>
      <c r="H1163" s="151">
        <v>0</v>
      </c>
      <c r="I1163" s="133"/>
      <c r="J1163" s="151">
        <v>0</v>
      </c>
      <c r="K1163" s="133"/>
    </row>
    <row r="1164" spans="1:11" hidden="1" x14ac:dyDescent="0.25">
      <c r="C1164" s="10" t="s">
        <v>58</v>
      </c>
      <c r="H1164" s="151">
        <v>1428.93</v>
      </c>
      <c r="I1164" s="133"/>
      <c r="J1164" s="151">
        <v>39358.94</v>
      </c>
      <c r="K1164" s="133"/>
    </row>
    <row r="1165" spans="1:11" hidden="1" x14ac:dyDescent="0.25"/>
    <row r="1166" spans="1:11" ht="178.5" hidden="1" x14ac:dyDescent="0.25">
      <c r="A1166" s="6">
        <v>209</v>
      </c>
      <c r="B1166" s="4" t="s">
        <v>569</v>
      </c>
      <c r="C1166" s="8" t="s">
        <v>570</v>
      </c>
      <c r="D1166" s="16" t="s">
        <v>559</v>
      </c>
      <c r="E1166" s="13">
        <v>0.35</v>
      </c>
    </row>
    <row r="1167" spans="1:11" ht="38.25" hidden="1" x14ac:dyDescent="0.25">
      <c r="C1167" s="9" t="s">
        <v>571</v>
      </c>
    </row>
    <row r="1168" spans="1:11" ht="26.25" hidden="1" x14ac:dyDescent="0.25">
      <c r="C1168" s="5" t="s">
        <v>43</v>
      </c>
      <c r="F1168" s="11">
        <v>370.95</v>
      </c>
      <c r="G1168" s="15" t="s">
        <v>553</v>
      </c>
      <c r="H1168" s="13">
        <v>1.0669999999999999</v>
      </c>
      <c r="I1168" s="11">
        <v>191.17</v>
      </c>
      <c r="J1168" s="13">
        <v>56.35</v>
      </c>
      <c r="K1168" s="11">
        <v>10772.43</v>
      </c>
    </row>
    <row r="1169" spans="1:11" ht="26.25" hidden="1" x14ac:dyDescent="0.25">
      <c r="C1169" s="7" t="s">
        <v>45</v>
      </c>
      <c r="F1169" s="11">
        <v>41.95</v>
      </c>
      <c r="G1169" s="15" t="s">
        <v>554</v>
      </c>
      <c r="H1169" s="13">
        <v>1.0669999999999999</v>
      </c>
      <c r="I1169" s="11">
        <v>23.5</v>
      </c>
      <c r="J1169" s="13">
        <v>16.22</v>
      </c>
      <c r="K1169" s="11">
        <v>381.17</v>
      </c>
    </row>
    <row r="1170" spans="1:11" ht="26.25" hidden="1" x14ac:dyDescent="0.25">
      <c r="C1170" s="7" t="s">
        <v>47</v>
      </c>
      <c r="F1170" s="11">
        <v>5.6</v>
      </c>
      <c r="G1170" s="15" t="s">
        <v>554</v>
      </c>
      <c r="H1170" s="13">
        <v>1.0669999999999999</v>
      </c>
      <c r="I1170" s="11">
        <v>3.14</v>
      </c>
      <c r="J1170" s="13">
        <v>56.35</v>
      </c>
      <c r="K1170" s="11">
        <v>176.94</v>
      </c>
    </row>
    <row r="1171" spans="1:11" hidden="1" x14ac:dyDescent="0.25">
      <c r="C1171" s="7" t="s">
        <v>48</v>
      </c>
      <c r="F1171" s="11">
        <v>33.74</v>
      </c>
      <c r="G1171" s="15" t="s">
        <v>49</v>
      </c>
      <c r="H1171" s="14" t="s">
        <v>50</v>
      </c>
      <c r="I1171" s="11">
        <v>11.81</v>
      </c>
      <c r="J1171" s="13">
        <v>7.11</v>
      </c>
      <c r="K1171" s="11">
        <v>83.97</v>
      </c>
    </row>
    <row r="1172" spans="1:11" ht="179.25" hidden="1" x14ac:dyDescent="0.25">
      <c r="A1172" s="6" t="s">
        <v>572</v>
      </c>
      <c r="B1172" s="4" t="s">
        <v>573</v>
      </c>
      <c r="C1172" s="8" t="s">
        <v>574</v>
      </c>
      <c r="D1172" s="16" t="s">
        <v>393</v>
      </c>
      <c r="E1172" s="14">
        <v>35</v>
      </c>
      <c r="F1172" s="11">
        <v>33.29</v>
      </c>
      <c r="G1172" s="15" t="s">
        <v>49</v>
      </c>
      <c r="H1172" s="14" t="s">
        <v>50</v>
      </c>
      <c r="I1172" s="11">
        <v>1165.1500000000001</v>
      </c>
      <c r="J1172" s="13">
        <v>16.489999999999998</v>
      </c>
      <c r="K1172" s="11">
        <v>19213.32</v>
      </c>
    </row>
    <row r="1173" spans="1:11" hidden="1" x14ac:dyDescent="0.25">
      <c r="C1173" s="7" t="s">
        <v>51</v>
      </c>
      <c r="D1173" s="11" t="s">
        <v>52</v>
      </c>
      <c r="E1173" s="14">
        <v>109</v>
      </c>
      <c r="I1173" s="11">
        <v>211.8</v>
      </c>
      <c r="J1173" s="14">
        <v>109</v>
      </c>
      <c r="K1173" s="11">
        <v>11934.81</v>
      </c>
    </row>
    <row r="1174" spans="1:11" hidden="1" x14ac:dyDescent="0.25">
      <c r="C1174" s="7" t="s">
        <v>53</v>
      </c>
      <c r="D1174" s="11" t="s">
        <v>52</v>
      </c>
      <c r="E1174" s="14">
        <v>61</v>
      </c>
      <c r="I1174" s="11">
        <v>118.53</v>
      </c>
      <c r="J1174" s="14">
        <v>61</v>
      </c>
      <c r="K1174" s="11">
        <v>6679.12</v>
      </c>
    </row>
    <row r="1175" spans="1:11" ht="26.25" hidden="1" x14ac:dyDescent="0.25">
      <c r="C1175" s="7" t="s">
        <v>54</v>
      </c>
      <c r="D1175" s="11" t="s">
        <v>55</v>
      </c>
      <c r="E1175" s="13">
        <v>29.7</v>
      </c>
      <c r="G1175" s="15" t="s">
        <v>553</v>
      </c>
      <c r="H1175" s="13">
        <v>1.0669999999999999</v>
      </c>
      <c r="I1175" s="12">
        <v>15.3062217</v>
      </c>
    </row>
    <row r="1176" spans="1:11" hidden="1" x14ac:dyDescent="0.25">
      <c r="A1176" s="66"/>
      <c r="B1176" s="66"/>
      <c r="C1176" s="66" t="s">
        <v>56</v>
      </c>
      <c r="D1176" s="66"/>
      <c r="E1176" s="66"/>
      <c r="F1176" s="66"/>
      <c r="G1176" s="66"/>
      <c r="H1176" s="149">
        <v>1721.96</v>
      </c>
      <c r="I1176" s="150"/>
      <c r="J1176" s="149">
        <v>49064.82</v>
      </c>
      <c r="K1176" s="150"/>
    </row>
    <row r="1177" spans="1:11" hidden="1" x14ac:dyDescent="0.25">
      <c r="C1177" s="10" t="s">
        <v>57</v>
      </c>
      <c r="H1177" s="151">
        <v>0</v>
      </c>
      <c r="I1177" s="133"/>
      <c r="J1177" s="151">
        <v>0</v>
      </c>
      <c r="K1177" s="133"/>
    </row>
    <row r="1178" spans="1:11" hidden="1" x14ac:dyDescent="0.25">
      <c r="C1178" s="10" t="s">
        <v>58</v>
      </c>
      <c r="H1178" s="151">
        <v>1721.96</v>
      </c>
      <c r="I1178" s="133"/>
      <c r="J1178" s="151">
        <v>49064.82</v>
      </c>
      <c r="K1178" s="133"/>
    </row>
    <row r="1179" spans="1:11" hidden="1" x14ac:dyDescent="0.25"/>
    <row r="1180" spans="1:11" ht="178.5" hidden="1" x14ac:dyDescent="0.25">
      <c r="A1180" s="6">
        <v>210</v>
      </c>
      <c r="B1180" s="4" t="s">
        <v>575</v>
      </c>
      <c r="C1180" s="8" t="s">
        <v>576</v>
      </c>
      <c r="D1180" s="16" t="s">
        <v>559</v>
      </c>
      <c r="E1180" s="13">
        <v>1.4</v>
      </c>
    </row>
    <row r="1181" spans="1:11" ht="25.5" hidden="1" x14ac:dyDescent="0.25">
      <c r="C1181" s="9" t="s">
        <v>577</v>
      </c>
    </row>
    <row r="1182" spans="1:11" ht="26.25" hidden="1" x14ac:dyDescent="0.25">
      <c r="C1182" s="5" t="s">
        <v>43</v>
      </c>
      <c r="F1182" s="11">
        <v>370.95</v>
      </c>
      <c r="G1182" s="15" t="s">
        <v>553</v>
      </c>
      <c r="H1182" s="13">
        <v>1.0669999999999999</v>
      </c>
      <c r="I1182" s="11">
        <v>764.69</v>
      </c>
      <c r="J1182" s="13">
        <v>56.35</v>
      </c>
      <c r="K1182" s="11">
        <v>43090.28</v>
      </c>
    </row>
    <row r="1183" spans="1:11" ht="26.25" hidden="1" x14ac:dyDescent="0.25">
      <c r="C1183" s="7" t="s">
        <v>45</v>
      </c>
      <c r="F1183" s="11">
        <v>41.95</v>
      </c>
      <c r="G1183" s="15" t="s">
        <v>554</v>
      </c>
      <c r="H1183" s="13">
        <v>1.0669999999999999</v>
      </c>
      <c r="I1183" s="11">
        <v>94</v>
      </c>
      <c r="J1183" s="13">
        <v>16.22</v>
      </c>
      <c r="K1183" s="11">
        <v>1524.68</v>
      </c>
    </row>
    <row r="1184" spans="1:11" ht="26.25" hidden="1" x14ac:dyDescent="0.25">
      <c r="C1184" s="7" t="s">
        <v>47</v>
      </c>
      <c r="F1184" s="11">
        <v>5.6</v>
      </c>
      <c r="G1184" s="15" t="s">
        <v>554</v>
      </c>
      <c r="H1184" s="13">
        <v>1.0669999999999999</v>
      </c>
      <c r="I1184" s="11">
        <v>12.55</v>
      </c>
      <c r="J1184" s="13">
        <v>56.35</v>
      </c>
      <c r="K1184" s="11">
        <v>707.19</v>
      </c>
    </row>
    <row r="1185" spans="1:11" hidden="1" x14ac:dyDescent="0.25">
      <c r="C1185" s="7" t="s">
        <v>48</v>
      </c>
      <c r="F1185" s="11">
        <v>34.92</v>
      </c>
      <c r="G1185" s="15" t="s">
        <v>49</v>
      </c>
      <c r="H1185" s="14" t="s">
        <v>50</v>
      </c>
      <c r="I1185" s="11">
        <v>48.89</v>
      </c>
      <c r="J1185" s="13">
        <v>7.13</v>
      </c>
      <c r="K1185" s="11">
        <v>348.59</v>
      </c>
    </row>
    <row r="1186" spans="1:11" ht="179.25" hidden="1" x14ac:dyDescent="0.25">
      <c r="A1186" s="6" t="s">
        <v>578</v>
      </c>
      <c r="B1186" s="4" t="s">
        <v>579</v>
      </c>
      <c r="C1186" s="8" t="s">
        <v>580</v>
      </c>
      <c r="D1186" s="16" t="s">
        <v>393</v>
      </c>
      <c r="E1186" s="14">
        <v>140</v>
      </c>
      <c r="F1186" s="11">
        <v>35.979999999999997</v>
      </c>
      <c r="G1186" s="15" t="s">
        <v>49</v>
      </c>
      <c r="H1186" s="14" t="s">
        <v>50</v>
      </c>
      <c r="I1186" s="11">
        <v>5037.2</v>
      </c>
      <c r="J1186" s="13">
        <v>24.45</v>
      </c>
      <c r="K1186" s="11">
        <v>123159.54</v>
      </c>
    </row>
    <row r="1187" spans="1:11" hidden="1" x14ac:dyDescent="0.25">
      <c r="C1187" s="7" t="s">
        <v>51</v>
      </c>
      <c r="D1187" s="11" t="s">
        <v>52</v>
      </c>
      <c r="E1187" s="14">
        <v>109</v>
      </c>
      <c r="I1187" s="11">
        <v>847.19</v>
      </c>
      <c r="J1187" s="14">
        <v>109</v>
      </c>
      <c r="K1187" s="11">
        <v>47739.24</v>
      </c>
    </row>
    <row r="1188" spans="1:11" hidden="1" x14ac:dyDescent="0.25">
      <c r="C1188" s="7" t="s">
        <v>53</v>
      </c>
      <c r="D1188" s="11" t="s">
        <v>52</v>
      </c>
      <c r="E1188" s="14">
        <v>61</v>
      </c>
      <c r="I1188" s="11">
        <v>474.12</v>
      </c>
      <c r="J1188" s="14">
        <v>61</v>
      </c>
      <c r="K1188" s="11">
        <v>26716.46</v>
      </c>
    </row>
    <row r="1189" spans="1:11" ht="26.25" hidden="1" x14ac:dyDescent="0.25">
      <c r="C1189" s="7" t="s">
        <v>54</v>
      </c>
      <c r="D1189" s="11" t="s">
        <v>55</v>
      </c>
      <c r="E1189" s="13">
        <v>29.7</v>
      </c>
      <c r="G1189" s="15" t="s">
        <v>553</v>
      </c>
      <c r="H1189" s="13">
        <v>1.0669999999999999</v>
      </c>
      <c r="I1189" s="12">
        <v>61.2248868</v>
      </c>
    </row>
    <row r="1190" spans="1:11" hidden="1" x14ac:dyDescent="0.25">
      <c r="A1190" s="67"/>
      <c r="B1190" s="67"/>
      <c r="C1190" s="67" t="s">
        <v>56</v>
      </c>
      <c r="D1190" s="67"/>
      <c r="E1190" s="67"/>
      <c r="F1190" s="67"/>
      <c r="G1190" s="67"/>
      <c r="H1190" s="149">
        <v>7266.09</v>
      </c>
      <c r="I1190" s="150"/>
      <c r="J1190" s="149">
        <v>242578.79</v>
      </c>
      <c r="K1190" s="150"/>
    </row>
    <row r="1191" spans="1:11" hidden="1" x14ac:dyDescent="0.25">
      <c r="C1191" s="10" t="s">
        <v>57</v>
      </c>
      <c r="H1191" s="151">
        <v>0</v>
      </c>
      <c r="I1191" s="133"/>
      <c r="J1191" s="151">
        <v>0</v>
      </c>
      <c r="K1191" s="133"/>
    </row>
    <row r="1192" spans="1:11" hidden="1" x14ac:dyDescent="0.25">
      <c r="C1192" s="10" t="s">
        <v>58</v>
      </c>
      <c r="H1192" s="151">
        <v>7266.09</v>
      </c>
      <c r="I1192" s="133"/>
      <c r="J1192" s="151">
        <v>242578.79</v>
      </c>
      <c r="K1192" s="133"/>
    </row>
    <row r="1193" spans="1:11" hidden="1" x14ac:dyDescent="0.25"/>
    <row r="1194" spans="1:11" ht="178.5" hidden="1" x14ac:dyDescent="0.25">
      <c r="A1194" s="6">
        <v>211</v>
      </c>
      <c r="B1194" s="4" t="s">
        <v>581</v>
      </c>
      <c r="C1194" s="8" t="s">
        <v>582</v>
      </c>
      <c r="D1194" s="16" t="s">
        <v>559</v>
      </c>
      <c r="E1194" s="13">
        <v>1.1000000000000001</v>
      </c>
    </row>
    <row r="1195" spans="1:11" ht="25.5" hidden="1" x14ac:dyDescent="0.25">
      <c r="C1195" s="9" t="s">
        <v>583</v>
      </c>
    </row>
    <row r="1196" spans="1:11" ht="26.25" hidden="1" x14ac:dyDescent="0.25">
      <c r="C1196" s="5" t="s">
        <v>43</v>
      </c>
      <c r="F1196" s="11">
        <v>464.63</v>
      </c>
      <c r="G1196" s="15" t="s">
        <v>553</v>
      </c>
      <c r="H1196" s="13">
        <v>1.0669999999999999</v>
      </c>
      <c r="I1196" s="11">
        <v>752.56</v>
      </c>
      <c r="J1196" s="13">
        <v>56.35</v>
      </c>
      <c r="K1196" s="11">
        <v>42406.76</v>
      </c>
    </row>
    <row r="1197" spans="1:11" ht="26.25" hidden="1" x14ac:dyDescent="0.25">
      <c r="C1197" s="7" t="s">
        <v>45</v>
      </c>
      <c r="F1197" s="11">
        <v>80.319999999999993</v>
      </c>
      <c r="G1197" s="15" t="s">
        <v>554</v>
      </c>
      <c r="H1197" s="13">
        <v>1.0669999999999999</v>
      </c>
      <c r="I1197" s="11">
        <v>141.41</v>
      </c>
      <c r="J1197" s="13">
        <v>16.61</v>
      </c>
      <c r="K1197" s="11">
        <v>2348.8200000000002</v>
      </c>
    </row>
    <row r="1198" spans="1:11" ht="26.25" hidden="1" x14ac:dyDescent="0.25">
      <c r="C1198" s="7" t="s">
        <v>47</v>
      </c>
      <c r="F1198" s="11">
        <v>11.41</v>
      </c>
      <c r="G1198" s="15" t="s">
        <v>554</v>
      </c>
      <c r="H1198" s="13">
        <v>1.0669999999999999</v>
      </c>
      <c r="I1198" s="11">
        <v>20.09</v>
      </c>
      <c r="J1198" s="13">
        <v>56.35</v>
      </c>
      <c r="K1198" s="11">
        <v>1132.07</v>
      </c>
    </row>
    <row r="1199" spans="1:11" hidden="1" x14ac:dyDescent="0.25">
      <c r="C1199" s="7" t="s">
        <v>48</v>
      </c>
      <c r="F1199" s="11">
        <v>61.21</v>
      </c>
      <c r="G1199" s="15" t="s">
        <v>49</v>
      </c>
      <c r="H1199" s="14" t="s">
        <v>50</v>
      </c>
      <c r="I1199" s="11">
        <v>67.33</v>
      </c>
      <c r="J1199" s="13">
        <v>9.27</v>
      </c>
      <c r="K1199" s="11">
        <v>624.15</v>
      </c>
    </row>
    <row r="1200" spans="1:11" ht="179.25" hidden="1" x14ac:dyDescent="0.25">
      <c r="A1200" s="6" t="s">
        <v>584</v>
      </c>
      <c r="B1200" s="4" t="s">
        <v>585</v>
      </c>
      <c r="C1200" s="8" t="s">
        <v>586</v>
      </c>
      <c r="D1200" s="16" t="s">
        <v>393</v>
      </c>
      <c r="E1200" s="14">
        <v>110</v>
      </c>
      <c r="F1200" s="11">
        <v>44.5</v>
      </c>
      <c r="G1200" s="15" t="s">
        <v>49</v>
      </c>
      <c r="H1200" s="14" t="s">
        <v>50</v>
      </c>
      <c r="I1200" s="11">
        <v>4895</v>
      </c>
      <c r="J1200" s="13">
        <v>20.47</v>
      </c>
      <c r="K1200" s="11">
        <v>100200.65</v>
      </c>
    </row>
    <row r="1201" spans="1:11" hidden="1" x14ac:dyDescent="0.25">
      <c r="C1201" s="7" t="s">
        <v>51</v>
      </c>
      <c r="D1201" s="11" t="s">
        <v>52</v>
      </c>
      <c r="E1201" s="14">
        <v>109</v>
      </c>
      <c r="I1201" s="11">
        <v>842.19</v>
      </c>
      <c r="J1201" s="14">
        <v>109</v>
      </c>
      <c r="K1201" s="11">
        <v>47457.32</v>
      </c>
    </row>
    <row r="1202" spans="1:11" hidden="1" x14ac:dyDescent="0.25">
      <c r="C1202" s="7" t="s">
        <v>53</v>
      </c>
      <c r="D1202" s="11" t="s">
        <v>52</v>
      </c>
      <c r="E1202" s="14">
        <v>61</v>
      </c>
      <c r="I1202" s="11">
        <v>471.32</v>
      </c>
      <c r="J1202" s="14">
        <v>61</v>
      </c>
      <c r="K1202" s="11">
        <v>26558.69</v>
      </c>
    </row>
    <row r="1203" spans="1:11" ht="26.25" hidden="1" x14ac:dyDescent="0.25">
      <c r="C1203" s="7" t="s">
        <v>54</v>
      </c>
      <c r="D1203" s="11" t="s">
        <v>55</v>
      </c>
      <c r="E1203" s="13">
        <v>37.200000000000003</v>
      </c>
      <c r="G1203" s="15" t="s">
        <v>553</v>
      </c>
      <c r="H1203" s="13">
        <v>1.0669999999999999</v>
      </c>
      <c r="I1203" s="12">
        <v>60.2530632</v>
      </c>
    </row>
    <row r="1204" spans="1:11" hidden="1" x14ac:dyDescent="0.25">
      <c r="A1204" s="68"/>
      <c r="B1204" s="68"/>
      <c r="C1204" s="68" t="s">
        <v>56</v>
      </c>
      <c r="D1204" s="68"/>
      <c r="E1204" s="68"/>
      <c r="F1204" s="68"/>
      <c r="G1204" s="68"/>
      <c r="H1204" s="149">
        <v>7169.81</v>
      </c>
      <c r="I1204" s="150"/>
      <c r="J1204" s="149">
        <v>219596.39</v>
      </c>
      <c r="K1204" s="150"/>
    </row>
    <row r="1205" spans="1:11" hidden="1" x14ac:dyDescent="0.25">
      <c r="C1205" s="10" t="s">
        <v>57</v>
      </c>
      <c r="H1205" s="151">
        <v>0</v>
      </c>
      <c r="I1205" s="133"/>
      <c r="J1205" s="151">
        <v>0</v>
      </c>
      <c r="K1205" s="133"/>
    </row>
    <row r="1206" spans="1:11" hidden="1" x14ac:dyDescent="0.25">
      <c r="C1206" s="10" t="s">
        <v>58</v>
      </c>
      <c r="H1206" s="151">
        <v>7169.81</v>
      </c>
      <c r="I1206" s="133"/>
      <c r="J1206" s="151">
        <v>219596.39</v>
      </c>
      <c r="K1206" s="133"/>
    </row>
    <row r="1207" spans="1:11" hidden="1" x14ac:dyDescent="0.25"/>
    <row r="1208" spans="1:11" ht="178.5" hidden="1" x14ac:dyDescent="0.25">
      <c r="A1208" s="6">
        <v>212</v>
      </c>
      <c r="B1208" s="4" t="s">
        <v>587</v>
      </c>
      <c r="C1208" s="8" t="s">
        <v>588</v>
      </c>
      <c r="D1208" s="16" t="s">
        <v>559</v>
      </c>
      <c r="E1208" s="13">
        <v>0.15</v>
      </c>
    </row>
    <row r="1209" spans="1:11" ht="38.25" hidden="1" x14ac:dyDescent="0.25">
      <c r="C1209" s="9" t="s">
        <v>589</v>
      </c>
    </row>
    <row r="1210" spans="1:11" ht="26.25" hidden="1" x14ac:dyDescent="0.25">
      <c r="C1210" s="5" t="s">
        <v>43</v>
      </c>
      <c r="F1210" s="11">
        <v>667.66</v>
      </c>
      <c r="G1210" s="15" t="s">
        <v>553</v>
      </c>
      <c r="H1210" s="13">
        <v>1.0669999999999999</v>
      </c>
      <c r="I1210" s="11">
        <v>147.47</v>
      </c>
      <c r="J1210" s="13">
        <v>56.35</v>
      </c>
      <c r="K1210" s="11">
        <v>8309.93</v>
      </c>
    </row>
    <row r="1211" spans="1:11" ht="26.25" hidden="1" x14ac:dyDescent="0.25">
      <c r="C1211" s="7" t="s">
        <v>45</v>
      </c>
      <c r="F1211" s="11">
        <v>113.68</v>
      </c>
      <c r="G1211" s="15" t="s">
        <v>554</v>
      </c>
      <c r="H1211" s="13">
        <v>1.0669999999999999</v>
      </c>
      <c r="I1211" s="11">
        <v>27.29</v>
      </c>
      <c r="J1211" s="13">
        <v>16.37</v>
      </c>
      <c r="K1211" s="11">
        <v>446.74</v>
      </c>
    </row>
    <row r="1212" spans="1:11" ht="26.25" hidden="1" x14ac:dyDescent="0.25">
      <c r="C1212" s="7" t="s">
        <v>47</v>
      </c>
      <c r="F1212" s="11">
        <v>14.65</v>
      </c>
      <c r="G1212" s="15" t="s">
        <v>554</v>
      </c>
      <c r="H1212" s="13">
        <v>1.0669999999999999</v>
      </c>
      <c r="I1212" s="11">
        <v>3.52</v>
      </c>
      <c r="J1212" s="13">
        <v>56.35</v>
      </c>
      <c r="K1212" s="11">
        <v>198.35</v>
      </c>
    </row>
    <row r="1213" spans="1:11" hidden="1" x14ac:dyDescent="0.25">
      <c r="C1213" s="7" t="s">
        <v>48</v>
      </c>
      <c r="F1213" s="11">
        <v>145.82</v>
      </c>
      <c r="G1213" s="15" t="s">
        <v>49</v>
      </c>
      <c r="H1213" s="14" t="s">
        <v>50</v>
      </c>
      <c r="I1213" s="11">
        <v>21.87</v>
      </c>
      <c r="J1213" s="13">
        <v>11.06</v>
      </c>
      <c r="K1213" s="11">
        <v>241.88</v>
      </c>
    </row>
    <row r="1214" spans="1:11" ht="179.25" hidden="1" x14ac:dyDescent="0.25">
      <c r="A1214" s="6" t="s">
        <v>590</v>
      </c>
      <c r="B1214" s="4" t="s">
        <v>591</v>
      </c>
      <c r="C1214" s="8" t="s">
        <v>592</v>
      </c>
      <c r="D1214" s="16" t="s">
        <v>393</v>
      </c>
      <c r="E1214" s="14">
        <v>15</v>
      </c>
      <c r="F1214" s="11">
        <v>79.040000000000006</v>
      </c>
      <c r="G1214" s="15" t="s">
        <v>49</v>
      </c>
      <c r="H1214" s="14" t="s">
        <v>50</v>
      </c>
      <c r="I1214" s="11">
        <v>1185.5999999999999</v>
      </c>
      <c r="J1214" s="13">
        <v>22.43</v>
      </c>
      <c r="K1214" s="11">
        <v>26593.01</v>
      </c>
    </row>
    <row r="1215" spans="1:11" hidden="1" x14ac:dyDescent="0.25">
      <c r="C1215" s="7" t="s">
        <v>51</v>
      </c>
      <c r="D1215" s="11" t="s">
        <v>52</v>
      </c>
      <c r="E1215" s="14">
        <v>109</v>
      </c>
      <c r="I1215" s="11">
        <v>164.58</v>
      </c>
      <c r="J1215" s="14">
        <v>109</v>
      </c>
      <c r="K1215" s="11">
        <v>9274.0300000000007</v>
      </c>
    </row>
    <row r="1216" spans="1:11" hidden="1" x14ac:dyDescent="0.25">
      <c r="C1216" s="7" t="s">
        <v>53</v>
      </c>
      <c r="D1216" s="11" t="s">
        <v>52</v>
      </c>
      <c r="E1216" s="14">
        <v>61</v>
      </c>
      <c r="I1216" s="11">
        <v>92.1</v>
      </c>
      <c r="J1216" s="14">
        <v>61</v>
      </c>
      <c r="K1216" s="11">
        <v>5190.05</v>
      </c>
    </row>
    <row r="1217" spans="1:11" ht="26.25" hidden="1" x14ac:dyDescent="0.25">
      <c r="C1217" s="7" t="s">
        <v>54</v>
      </c>
      <c r="D1217" s="11" t="s">
        <v>55</v>
      </c>
      <c r="E1217" s="13">
        <v>55.5</v>
      </c>
      <c r="G1217" s="15" t="s">
        <v>553</v>
      </c>
      <c r="H1217" s="13">
        <v>1.0669999999999999</v>
      </c>
      <c r="I1217" s="12">
        <v>12.258229500000001</v>
      </c>
    </row>
    <row r="1218" spans="1:11" hidden="1" x14ac:dyDescent="0.25">
      <c r="A1218" s="69"/>
      <c r="B1218" s="69"/>
      <c r="C1218" s="69" t="s">
        <v>56</v>
      </c>
      <c r="D1218" s="69"/>
      <c r="E1218" s="69"/>
      <c r="F1218" s="69"/>
      <c r="G1218" s="69"/>
      <c r="H1218" s="149">
        <v>1638.91</v>
      </c>
      <c r="I1218" s="150"/>
      <c r="J1218" s="149">
        <v>50055.64</v>
      </c>
      <c r="K1218" s="150"/>
    </row>
    <row r="1219" spans="1:11" hidden="1" x14ac:dyDescent="0.25">
      <c r="C1219" s="10" t="s">
        <v>57</v>
      </c>
      <c r="H1219" s="151">
        <v>0</v>
      </c>
      <c r="I1219" s="133"/>
      <c r="J1219" s="151">
        <v>0</v>
      </c>
      <c r="K1219" s="133"/>
    </row>
    <row r="1220" spans="1:11" hidden="1" x14ac:dyDescent="0.25">
      <c r="C1220" s="10" t="s">
        <v>58</v>
      </c>
      <c r="H1220" s="151">
        <v>1638.91</v>
      </c>
      <c r="I1220" s="133"/>
      <c r="J1220" s="151">
        <v>50055.64</v>
      </c>
      <c r="K1220" s="133"/>
    </row>
    <row r="1221" spans="1:11" hidden="1" x14ac:dyDescent="0.25"/>
    <row r="1222" spans="1:11" ht="178.5" hidden="1" x14ac:dyDescent="0.25">
      <c r="A1222" s="6">
        <v>213</v>
      </c>
      <c r="B1222" s="4" t="s">
        <v>593</v>
      </c>
      <c r="C1222" s="8" t="s">
        <v>594</v>
      </c>
      <c r="D1222" s="16" t="s">
        <v>559</v>
      </c>
      <c r="E1222" s="13">
        <v>0.3</v>
      </c>
    </row>
    <row r="1223" spans="1:11" ht="25.5" hidden="1" x14ac:dyDescent="0.25">
      <c r="C1223" s="9" t="s">
        <v>560</v>
      </c>
    </row>
    <row r="1224" spans="1:11" ht="26.25" hidden="1" x14ac:dyDescent="0.25">
      <c r="C1224" s="5" t="s">
        <v>43</v>
      </c>
      <c r="F1224" s="11">
        <v>830.07</v>
      </c>
      <c r="G1224" s="15" t="s">
        <v>553</v>
      </c>
      <c r="H1224" s="13">
        <v>1.0669999999999999</v>
      </c>
      <c r="I1224" s="11">
        <v>366.67</v>
      </c>
      <c r="J1224" s="13">
        <v>56.35</v>
      </c>
      <c r="K1224" s="11">
        <v>20661.849999999999</v>
      </c>
    </row>
    <row r="1225" spans="1:11" ht="26.25" hidden="1" x14ac:dyDescent="0.25">
      <c r="C1225" s="7" t="s">
        <v>45</v>
      </c>
      <c r="F1225" s="11">
        <v>162.78</v>
      </c>
      <c r="G1225" s="15" t="s">
        <v>554</v>
      </c>
      <c r="H1225" s="13">
        <v>1.0669999999999999</v>
      </c>
      <c r="I1225" s="11">
        <v>78.16</v>
      </c>
      <c r="J1225" s="13">
        <v>16.45</v>
      </c>
      <c r="K1225" s="11">
        <v>1285.73</v>
      </c>
    </row>
    <row r="1226" spans="1:11" ht="26.25" hidden="1" x14ac:dyDescent="0.25">
      <c r="C1226" s="7" t="s">
        <v>47</v>
      </c>
      <c r="F1226" s="11">
        <v>21.25</v>
      </c>
      <c r="G1226" s="15" t="s">
        <v>554</v>
      </c>
      <c r="H1226" s="13">
        <v>1.0669999999999999</v>
      </c>
      <c r="I1226" s="11">
        <v>10.199999999999999</v>
      </c>
      <c r="J1226" s="13">
        <v>56.35</v>
      </c>
      <c r="K1226" s="11">
        <v>574.77</v>
      </c>
    </row>
    <row r="1227" spans="1:11" hidden="1" x14ac:dyDescent="0.25">
      <c r="C1227" s="7" t="s">
        <v>48</v>
      </c>
      <c r="F1227" s="11">
        <v>196.92</v>
      </c>
      <c r="G1227" s="15" t="s">
        <v>49</v>
      </c>
      <c r="H1227" s="14" t="s">
        <v>50</v>
      </c>
      <c r="I1227" s="11">
        <v>59.08</v>
      </c>
      <c r="J1227" s="13">
        <v>11.21</v>
      </c>
      <c r="K1227" s="11">
        <v>662.29</v>
      </c>
    </row>
    <row r="1228" spans="1:11" ht="179.25" hidden="1" x14ac:dyDescent="0.25">
      <c r="A1228" s="6" t="s">
        <v>595</v>
      </c>
      <c r="B1228" s="4" t="s">
        <v>596</v>
      </c>
      <c r="C1228" s="8" t="s">
        <v>597</v>
      </c>
      <c r="D1228" s="16" t="s">
        <v>393</v>
      </c>
      <c r="E1228" s="14">
        <v>30</v>
      </c>
      <c r="F1228" s="11">
        <v>87.86</v>
      </c>
      <c r="G1228" s="15" t="s">
        <v>49</v>
      </c>
      <c r="H1228" s="14" t="s">
        <v>50</v>
      </c>
      <c r="I1228" s="11">
        <v>2635.8</v>
      </c>
      <c r="J1228" s="13">
        <v>14.1</v>
      </c>
      <c r="K1228" s="11">
        <v>37164.78</v>
      </c>
    </row>
    <row r="1229" spans="1:11" hidden="1" x14ac:dyDescent="0.25">
      <c r="C1229" s="7" t="s">
        <v>51</v>
      </c>
      <c r="D1229" s="11" t="s">
        <v>52</v>
      </c>
      <c r="E1229" s="14">
        <v>109</v>
      </c>
      <c r="I1229" s="11">
        <v>410.79</v>
      </c>
      <c r="J1229" s="14">
        <v>109</v>
      </c>
      <c r="K1229" s="11">
        <v>23147.919999999998</v>
      </c>
    </row>
    <row r="1230" spans="1:11" hidden="1" x14ac:dyDescent="0.25">
      <c r="C1230" s="7" t="s">
        <v>53</v>
      </c>
      <c r="D1230" s="11" t="s">
        <v>52</v>
      </c>
      <c r="E1230" s="14">
        <v>61</v>
      </c>
      <c r="I1230" s="11">
        <v>229.89</v>
      </c>
      <c r="J1230" s="14">
        <v>61</v>
      </c>
      <c r="K1230" s="11">
        <v>12954.34</v>
      </c>
    </row>
    <row r="1231" spans="1:11" ht="26.25" hidden="1" x14ac:dyDescent="0.25">
      <c r="C1231" s="7" t="s">
        <v>54</v>
      </c>
      <c r="D1231" s="11" t="s">
        <v>55</v>
      </c>
      <c r="E1231" s="14">
        <v>69</v>
      </c>
      <c r="G1231" s="15" t="s">
        <v>553</v>
      </c>
      <c r="H1231" s="13">
        <v>1.0669999999999999</v>
      </c>
      <c r="I1231" s="12">
        <v>30.479921999999998</v>
      </c>
    </row>
    <row r="1232" spans="1:11" hidden="1" x14ac:dyDescent="0.25">
      <c r="A1232" s="70"/>
      <c r="B1232" s="70"/>
      <c r="C1232" s="70" t="s">
        <v>56</v>
      </c>
      <c r="D1232" s="70"/>
      <c r="E1232" s="70"/>
      <c r="F1232" s="70"/>
      <c r="G1232" s="70"/>
      <c r="H1232" s="149">
        <v>3780.39</v>
      </c>
      <c r="I1232" s="150"/>
      <c r="J1232" s="149">
        <v>95876.91</v>
      </c>
      <c r="K1232" s="150"/>
    </row>
    <row r="1233" spans="1:11" hidden="1" x14ac:dyDescent="0.25">
      <c r="C1233" s="10" t="s">
        <v>57</v>
      </c>
      <c r="H1233" s="151">
        <v>0</v>
      </c>
      <c r="I1233" s="133"/>
      <c r="J1233" s="151">
        <v>0</v>
      </c>
      <c r="K1233" s="133"/>
    </row>
    <row r="1234" spans="1:11" hidden="1" x14ac:dyDescent="0.25">
      <c r="C1234" s="10" t="s">
        <v>58</v>
      </c>
      <c r="H1234" s="151">
        <v>3780.39</v>
      </c>
      <c r="I1234" s="133"/>
      <c r="J1234" s="151">
        <v>95876.91</v>
      </c>
      <c r="K1234" s="133"/>
    </row>
    <row r="1235" spans="1:11" hidden="1" x14ac:dyDescent="0.25"/>
    <row r="1236" spans="1:11" ht="178.5" hidden="1" x14ac:dyDescent="0.25">
      <c r="A1236" s="6">
        <v>214</v>
      </c>
      <c r="B1236" s="4" t="s">
        <v>598</v>
      </c>
      <c r="C1236" s="8" t="s">
        <v>599</v>
      </c>
      <c r="D1236" s="16" t="s">
        <v>559</v>
      </c>
      <c r="E1236" s="13">
        <v>0.4</v>
      </c>
    </row>
    <row r="1237" spans="1:11" ht="25.5" hidden="1" x14ac:dyDescent="0.25">
      <c r="C1237" s="9" t="s">
        <v>600</v>
      </c>
    </row>
    <row r="1238" spans="1:11" ht="26.25" hidden="1" x14ac:dyDescent="0.25">
      <c r="C1238" s="5" t="s">
        <v>43</v>
      </c>
      <c r="F1238" s="11">
        <v>830.07</v>
      </c>
      <c r="G1238" s="15" t="s">
        <v>553</v>
      </c>
      <c r="H1238" s="13">
        <v>1.0669999999999999</v>
      </c>
      <c r="I1238" s="11">
        <v>488.9</v>
      </c>
      <c r="J1238" s="13">
        <v>56.35</v>
      </c>
      <c r="K1238" s="11">
        <v>27549.52</v>
      </c>
    </row>
    <row r="1239" spans="1:11" ht="26.25" hidden="1" x14ac:dyDescent="0.25">
      <c r="C1239" s="7" t="s">
        <v>45</v>
      </c>
      <c r="F1239" s="11">
        <v>162.78</v>
      </c>
      <c r="G1239" s="15" t="s">
        <v>554</v>
      </c>
      <c r="H1239" s="13">
        <v>1.0669999999999999</v>
      </c>
      <c r="I1239" s="11">
        <v>104.21</v>
      </c>
      <c r="J1239" s="13">
        <v>16.45</v>
      </c>
      <c r="K1239" s="11">
        <v>1714.25</v>
      </c>
    </row>
    <row r="1240" spans="1:11" ht="26.25" hidden="1" x14ac:dyDescent="0.25">
      <c r="C1240" s="7" t="s">
        <v>47</v>
      </c>
      <c r="F1240" s="11">
        <v>21.25</v>
      </c>
      <c r="G1240" s="15" t="s">
        <v>554</v>
      </c>
      <c r="H1240" s="13">
        <v>1.0669999999999999</v>
      </c>
      <c r="I1240" s="11">
        <v>13.6</v>
      </c>
      <c r="J1240" s="13">
        <v>56.35</v>
      </c>
      <c r="K1240" s="11">
        <v>766.36</v>
      </c>
    </row>
    <row r="1241" spans="1:11" hidden="1" x14ac:dyDescent="0.25">
      <c r="C1241" s="7" t="s">
        <v>48</v>
      </c>
      <c r="F1241" s="11">
        <v>198.92</v>
      </c>
      <c r="G1241" s="15" t="s">
        <v>49</v>
      </c>
      <c r="H1241" s="14" t="s">
        <v>50</v>
      </c>
      <c r="I1241" s="11">
        <v>79.569999999999993</v>
      </c>
      <c r="J1241" s="13">
        <v>11.18</v>
      </c>
      <c r="K1241" s="11">
        <v>889.59</v>
      </c>
    </row>
    <row r="1242" spans="1:11" ht="179.25" hidden="1" x14ac:dyDescent="0.25">
      <c r="A1242" s="6" t="s">
        <v>601</v>
      </c>
      <c r="B1242" s="4" t="s">
        <v>602</v>
      </c>
      <c r="C1242" s="8" t="s">
        <v>603</v>
      </c>
      <c r="D1242" s="16" t="s">
        <v>393</v>
      </c>
      <c r="E1242" s="14">
        <v>40</v>
      </c>
      <c r="F1242" s="11">
        <v>108.7</v>
      </c>
      <c r="G1242" s="15" t="s">
        <v>49</v>
      </c>
      <c r="H1242" s="14" t="s">
        <v>50</v>
      </c>
      <c r="I1242" s="11">
        <v>4348</v>
      </c>
      <c r="J1242" s="13">
        <v>16.690000000000001</v>
      </c>
      <c r="K1242" s="11">
        <v>72568.12</v>
      </c>
    </row>
    <row r="1243" spans="1:11" hidden="1" x14ac:dyDescent="0.25">
      <c r="C1243" s="7" t="s">
        <v>51</v>
      </c>
      <c r="D1243" s="11" t="s">
        <v>52</v>
      </c>
      <c r="E1243" s="14">
        <v>109</v>
      </c>
      <c r="I1243" s="11">
        <v>547.73</v>
      </c>
      <c r="J1243" s="14">
        <v>109</v>
      </c>
      <c r="K1243" s="11">
        <v>30864.31</v>
      </c>
    </row>
    <row r="1244" spans="1:11" hidden="1" x14ac:dyDescent="0.25">
      <c r="C1244" s="7" t="s">
        <v>53</v>
      </c>
      <c r="D1244" s="11" t="s">
        <v>52</v>
      </c>
      <c r="E1244" s="14">
        <v>61</v>
      </c>
      <c r="I1244" s="11">
        <v>306.52999999999997</v>
      </c>
      <c r="J1244" s="14">
        <v>61</v>
      </c>
      <c r="K1244" s="11">
        <v>17272.689999999999</v>
      </c>
    </row>
    <row r="1245" spans="1:11" ht="26.25" hidden="1" x14ac:dyDescent="0.25">
      <c r="C1245" s="7" t="s">
        <v>54</v>
      </c>
      <c r="D1245" s="11" t="s">
        <v>55</v>
      </c>
      <c r="E1245" s="14">
        <v>69</v>
      </c>
      <c r="G1245" s="15" t="s">
        <v>553</v>
      </c>
      <c r="H1245" s="13">
        <v>1.0669999999999999</v>
      </c>
      <c r="I1245" s="12">
        <v>40.639896</v>
      </c>
    </row>
    <row r="1246" spans="1:11" hidden="1" x14ac:dyDescent="0.25">
      <c r="A1246" s="71"/>
      <c r="B1246" s="71"/>
      <c r="C1246" s="71" t="s">
        <v>56</v>
      </c>
      <c r="D1246" s="71"/>
      <c r="E1246" s="71"/>
      <c r="F1246" s="71"/>
      <c r="G1246" s="71"/>
      <c r="H1246" s="149">
        <v>5874.94</v>
      </c>
      <c r="I1246" s="150"/>
      <c r="J1246" s="149">
        <v>150858.48000000001</v>
      </c>
      <c r="K1246" s="150"/>
    </row>
    <row r="1247" spans="1:11" hidden="1" x14ac:dyDescent="0.25">
      <c r="C1247" s="10" t="s">
        <v>57</v>
      </c>
      <c r="H1247" s="151">
        <v>0</v>
      </c>
      <c r="I1247" s="133"/>
      <c r="J1247" s="151">
        <v>0</v>
      </c>
      <c r="K1247" s="133"/>
    </row>
    <row r="1248" spans="1:11" hidden="1" x14ac:dyDescent="0.25">
      <c r="C1248" s="10" t="s">
        <v>58</v>
      </c>
      <c r="H1248" s="151">
        <v>5874.94</v>
      </c>
      <c r="I1248" s="133"/>
      <c r="J1248" s="151">
        <v>150858.48000000001</v>
      </c>
      <c r="K1248" s="133"/>
    </row>
    <row r="1249" spans="1:11" hidden="1" x14ac:dyDescent="0.25"/>
    <row r="1250" spans="1:11" ht="178.5" hidden="1" x14ac:dyDescent="0.25">
      <c r="A1250" s="6">
        <v>215</v>
      </c>
      <c r="B1250" s="4" t="s">
        <v>604</v>
      </c>
      <c r="C1250" s="8" t="s">
        <v>605</v>
      </c>
      <c r="D1250" s="16" t="s">
        <v>606</v>
      </c>
      <c r="E1250" s="13">
        <v>0.88557560000000002</v>
      </c>
    </row>
    <row r="1251" spans="1:11" ht="102" hidden="1" x14ac:dyDescent="0.25">
      <c r="C1251" s="9" t="s">
        <v>607</v>
      </c>
    </row>
    <row r="1252" spans="1:11" ht="26.25" hidden="1" x14ac:dyDescent="0.25">
      <c r="C1252" s="5" t="s">
        <v>43</v>
      </c>
      <c r="F1252" s="11">
        <v>232.84</v>
      </c>
      <c r="G1252" s="15" t="s">
        <v>553</v>
      </c>
      <c r="H1252" s="13">
        <v>1.0469999999999999</v>
      </c>
      <c r="I1252" s="11">
        <v>297.93</v>
      </c>
      <c r="J1252" s="13">
        <v>56.35</v>
      </c>
      <c r="K1252" s="11">
        <v>16788.36</v>
      </c>
    </row>
    <row r="1253" spans="1:11" ht="26.25" hidden="1" x14ac:dyDescent="0.25">
      <c r="C1253" s="7" t="s">
        <v>45</v>
      </c>
      <c r="F1253" s="11">
        <v>44.4</v>
      </c>
      <c r="G1253" s="15" t="s">
        <v>554</v>
      </c>
      <c r="H1253" s="13">
        <v>1.0469999999999999</v>
      </c>
      <c r="I1253" s="11">
        <v>61.75</v>
      </c>
      <c r="J1253" s="13">
        <v>28.67</v>
      </c>
      <c r="K1253" s="11">
        <v>1770.37</v>
      </c>
    </row>
    <row r="1254" spans="1:11" ht="26.25" hidden="1" x14ac:dyDescent="0.25">
      <c r="C1254" s="7" t="s">
        <v>47</v>
      </c>
      <c r="F1254" s="11">
        <v>17.86</v>
      </c>
      <c r="G1254" s="15" t="s">
        <v>554</v>
      </c>
      <c r="H1254" s="13">
        <v>1.0469999999999999</v>
      </c>
      <c r="I1254" s="11">
        <v>24.84</v>
      </c>
      <c r="J1254" s="13">
        <v>56.35</v>
      </c>
      <c r="K1254" s="11">
        <v>1399.73</v>
      </c>
    </row>
    <row r="1255" spans="1:11" hidden="1" x14ac:dyDescent="0.25">
      <c r="C1255" s="7" t="s">
        <v>48</v>
      </c>
      <c r="F1255" s="11">
        <v>557.45000000000005</v>
      </c>
      <c r="G1255" s="15" t="s">
        <v>49</v>
      </c>
      <c r="H1255" s="13">
        <v>1.0189999999999999</v>
      </c>
      <c r="I1255" s="11">
        <v>503.04</v>
      </c>
      <c r="J1255" s="13">
        <v>6.61</v>
      </c>
      <c r="K1255" s="11">
        <v>3325.09</v>
      </c>
    </row>
    <row r="1256" spans="1:11" ht="191.25" hidden="1" x14ac:dyDescent="0.25">
      <c r="A1256" s="6" t="s">
        <v>608</v>
      </c>
      <c r="B1256" s="4" t="s">
        <v>609</v>
      </c>
      <c r="C1256" s="8" t="s">
        <v>610</v>
      </c>
      <c r="D1256" s="16" t="s">
        <v>393</v>
      </c>
      <c r="E1256" s="13">
        <v>0.913914</v>
      </c>
      <c r="F1256" s="11">
        <v>34.46</v>
      </c>
      <c r="G1256" s="15" t="s">
        <v>49</v>
      </c>
      <c r="H1256" s="13">
        <v>1.0189999999999999</v>
      </c>
      <c r="I1256" s="11">
        <v>32.090000000000003</v>
      </c>
      <c r="J1256" s="13">
        <v>4.92</v>
      </c>
      <c r="K1256" s="11">
        <v>157.88</v>
      </c>
    </row>
    <row r="1257" spans="1:11" hidden="1" x14ac:dyDescent="0.25">
      <c r="C1257" s="7" t="s">
        <v>51</v>
      </c>
      <c r="D1257" s="11" t="s">
        <v>52</v>
      </c>
      <c r="E1257" s="14">
        <v>87</v>
      </c>
      <c r="I1257" s="11">
        <v>280.81</v>
      </c>
      <c r="J1257" s="14">
        <v>87</v>
      </c>
      <c r="K1257" s="11">
        <v>15823.64</v>
      </c>
    </row>
    <row r="1258" spans="1:11" hidden="1" x14ac:dyDescent="0.25">
      <c r="C1258" s="7" t="s">
        <v>53</v>
      </c>
      <c r="D1258" s="11" t="s">
        <v>52</v>
      </c>
      <c r="E1258" s="14">
        <v>47</v>
      </c>
      <c r="I1258" s="11">
        <v>151.69999999999999</v>
      </c>
      <c r="J1258" s="14">
        <v>47</v>
      </c>
      <c r="K1258" s="11">
        <v>8548.4</v>
      </c>
    </row>
    <row r="1259" spans="1:11" ht="26.25" hidden="1" x14ac:dyDescent="0.25">
      <c r="C1259" s="7" t="s">
        <v>54</v>
      </c>
      <c r="D1259" s="11" t="s">
        <v>55</v>
      </c>
      <c r="E1259" s="13">
        <v>18.45</v>
      </c>
      <c r="G1259" s="15" t="s">
        <v>553</v>
      </c>
      <c r="H1259" s="13">
        <v>1.0469999999999999</v>
      </c>
      <c r="I1259" s="12">
        <v>23.607379448130001</v>
      </c>
    </row>
    <row r="1260" spans="1:11" hidden="1" x14ac:dyDescent="0.25">
      <c r="A1260" s="72"/>
      <c r="B1260" s="72"/>
      <c r="C1260" s="72" t="s">
        <v>56</v>
      </c>
      <c r="D1260" s="72"/>
      <c r="E1260" s="72"/>
      <c r="F1260" s="72"/>
      <c r="G1260" s="72"/>
      <c r="H1260" s="149">
        <v>1327.32</v>
      </c>
      <c r="I1260" s="150"/>
      <c r="J1260" s="149">
        <v>46413.74</v>
      </c>
      <c r="K1260" s="150"/>
    </row>
    <row r="1261" spans="1:11" hidden="1" x14ac:dyDescent="0.25">
      <c r="C1261" s="10" t="s">
        <v>57</v>
      </c>
      <c r="H1261" s="151">
        <v>0</v>
      </c>
      <c r="I1261" s="133"/>
      <c r="J1261" s="151">
        <v>0</v>
      </c>
      <c r="K1261" s="133"/>
    </row>
    <row r="1262" spans="1:11" hidden="1" x14ac:dyDescent="0.25">
      <c r="C1262" s="10" t="s">
        <v>58</v>
      </c>
      <c r="H1262" s="151">
        <v>1327.32</v>
      </c>
      <c r="I1262" s="133"/>
      <c r="J1262" s="151">
        <v>46413.74</v>
      </c>
      <c r="K1262" s="133"/>
    </row>
    <row r="1263" spans="1:11" hidden="1" x14ac:dyDescent="0.25"/>
    <row r="1264" spans="1:11" ht="243" hidden="1" x14ac:dyDescent="0.25">
      <c r="A1264" s="6">
        <v>216</v>
      </c>
      <c r="B1264" s="4" t="s">
        <v>611</v>
      </c>
      <c r="C1264" s="8" t="s">
        <v>612</v>
      </c>
      <c r="D1264" s="16" t="s">
        <v>393</v>
      </c>
      <c r="E1264" s="14">
        <v>30</v>
      </c>
      <c r="F1264" s="11">
        <v>10.38</v>
      </c>
      <c r="H1264" s="14" t="s">
        <v>50</v>
      </c>
      <c r="I1264" s="11">
        <v>311.39999999999998</v>
      </c>
      <c r="J1264" s="13">
        <v>7.12</v>
      </c>
      <c r="K1264" s="11">
        <v>2217.17</v>
      </c>
    </row>
    <row r="1265" spans="1:11" hidden="1" x14ac:dyDescent="0.25">
      <c r="C1265" s="10" t="s">
        <v>58</v>
      </c>
      <c r="H1265" s="151">
        <v>311.39999999999998</v>
      </c>
      <c r="I1265" s="133"/>
      <c r="J1265" s="151">
        <v>2217.17</v>
      </c>
      <c r="K1265" s="133"/>
    </row>
    <row r="1266" spans="1:11" hidden="1" x14ac:dyDescent="0.25"/>
    <row r="1267" spans="1:11" ht="243" hidden="1" x14ac:dyDescent="0.25">
      <c r="A1267" s="6">
        <v>217</v>
      </c>
      <c r="B1267" s="4" t="s">
        <v>613</v>
      </c>
      <c r="C1267" s="8" t="s">
        <v>614</v>
      </c>
      <c r="D1267" s="16" t="s">
        <v>393</v>
      </c>
      <c r="E1267" s="14">
        <v>30</v>
      </c>
      <c r="F1267" s="11">
        <v>12.04</v>
      </c>
      <c r="H1267" s="14" t="s">
        <v>50</v>
      </c>
      <c r="I1267" s="11">
        <v>361.2</v>
      </c>
      <c r="J1267" s="13">
        <v>7.25</v>
      </c>
      <c r="K1267" s="11">
        <v>2618.6999999999998</v>
      </c>
    </row>
    <row r="1268" spans="1:11" hidden="1" x14ac:dyDescent="0.25">
      <c r="C1268" s="10" t="s">
        <v>58</v>
      </c>
      <c r="H1268" s="151">
        <v>361.2</v>
      </c>
      <c r="I1268" s="133"/>
      <c r="J1268" s="151">
        <v>2618.6999999999998</v>
      </c>
      <c r="K1268" s="133"/>
    </row>
    <row r="1269" spans="1:11" hidden="1" x14ac:dyDescent="0.25"/>
    <row r="1270" spans="1:11" ht="243" hidden="1" x14ac:dyDescent="0.25">
      <c r="A1270" s="6">
        <v>218</v>
      </c>
      <c r="B1270" s="4" t="s">
        <v>615</v>
      </c>
      <c r="C1270" s="8" t="s">
        <v>616</v>
      </c>
      <c r="D1270" s="16" t="s">
        <v>393</v>
      </c>
      <c r="E1270" s="14">
        <v>35</v>
      </c>
      <c r="F1270" s="11">
        <v>14.45</v>
      </c>
      <c r="H1270" s="14" t="s">
        <v>50</v>
      </c>
      <c r="I1270" s="11">
        <v>505.75</v>
      </c>
      <c r="J1270" s="13">
        <v>7.38</v>
      </c>
      <c r="K1270" s="11">
        <v>3732.44</v>
      </c>
    </row>
    <row r="1271" spans="1:11" hidden="1" x14ac:dyDescent="0.25">
      <c r="C1271" s="10" t="s">
        <v>58</v>
      </c>
      <c r="H1271" s="151">
        <v>505.75</v>
      </c>
      <c r="I1271" s="133"/>
      <c r="J1271" s="151">
        <v>3732.44</v>
      </c>
      <c r="K1271" s="133"/>
    </row>
    <row r="1272" spans="1:11" hidden="1" x14ac:dyDescent="0.25"/>
    <row r="1273" spans="1:11" ht="243" hidden="1" x14ac:dyDescent="0.25">
      <c r="A1273" s="6">
        <v>219</v>
      </c>
      <c r="B1273" s="4" t="s">
        <v>617</v>
      </c>
      <c r="C1273" s="8" t="s">
        <v>618</v>
      </c>
      <c r="D1273" s="16" t="s">
        <v>393</v>
      </c>
      <c r="E1273" s="14">
        <v>140</v>
      </c>
      <c r="F1273" s="11">
        <v>16.86</v>
      </c>
      <c r="H1273" s="14" t="s">
        <v>50</v>
      </c>
      <c r="I1273" s="11">
        <v>2360.4</v>
      </c>
      <c r="J1273" s="13">
        <v>6.67</v>
      </c>
      <c r="K1273" s="11">
        <v>15743.87</v>
      </c>
    </row>
    <row r="1274" spans="1:11" hidden="1" x14ac:dyDescent="0.25">
      <c r="C1274" s="10" t="s">
        <v>58</v>
      </c>
      <c r="H1274" s="151">
        <v>2360.4</v>
      </c>
      <c r="I1274" s="133"/>
      <c r="J1274" s="151">
        <v>15743.87</v>
      </c>
      <c r="K1274" s="133"/>
    </row>
    <row r="1275" spans="1:11" hidden="1" x14ac:dyDescent="0.25"/>
    <row r="1276" spans="1:11" ht="243" hidden="1" x14ac:dyDescent="0.25">
      <c r="A1276" s="6">
        <v>220</v>
      </c>
      <c r="B1276" s="4" t="s">
        <v>619</v>
      </c>
      <c r="C1276" s="8" t="s">
        <v>620</v>
      </c>
      <c r="D1276" s="16" t="s">
        <v>393</v>
      </c>
      <c r="E1276" s="14">
        <v>110</v>
      </c>
      <c r="F1276" s="11">
        <v>18.34</v>
      </c>
      <c r="H1276" s="14" t="s">
        <v>50</v>
      </c>
      <c r="I1276" s="11">
        <v>2017.4</v>
      </c>
      <c r="J1276" s="13">
        <v>7.11</v>
      </c>
      <c r="K1276" s="11">
        <v>14343.71</v>
      </c>
    </row>
    <row r="1277" spans="1:11" hidden="1" x14ac:dyDescent="0.25">
      <c r="C1277" s="10" t="s">
        <v>58</v>
      </c>
      <c r="H1277" s="151">
        <v>2017.4</v>
      </c>
      <c r="I1277" s="133"/>
      <c r="J1277" s="151">
        <v>14343.71</v>
      </c>
      <c r="K1277" s="133"/>
    </row>
    <row r="1278" spans="1:11" hidden="1" x14ac:dyDescent="0.25"/>
    <row r="1279" spans="1:11" ht="243" hidden="1" x14ac:dyDescent="0.25">
      <c r="A1279" s="6">
        <v>221</v>
      </c>
      <c r="B1279" s="4" t="s">
        <v>621</v>
      </c>
      <c r="C1279" s="8" t="s">
        <v>622</v>
      </c>
      <c r="D1279" s="16" t="s">
        <v>393</v>
      </c>
      <c r="E1279" s="14">
        <v>15</v>
      </c>
      <c r="F1279" s="11">
        <v>30.38</v>
      </c>
      <c r="H1279" s="14" t="s">
        <v>50</v>
      </c>
      <c r="I1279" s="11">
        <v>455.7</v>
      </c>
      <c r="J1279" s="13">
        <v>6.57</v>
      </c>
      <c r="K1279" s="11">
        <v>2993.95</v>
      </c>
    </row>
    <row r="1280" spans="1:11" hidden="1" x14ac:dyDescent="0.25">
      <c r="C1280" s="10" t="s">
        <v>58</v>
      </c>
      <c r="H1280" s="151">
        <v>455.7</v>
      </c>
      <c r="I1280" s="133"/>
      <c r="J1280" s="151">
        <v>2993.95</v>
      </c>
      <c r="K1280" s="133"/>
    </row>
    <row r="1281" spans="1:11" hidden="1" x14ac:dyDescent="0.25"/>
    <row r="1282" spans="1:11" ht="243" hidden="1" x14ac:dyDescent="0.25">
      <c r="A1282" s="6">
        <v>222</v>
      </c>
      <c r="B1282" s="4" t="s">
        <v>623</v>
      </c>
      <c r="C1282" s="8" t="s">
        <v>624</v>
      </c>
      <c r="D1282" s="16" t="s">
        <v>393</v>
      </c>
      <c r="E1282" s="14">
        <v>30</v>
      </c>
      <c r="F1282" s="11">
        <v>36.119999999999997</v>
      </c>
      <c r="H1282" s="14" t="s">
        <v>50</v>
      </c>
      <c r="I1282" s="11">
        <v>1083.5999999999999</v>
      </c>
      <c r="J1282" s="13">
        <v>8.66</v>
      </c>
      <c r="K1282" s="11">
        <v>9383.98</v>
      </c>
    </row>
    <row r="1283" spans="1:11" hidden="1" x14ac:dyDescent="0.25">
      <c r="C1283" s="10" t="s">
        <v>58</v>
      </c>
      <c r="H1283" s="151">
        <v>1083.5999999999999</v>
      </c>
      <c r="I1283" s="133"/>
      <c r="J1283" s="151">
        <v>9383.98</v>
      </c>
      <c r="K1283" s="133"/>
    </row>
    <row r="1284" spans="1:11" hidden="1" x14ac:dyDescent="0.25"/>
    <row r="1285" spans="1:11" ht="243" hidden="1" x14ac:dyDescent="0.25">
      <c r="A1285" s="6">
        <v>223</v>
      </c>
      <c r="B1285" s="4" t="s">
        <v>625</v>
      </c>
      <c r="C1285" s="8" t="s">
        <v>626</v>
      </c>
      <c r="D1285" s="16" t="s">
        <v>393</v>
      </c>
      <c r="E1285" s="14">
        <v>40</v>
      </c>
      <c r="F1285" s="11">
        <v>72.25</v>
      </c>
      <c r="H1285" s="14" t="s">
        <v>50</v>
      </c>
      <c r="I1285" s="11">
        <v>2890</v>
      </c>
      <c r="J1285" s="13">
        <v>5.63</v>
      </c>
      <c r="K1285" s="11">
        <v>16270.7</v>
      </c>
    </row>
    <row r="1286" spans="1:11" hidden="1" x14ac:dyDescent="0.25">
      <c r="C1286" s="10" t="s">
        <v>58</v>
      </c>
      <c r="H1286" s="151">
        <v>2890</v>
      </c>
      <c r="I1286" s="133"/>
      <c r="J1286" s="151">
        <v>16270.7</v>
      </c>
      <c r="K1286" s="133"/>
    </row>
    <row r="1287" spans="1:11" hidden="1" x14ac:dyDescent="0.25"/>
    <row r="1288" spans="1:11" ht="268.5" hidden="1" x14ac:dyDescent="0.25">
      <c r="A1288" s="6">
        <v>224</v>
      </c>
      <c r="B1288" s="4" t="s">
        <v>627</v>
      </c>
      <c r="C1288" s="8" t="s">
        <v>628</v>
      </c>
      <c r="D1288" s="16" t="s">
        <v>245</v>
      </c>
      <c r="E1288" s="14">
        <v>2</v>
      </c>
      <c r="F1288" s="11">
        <v>216.44</v>
      </c>
      <c r="H1288" s="14" t="s">
        <v>50</v>
      </c>
      <c r="I1288" s="11">
        <v>432.88</v>
      </c>
      <c r="J1288" s="13">
        <v>19.05</v>
      </c>
      <c r="K1288" s="11">
        <v>8246.36</v>
      </c>
    </row>
    <row r="1289" spans="1:11" hidden="1" x14ac:dyDescent="0.25">
      <c r="C1289" s="10" t="s">
        <v>58</v>
      </c>
      <c r="H1289" s="151">
        <v>432.88</v>
      </c>
      <c r="I1289" s="133"/>
      <c r="J1289" s="151">
        <v>8246.36</v>
      </c>
      <c r="K1289" s="133"/>
    </row>
    <row r="1290" spans="1:11" hidden="1" x14ac:dyDescent="0.25"/>
    <row r="1291" spans="1:11" ht="268.5" hidden="1" x14ac:dyDescent="0.25">
      <c r="A1291" s="6">
        <v>225</v>
      </c>
      <c r="B1291" s="4" t="s">
        <v>629</v>
      </c>
      <c r="C1291" s="8" t="s">
        <v>630</v>
      </c>
      <c r="D1291" s="16" t="s">
        <v>245</v>
      </c>
      <c r="E1291" s="14">
        <v>1</v>
      </c>
      <c r="F1291" s="11">
        <v>279.76</v>
      </c>
      <c r="H1291" s="14" t="s">
        <v>50</v>
      </c>
      <c r="I1291" s="11">
        <v>279.76</v>
      </c>
      <c r="J1291" s="13">
        <v>21.55</v>
      </c>
      <c r="K1291" s="11">
        <v>6028.83</v>
      </c>
    </row>
    <row r="1292" spans="1:11" hidden="1" x14ac:dyDescent="0.25">
      <c r="C1292" s="10" t="s">
        <v>58</v>
      </c>
      <c r="H1292" s="151">
        <v>279.76</v>
      </c>
      <c r="I1292" s="133"/>
      <c r="J1292" s="151">
        <v>6028.83</v>
      </c>
      <c r="K1292" s="133"/>
    </row>
    <row r="1293" spans="1:11" hidden="1" x14ac:dyDescent="0.25"/>
    <row r="1294" spans="1:11" ht="217.5" hidden="1" x14ac:dyDescent="0.25">
      <c r="A1294" s="6">
        <v>226</v>
      </c>
      <c r="B1294" s="4" t="s">
        <v>631</v>
      </c>
      <c r="C1294" s="8" t="s">
        <v>632</v>
      </c>
      <c r="D1294" s="16" t="s">
        <v>245</v>
      </c>
      <c r="E1294" s="14">
        <v>1</v>
      </c>
      <c r="F1294" s="11">
        <v>926.06</v>
      </c>
      <c r="H1294" s="14" t="s">
        <v>50</v>
      </c>
      <c r="I1294" s="11">
        <v>926.06</v>
      </c>
      <c r="J1294" s="13">
        <v>19.940000000000001</v>
      </c>
      <c r="K1294" s="11">
        <v>18465.64</v>
      </c>
    </row>
    <row r="1295" spans="1:11" hidden="1" x14ac:dyDescent="0.25">
      <c r="C1295" s="10" t="s">
        <v>58</v>
      </c>
      <c r="H1295" s="151">
        <v>926.06</v>
      </c>
      <c r="I1295" s="133"/>
      <c r="J1295" s="151">
        <v>18465.64</v>
      </c>
      <c r="K1295" s="133"/>
    </row>
    <row r="1296" spans="1:11" hidden="1" x14ac:dyDescent="0.25"/>
    <row r="1297" spans="1:11" ht="178.5" hidden="1" x14ac:dyDescent="0.25">
      <c r="A1297" s="6">
        <v>227</v>
      </c>
      <c r="B1297" s="4" t="s">
        <v>633</v>
      </c>
      <c r="C1297" s="8" t="s">
        <v>634</v>
      </c>
      <c r="D1297" s="16" t="s">
        <v>368</v>
      </c>
      <c r="E1297" s="14">
        <v>2</v>
      </c>
    </row>
    <row r="1298" spans="1:11" ht="26.25" hidden="1" x14ac:dyDescent="0.25">
      <c r="C1298" s="5" t="s">
        <v>43</v>
      </c>
      <c r="F1298" s="11">
        <v>17.489999999999998</v>
      </c>
      <c r="G1298" s="15" t="s">
        <v>553</v>
      </c>
      <c r="H1298" s="13">
        <v>1.0669999999999999</v>
      </c>
      <c r="I1298" s="11">
        <v>51.51</v>
      </c>
      <c r="J1298" s="13">
        <v>56.35</v>
      </c>
      <c r="K1298" s="11">
        <v>2902.59</v>
      </c>
    </row>
    <row r="1299" spans="1:11" ht="26.25" hidden="1" x14ac:dyDescent="0.25">
      <c r="C1299" s="7" t="s">
        <v>45</v>
      </c>
      <c r="F1299" s="11">
        <v>4.1500000000000004</v>
      </c>
      <c r="G1299" s="15" t="s">
        <v>554</v>
      </c>
      <c r="H1299" s="13">
        <v>1.0669999999999999</v>
      </c>
      <c r="I1299" s="11">
        <v>13.28</v>
      </c>
      <c r="J1299" s="13">
        <v>14.91</v>
      </c>
      <c r="K1299" s="11">
        <v>198</v>
      </c>
    </row>
    <row r="1300" spans="1:11" ht="26.25" hidden="1" x14ac:dyDescent="0.25">
      <c r="C1300" s="7" t="s">
        <v>47</v>
      </c>
      <c r="F1300" s="11">
        <v>0.25</v>
      </c>
      <c r="G1300" s="15" t="s">
        <v>554</v>
      </c>
      <c r="H1300" s="13">
        <v>1.0669999999999999</v>
      </c>
      <c r="I1300" s="11">
        <v>0.8</v>
      </c>
      <c r="J1300" s="13">
        <v>56.35</v>
      </c>
      <c r="K1300" s="11">
        <v>45.08</v>
      </c>
    </row>
    <row r="1301" spans="1:11" hidden="1" x14ac:dyDescent="0.25">
      <c r="C1301" s="7" t="s">
        <v>48</v>
      </c>
      <c r="F1301" s="11">
        <v>21.81</v>
      </c>
      <c r="G1301" s="15" t="s">
        <v>49</v>
      </c>
      <c r="H1301" s="14" t="s">
        <v>50</v>
      </c>
      <c r="I1301" s="11">
        <v>43.62</v>
      </c>
      <c r="J1301" s="13">
        <v>8.06</v>
      </c>
      <c r="K1301" s="11">
        <v>351.58</v>
      </c>
    </row>
    <row r="1302" spans="1:11" ht="192" hidden="1" x14ac:dyDescent="0.25">
      <c r="A1302" s="6" t="s">
        <v>635</v>
      </c>
      <c r="B1302" s="4" t="s">
        <v>636</v>
      </c>
      <c r="C1302" s="8" t="s">
        <v>637</v>
      </c>
      <c r="D1302" s="16" t="s">
        <v>245</v>
      </c>
      <c r="E1302" s="14">
        <v>4</v>
      </c>
      <c r="F1302" s="11">
        <v>37.619999999999997</v>
      </c>
      <c r="G1302" s="15" t="s">
        <v>49</v>
      </c>
      <c r="H1302" s="14" t="s">
        <v>50</v>
      </c>
      <c r="I1302" s="11">
        <v>150.47999999999999</v>
      </c>
      <c r="J1302" s="13">
        <v>7.31</v>
      </c>
      <c r="K1302" s="11">
        <v>1100.01</v>
      </c>
    </row>
    <row r="1303" spans="1:11" hidden="1" x14ac:dyDescent="0.25">
      <c r="C1303" s="7" t="s">
        <v>51</v>
      </c>
      <c r="D1303" s="11" t="s">
        <v>52</v>
      </c>
      <c r="E1303" s="14">
        <v>109</v>
      </c>
      <c r="I1303" s="11">
        <v>57.02</v>
      </c>
      <c r="J1303" s="14">
        <v>109</v>
      </c>
      <c r="K1303" s="11">
        <v>3212.96</v>
      </c>
    </row>
    <row r="1304" spans="1:11" hidden="1" x14ac:dyDescent="0.25">
      <c r="C1304" s="7" t="s">
        <v>53</v>
      </c>
      <c r="D1304" s="11" t="s">
        <v>52</v>
      </c>
      <c r="E1304" s="14">
        <v>61</v>
      </c>
      <c r="I1304" s="11">
        <v>31.91</v>
      </c>
      <c r="J1304" s="14">
        <v>61</v>
      </c>
      <c r="K1304" s="11">
        <v>1798.08</v>
      </c>
    </row>
    <row r="1305" spans="1:11" ht="26.25" hidden="1" x14ac:dyDescent="0.25">
      <c r="C1305" s="7" t="s">
        <v>54</v>
      </c>
      <c r="D1305" s="11" t="s">
        <v>55</v>
      </c>
      <c r="E1305" s="13">
        <v>1.47</v>
      </c>
      <c r="G1305" s="15" t="s">
        <v>553</v>
      </c>
      <c r="H1305" s="13">
        <v>1.0669999999999999</v>
      </c>
      <c r="I1305" s="12">
        <v>4.3290324</v>
      </c>
    </row>
    <row r="1306" spans="1:11" hidden="1" x14ac:dyDescent="0.25">
      <c r="A1306" s="73"/>
      <c r="B1306" s="73"/>
      <c r="C1306" s="73" t="s">
        <v>56</v>
      </c>
      <c r="D1306" s="73"/>
      <c r="E1306" s="73"/>
      <c r="F1306" s="73"/>
      <c r="G1306" s="73"/>
      <c r="H1306" s="149">
        <v>347.82</v>
      </c>
      <c r="I1306" s="150"/>
      <c r="J1306" s="149">
        <v>9563.2199999999993</v>
      </c>
      <c r="K1306" s="150"/>
    </row>
    <row r="1307" spans="1:11" hidden="1" x14ac:dyDescent="0.25">
      <c r="C1307" s="10" t="s">
        <v>57</v>
      </c>
      <c r="H1307" s="151">
        <v>0</v>
      </c>
      <c r="I1307" s="133"/>
      <c r="J1307" s="151">
        <v>0</v>
      </c>
      <c r="K1307" s="133"/>
    </row>
    <row r="1308" spans="1:11" hidden="1" x14ac:dyDescent="0.25">
      <c r="C1308" s="10" t="s">
        <v>58</v>
      </c>
      <c r="H1308" s="151">
        <v>347.82</v>
      </c>
      <c r="I1308" s="133"/>
      <c r="J1308" s="151">
        <v>9563.2199999999993</v>
      </c>
      <c r="K1308" s="133"/>
    </row>
    <row r="1309" spans="1:11" hidden="1" x14ac:dyDescent="0.25"/>
    <row r="1310" spans="1:11" ht="90" hidden="1" x14ac:dyDescent="0.25">
      <c r="A1310" s="6">
        <v>228</v>
      </c>
      <c r="B1310" s="4" t="s">
        <v>638</v>
      </c>
      <c r="C1310" s="8" t="s">
        <v>639</v>
      </c>
      <c r="D1310" s="16" t="s">
        <v>61</v>
      </c>
      <c r="E1310" s="14">
        <v>2</v>
      </c>
      <c r="F1310" s="11">
        <v>2623.76</v>
      </c>
      <c r="H1310" s="14" t="s">
        <v>50</v>
      </c>
      <c r="I1310" s="11">
        <v>5247.52</v>
      </c>
      <c r="J1310" s="13">
        <v>9.84</v>
      </c>
      <c r="K1310" s="11">
        <v>51635.6</v>
      </c>
    </row>
    <row r="1311" spans="1:11" hidden="1" x14ac:dyDescent="0.25">
      <c r="C1311" s="10" t="s">
        <v>58</v>
      </c>
      <c r="H1311" s="151">
        <v>5247.52</v>
      </c>
      <c r="I1311" s="133"/>
      <c r="J1311" s="151">
        <v>51635.6</v>
      </c>
      <c r="K1311" s="133"/>
    </row>
    <row r="1312" spans="1:11" hidden="1" x14ac:dyDescent="0.25"/>
    <row r="1313" spans="1:11" ht="178.5" hidden="1" x14ac:dyDescent="0.25">
      <c r="A1313" s="6">
        <v>229</v>
      </c>
      <c r="B1313" s="4" t="s">
        <v>640</v>
      </c>
      <c r="C1313" s="8" t="s">
        <v>641</v>
      </c>
      <c r="D1313" s="16" t="s">
        <v>368</v>
      </c>
      <c r="E1313" s="14">
        <v>2</v>
      </c>
    </row>
    <row r="1314" spans="1:11" ht="26.25" hidden="1" x14ac:dyDescent="0.25">
      <c r="C1314" s="5" t="s">
        <v>43</v>
      </c>
      <c r="F1314" s="11">
        <v>30.94</v>
      </c>
      <c r="G1314" s="15" t="s">
        <v>553</v>
      </c>
      <c r="H1314" s="13">
        <v>1.0669999999999999</v>
      </c>
      <c r="I1314" s="11">
        <v>91.12</v>
      </c>
      <c r="J1314" s="13">
        <v>56.35</v>
      </c>
      <c r="K1314" s="11">
        <v>5134.6099999999997</v>
      </c>
    </row>
    <row r="1315" spans="1:11" ht="26.25" hidden="1" x14ac:dyDescent="0.25">
      <c r="C1315" s="7" t="s">
        <v>45</v>
      </c>
      <c r="F1315" s="11">
        <v>6.14</v>
      </c>
      <c r="G1315" s="15" t="s">
        <v>554</v>
      </c>
      <c r="H1315" s="13">
        <v>1.0669999999999999</v>
      </c>
      <c r="I1315" s="11">
        <v>19.649999999999999</v>
      </c>
      <c r="J1315" s="13">
        <v>14.44</v>
      </c>
      <c r="K1315" s="11">
        <v>283.75</v>
      </c>
    </row>
    <row r="1316" spans="1:11" ht="26.25" hidden="1" x14ac:dyDescent="0.25">
      <c r="C1316" s="7" t="s">
        <v>47</v>
      </c>
      <c r="F1316" s="11">
        <v>0.25</v>
      </c>
      <c r="G1316" s="15" t="s">
        <v>554</v>
      </c>
      <c r="H1316" s="13">
        <v>1.0669999999999999</v>
      </c>
      <c r="I1316" s="11">
        <v>0.8</v>
      </c>
      <c r="J1316" s="13">
        <v>56.35</v>
      </c>
      <c r="K1316" s="11">
        <v>45.08</v>
      </c>
    </row>
    <row r="1317" spans="1:11" hidden="1" x14ac:dyDescent="0.25">
      <c r="C1317" s="7" t="s">
        <v>48</v>
      </c>
      <c r="F1317" s="11">
        <v>42.18</v>
      </c>
      <c r="G1317" s="15" t="s">
        <v>49</v>
      </c>
      <c r="H1317" s="14" t="s">
        <v>50</v>
      </c>
      <c r="I1317" s="11">
        <v>84.36</v>
      </c>
      <c r="J1317" s="13">
        <v>8.36</v>
      </c>
      <c r="K1317" s="11">
        <v>705.25</v>
      </c>
    </row>
    <row r="1318" spans="1:11" ht="192" hidden="1" x14ac:dyDescent="0.25">
      <c r="A1318" s="6" t="s">
        <v>642</v>
      </c>
      <c r="B1318" s="4" t="s">
        <v>643</v>
      </c>
      <c r="C1318" s="8" t="s">
        <v>644</v>
      </c>
      <c r="D1318" s="16" t="s">
        <v>245</v>
      </c>
      <c r="E1318" s="14">
        <v>4</v>
      </c>
      <c r="F1318" s="11">
        <v>73.52</v>
      </c>
      <c r="G1318" s="15" t="s">
        <v>49</v>
      </c>
      <c r="H1318" s="14" t="s">
        <v>50</v>
      </c>
      <c r="I1318" s="11">
        <v>294.08</v>
      </c>
      <c r="J1318" s="13">
        <v>6.25</v>
      </c>
      <c r="K1318" s="11">
        <v>1838</v>
      </c>
    </row>
    <row r="1319" spans="1:11" hidden="1" x14ac:dyDescent="0.25">
      <c r="C1319" s="7" t="s">
        <v>51</v>
      </c>
      <c r="D1319" s="11" t="s">
        <v>52</v>
      </c>
      <c r="E1319" s="14">
        <v>109</v>
      </c>
      <c r="I1319" s="11">
        <v>100.19</v>
      </c>
      <c r="J1319" s="14">
        <v>109</v>
      </c>
      <c r="K1319" s="11">
        <v>5645.86</v>
      </c>
    </row>
    <row r="1320" spans="1:11" hidden="1" x14ac:dyDescent="0.25">
      <c r="C1320" s="7" t="s">
        <v>53</v>
      </c>
      <c r="D1320" s="11" t="s">
        <v>52</v>
      </c>
      <c r="E1320" s="14">
        <v>61</v>
      </c>
      <c r="I1320" s="11">
        <v>56.07</v>
      </c>
      <c r="J1320" s="14">
        <v>61</v>
      </c>
      <c r="K1320" s="11">
        <v>3159.61</v>
      </c>
    </row>
    <row r="1321" spans="1:11" ht="26.25" hidden="1" x14ac:dyDescent="0.25">
      <c r="C1321" s="7" t="s">
        <v>54</v>
      </c>
      <c r="D1321" s="11" t="s">
        <v>55</v>
      </c>
      <c r="E1321" s="13">
        <v>2.6</v>
      </c>
      <c r="G1321" s="15" t="s">
        <v>553</v>
      </c>
      <c r="H1321" s="13">
        <v>1.0669999999999999</v>
      </c>
      <c r="I1321" s="12">
        <v>7.6567920000000003</v>
      </c>
    </row>
    <row r="1322" spans="1:11" hidden="1" x14ac:dyDescent="0.25">
      <c r="A1322" s="74"/>
      <c r="B1322" s="74"/>
      <c r="C1322" s="74" t="s">
        <v>56</v>
      </c>
      <c r="D1322" s="74"/>
      <c r="E1322" s="74"/>
      <c r="F1322" s="74"/>
      <c r="G1322" s="74"/>
      <c r="H1322" s="149">
        <v>645.47</v>
      </c>
      <c r="I1322" s="150"/>
      <c r="J1322" s="149">
        <v>16767.080000000002</v>
      </c>
      <c r="K1322" s="150"/>
    </row>
    <row r="1323" spans="1:11" hidden="1" x14ac:dyDescent="0.25">
      <c r="C1323" s="10" t="s">
        <v>57</v>
      </c>
      <c r="H1323" s="151">
        <v>0</v>
      </c>
      <c r="I1323" s="133"/>
      <c r="J1323" s="151">
        <v>0</v>
      </c>
      <c r="K1323" s="133"/>
    </row>
    <row r="1324" spans="1:11" hidden="1" x14ac:dyDescent="0.25">
      <c r="C1324" s="10" t="s">
        <v>58</v>
      </c>
      <c r="H1324" s="151">
        <v>645.47</v>
      </c>
      <c r="I1324" s="133"/>
      <c r="J1324" s="151">
        <v>16767.080000000002</v>
      </c>
      <c r="K1324" s="133"/>
    </row>
    <row r="1325" spans="1:11" hidden="1" x14ac:dyDescent="0.25"/>
    <row r="1326" spans="1:11" ht="90" hidden="1" x14ac:dyDescent="0.25">
      <c r="A1326" s="6">
        <v>230</v>
      </c>
      <c r="B1326" s="4" t="s">
        <v>645</v>
      </c>
      <c r="C1326" s="8" t="s">
        <v>646</v>
      </c>
      <c r="D1326" s="16" t="s">
        <v>61</v>
      </c>
      <c r="E1326" s="14">
        <v>1</v>
      </c>
      <c r="F1326" s="11">
        <v>2740.11</v>
      </c>
      <c r="H1326" s="14" t="s">
        <v>50</v>
      </c>
      <c r="I1326" s="11">
        <v>2740.11</v>
      </c>
      <c r="J1326" s="13">
        <v>9.84</v>
      </c>
      <c r="K1326" s="11">
        <v>26962.68</v>
      </c>
    </row>
    <row r="1327" spans="1:11" hidden="1" x14ac:dyDescent="0.25">
      <c r="C1327" s="10" t="s">
        <v>58</v>
      </c>
      <c r="H1327" s="151">
        <v>2740.11</v>
      </c>
      <c r="I1327" s="133"/>
      <c r="J1327" s="151">
        <v>26962.68</v>
      </c>
      <c r="K1327" s="133"/>
    </row>
    <row r="1328" spans="1:11" hidden="1" x14ac:dyDescent="0.25"/>
    <row r="1329" spans="1:11" ht="90" hidden="1" x14ac:dyDescent="0.25">
      <c r="A1329" s="6">
        <v>231</v>
      </c>
      <c r="B1329" s="4" t="s">
        <v>647</v>
      </c>
      <c r="C1329" s="8" t="s">
        <v>648</v>
      </c>
      <c r="D1329" s="16" t="s">
        <v>61</v>
      </c>
      <c r="E1329" s="14">
        <v>1</v>
      </c>
      <c r="F1329" s="11">
        <v>5497.22</v>
      </c>
      <c r="H1329" s="14" t="s">
        <v>50</v>
      </c>
      <c r="I1329" s="11">
        <v>5497.22</v>
      </c>
      <c r="J1329" s="13">
        <v>9.84</v>
      </c>
      <c r="K1329" s="11">
        <v>54092.639999999999</v>
      </c>
    </row>
    <row r="1330" spans="1:11" hidden="1" x14ac:dyDescent="0.25">
      <c r="C1330" s="10" t="s">
        <v>58</v>
      </c>
      <c r="H1330" s="151">
        <v>5497.22</v>
      </c>
      <c r="I1330" s="133"/>
      <c r="J1330" s="151">
        <v>54092.639999999999</v>
      </c>
      <c r="K1330" s="133"/>
    </row>
    <row r="1331" spans="1:11" hidden="1" x14ac:dyDescent="0.25"/>
    <row r="1332" spans="1:11" ht="178.5" hidden="1" x14ac:dyDescent="0.25">
      <c r="A1332" s="6">
        <v>232</v>
      </c>
      <c r="B1332" s="4" t="s">
        <v>649</v>
      </c>
      <c r="C1332" s="8" t="s">
        <v>650</v>
      </c>
      <c r="D1332" s="16" t="s">
        <v>651</v>
      </c>
      <c r="E1332" s="14">
        <v>25</v>
      </c>
    </row>
    <row r="1333" spans="1:11" ht="26.25" hidden="1" x14ac:dyDescent="0.25">
      <c r="C1333" s="5" t="s">
        <v>43</v>
      </c>
      <c r="F1333" s="11">
        <v>1.58</v>
      </c>
      <c r="G1333" s="15" t="s">
        <v>553</v>
      </c>
      <c r="H1333" s="13">
        <v>1.0669999999999999</v>
      </c>
      <c r="I1333" s="11">
        <v>58.16</v>
      </c>
      <c r="J1333" s="13">
        <v>56.35</v>
      </c>
      <c r="K1333" s="11">
        <v>3277.32</v>
      </c>
    </row>
    <row r="1334" spans="1:11" hidden="1" x14ac:dyDescent="0.25">
      <c r="C1334" s="7" t="s">
        <v>48</v>
      </c>
      <c r="F1334" s="11">
        <v>5.92</v>
      </c>
      <c r="G1334" s="15" t="s">
        <v>49</v>
      </c>
      <c r="H1334" s="14" t="s">
        <v>50</v>
      </c>
      <c r="I1334" s="11">
        <v>148</v>
      </c>
      <c r="J1334" s="13">
        <v>6.56</v>
      </c>
      <c r="K1334" s="11">
        <v>970.88</v>
      </c>
    </row>
    <row r="1335" spans="1:11" hidden="1" x14ac:dyDescent="0.25">
      <c r="C1335" s="7" t="s">
        <v>51</v>
      </c>
      <c r="D1335" s="11" t="s">
        <v>52</v>
      </c>
      <c r="E1335" s="14">
        <v>109</v>
      </c>
      <c r="I1335" s="11">
        <v>63.39</v>
      </c>
      <c r="J1335" s="14">
        <v>109</v>
      </c>
      <c r="K1335" s="11">
        <v>3572.28</v>
      </c>
    </row>
    <row r="1336" spans="1:11" hidden="1" x14ac:dyDescent="0.25">
      <c r="C1336" s="7" t="s">
        <v>53</v>
      </c>
      <c r="D1336" s="11" t="s">
        <v>52</v>
      </c>
      <c r="E1336" s="14">
        <v>61</v>
      </c>
      <c r="I1336" s="11">
        <v>35.479999999999997</v>
      </c>
      <c r="J1336" s="14">
        <v>61</v>
      </c>
      <c r="K1336" s="11">
        <v>1999.17</v>
      </c>
    </row>
    <row r="1337" spans="1:11" ht="26.25" hidden="1" x14ac:dyDescent="0.25">
      <c r="C1337" s="7" t="s">
        <v>54</v>
      </c>
      <c r="D1337" s="11" t="s">
        <v>55</v>
      </c>
      <c r="E1337" s="13">
        <v>0.12</v>
      </c>
      <c r="G1337" s="15" t="s">
        <v>553</v>
      </c>
      <c r="H1337" s="13">
        <v>1.0669999999999999</v>
      </c>
      <c r="I1337" s="12">
        <v>4.4173799999999996</v>
      </c>
    </row>
    <row r="1338" spans="1:11" hidden="1" x14ac:dyDescent="0.25">
      <c r="A1338" s="75"/>
      <c r="B1338" s="75"/>
      <c r="C1338" s="75" t="s">
        <v>56</v>
      </c>
      <c r="D1338" s="75"/>
      <c r="E1338" s="75"/>
      <c r="F1338" s="75"/>
      <c r="G1338" s="75"/>
      <c r="H1338" s="149">
        <v>305.02999999999997</v>
      </c>
      <c r="I1338" s="150"/>
      <c r="J1338" s="149">
        <v>9819.65</v>
      </c>
      <c r="K1338" s="150"/>
    </row>
    <row r="1339" spans="1:11" hidden="1" x14ac:dyDescent="0.25">
      <c r="C1339" s="10" t="s">
        <v>57</v>
      </c>
      <c r="H1339" s="151">
        <v>0</v>
      </c>
      <c r="I1339" s="133"/>
      <c r="J1339" s="151">
        <v>0</v>
      </c>
      <c r="K1339" s="133"/>
    </row>
    <row r="1340" spans="1:11" hidden="1" x14ac:dyDescent="0.25">
      <c r="C1340" s="10" t="s">
        <v>58</v>
      </c>
      <c r="H1340" s="151">
        <v>305.02999999999997</v>
      </c>
      <c r="I1340" s="133"/>
      <c r="J1340" s="151">
        <v>9819.65</v>
      </c>
      <c r="K1340" s="133"/>
    </row>
    <row r="1341" spans="1:11" hidden="1" x14ac:dyDescent="0.25"/>
    <row r="1342" spans="1:11" ht="179.25" hidden="1" x14ac:dyDescent="0.25">
      <c r="A1342" s="6">
        <v>233</v>
      </c>
      <c r="B1342" s="4" t="s">
        <v>652</v>
      </c>
      <c r="C1342" s="8" t="s">
        <v>653</v>
      </c>
      <c r="D1342" s="16" t="s">
        <v>245</v>
      </c>
      <c r="E1342" s="14">
        <v>25</v>
      </c>
      <c r="F1342" s="11">
        <v>4.99</v>
      </c>
      <c r="H1342" s="14" t="s">
        <v>50</v>
      </c>
      <c r="I1342" s="11">
        <v>124.75</v>
      </c>
      <c r="J1342" s="13">
        <v>6.77</v>
      </c>
      <c r="K1342" s="11">
        <v>844.56</v>
      </c>
    </row>
    <row r="1343" spans="1:11" hidden="1" x14ac:dyDescent="0.25">
      <c r="C1343" s="10" t="s">
        <v>58</v>
      </c>
      <c r="H1343" s="151">
        <v>124.75</v>
      </c>
      <c r="I1343" s="133"/>
      <c r="J1343" s="151">
        <v>844.56</v>
      </c>
      <c r="K1343" s="133"/>
    </row>
    <row r="1344" spans="1:11" hidden="1" x14ac:dyDescent="0.25"/>
    <row r="1345" spans="1:11" ht="178.5" hidden="1" x14ac:dyDescent="0.25">
      <c r="A1345" s="6">
        <v>234</v>
      </c>
      <c r="B1345" s="4" t="s">
        <v>654</v>
      </c>
      <c r="C1345" s="8" t="s">
        <v>655</v>
      </c>
      <c r="D1345" s="16" t="s">
        <v>368</v>
      </c>
      <c r="E1345" s="14">
        <v>2</v>
      </c>
    </row>
    <row r="1346" spans="1:11" ht="26.25" hidden="1" x14ac:dyDescent="0.25">
      <c r="C1346" s="5" t="s">
        <v>43</v>
      </c>
      <c r="F1346" s="11">
        <v>26.37</v>
      </c>
      <c r="G1346" s="15" t="s">
        <v>553</v>
      </c>
      <c r="H1346" s="13">
        <v>1.0669999999999999</v>
      </c>
      <c r="I1346" s="11">
        <v>77.66</v>
      </c>
      <c r="J1346" s="13">
        <v>56.35</v>
      </c>
      <c r="K1346" s="11">
        <v>4376.1400000000003</v>
      </c>
    </row>
    <row r="1347" spans="1:11" ht="26.25" hidden="1" x14ac:dyDescent="0.25">
      <c r="C1347" s="7" t="s">
        <v>45</v>
      </c>
      <c r="F1347" s="11">
        <v>89.59</v>
      </c>
      <c r="G1347" s="15" t="s">
        <v>554</v>
      </c>
      <c r="H1347" s="13">
        <v>1.0669999999999999</v>
      </c>
      <c r="I1347" s="11">
        <v>286.77999999999997</v>
      </c>
      <c r="J1347" s="13">
        <v>14.34</v>
      </c>
      <c r="K1347" s="11">
        <v>4112.43</v>
      </c>
    </row>
    <row r="1348" spans="1:11" ht="26.25" hidden="1" x14ac:dyDescent="0.25">
      <c r="C1348" s="7" t="s">
        <v>47</v>
      </c>
      <c r="F1348" s="11">
        <v>6.8</v>
      </c>
      <c r="G1348" s="15" t="s">
        <v>554</v>
      </c>
      <c r="H1348" s="13">
        <v>1.0669999999999999</v>
      </c>
      <c r="I1348" s="11">
        <v>21.77</v>
      </c>
      <c r="J1348" s="13">
        <v>56.35</v>
      </c>
      <c r="K1348" s="11">
        <v>1226.74</v>
      </c>
    </row>
    <row r="1349" spans="1:11" hidden="1" x14ac:dyDescent="0.25">
      <c r="C1349" s="7" t="s">
        <v>48</v>
      </c>
      <c r="F1349" s="11">
        <v>97.9</v>
      </c>
      <c r="G1349" s="15" t="s">
        <v>49</v>
      </c>
      <c r="H1349" s="13">
        <v>1.0029999999999999</v>
      </c>
      <c r="I1349" s="11">
        <v>196.39</v>
      </c>
      <c r="J1349" s="13">
        <v>3.59</v>
      </c>
      <c r="K1349" s="11">
        <v>705.04</v>
      </c>
    </row>
    <row r="1350" spans="1:11" ht="294" hidden="1" x14ac:dyDescent="0.25">
      <c r="A1350" s="6" t="s">
        <v>656</v>
      </c>
      <c r="B1350" s="4" t="s">
        <v>657</v>
      </c>
      <c r="C1350" s="8" t="s">
        <v>658</v>
      </c>
      <c r="D1350" s="16" t="s">
        <v>245</v>
      </c>
      <c r="E1350" s="14">
        <v>2</v>
      </c>
      <c r="F1350" s="11">
        <v>1249.9000000000001</v>
      </c>
      <c r="G1350" s="15" t="s">
        <v>49</v>
      </c>
      <c r="H1350" s="13">
        <v>1.0029999999999999</v>
      </c>
      <c r="I1350" s="11">
        <v>2507.3000000000002</v>
      </c>
      <c r="J1350" s="13">
        <v>4.01</v>
      </c>
      <c r="K1350" s="11">
        <v>10054.27</v>
      </c>
    </row>
    <row r="1351" spans="1:11" ht="191.25" hidden="1" x14ac:dyDescent="0.25">
      <c r="A1351" s="6" t="s">
        <v>659</v>
      </c>
      <c r="B1351" s="4" t="s">
        <v>660</v>
      </c>
      <c r="C1351" s="8" t="s">
        <v>661</v>
      </c>
      <c r="D1351" s="16" t="s">
        <v>662</v>
      </c>
      <c r="E1351" s="14">
        <v>4</v>
      </c>
      <c r="F1351" s="11">
        <v>3986.25</v>
      </c>
      <c r="G1351" s="15" t="s">
        <v>49</v>
      </c>
      <c r="H1351" s="13">
        <v>1.0029999999999999</v>
      </c>
      <c r="I1351" s="11">
        <v>15992.84</v>
      </c>
      <c r="J1351" s="13">
        <v>10.8</v>
      </c>
      <c r="K1351" s="11">
        <v>172722.67</v>
      </c>
    </row>
    <row r="1352" spans="1:11" hidden="1" x14ac:dyDescent="0.25">
      <c r="C1352" s="7" t="s">
        <v>51</v>
      </c>
      <c r="D1352" s="11" t="s">
        <v>52</v>
      </c>
      <c r="E1352" s="14">
        <v>105</v>
      </c>
      <c r="I1352" s="11">
        <v>104.4</v>
      </c>
      <c r="J1352" s="14">
        <v>105</v>
      </c>
      <c r="K1352" s="11">
        <v>5883.02</v>
      </c>
    </row>
    <row r="1353" spans="1:11" hidden="1" x14ac:dyDescent="0.25">
      <c r="C1353" s="7" t="s">
        <v>53</v>
      </c>
      <c r="D1353" s="11" t="s">
        <v>52</v>
      </c>
      <c r="E1353" s="14">
        <v>63</v>
      </c>
      <c r="I1353" s="11">
        <v>62.64</v>
      </c>
      <c r="J1353" s="14">
        <v>63</v>
      </c>
      <c r="K1353" s="11">
        <v>3529.81</v>
      </c>
    </row>
    <row r="1354" spans="1:11" ht="26.25" hidden="1" x14ac:dyDescent="0.25">
      <c r="C1354" s="7" t="s">
        <v>54</v>
      </c>
      <c r="D1354" s="11" t="s">
        <v>55</v>
      </c>
      <c r="E1354" s="13">
        <v>1.96</v>
      </c>
      <c r="G1354" s="15" t="s">
        <v>553</v>
      </c>
      <c r="H1354" s="13">
        <v>1.0669999999999999</v>
      </c>
      <c r="I1354" s="12">
        <v>5.7720431999999997</v>
      </c>
    </row>
    <row r="1355" spans="1:11" hidden="1" x14ac:dyDescent="0.25">
      <c r="A1355" s="76"/>
      <c r="B1355" s="76"/>
      <c r="C1355" s="76" t="s">
        <v>56</v>
      </c>
      <c r="D1355" s="76"/>
      <c r="E1355" s="76"/>
      <c r="F1355" s="76"/>
      <c r="G1355" s="76"/>
      <c r="H1355" s="149">
        <v>19228.009999999998</v>
      </c>
      <c r="I1355" s="150"/>
      <c r="J1355" s="149">
        <v>201383.38</v>
      </c>
      <c r="K1355" s="150"/>
    </row>
    <row r="1356" spans="1:11" hidden="1" x14ac:dyDescent="0.25">
      <c r="C1356" s="10" t="s">
        <v>57</v>
      </c>
      <c r="H1356" s="151">
        <v>0</v>
      </c>
      <c r="I1356" s="133"/>
      <c r="J1356" s="151">
        <v>0</v>
      </c>
      <c r="K1356" s="133"/>
    </row>
    <row r="1357" spans="1:11" hidden="1" x14ac:dyDescent="0.25">
      <c r="C1357" s="10" t="s">
        <v>58</v>
      </c>
      <c r="H1357" s="151">
        <v>19228.009999999998</v>
      </c>
      <c r="I1357" s="133"/>
      <c r="J1357" s="151">
        <v>201383.38</v>
      </c>
      <c r="K1357" s="133"/>
    </row>
    <row r="1358" spans="1:11" hidden="1" x14ac:dyDescent="0.25"/>
    <row r="1359" spans="1:11" hidden="1" x14ac:dyDescent="0.25"/>
    <row r="1360" spans="1:11" hidden="1" x14ac:dyDescent="0.25">
      <c r="A1360" s="77"/>
      <c r="B1360" s="77"/>
      <c r="C1360" s="77"/>
      <c r="D1360" s="77"/>
      <c r="E1360" s="77"/>
      <c r="F1360" s="77"/>
      <c r="G1360" s="77"/>
      <c r="H1360" s="77"/>
      <c r="I1360" s="77"/>
      <c r="J1360" s="77"/>
      <c r="K1360" s="77"/>
    </row>
    <row r="1361" spans="1:11" ht="15.95" hidden="1" customHeight="1" x14ac:dyDescent="0.25">
      <c r="A1361" s="152" t="s">
        <v>663</v>
      </c>
      <c r="B1361" s="133"/>
      <c r="C1361" s="133"/>
      <c r="D1361" s="133"/>
      <c r="E1361" s="133"/>
      <c r="F1361" s="133"/>
      <c r="G1361" s="133"/>
      <c r="H1361" s="151">
        <v>77384.62</v>
      </c>
      <c r="I1361" s="133"/>
      <c r="J1361" s="151">
        <v>1401500.93</v>
      </c>
      <c r="K1361" s="133"/>
    </row>
    <row r="1362" spans="1:11" hidden="1" x14ac:dyDescent="0.25"/>
    <row r="1363" spans="1:11" hidden="1" x14ac:dyDescent="0.25"/>
    <row r="1364" spans="1:11" ht="17.100000000000001" hidden="1" customHeight="1" x14ac:dyDescent="0.25">
      <c r="A1364" s="147" t="s">
        <v>664</v>
      </c>
      <c r="B1364" s="133"/>
      <c r="C1364" s="133"/>
      <c r="D1364" s="133"/>
      <c r="E1364" s="133"/>
      <c r="F1364" s="133"/>
      <c r="G1364" s="133"/>
      <c r="H1364" s="133"/>
      <c r="I1364" s="133"/>
      <c r="J1364" s="133"/>
      <c r="K1364" s="133"/>
    </row>
    <row r="1365" spans="1:11" hidden="1" x14ac:dyDescent="0.25"/>
    <row r="1366" spans="1:11" ht="15.95" hidden="1" customHeight="1" x14ac:dyDescent="0.25">
      <c r="A1366" s="148" t="s">
        <v>665</v>
      </c>
      <c r="B1366" s="133"/>
      <c r="C1366" s="133"/>
      <c r="D1366" s="133"/>
      <c r="E1366" s="133"/>
      <c r="F1366" s="133"/>
      <c r="G1366" s="133"/>
      <c r="H1366" s="133"/>
      <c r="I1366" s="133"/>
      <c r="J1366" s="133"/>
      <c r="K1366" s="133"/>
    </row>
    <row r="1367" spans="1:11" hidden="1" x14ac:dyDescent="0.25"/>
    <row r="1368" spans="1:11" ht="229.5" hidden="1" x14ac:dyDescent="0.25">
      <c r="A1368" s="6">
        <v>235</v>
      </c>
      <c r="B1368" s="4" t="s">
        <v>666</v>
      </c>
      <c r="C1368" s="8" t="s">
        <v>667</v>
      </c>
      <c r="D1368" s="16" t="s">
        <v>102</v>
      </c>
      <c r="E1368" s="14">
        <v>4</v>
      </c>
    </row>
    <row r="1369" spans="1:11" ht="26.25" hidden="1" x14ac:dyDescent="0.25">
      <c r="C1369" s="5" t="s">
        <v>43</v>
      </c>
      <c r="F1369" s="11">
        <v>11.7</v>
      </c>
      <c r="G1369" s="15" t="s">
        <v>44</v>
      </c>
      <c r="H1369" s="13">
        <v>1.0669999999999999</v>
      </c>
      <c r="I1369" s="11">
        <v>72.36</v>
      </c>
      <c r="J1369" s="13">
        <v>56.35</v>
      </c>
      <c r="K1369" s="11">
        <v>4077.49</v>
      </c>
    </row>
    <row r="1370" spans="1:11" ht="26.25" hidden="1" x14ac:dyDescent="0.25">
      <c r="C1370" s="7" t="s">
        <v>45</v>
      </c>
      <c r="F1370" s="11">
        <v>0.73</v>
      </c>
      <c r="G1370" s="15" t="s">
        <v>46</v>
      </c>
      <c r="H1370" s="13">
        <v>1.0669999999999999</v>
      </c>
      <c r="I1370" s="11">
        <v>4.91</v>
      </c>
      <c r="J1370" s="13">
        <v>14.21</v>
      </c>
      <c r="K1370" s="11">
        <v>69.77</v>
      </c>
    </row>
    <row r="1371" spans="1:11" ht="26.25" hidden="1" x14ac:dyDescent="0.25">
      <c r="C1371" s="7" t="s">
        <v>47</v>
      </c>
      <c r="F1371" s="11">
        <v>7.0000000000000007E-2</v>
      </c>
      <c r="G1371" s="15" t="s">
        <v>46</v>
      </c>
      <c r="H1371" s="13">
        <v>1.0669999999999999</v>
      </c>
      <c r="I1371" s="11">
        <v>0.47</v>
      </c>
      <c r="J1371" s="13">
        <v>56.35</v>
      </c>
      <c r="K1371" s="11">
        <v>26.48</v>
      </c>
    </row>
    <row r="1372" spans="1:11" hidden="1" x14ac:dyDescent="0.25">
      <c r="C1372" s="7" t="s">
        <v>48</v>
      </c>
      <c r="F1372" s="11">
        <v>114.23</v>
      </c>
      <c r="G1372" s="15" t="s">
        <v>96</v>
      </c>
      <c r="H1372" s="14" t="s">
        <v>50</v>
      </c>
      <c r="I1372" s="11">
        <v>456.92</v>
      </c>
      <c r="J1372" s="13">
        <v>6.34</v>
      </c>
      <c r="K1372" s="11">
        <v>2896.87</v>
      </c>
    </row>
    <row r="1373" spans="1:11" hidden="1" x14ac:dyDescent="0.25">
      <c r="C1373" s="7" t="s">
        <v>51</v>
      </c>
      <c r="D1373" s="11" t="s">
        <v>52</v>
      </c>
      <c r="E1373" s="14">
        <v>109</v>
      </c>
      <c r="I1373" s="11">
        <v>79.38</v>
      </c>
      <c r="J1373" s="14">
        <v>109</v>
      </c>
      <c r="K1373" s="11">
        <v>4473.33</v>
      </c>
    </row>
    <row r="1374" spans="1:11" hidden="1" x14ac:dyDescent="0.25">
      <c r="C1374" s="7" t="s">
        <v>53</v>
      </c>
      <c r="D1374" s="11" t="s">
        <v>52</v>
      </c>
      <c r="E1374" s="14">
        <v>61</v>
      </c>
      <c r="I1374" s="11">
        <v>44.43</v>
      </c>
      <c r="J1374" s="14">
        <v>61</v>
      </c>
      <c r="K1374" s="11">
        <v>2503.42</v>
      </c>
    </row>
    <row r="1375" spans="1:11" ht="26.25" hidden="1" x14ac:dyDescent="0.25">
      <c r="C1375" s="7" t="s">
        <v>54</v>
      </c>
      <c r="D1375" s="11" t="s">
        <v>55</v>
      </c>
      <c r="E1375" s="13">
        <v>0.89</v>
      </c>
      <c r="G1375" s="15" t="s">
        <v>44</v>
      </c>
      <c r="H1375" s="13">
        <v>1.0669999999999999</v>
      </c>
      <c r="I1375" s="12">
        <v>5.5040554799999999</v>
      </c>
    </row>
    <row r="1376" spans="1:11" hidden="1" x14ac:dyDescent="0.25">
      <c r="A1376" s="78"/>
      <c r="B1376" s="78"/>
      <c r="C1376" s="78" t="s">
        <v>56</v>
      </c>
      <c r="D1376" s="78"/>
      <c r="E1376" s="78"/>
      <c r="F1376" s="78"/>
      <c r="G1376" s="78"/>
      <c r="H1376" s="149">
        <v>658</v>
      </c>
      <c r="I1376" s="150"/>
      <c r="J1376" s="149">
        <v>14020.88</v>
      </c>
      <c r="K1376" s="150"/>
    </row>
    <row r="1377" spans="1:15" hidden="1" x14ac:dyDescent="0.25">
      <c r="C1377" s="10" t="s">
        <v>57</v>
      </c>
      <c r="H1377" s="151">
        <v>0</v>
      </c>
      <c r="I1377" s="133"/>
      <c r="J1377" s="151">
        <v>0</v>
      </c>
      <c r="K1377" s="133"/>
    </row>
    <row r="1378" spans="1:15" hidden="1" x14ac:dyDescent="0.25">
      <c r="C1378" s="10" t="s">
        <v>58</v>
      </c>
      <c r="H1378" s="151">
        <v>658</v>
      </c>
      <c r="I1378" s="133"/>
      <c r="J1378" s="151">
        <v>14020.88</v>
      </c>
      <c r="K1378" s="133"/>
    </row>
    <row r="1379" spans="1:15" hidden="1" x14ac:dyDescent="0.25"/>
    <row r="1380" spans="1:15" ht="102.75" x14ac:dyDescent="0.25">
      <c r="A1380" s="93">
        <v>236</v>
      </c>
      <c r="B1380" s="94" t="s">
        <v>668</v>
      </c>
      <c r="C1380" s="118" t="s">
        <v>669</v>
      </c>
      <c r="D1380" s="96" t="s">
        <v>61</v>
      </c>
      <c r="E1380" s="117">
        <v>2</v>
      </c>
      <c r="F1380" s="98">
        <v>81869.88</v>
      </c>
      <c r="G1380" s="99"/>
      <c r="H1380" s="97" t="s">
        <v>50</v>
      </c>
      <c r="I1380" s="98">
        <v>163739.76</v>
      </c>
      <c r="J1380" s="100">
        <v>7.57</v>
      </c>
      <c r="K1380" s="98">
        <v>1239509.98</v>
      </c>
      <c r="L1380" t="s">
        <v>785</v>
      </c>
      <c r="O1380" s="116">
        <f>K1380</f>
        <v>1239509.98</v>
      </c>
    </row>
    <row r="1381" spans="1:15" hidden="1" x14ac:dyDescent="0.25">
      <c r="C1381" s="10" t="s">
        <v>58</v>
      </c>
      <c r="H1381" s="151">
        <v>163739.76</v>
      </c>
      <c r="I1381" s="133"/>
      <c r="J1381" s="151">
        <v>1239509.98</v>
      </c>
      <c r="K1381" s="133"/>
    </row>
    <row r="1382" spans="1:15" hidden="1" x14ac:dyDescent="0.25"/>
    <row r="1383" spans="1:15" ht="115.5" x14ac:dyDescent="0.25">
      <c r="A1383" s="93">
        <v>237</v>
      </c>
      <c r="B1383" s="94" t="s">
        <v>670</v>
      </c>
      <c r="C1383" s="118" t="s">
        <v>671</v>
      </c>
      <c r="D1383" s="96" t="s">
        <v>61</v>
      </c>
      <c r="E1383" s="117">
        <v>2</v>
      </c>
      <c r="F1383" s="98">
        <v>99135.47</v>
      </c>
      <c r="G1383" s="99"/>
      <c r="H1383" s="97" t="s">
        <v>50</v>
      </c>
      <c r="I1383" s="98">
        <v>198270.94</v>
      </c>
      <c r="J1383" s="100">
        <v>7.57</v>
      </c>
      <c r="K1383" s="98">
        <v>1500911.02</v>
      </c>
      <c r="L1383" t="s">
        <v>785</v>
      </c>
      <c r="O1383" s="116">
        <f>K1383</f>
        <v>1500911.02</v>
      </c>
    </row>
    <row r="1384" spans="1:15" hidden="1" x14ac:dyDescent="0.25">
      <c r="C1384" s="10" t="s">
        <v>58</v>
      </c>
      <c r="H1384" s="151">
        <v>198270.94</v>
      </c>
      <c r="I1384" s="133"/>
      <c r="J1384" s="151">
        <v>1500911.02</v>
      </c>
      <c r="K1384" s="133"/>
    </row>
    <row r="1385" spans="1:15" hidden="1" x14ac:dyDescent="0.25"/>
    <row r="1386" spans="1:15" ht="229.5" hidden="1" x14ac:dyDescent="0.25">
      <c r="A1386" s="6">
        <v>238</v>
      </c>
      <c r="B1386" s="4" t="s">
        <v>672</v>
      </c>
      <c r="C1386" s="8" t="s">
        <v>673</v>
      </c>
      <c r="D1386" s="16" t="s">
        <v>102</v>
      </c>
      <c r="E1386" s="14">
        <v>19</v>
      </c>
    </row>
    <row r="1387" spans="1:15" ht="25.5" hidden="1" x14ac:dyDescent="0.25">
      <c r="C1387" s="9" t="s">
        <v>674</v>
      </c>
    </row>
    <row r="1388" spans="1:15" ht="26.25" hidden="1" x14ac:dyDescent="0.25">
      <c r="C1388" s="5" t="s">
        <v>43</v>
      </c>
      <c r="F1388" s="11">
        <v>90.52</v>
      </c>
      <c r="G1388" s="15" t="s">
        <v>44</v>
      </c>
      <c r="H1388" s="13">
        <v>1.0669999999999999</v>
      </c>
      <c r="I1388" s="11">
        <v>2659.08</v>
      </c>
      <c r="J1388" s="13">
        <v>56.35</v>
      </c>
      <c r="K1388" s="11">
        <v>149839.16</v>
      </c>
    </row>
    <row r="1389" spans="1:15" ht="26.25" hidden="1" x14ac:dyDescent="0.25">
      <c r="C1389" s="7" t="s">
        <v>45</v>
      </c>
      <c r="F1389" s="11">
        <v>0.89</v>
      </c>
      <c r="G1389" s="15" t="s">
        <v>46</v>
      </c>
      <c r="H1389" s="13">
        <v>1.0669999999999999</v>
      </c>
      <c r="I1389" s="11">
        <v>28.42</v>
      </c>
      <c r="J1389" s="13">
        <v>12.6</v>
      </c>
      <c r="K1389" s="11">
        <v>358.09</v>
      </c>
    </row>
    <row r="1390" spans="1:15" ht="26.25" hidden="1" x14ac:dyDescent="0.25">
      <c r="C1390" s="7" t="s">
        <v>47</v>
      </c>
      <c r="F1390" s="11">
        <v>0.05</v>
      </c>
      <c r="G1390" s="15" t="s">
        <v>46</v>
      </c>
      <c r="H1390" s="13">
        <v>1.0669999999999999</v>
      </c>
      <c r="I1390" s="11">
        <v>1.6</v>
      </c>
      <c r="J1390" s="13">
        <v>56.35</v>
      </c>
      <c r="K1390" s="11">
        <v>90.16</v>
      </c>
    </row>
    <row r="1391" spans="1:15" hidden="1" x14ac:dyDescent="0.25">
      <c r="C1391" s="7" t="s">
        <v>48</v>
      </c>
      <c r="F1391" s="11">
        <v>335.12</v>
      </c>
      <c r="G1391" s="15" t="s">
        <v>96</v>
      </c>
      <c r="H1391" s="14" t="s">
        <v>50</v>
      </c>
      <c r="I1391" s="11">
        <v>6367.28</v>
      </c>
      <c r="J1391" s="13">
        <v>8.1300000000000008</v>
      </c>
      <c r="K1391" s="11">
        <v>51765.99</v>
      </c>
    </row>
    <row r="1392" spans="1:15" hidden="1" x14ac:dyDescent="0.25">
      <c r="C1392" s="7" t="s">
        <v>51</v>
      </c>
      <c r="D1392" s="11" t="s">
        <v>52</v>
      </c>
      <c r="E1392" s="14">
        <v>109</v>
      </c>
      <c r="I1392" s="11">
        <v>2900.14</v>
      </c>
      <c r="J1392" s="14">
        <v>109</v>
      </c>
      <c r="K1392" s="11">
        <v>163422.96</v>
      </c>
    </row>
    <row r="1393" spans="1:15" hidden="1" x14ac:dyDescent="0.25">
      <c r="C1393" s="7" t="s">
        <v>53</v>
      </c>
      <c r="D1393" s="11" t="s">
        <v>52</v>
      </c>
      <c r="E1393" s="14">
        <v>61</v>
      </c>
      <c r="I1393" s="11">
        <v>1623.01</v>
      </c>
      <c r="J1393" s="14">
        <v>61</v>
      </c>
      <c r="K1393" s="11">
        <v>91456.89</v>
      </c>
    </row>
    <row r="1394" spans="1:15" ht="26.25" hidden="1" x14ac:dyDescent="0.25">
      <c r="C1394" s="7" t="s">
        <v>54</v>
      </c>
      <c r="D1394" s="11" t="s">
        <v>55</v>
      </c>
      <c r="E1394" s="14">
        <v>7</v>
      </c>
      <c r="G1394" s="15" t="s">
        <v>44</v>
      </c>
      <c r="H1394" s="13">
        <v>1.0669999999999999</v>
      </c>
      <c r="I1394" s="12">
        <v>205.62903900000001</v>
      </c>
    </row>
    <row r="1395" spans="1:15" hidden="1" x14ac:dyDescent="0.25">
      <c r="A1395" s="79"/>
      <c r="B1395" s="79"/>
      <c r="C1395" s="79" t="s">
        <v>56</v>
      </c>
      <c r="D1395" s="79"/>
      <c r="E1395" s="79"/>
      <c r="F1395" s="79"/>
      <c r="G1395" s="79"/>
      <c r="H1395" s="149">
        <v>13577.93</v>
      </c>
      <c r="I1395" s="150"/>
      <c r="J1395" s="149">
        <v>456843.09</v>
      </c>
      <c r="K1395" s="150"/>
    </row>
    <row r="1396" spans="1:15" hidden="1" x14ac:dyDescent="0.25">
      <c r="C1396" s="10" t="s">
        <v>57</v>
      </c>
      <c r="H1396" s="151">
        <v>0</v>
      </c>
      <c r="I1396" s="133"/>
      <c r="J1396" s="151">
        <v>0</v>
      </c>
      <c r="K1396" s="133"/>
    </row>
    <row r="1397" spans="1:15" hidden="1" x14ac:dyDescent="0.25">
      <c r="C1397" s="10" t="s">
        <v>58</v>
      </c>
      <c r="H1397" s="151">
        <v>13577.93</v>
      </c>
      <c r="I1397" s="133"/>
      <c r="J1397" s="151">
        <v>456843.09</v>
      </c>
      <c r="K1397" s="133"/>
    </row>
    <row r="1398" spans="1:15" hidden="1" x14ac:dyDescent="0.25"/>
    <row r="1399" spans="1:15" ht="166.5" x14ac:dyDescent="0.25">
      <c r="A1399" s="93">
        <v>239</v>
      </c>
      <c r="B1399" s="94" t="s">
        <v>675</v>
      </c>
      <c r="C1399" s="118" t="s">
        <v>676</v>
      </c>
      <c r="D1399" s="96" t="s">
        <v>61</v>
      </c>
      <c r="E1399" s="117">
        <v>4</v>
      </c>
      <c r="F1399" s="98">
        <v>111622.28</v>
      </c>
      <c r="G1399" s="99"/>
      <c r="H1399" s="97" t="s">
        <v>50</v>
      </c>
      <c r="I1399" s="98">
        <v>446489.12</v>
      </c>
      <c r="J1399" s="100">
        <v>7.57</v>
      </c>
      <c r="K1399" s="98">
        <v>3379922.64</v>
      </c>
      <c r="L1399" t="s">
        <v>785</v>
      </c>
      <c r="O1399" s="116">
        <f>K1399</f>
        <v>3379922.64</v>
      </c>
    </row>
    <row r="1400" spans="1:15" hidden="1" x14ac:dyDescent="0.25">
      <c r="C1400" s="10" t="s">
        <v>58</v>
      </c>
      <c r="H1400" s="151">
        <v>446489.12</v>
      </c>
      <c r="I1400" s="133"/>
      <c r="J1400" s="151">
        <v>3379922.64</v>
      </c>
      <c r="K1400" s="133"/>
    </row>
    <row r="1401" spans="1:15" hidden="1" x14ac:dyDescent="0.25"/>
    <row r="1402" spans="1:15" ht="166.5" x14ac:dyDescent="0.25">
      <c r="A1402" s="93">
        <v>240</v>
      </c>
      <c r="B1402" s="94" t="s">
        <v>677</v>
      </c>
      <c r="C1402" s="118" t="s">
        <v>678</v>
      </c>
      <c r="D1402" s="96" t="s">
        <v>61</v>
      </c>
      <c r="E1402" s="117">
        <v>3</v>
      </c>
      <c r="F1402" s="98">
        <v>48728.51</v>
      </c>
      <c r="G1402" s="99"/>
      <c r="H1402" s="97" t="s">
        <v>50</v>
      </c>
      <c r="I1402" s="98">
        <v>146185.53</v>
      </c>
      <c r="J1402" s="100">
        <v>7.57</v>
      </c>
      <c r="K1402" s="98">
        <v>1106624.46</v>
      </c>
      <c r="L1402" t="s">
        <v>785</v>
      </c>
      <c r="O1402" s="116">
        <f>K1402</f>
        <v>1106624.46</v>
      </c>
    </row>
    <row r="1403" spans="1:15" hidden="1" x14ac:dyDescent="0.25">
      <c r="C1403" s="10" t="s">
        <v>58</v>
      </c>
      <c r="H1403" s="151">
        <v>146185.53</v>
      </c>
      <c r="I1403" s="133"/>
      <c r="J1403" s="151">
        <v>1106624.46</v>
      </c>
      <c r="K1403" s="133"/>
    </row>
    <row r="1404" spans="1:15" hidden="1" x14ac:dyDescent="0.25"/>
    <row r="1405" spans="1:15" ht="166.5" x14ac:dyDescent="0.25">
      <c r="A1405" s="93">
        <v>241</v>
      </c>
      <c r="B1405" s="94" t="s">
        <v>679</v>
      </c>
      <c r="C1405" s="101" t="s">
        <v>680</v>
      </c>
      <c r="D1405" s="96" t="s">
        <v>61</v>
      </c>
      <c r="E1405" s="117">
        <v>7</v>
      </c>
      <c r="F1405" s="98">
        <v>22065.74</v>
      </c>
      <c r="G1405" s="99"/>
      <c r="H1405" s="97" t="s">
        <v>50</v>
      </c>
      <c r="I1405" s="98">
        <v>154460.18</v>
      </c>
      <c r="J1405" s="100">
        <v>7.57</v>
      </c>
      <c r="K1405" s="98">
        <v>1169263.56</v>
      </c>
      <c r="L1405" t="s">
        <v>785</v>
      </c>
      <c r="O1405" s="116">
        <f>K1405</f>
        <v>1169263.56</v>
      </c>
    </row>
    <row r="1406" spans="1:15" hidden="1" x14ac:dyDescent="0.25">
      <c r="C1406" s="10" t="s">
        <v>58</v>
      </c>
      <c r="H1406" s="151">
        <v>154460.18</v>
      </c>
      <c r="I1406" s="133"/>
      <c r="J1406" s="151">
        <v>1169263.56</v>
      </c>
      <c r="K1406" s="133"/>
    </row>
    <row r="1407" spans="1:15" hidden="1" x14ac:dyDescent="0.25"/>
    <row r="1408" spans="1:15" ht="166.5" x14ac:dyDescent="0.25">
      <c r="A1408" s="93">
        <v>242</v>
      </c>
      <c r="B1408" s="94" t="s">
        <v>681</v>
      </c>
      <c r="C1408" s="101" t="s">
        <v>682</v>
      </c>
      <c r="D1408" s="96" t="s">
        <v>61</v>
      </c>
      <c r="E1408" s="117">
        <v>5</v>
      </c>
      <c r="F1408" s="98">
        <v>23263.11</v>
      </c>
      <c r="G1408" s="99"/>
      <c r="H1408" s="97" t="s">
        <v>50</v>
      </c>
      <c r="I1408" s="98">
        <v>116315.55</v>
      </c>
      <c r="J1408" s="100">
        <v>7.57</v>
      </c>
      <c r="K1408" s="98">
        <v>880508.71</v>
      </c>
      <c r="L1408" t="s">
        <v>785</v>
      </c>
      <c r="O1408" s="116">
        <f>K1408</f>
        <v>880508.71</v>
      </c>
    </row>
    <row r="1409" spans="1:11" hidden="1" x14ac:dyDescent="0.25">
      <c r="C1409" s="10" t="s">
        <v>58</v>
      </c>
      <c r="H1409" s="151">
        <v>116315.55</v>
      </c>
      <c r="I1409" s="133"/>
      <c r="J1409" s="151">
        <v>880508.71</v>
      </c>
      <c r="K1409" s="133"/>
    </row>
    <row r="1410" spans="1:11" hidden="1" x14ac:dyDescent="0.25"/>
    <row r="1411" spans="1:11" ht="29.1" hidden="1" customHeight="1" x14ac:dyDescent="0.25">
      <c r="A1411" s="148" t="s">
        <v>683</v>
      </c>
      <c r="B1411" s="133"/>
      <c r="C1411" s="133"/>
      <c r="D1411" s="133"/>
      <c r="E1411" s="133"/>
      <c r="F1411" s="133"/>
      <c r="G1411" s="133"/>
      <c r="H1411" s="133"/>
      <c r="I1411" s="133"/>
      <c r="J1411" s="133"/>
      <c r="K1411" s="133"/>
    </row>
    <row r="1412" spans="1:11" hidden="1" x14ac:dyDescent="0.25"/>
    <row r="1413" spans="1:11" ht="229.5" hidden="1" x14ac:dyDescent="0.25">
      <c r="A1413" s="6">
        <v>243</v>
      </c>
      <c r="B1413" s="4" t="s">
        <v>666</v>
      </c>
      <c r="C1413" s="8" t="s">
        <v>667</v>
      </c>
      <c r="D1413" s="16" t="s">
        <v>102</v>
      </c>
      <c r="E1413" s="14">
        <v>8</v>
      </c>
    </row>
    <row r="1414" spans="1:11" ht="26.25" hidden="1" x14ac:dyDescent="0.25">
      <c r="C1414" s="5" t="s">
        <v>43</v>
      </c>
      <c r="F1414" s="11">
        <v>11.7</v>
      </c>
      <c r="G1414" s="15" t="s">
        <v>44</v>
      </c>
      <c r="H1414" s="13">
        <v>1.0669999999999999</v>
      </c>
      <c r="I1414" s="11">
        <v>144.71</v>
      </c>
      <c r="J1414" s="13">
        <v>56.35</v>
      </c>
      <c r="K1414" s="11">
        <v>8154.41</v>
      </c>
    </row>
    <row r="1415" spans="1:11" ht="26.25" hidden="1" x14ac:dyDescent="0.25">
      <c r="C1415" s="7" t="s">
        <v>45</v>
      </c>
      <c r="F1415" s="11">
        <v>0.73</v>
      </c>
      <c r="G1415" s="15" t="s">
        <v>46</v>
      </c>
      <c r="H1415" s="13">
        <v>1.0669999999999999</v>
      </c>
      <c r="I1415" s="11">
        <v>9.81</v>
      </c>
      <c r="J1415" s="13">
        <v>14.21</v>
      </c>
      <c r="K1415" s="11">
        <v>139.4</v>
      </c>
    </row>
    <row r="1416" spans="1:11" ht="26.25" hidden="1" x14ac:dyDescent="0.25">
      <c r="C1416" s="7" t="s">
        <v>47</v>
      </c>
      <c r="F1416" s="11">
        <v>7.0000000000000007E-2</v>
      </c>
      <c r="G1416" s="15" t="s">
        <v>46</v>
      </c>
      <c r="H1416" s="13">
        <v>1.0669999999999999</v>
      </c>
      <c r="I1416" s="11">
        <v>0.94</v>
      </c>
      <c r="J1416" s="13">
        <v>56.35</v>
      </c>
      <c r="K1416" s="11">
        <v>52.97</v>
      </c>
    </row>
    <row r="1417" spans="1:11" hidden="1" x14ac:dyDescent="0.25">
      <c r="C1417" s="7" t="s">
        <v>48</v>
      </c>
      <c r="F1417" s="11">
        <v>114.23</v>
      </c>
      <c r="G1417" s="15" t="s">
        <v>96</v>
      </c>
      <c r="H1417" s="14" t="s">
        <v>50</v>
      </c>
      <c r="I1417" s="11">
        <v>913.84</v>
      </c>
      <c r="J1417" s="13">
        <v>6.34</v>
      </c>
      <c r="K1417" s="11">
        <v>5793.75</v>
      </c>
    </row>
    <row r="1418" spans="1:11" hidden="1" x14ac:dyDescent="0.25">
      <c r="C1418" s="7" t="s">
        <v>51</v>
      </c>
      <c r="D1418" s="11" t="s">
        <v>52</v>
      </c>
      <c r="E1418" s="14">
        <v>109</v>
      </c>
      <c r="I1418" s="11">
        <v>158.76</v>
      </c>
      <c r="J1418" s="14">
        <v>109</v>
      </c>
      <c r="K1418" s="11">
        <v>8946.0400000000009</v>
      </c>
    </row>
    <row r="1419" spans="1:11" hidden="1" x14ac:dyDescent="0.25">
      <c r="C1419" s="7" t="s">
        <v>53</v>
      </c>
      <c r="D1419" s="11" t="s">
        <v>52</v>
      </c>
      <c r="E1419" s="14">
        <v>61</v>
      </c>
      <c r="I1419" s="11">
        <v>88.85</v>
      </c>
      <c r="J1419" s="14">
        <v>61</v>
      </c>
      <c r="K1419" s="11">
        <v>5006.5</v>
      </c>
    </row>
    <row r="1420" spans="1:11" ht="26.25" hidden="1" x14ac:dyDescent="0.25">
      <c r="C1420" s="7" t="s">
        <v>54</v>
      </c>
      <c r="D1420" s="11" t="s">
        <v>55</v>
      </c>
      <c r="E1420" s="13">
        <v>0.89</v>
      </c>
      <c r="G1420" s="15" t="s">
        <v>44</v>
      </c>
      <c r="H1420" s="13">
        <v>1.0669999999999999</v>
      </c>
      <c r="I1420" s="12">
        <v>11.00811096</v>
      </c>
    </row>
    <row r="1421" spans="1:11" hidden="1" x14ac:dyDescent="0.25">
      <c r="A1421" s="80"/>
      <c r="B1421" s="80"/>
      <c r="C1421" s="80" t="s">
        <v>56</v>
      </c>
      <c r="D1421" s="80"/>
      <c r="E1421" s="80"/>
      <c r="F1421" s="80"/>
      <c r="G1421" s="80"/>
      <c r="H1421" s="149">
        <v>1315.97</v>
      </c>
      <c r="I1421" s="150"/>
      <c r="J1421" s="149">
        <v>28040.1</v>
      </c>
      <c r="K1421" s="150"/>
    </row>
    <row r="1422" spans="1:11" hidden="1" x14ac:dyDescent="0.25">
      <c r="C1422" s="10" t="s">
        <v>57</v>
      </c>
      <c r="H1422" s="151">
        <v>0</v>
      </c>
      <c r="I1422" s="133"/>
      <c r="J1422" s="151">
        <v>0</v>
      </c>
      <c r="K1422" s="133"/>
    </row>
    <row r="1423" spans="1:11" hidden="1" x14ac:dyDescent="0.25">
      <c r="C1423" s="10" t="s">
        <v>58</v>
      </c>
      <c r="H1423" s="151">
        <v>1315.97</v>
      </c>
      <c r="I1423" s="133"/>
      <c r="J1423" s="151">
        <v>28040.1</v>
      </c>
      <c r="K1423" s="133"/>
    </row>
    <row r="1424" spans="1:11" hidden="1" x14ac:dyDescent="0.25"/>
    <row r="1425" spans="1:19" ht="229.5" hidden="1" x14ac:dyDescent="0.25">
      <c r="A1425" s="6">
        <v>244</v>
      </c>
      <c r="B1425" s="4" t="s">
        <v>672</v>
      </c>
      <c r="C1425" s="8" t="s">
        <v>673</v>
      </c>
      <c r="D1425" s="16" t="s">
        <v>102</v>
      </c>
      <c r="E1425" s="14">
        <v>8</v>
      </c>
    </row>
    <row r="1426" spans="1:19" ht="26.25" hidden="1" x14ac:dyDescent="0.25">
      <c r="C1426" s="5" t="s">
        <v>43</v>
      </c>
      <c r="F1426" s="11">
        <v>90.52</v>
      </c>
      <c r="G1426" s="15" t="s">
        <v>44</v>
      </c>
      <c r="H1426" s="13">
        <v>1.0669999999999999</v>
      </c>
      <c r="I1426" s="11">
        <v>1119.6099999999999</v>
      </c>
      <c r="J1426" s="13">
        <v>56.35</v>
      </c>
      <c r="K1426" s="11">
        <v>63090.02</v>
      </c>
    </row>
    <row r="1427" spans="1:19" ht="26.25" hidden="1" x14ac:dyDescent="0.25">
      <c r="C1427" s="7" t="s">
        <v>45</v>
      </c>
      <c r="F1427" s="11">
        <v>0.89</v>
      </c>
      <c r="G1427" s="15" t="s">
        <v>46</v>
      </c>
      <c r="H1427" s="13">
        <v>1.0669999999999999</v>
      </c>
      <c r="I1427" s="11">
        <v>11.97</v>
      </c>
      <c r="J1427" s="13">
        <v>12.6</v>
      </c>
      <c r="K1427" s="11">
        <v>150.82</v>
      </c>
    </row>
    <row r="1428" spans="1:19" ht="26.25" hidden="1" x14ac:dyDescent="0.25">
      <c r="C1428" s="7" t="s">
        <v>47</v>
      </c>
      <c r="F1428" s="11">
        <v>0.05</v>
      </c>
      <c r="G1428" s="15" t="s">
        <v>46</v>
      </c>
      <c r="H1428" s="13">
        <v>1.0669999999999999</v>
      </c>
      <c r="I1428" s="11">
        <v>0.67</v>
      </c>
      <c r="J1428" s="13">
        <v>56.35</v>
      </c>
      <c r="K1428" s="11">
        <v>37.75</v>
      </c>
    </row>
    <row r="1429" spans="1:19" hidden="1" x14ac:dyDescent="0.25">
      <c r="C1429" s="7" t="s">
        <v>48</v>
      </c>
      <c r="F1429" s="11">
        <v>335.12</v>
      </c>
      <c r="G1429" s="15" t="s">
        <v>96</v>
      </c>
      <c r="H1429" s="14" t="s">
        <v>50</v>
      </c>
      <c r="I1429" s="11">
        <v>2680.96</v>
      </c>
      <c r="J1429" s="13">
        <v>8.1300000000000008</v>
      </c>
      <c r="K1429" s="11">
        <v>21796.2</v>
      </c>
    </row>
    <row r="1430" spans="1:19" hidden="1" x14ac:dyDescent="0.25">
      <c r="C1430" s="7" t="s">
        <v>51</v>
      </c>
      <c r="D1430" s="11" t="s">
        <v>52</v>
      </c>
      <c r="E1430" s="14">
        <v>109</v>
      </c>
      <c r="I1430" s="11">
        <v>1221.1099999999999</v>
      </c>
      <c r="J1430" s="14">
        <v>109</v>
      </c>
      <c r="K1430" s="11">
        <v>68809.27</v>
      </c>
    </row>
    <row r="1431" spans="1:19" hidden="1" x14ac:dyDescent="0.25">
      <c r="C1431" s="7" t="s">
        <v>53</v>
      </c>
      <c r="D1431" s="11" t="s">
        <v>52</v>
      </c>
      <c r="E1431" s="14">
        <v>61</v>
      </c>
      <c r="I1431" s="11">
        <v>683.37</v>
      </c>
      <c r="J1431" s="14">
        <v>61</v>
      </c>
      <c r="K1431" s="11">
        <v>38507.94</v>
      </c>
    </row>
    <row r="1432" spans="1:19" ht="26.25" hidden="1" x14ac:dyDescent="0.25">
      <c r="C1432" s="7" t="s">
        <v>54</v>
      </c>
      <c r="D1432" s="11" t="s">
        <v>55</v>
      </c>
      <c r="E1432" s="14">
        <v>7</v>
      </c>
      <c r="G1432" s="15" t="s">
        <v>44</v>
      </c>
      <c r="H1432" s="13">
        <v>1.0669999999999999</v>
      </c>
      <c r="I1432" s="12">
        <v>86.580647999999997</v>
      </c>
    </row>
    <row r="1433" spans="1:19" hidden="1" x14ac:dyDescent="0.25">
      <c r="A1433" s="81"/>
      <c r="B1433" s="81"/>
      <c r="C1433" s="81" t="s">
        <v>56</v>
      </c>
      <c r="D1433" s="81"/>
      <c r="E1433" s="81"/>
      <c r="F1433" s="81"/>
      <c r="G1433" s="81"/>
      <c r="H1433" s="149">
        <v>5717.02</v>
      </c>
      <c r="I1433" s="150"/>
      <c r="J1433" s="149">
        <v>192354.25</v>
      </c>
      <c r="K1433" s="150"/>
    </row>
    <row r="1434" spans="1:19" hidden="1" x14ac:dyDescent="0.25">
      <c r="C1434" s="10" t="s">
        <v>57</v>
      </c>
      <c r="H1434" s="151">
        <v>0</v>
      </c>
      <c r="I1434" s="133"/>
      <c r="J1434" s="151">
        <v>0</v>
      </c>
      <c r="K1434" s="133"/>
    </row>
    <row r="1435" spans="1:19" hidden="1" x14ac:dyDescent="0.25">
      <c r="C1435" s="10" t="s">
        <v>58</v>
      </c>
      <c r="H1435" s="151">
        <v>5717.02</v>
      </c>
      <c r="I1435" s="133"/>
      <c r="J1435" s="151">
        <v>192354.25</v>
      </c>
      <c r="K1435" s="133"/>
    </row>
    <row r="1436" spans="1:19" hidden="1" x14ac:dyDescent="0.25"/>
    <row r="1437" spans="1:19" ht="166.5" x14ac:dyDescent="0.25">
      <c r="A1437" s="93">
        <v>245</v>
      </c>
      <c r="B1437" s="94" t="s">
        <v>684</v>
      </c>
      <c r="C1437" s="118" t="s">
        <v>685</v>
      </c>
      <c r="D1437" s="96" t="s">
        <v>61</v>
      </c>
      <c r="E1437" s="117">
        <v>8</v>
      </c>
      <c r="F1437" s="98">
        <v>26309.97</v>
      </c>
      <c r="G1437" s="99"/>
      <c r="H1437" s="97" t="s">
        <v>50</v>
      </c>
      <c r="I1437" s="98">
        <v>210479.76</v>
      </c>
      <c r="J1437" s="100">
        <v>7.57</v>
      </c>
      <c r="K1437" s="98">
        <v>1593331.78</v>
      </c>
      <c r="L1437" s="119">
        <v>157900</v>
      </c>
      <c r="O1437" s="116">
        <f>L1437/1.22*1.03*1.012*8</f>
        <v>1079269.7967213115</v>
      </c>
      <c r="S1437" t="s">
        <v>791</v>
      </c>
    </row>
    <row r="1438" spans="1:19" hidden="1" x14ac:dyDescent="0.25">
      <c r="C1438" s="10" t="s">
        <v>58</v>
      </c>
      <c r="H1438" s="151">
        <v>210479.76</v>
      </c>
      <c r="I1438" s="133"/>
      <c r="J1438" s="151">
        <v>1593331.78</v>
      </c>
      <c r="K1438" s="133"/>
    </row>
    <row r="1439" spans="1:19" hidden="1" x14ac:dyDescent="0.25"/>
    <row r="1440" spans="1:19" ht="29.1" hidden="1" customHeight="1" x14ac:dyDescent="0.25">
      <c r="A1440" s="148" t="s">
        <v>686</v>
      </c>
      <c r="B1440" s="133"/>
      <c r="C1440" s="133"/>
      <c r="D1440" s="133"/>
      <c r="E1440" s="133"/>
      <c r="F1440" s="133"/>
      <c r="G1440" s="133"/>
      <c r="H1440" s="133"/>
      <c r="I1440" s="133"/>
      <c r="J1440" s="133"/>
      <c r="K1440" s="133"/>
    </row>
    <row r="1441" spans="1:11" hidden="1" x14ac:dyDescent="0.25"/>
    <row r="1442" spans="1:11" ht="229.5" hidden="1" x14ac:dyDescent="0.25">
      <c r="A1442" s="6">
        <v>246</v>
      </c>
      <c r="B1442" s="4" t="s">
        <v>666</v>
      </c>
      <c r="C1442" s="8" t="s">
        <v>667</v>
      </c>
      <c r="D1442" s="16" t="s">
        <v>102</v>
      </c>
      <c r="E1442" s="14">
        <v>2</v>
      </c>
    </row>
    <row r="1443" spans="1:11" ht="26.25" hidden="1" x14ac:dyDescent="0.25">
      <c r="C1443" s="5" t="s">
        <v>43</v>
      </c>
      <c r="F1443" s="11">
        <v>11.7</v>
      </c>
      <c r="G1443" s="15" t="s">
        <v>44</v>
      </c>
      <c r="H1443" s="13">
        <v>1.0669999999999999</v>
      </c>
      <c r="I1443" s="11">
        <v>36.18</v>
      </c>
      <c r="J1443" s="13">
        <v>56.35</v>
      </c>
      <c r="K1443" s="11">
        <v>2038.74</v>
      </c>
    </row>
    <row r="1444" spans="1:11" ht="26.25" hidden="1" x14ac:dyDescent="0.25">
      <c r="C1444" s="7" t="s">
        <v>45</v>
      </c>
      <c r="F1444" s="11">
        <v>0.73</v>
      </c>
      <c r="G1444" s="15" t="s">
        <v>46</v>
      </c>
      <c r="H1444" s="13">
        <v>1.0669999999999999</v>
      </c>
      <c r="I1444" s="11">
        <v>2.4500000000000002</v>
      </c>
      <c r="J1444" s="13">
        <v>14.21</v>
      </c>
      <c r="K1444" s="11">
        <v>34.81</v>
      </c>
    </row>
    <row r="1445" spans="1:11" ht="26.25" hidden="1" x14ac:dyDescent="0.25">
      <c r="C1445" s="7" t="s">
        <v>47</v>
      </c>
      <c r="F1445" s="11">
        <v>7.0000000000000007E-2</v>
      </c>
      <c r="G1445" s="15" t="s">
        <v>46</v>
      </c>
      <c r="H1445" s="13">
        <v>1.0669999999999999</v>
      </c>
      <c r="I1445" s="11">
        <v>0.24</v>
      </c>
      <c r="J1445" s="13">
        <v>56.35</v>
      </c>
      <c r="K1445" s="11">
        <v>13.52</v>
      </c>
    </row>
    <row r="1446" spans="1:11" hidden="1" x14ac:dyDescent="0.25">
      <c r="C1446" s="7" t="s">
        <v>48</v>
      </c>
      <c r="F1446" s="11">
        <v>114.23</v>
      </c>
      <c r="G1446" s="15" t="s">
        <v>96</v>
      </c>
      <c r="H1446" s="14" t="s">
        <v>50</v>
      </c>
      <c r="I1446" s="11">
        <v>228.46</v>
      </c>
      <c r="J1446" s="13">
        <v>6.34</v>
      </c>
      <c r="K1446" s="11">
        <v>1448.44</v>
      </c>
    </row>
    <row r="1447" spans="1:11" hidden="1" x14ac:dyDescent="0.25">
      <c r="C1447" s="7" t="s">
        <v>51</v>
      </c>
      <c r="D1447" s="11" t="s">
        <v>52</v>
      </c>
      <c r="E1447" s="14">
        <v>109</v>
      </c>
      <c r="I1447" s="11">
        <v>39.700000000000003</v>
      </c>
      <c r="J1447" s="14">
        <v>109</v>
      </c>
      <c r="K1447" s="11">
        <v>2236.96</v>
      </c>
    </row>
    <row r="1448" spans="1:11" hidden="1" x14ac:dyDescent="0.25">
      <c r="C1448" s="7" t="s">
        <v>53</v>
      </c>
      <c r="D1448" s="11" t="s">
        <v>52</v>
      </c>
      <c r="E1448" s="14">
        <v>61</v>
      </c>
      <c r="I1448" s="11">
        <v>22.22</v>
      </c>
      <c r="J1448" s="14">
        <v>61</v>
      </c>
      <c r="K1448" s="11">
        <v>1251.8800000000001</v>
      </c>
    </row>
    <row r="1449" spans="1:11" ht="26.25" hidden="1" x14ac:dyDescent="0.25">
      <c r="C1449" s="7" t="s">
        <v>54</v>
      </c>
      <c r="D1449" s="11" t="s">
        <v>55</v>
      </c>
      <c r="E1449" s="13">
        <v>0.89</v>
      </c>
      <c r="G1449" s="15" t="s">
        <v>44</v>
      </c>
      <c r="H1449" s="13">
        <v>1.0669999999999999</v>
      </c>
      <c r="I1449" s="12">
        <v>2.7520277399999999</v>
      </c>
    </row>
    <row r="1450" spans="1:11" hidden="1" x14ac:dyDescent="0.25">
      <c r="A1450" s="82"/>
      <c r="B1450" s="82"/>
      <c r="C1450" s="82" t="s">
        <v>56</v>
      </c>
      <c r="D1450" s="82"/>
      <c r="E1450" s="82"/>
      <c r="F1450" s="82"/>
      <c r="G1450" s="82"/>
      <c r="H1450" s="149">
        <v>329.01</v>
      </c>
      <c r="I1450" s="150"/>
      <c r="J1450" s="149">
        <v>7010.83</v>
      </c>
      <c r="K1450" s="150"/>
    </row>
    <row r="1451" spans="1:11" hidden="1" x14ac:dyDescent="0.25">
      <c r="C1451" s="10" t="s">
        <v>57</v>
      </c>
      <c r="H1451" s="151">
        <v>0</v>
      </c>
      <c r="I1451" s="133"/>
      <c r="J1451" s="151">
        <v>0</v>
      </c>
      <c r="K1451" s="133"/>
    </row>
    <row r="1452" spans="1:11" hidden="1" x14ac:dyDescent="0.25">
      <c r="C1452" s="10" t="s">
        <v>58</v>
      </c>
      <c r="H1452" s="151">
        <v>329.01</v>
      </c>
      <c r="I1452" s="133"/>
      <c r="J1452" s="151">
        <v>7010.83</v>
      </c>
      <c r="K1452" s="133"/>
    </row>
    <row r="1453" spans="1:11" hidden="1" x14ac:dyDescent="0.25"/>
    <row r="1454" spans="1:11" ht="229.5" hidden="1" x14ac:dyDescent="0.25">
      <c r="A1454" s="6">
        <v>247</v>
      </c>
      <c r="B1454" s="4" t="s">
        <v>672</v>
      </c>
      <c r="C1454" s="8" t="s">
        <v>673</v>
      </c>
      <c r="D1454" s="16" t="s">
        <v>102</v>
      </c>
      <c r="E1454" s="14">
        <v>2</v>
      </c>
    </row>
    <row r="1455" spans="1:11" ht="26.25" hidden="1" x14ac:dyDescent="0.25">
      <c r="C1455" s="5" t="s">
        <v>43</v>
      </c>
      <c r="F1455" s="11">
        <v>90.52</v>
      </c>
      <c r="G1455" s="15" t="s">
        <v>44</v>
      </c>
      <c r="H1455" s="13">
        <v>1.0669999999999999</v>
      </c>
      <c r="I1455" s="11">
        <v>279.89999999999998</v>
      </c>
      <c r="J1455" s="13">
        <v>56.35</v>
      </c>
      <c r="K1455" s="11">
        <v>15772.37</v>
      </c>
    </row>
    <row r="1456" spans="1:11" ht="26.25" hidden="1" x14ac:dyDescent="0.25">
      <c r="C1456" s="7" t="s">
        <v>45</v>
      </c>
      <c r="F1456" s="11">
        <v>0.89</v>
      </c>
      <c r="G1456" s="15" t="s">
        <v>46</v>
      </c>
      <c r="H1456" s="13">
        <v>1.0669999999999999</v>
      </c>
      <c r="I1456" s="11">
        <v>2.99</v>
      </c>
      <c r="J1456" s="13">
        <v>12.6</v>
      </c>
      <c r="K1456" s="11">
        <v>37.67</v>
      </c>
    </row>
    <row r="1457" spans="1:11" ht="26.25" hidden="1" x14ac:dyDescent="0.25">
      <c r="C1457" s="7" t="s">
        <v>47</v>
      </c>
      <c r="F1457" s="11">
        <v>0.05</v>
      </c>
      <c r="G1457" s="15" t="s">
        <v>46</v>
      </c>
      <c r="H1457" s="13">
        <v>1.0669999999999999</v>
      </c>
      <c r="I1457" s="11">
        <v>0.17</v>
      </c>
      <c r="J1457" s="13">
        <v>56.35</v>
      </c>
      <c r="K1457" s="11">
        <v>9.58</v>
      </c>
    </row>
    <row r="1458" spans="1:11" hidden="1" x14ac:dyDescent="0.25">
      <c r="C1458" s="7" t="s">
        <v>48</v>
      </c>
      <c r="F1458" s="11">
        <v>335.12</v>
      </c>
      <c r="G1458" s="15" t="s">
        <v>96</v>
      </c>
      <c r="H1458" s="14" t="s">
        <v>50</v>
      </c>
      <c r="I1458" s="11">
        <v>670.24</v>
      </c>
      <c r="J1458" s="13">
        <v>8.1300000000000008</v>
      </c>
      <c r="K1458" s="11">
        <v>5449.05</v>
      </c>
    </row>
    <row r="1459" spans="1:11" hidden="1" x14ac:dyDescent="0.25">
      <c r="C1459" s="7" t="s">
        <v>51</v>
      </c>
      <c r="D1459" s="11" t="s">
        <v>52</v>
      </c>
      <c r="E1459" s="14">
        <v>109</v>
      </c>
      <c r="I1459" s="11">
        <v>305.27999999999997</v>
      </c>
      <c r="J1459" s="14">
        <v>109</v>
      </c>
      <c r="K1459" s="11">
        <v>17202.330000000002</v>
      </c>
    </row>
    <row r="1460" spans="1:11" hidden="1" x14ac:dyDescent="0.25">
      <c r="C1460" s="7" t="s">
        <v>53</v>
      </c>
      <c r="D1460" s="11" t="s">
        <v>52</v>
      </c>
      <c r="E1460" s="14">
        <v>61</v>
      </c>
      <c r="I1460" s="11">
        <v>170.84</v>
      </c>
      <c r="J1460" s="14">
        <v>61</v>
      </c>
      <c r="K1460" s="11">
        <v>9626.99</v>
      </c>
    </row>
    <row r="1461" spans="1:11" ht="26.25" hidden="1" x14ac:dyDescent="0.25">
      <c r="C1461" s="7" t="s">
        <v>54</v>
      </c>
      <c r="D1461" s="11" t="s">
        <v>55</v>
      </c>
      <c r="E1461" s="14">
        <v>7</v>
      </c>
      <c r="G1461" s="15" t="s">
        <v>44</v>
      </c>
      <c r="H1461" s="13">
        <v>1.0669999999999999</v>
      </c>
      <c r="I1461" s="12">
        <v>21.645161999999999</v>
      </c>
    </row>
    <row r="1462" spans="1:11" hidden="1" x14ac:dyDescent="0.25">
      <c r="A1462" s="83"/>
      <c r="B1462" s="83"/>
      <c r="C1462" s="83" t="s">
        <v>56</v>
      </c>
      <c r="D1462" s="83"/>
      <c r="E1462" s="83"/>
      <c r="F1462" s="83"/>
      <c r="G1462" s="83"/>
      <c r="H1462" s="149">
        <v>1429.25</v>
      </c>
      <c r="I1462" s="150"/>
      <c r="J1462" s="149">
        <v>48088.41</v>
      </c>
      <c r="K1462" s="150"/>
    </row>
    <row r="1463" spans="1:11" hidden="1" x14ac:dyDescent="0.25">
      <c r="C1463" s="10" t="s">
        <v>57</v>
      </c>
      <c r="H1463" s="151">
        <v>0</v>
      </c>
      <c r="I1463" s="133"/>
      <c r="J1463" s="151">
        <v>0</v>
      </c>
      <c r="K1463" s="133"/>
    </row>
    <row r="1464" spans="1:11" hidden="1" x14ac:dyDescent="0.25">
      <c r="C1464" s="10" t="s">
        <v>58</v>
      </c>
      <c r="H1464" s="151">
        <v>1429.25</v>
      </c>
      <c r="I1464" s="133"/>
      <c r="J1464" s="151">
        <v>48088.41</v>
      </c>
      <c r="K1464" s="133"/>
    </row>
    <row r="1465" spans="1:11" hidden="1" x14ac:dyDescent="0.25"/>
    <row r="1466" spans="1:11" ht="102.75" hidden="1" x14ac:dyDescent="0.25">
      <c r="A1466" s="6">
        <v>248</v>
      </c>
      <c r="B1466" s="4" t="s">
        <v>687</v>
      </c>
      <c r="C1466" s="8" t="s">
        <v>688</v>
      </c>
      <c r="D1466" s="16" t="s">
        <v>368</v>
      </c>
      <c r="E1466" s="14">
        <v>2</v>
      </c>
    </row>
    <row r="1467" spans="1:11" hidden="1" x14ac:dyDescent="0.25">
      <c r="C1467" s="5" t="s">
        <v>43</v>
      </c>
      <c r="F1467" s="11">
        <v>33.47</v>
      </c>
      <c r="G1467" s="15" t="s">
        <v>689</v>
      </c>
      <c r="H1467" s="13">
        <v>1.0469999999999999</v>
      </c>
      <c r="I1467" s="11">
        <v>84.1</v>
      </c>
      <c r="J1467" s="13">
        <v>56.35</v>
      </c>
      <c r="K1467" s="11">
        <v>4739.04</v>
      </c>
    </row>
    <row r="1468" spans="1:11" hidden="1" x14ac:dyDescent="0.25">
      <c r="C1468" s="7" t="s">
        <v>48</v>
      </c>
      <c r="F1468" s="11">
        <v>2.34</v>
      </c>
      <c r="G1468" s="15" t="s">
        <v>690</v>
      </c>
      <c r="H1468" s="14" t="s">
        <v>50</v>
      </c>
      <c r="I1468" s="11">
        <v>4.68</v>
      </c>
      <c r="J1468" s="13">
        <v>10.24</v>
      </c>
      <c r="K1468" s="11">
        <v>47.92</v>
      </c>
    </row>
    <row r="1469" spans="1:11" hidden="1" x14ac:dyDescent="0.25">
      <c r="C1469" s="7" t="s">
        <v>51</v>
      </c>
      <c r="D1469" s="11" t="s">
        <v>52</v>
      </c>
      <c r="E1469" s="14">
        <v>90</v>
      </c>
      <c r="I1469" s="11">
        <v>75.69</v>
      </c>
      <c r="J1469" s="14">
        <v>90</v>
      </c>
      <c r="K1469" s="11">
        <v>4265.1400000000003</v>
      </c>
    </row>
    <row r="1470" spans="1:11" hidden="1" x14ac:dyDescent="0.25">
      <c r="C1470" s="7" t="s">
        <v>53</v>
      </c>
      <c r="D1470" s="11" t="s">
        <v>52</v>
      </c>
      <c r="E1470" s="14">
        <v>46</v>
      </c>
      <c r="I1470" s="11">
        <v>38.69</v>
      </c>
      <c r="J1470" s="14">
        <v>46</v>
      </c>
      <c r="K1470" s="11">
        <v>2179.96</v>
      </c>
    </row>
    <row r="1471" spans="1:11" hidden="1" x14ac:dyDescent="0.25">
      <c r="C1471" s="7" t="s">
        <v>54</v>
      </c>
      <c r="D1471" s="11" t="s">
        <v>55</v>
      </c>
      <c r="E1471" s="13">
        <v>2.65</v>
      </c>
      <c r="G1471" s="15" t="s">
        <v>689</v>
      </c>
      <c r="H1471" s="13">
        <v>1.0469999999999999</v>
      </c>
      <c r="I1471" s="12">
        <v>6.6589200000000002</v>
      </c>
    </row>
    <row r="1472" spans="1:11" hidden="1" x14ac:dyDescent="0.25">
      <c r="A1472" s="84"/>
      <c r="B1472" s="84"/>
      <c r="C1472" s="84" t="s">
        <v>56</v>
      </c>
      <c r="D1472" s="84"/>
      <c r="E1472" s="84"/>
      <c r="F1472" s="84"/>
      <c r="G1472" s="84"/>
      <c r="H1472" s="149">
        <v>203.16</v>
      </c>
      <c r="I1472" s="150"/>
      <c r="J1472" s="149">
        <v>11232.06</v>
      </c>
      <c r="K1472" s="150"/>
    </row>
    <row r="1473" spans="1:15" hidden="1" x14ac:dyDescent="0.25">
      <c r="C1473" s="10" t="s">
        <v>57</v>
      </c>
      <c r="H1473" s="151">
        <v>0</v>
      </c>
      <c r="I1473" s="133"/>
      <c r="J1473" s="151">
        <v>0</v>
      </c>
      <c r="K1473" s="133"/>
    </row>
    <row r="1474" spans="1:15" hidden="1" x14ac:dyDescent="0.25">
      <c r="C1474" s="10" t="s">
        <v>58</v>
      </c>
      <c r="H1474" s="151">
        <v>203.16</v>
      </c>
      <c r="I1474" s="133"/>
      <c r="J1474" s="151">
        <v>11232.06</v>
      </c>
      <c r="K1474" s="133"/>
    </row>
    <row r="1475" spans="1:15" hidden="1" x14ac:dyDescent="0.25"/>
    <row r="1476" spans="1:15" ht="179.25" x14ac:dyDescent="0.25">
      <c r="A1476" s="93">
        <v>249</v>
      </c>
      <c r="B1476" s="94" t="s">
        <v>691</v>
      </c>
      <c r="C1476" s="118" t="s">
        <v>692</v>
      </c>
      <c r="D1476" s="96" t="s">
        <v>61</v>
      </c>
      <c r="E1476" s="117">
        <v>2</v>
      </c>
      <c r="F1476" s="98">
        <v>27576.25</v>
      </c>
      <c r="G1476" s="99"/>
      <c r="H1476" s="97" t="s">
        <v>50</v>
      </c>
      <c r="I1476" s="98">
        <v>55152.5</v>
      </c>
      <c r="J1476" s="100">
        <v>7.57</v>
      </c>
      <c r="K1476" s="98">
        <v>417504.43</v>
      </c>
      <c r="L1476" s="119">
        <v>142800</v>
      </c>
      <c r="O1476" s="116">
        <f>L1476/1.22*1.03*1.012*2</f>
        <v>244014.7672131148</v>
      </c>
    </row>
    <row r="1477" spans="1:15" hidden="1" x14ac:dyDescent="0.25">
      <c r="C1477" s="10" t="s">
        <v>58</v>
      </c>
      <c r="H1477" s="151">
        <v>55152.5</v>
      </c>
      <c r="I1477" s="133"/>
      <c r="J1477" s="151">
        <v>417504.43</v>
      </c>
      <c r="K1477" s="133"/>
    </row>
    <row r="1478" spans="1:15" hidden="1" x14ac:dyDescent="0.25"/>
    <row r="1479" spans="1:15" ht="15.95" hidden="1" customHeight="1" x14ac:dyDescent="0.25">
      <c r="A1479" s="148" t="s">
        <v>693</v>
      </c>
      <c r="B1479" s="133"/>
      <c r="C1479" s="133"/>
      <c r="D1479" s="133"/>
      <c r="E1479" s="133"/>
      <c r="F1479" s="133"/>
      <c r="G1479" s="133"/>
      <c r="H1479" s="133"/>
      <c r="I1479" s="133"/>
      <c r="J1479" s="133"/>
      <c r="K1479" s="133"/>
    </row>
    <row r="1480" spans="1:15" hidden="1" x14ac:dyDescent="0.25"/>
    <row r="1481" spans="1:15" ht="140.25" hidden="1" x14ac:dyDescent="0.25">
      <c r="A1481" s="6">
        <v>250</v>
      </c>
      <c r="B1481" s="4" t="s">
        <v>694</v>
      </c>
      <c r="C1481" s="8" t="s">
        <v>695</v>
      </c>
      <c r="D1481" s="16" t="s">
        <v>696</v>
      </c>
      <c r="E1481" s="14">
        <v>669</v>
      </c>
    </row>
    <row r="1482" spans="1:15" ht="51" hidden="1" x14ac:dyDescent="0.25">
      <c r="C1482" s="9" t="s">
        <v>697</v>
      </c>
    </row>
    <row r="1483" spans="1:15" ht="26.25" hidden="1" x14ac:dyDescent="0.25">
      <c r="C1483" s="5" t="s">
        <v>43</v>
      </c>
      <c r="F1483" s="11">
        <v>5.59</v>
      </c>
      <c r="G1483" s="15" t="s">
        <v>209</v>
      </c>
      <c r="H1483" s="13">
        <v>1.0669999999999999</v>
      </c>
      <c r="I1483" s="11">
        <v>5027.74</v>
      </c>
      <c r="J1483" s="13">
        <v>56.35</v>
      </c>
      <c r="K1483" s="11">
        <v>283313.15000000002</v>
      </c>
    </row>
    <row r="1484" spans="1:15" ht="26.25" hidden="1" x14ac:dyDescent="0.25">
      <c r="C1484" s="7" t="s">
        <v>45</v>
      </c>
      <c r="F1484" s="11">
        <v>7.0000000000000007E-2</v>
      </c>
      <c r="G1484" s="15" t="s">
        <v>209</v>
      </c>
      <c r="H1484" s="13">
        <v>1.0669999999999999</v>
      </c>
      <c r="I1484" s="11">
        <v>62.96</v>
      </c>
      <c r="J1484" s="13">
        <v>18.29</v>
      </c>
      <c r="K1484" s="11">
        <v>1151.54</v>
      </c>
    </row>
    <row r="1485" spans="1:15" ht="26.25" hidden="1" x14ac:dyDescent="0.25">
      <c r="C1485" s="7" t="s">
        <v>47</v>
      </c>
      <c r="F1485" s="11">
        <v>0.01</v>
      </c>
      <c r="G1485" s="15" t="s">
        <v>209</v>
      </c>
      <c r="H1485" s="13">
        <v>1.0669999999999999</v>
      </c>
      <c r="I1485" s="11">
        <v>8.99</v>
      </c>
      <c r="J1485" s="13">
        <v>56.35</v>
      </c>
      <c r="K1485" s="11">
        <v>506.59</v>
      </c>
    </row>
    <row r="1486" spans="1:15" hidden="1" x14ac:dyDescent="0.25">
      <c r="C1486" s="7" t="s">
        <v>48</v>
      </c>
      <c r="F1486" s="11">
        <v>30.57</v>
      </c>
      <c r="G1486" s="15" t="s">
        <v>49</v>
      </c>
      <c r="H1486" s="14" t="s">
        <v>50</v>
      </c>
      <c r="I1486" s="11">
        <v>20451.330000000002</v>
      </c>
      <c r="J1486" s="13">
        <v>15.49</v>
      </c>
      <c r="K1486" s="11">
        <v>316791.09999999998</v>
      </c>
    </row>
    <row r="1487" spans="1:15" ht="153" hidden="1" x14ac:dyDescent="0.25">
      <c r="A1487" s="6" t="s">
        <v>698</v>
      </c>
      <c r="B1487" s="4" t="s">
        <v>699</v>
      </c>
      <c r="C1487" s="8" t="s">
        <v>700</v>
      </c>
      <c r="D1487" s="16" t="s">
        <v>701</v>
      </c>
      <c r="E1487" s="13">
        <v>16.725000000000001</v>
      </c>
      <c r="F1487" s="11">
        <v>40.29</v>
      </c>
      <c r="G1487" s="15" t="s">
        <v>49</v>
      </c>
      <c r="H1487" s="14" t="s">
        <v>50</v>
      </c>
      <c r="I1487" s="11">
        <v>673.85</v>
      </c>
      <c r="J1487" s="13">
        <v>18.420000000000002</v>
      </c>
      <c r="K1487" s="11">
        <v>12412.32</v>
      </c>
    </row>
    <row r="1488" spans="1:15" ht="255.75" hidden="1" x14ac:dyDescent="0.25">
      <c r="A1488" s="6" t="s">
        <v>702</v>
      </c>
      <c r="B1488" s="4" t="s">
        <v>703</v>
      </c>
      <c r="C1488" s="8" t="s">
        <v>704</v>
      </c>
      <c r="D1488" s="16" t="s">
        <v>705</v>
      </c>
      <c r="E1488" s="13">
        <v>0.66900000000000004</v>
      </c>
      <c r="F1488" s="11">
        <v>4785.46</v>
      </c>
      <c r="G1488" s="15" t="s">
        <v>49</v>
      </c>
      <c r="H1488" s="14" t="s">
        <v>50</v>
      </c>
      <c r="I1488" s="11">
        <v>3201.47</v>
      </c>
      <c r="J1488" s="13">
        <v>7.79</v>
      </c>
      <c r="K1488" s="11">
        <v>24939.45</v>
      </c>
    </row>
    <row r="1489" spans="1:11" hidden="1" x14ac:dyDescent="0.25">
      <c r="C1489" s="7" t="s">
        <v>51</v>
      </c>
      <c r="D1489" s="11" t="s">
        <v>52</v>
      </c>
      <c r="E1489" s="14">
        <v>109</v>
      </c>
      <c r="I1489" s="11">
        <v>5490.04</v>
      </c>
      <c r="J1489" s="14">
        <v>109</v>
      </c>
      <c r="K1489" s="11">
        <v>309363.52</v>
      </c>
    </row>
    <row r="1490" spans="1:11" hidden="1" x14ac:dyDescent="0.25">
      <c r="C1490" s="7" t="s">
        <v>53</v>
      </c>
      <c r="D1490" s="11" t="s">
        <v>52</v>
      </c>
      <c r="E1490" s="14">
        <v>61</v>
      </c>
      <c r="I1490" s="11">
        <v>3072.41</v>
      </c>
      <c r="J1490" s="14">
        <v>61</v>
      </c>
      <c r="K1490" s="11">
        <v>173130.04</v>
      </c>
    </row>
    <row r="1491" spans="1:11" ht="26.25" hidden="1" x14ac:dyDescent="0.25">
      <c r="C1491" s="7" t="s">
        <v>54</v>
      </c>
      <c r="D1491" s="11" t="s">
        <v>55</v>
      </c>
      <c r="E1491" s="13">
        <v>0.44</v>
      </c>
      <c r="G1491" s="15" t="s">
        <v>209</v>
      </c>
      <c r="H1491" s="13">
        <v>1.0669999999999999</v>
      </c>
      <c r="I1491" s="12">
        <v>395.74347119999999</v>
      </c>
    </row>
    <row r="1492" spans="1:11" hidden="1" x14ac:dyDescent="0.25">
      <c r="A1492" s="85"/>
      <c r="B1492" s="85"/>
      <c r="C1492" s="85" t="s">
        <v>56</v>
      </c>
      <c r="D1492" s="85"/>
      <c r="E1492" s="85"/>
      <c r="F1492" s="85"/>
      <c r="G1492" s="85"/>
      <c r="H1492" s="149">
        <v>37979.800000000003</v>
      </c>
      <c r="I1492" s="150"/>
      <c r="J1492" s="149">
        <v>1121101.1200000001</v>
      </c>
      <c r="K1492" s="150"/>
    </row>
    <row r="1493" spans="1:11" hidden="1" x14ac:dyDescent="0.25">
      <c r="C1493" s="10" t="s">
        <v>57</v>
      </c>
      <c r="H1493" s="151">
        <v>0</v>
      </c>
      <c r="I1493" s="133"/>
      <c r="J1493" s="151">
        <v>0</v>
      </c>
      <c r="K1493" s="133"/>
    </row>
    <row r="1494" spans="1:11" hidden="1" x14ac:dyDescent="0.25">
      <c r="C1494" s="10" t="s">
        <v>58</v>
      </c>
      <c r="H1494" s="151">
        <v>37979.800000000003</v>
      </c>
      <c r="I1494" s="133"/>
      <c r="J1494" s="151">
        <v>1121101.1200000001</v>
      </c>
      <c r="K1494" s="133"/>
    </row>
    <row r="1495" spans="1:11" hidden="1" x14ac:dyDescent="0.25"/>
    <row r="1496" spans="1:11" ht="115.5" hidden="1" x14ac:dyDescent="0.25">
      <c r="A1496" s="6">
        <v>251</v>
      </c>
      <c r="B1496" s="4" t="s">
        <v>706</v>
      </c>
      <c r="C1496" s="8" t="s">
        <v>707</v>
      </c>
      <c r="D1496" s="16" t="s">
        <v>393</v>
      </c>
      <c r="E1496" s="13">
        <v>153.75</v>
      </c>
      <c r="F1496" s="11">
        <v>4.37</v>
      </c>
      <c r="H1496" s="14" t="s">
        <v>50</v>
      </c>
      <c r="I1496" s="11">
        <v>671.89</v>
      </c>
      <c r="J1496" s="13">
        <v>32.979999999999997</v>
      </c>
      <c r="K1496" s="11">
        <v>22158.93</v>
      </c>
    </row>
    <row r="1497" spans="1:11" ht="38.25" hidden="1" x14ac:dyDescent="0.25">
      <c r="C1497" s="9" t="s">
        <v>708</v>
      </c>
    </row>
    <row r="1498" spans="1:11" hidden="1" x14ac:dyDescent="0.25">
      <c r="C1498" s="10" t="s">
        <v>58</v>
      </c>
      <c r="H1498" s="151">
        <v>671.89</v>
      </c>
      <c r="I1498" s="133"/>
      <c r="J1498" s="151">
        <v>22158.93</v>
      </c>
      <c r="K1498" s="133"/>
    </row>
    <row r="1499" spans="1:11" hidden="1" x14ac:dyDescent="0.25"/>
    <row r="1500" spans="1:11" ht="115.5" hidden="1" x14ac:dyDescent="0.25">
      <c r="A1500" s="6">
        <v>252</v>
      </c>
      <c r="B1500" s="4" t="s">
        <v>709</v>
      </c>
      <c r="C1500" s="8" t="s">
        <v>710</v>
      </c>
      <c r="D1500" s="16" t="s">
        <v>393</v>
      </c>
      <c r="E1500" s="13">
        <v>584.25</v>
      </c>
      <c r="F1500" s="11">
        <v>7.73</v>
      </c>
      <c r="H1500" s="14" t="s">
        <v>50</v>
      </c>
      <c r="I1500" s="11">
        <v>4516.25</v>
      </c>
      <c r="J1500" s="13">
        <v>25.31</v>
      </c>
      <c r="K1500" s="11">
        <v>114306.29</v>
      </c>
    </row>
    <row r="1501" spans="1:11" ht="38.25" hidden="1" x14ac:dyDescent="0.25">
      <c r="C1501" s="9" t="s">
        <v>711</v>
      </c>
    </row>
    <row r="1502" spans="1:11" hidden="1" x14ac:dyDescent="0.25">
      <c r="C1502" s="10" t="s">
        <v>58</v>
      </c>
      <c r="H1502" s="151">
        <v>4516.25</v>
      </c>
      <c r="I1502" s="133"/>
      <c r="J1502" s="151">
        <v>114306.29</v>
      </c>
      <c r="K1502" s="133"/>
    </row>
    <row r="1503" spans="1:11" hidden="1" x14ac:dyDescent="0.25"/>
    <row r="1504" spans="1:11" ht="115.5" hidden="1" x14ac:dyDescent="0.25">
      <c r="A1504" s="6">
        <v>253</v>
      </c>
      <c r="B1504" s="4" t="s">
        <v>712</v>
      </c>
      <c r="C1504" s="8" t="s">
        <v>713</v>
      </c>
      <c r="D1504" s="16" t="s">
        <v>393</v>
      </c>
      <c r="E1504" s="13">
        <v>184.5</v>
      </c>
      <c r="F1504" s="11">
        <v>10.28</v>
      </c>
      <c r="H1504" s="14" t="s">
        <v>50</v>
      </c>
      <c r="I1504" s="11">
        <v>1896.66</v>
      </c>
      <c r="J1504" s="13">
        <v>27.91</v>
      </c>
      <c r="K1504" s="11">
        <v>52935.78</v>
      </c>
    </row>
    <row r="1505" spans="1:12" ht="38.25" hidden="1" x14ac:dyDescent="0.25">
      <c r="C1505" s="9" t="s">
        <v>714</v>
      </c>
    </row>
    <row r="1506" spans="1:12" hidden="1" x14ac:dyDescent="0.25">
      <c r="C1506" s="10" t="s">
        <v>58</v>
      </c>
      <c r="H1506" s="151">
        <v>1896.66</v>
      </c>
      <c r="I1506" s="133"/>
      <c r="J1506" s="151">
        <v>52935.78</v>
      </c>
      <c r="K1506" s="133"/>
    </row>
    <row r="1507" spans="1:12" hidden="1" x14ac:dyDescent="0.25"/>
    <row r="1508" spans="1:12" ht="115.5" hidden="1" x14ac:dyDescent="0.25">
      <c r="A1508" s="6">
        <v>254</v>
      </c>
      <c r="B1508" s="4" t="s">
        <v>715</v>
      </c>
      <c r="C1508" s="8" t="s">
        <v>716</v>
      </c>
      <c r="D1508" s="16" t="s">
        <v>393</v>
      </c>
      <c r="E1508" s="14">
        <v>410</v>
      </c>
      <c r="F1508" s="11">
        <v>15.09</v>
      </c>
      <c r="H1508" s="14" t="s">
        <v>50</v>
      </c>
      <c r="I1508" s="11">
        <v>6186.9</v>
      </c>
      <c r="J1508" s="13">
        <v>25.69</v>
      </c>
      <c r="K1508" s="11">
        <v>158941.46</v>
      </c>
    </row>
    <row r="1509" spans="1:12" ht="38.25" hidden="1" x14ac:dyDescent="0.25">
      <c r="C1509" s="9" t="s">
        <v>717</v>
      </c>
    </row>
    <row r="1510" spans="1:12" hidden="1" x14ac:dyDescent="0.25">
      <c r="C1510" s="10" t="s">
        <v>58</v>
      </c>
      <c r="H1510" s="151">
        <v>6186.9</v>
      </c>
      <c r="I1510" s="133"/>
      <c r="J1510" s="151">
        <v>158941.46</v>
      </c>
      <c r="K1510" s="133"/>
    </row>
    <row r="1511" spans="1:12" hidden="1" x14ac:dyDescent="0.25"/>
    <row r="1512" spans="1:12" ht="115.5" hidden="1" x14ac:dyDescent="0.25">
      <c r="A1512" s="6">
        <v>255</v>
      </c>
      <c r="B1512" s="4" t="s">
        <v>718</v>
      </c>
      <c r="C1512" s="8" t="s">
        <v>719</v>
      </c>
      <c r="D1512" s="16" t="s">
        <v>393</v>
      </c>
      <c r="E1512" s="14">
        <v>82</v>
      </c>
      <c r="F1512" s="11">
        <v>17.55</v>
      </c>
      <c r="H1512" s="14" t="s">
        <v>50</v>
      </c>
      <c r="I1512" s="11">
        <v>1439.1</v>
      </c>
      <c r="J1512" s="13">
        <v>26.52</v>
      </c>
      <c r="K1512" s="11">
        <v>38164.93</v>
      </c>
    </row>
    <row r="1513" spans="1:12" ht="25.5" hidden="1" x14ac:dyDescent="0.25">
      <c r="C1513" s="9" t="s">
        <v>720</v>
      </c>
    </row>
    <row r="1514" spans="1:12" hidden="1" x14ac:dyDescent="0.25">
      <c r="C1514" s="10" t="s">
        <v>58</v>
      </c>
      <c r="H1514" s="151">
        <v>1439.1</v>
      </c>
      <c r="I1514" s="133"/>
      <c r="J1514" s="151">
        <v>38164.93</v>
      </c>
      <c r="K1514" s="133"/>
    </row>
    <row r="1515" spans="1:12" hidden="1" x14ac:dyDescent="0.25"/>
    <row r="1516" spans="1:12" ht="115.5" hidden="1" x14ac:dyDescent="0.25">
      <c r="A1516" s="6">
        <v>256</v>
      </c>
      <c r="B1516" s="4" t="s">
        <v>721</v>
      </c>
      <c r="C1516" s="8" t="s">
        <v>722</v>
      </c>
      <c r="D1516" s="16" t="s">
        <v>393</v>
      </c>
      <c r="E1516" s="14">
        <v>123</v>
      </c>
      <c r="F1516" s="11">
        <v>26.84</v>
      </c>
      <c r="H1516" s="14" t="s">
        <v>50</v>
      </c>
      <c r="I1516" s="11">
        <v>3301.32</v>
      </c>
      <c r="J1516" s="13">
        <v>33.54</v>
      </c>
      <c r="K1516" s="11">
        <v>110726.27</v>
      </c>
    </row>
    <row r="1517" spans="1:12" ht="38.25" hidden="1" x14ac:dyDescent="0.25">
      <c r="C1517" s="9" t="s">
        <v>723</v>
      </c>
    </row>
    <row r="1518" spans="1:12" hidden="1" x14ac:dyDescent="0.25">
      <c r="C1518" s="10" t="s">
        <v>58</v>
      </c>
      <c r="H1518" s="151">
        <v>3301.32</v>
      </c>
      <c r="I1518" s="133"/>
      <c r="J1518" s="151">
        <v>110726.27</v>
      </c>
      <c r="K1518" s="133"/>
    </row>
    <row r="1519" spans="1:12" hidden="1" x14ac:dyDescent="0.25"/>
    <row r="1520" spans="1:12" ht="102.75" hidden="1" x14ac:dyDescent="0.25">
      <c r="A1520" s="93">
        <v>257</v>
      </c>
      <c r="B1520" s="120" t="s">
        <v>724</v>
      </c>
      <c r="C1520" s="121" t="s">
        <v>725</v>
      </c>
      <c r="D1520" s="122" t="s">
        <v>61</v>
      </c>
      <c r="E1520" s="123">
        <v>15</v>
      </c>
      <c r="F1520" s="124">
        <v>1892.27</v>
      </c>
      <c r="G1520" s="125"/>
      <c r="H1520" s="123" t="s">
        <v>50</v>
      </c>
      <c r="I1520" s="124">
        <v>28384.05</v>
      </c>
      <c r="J1520" s="126">
        <v>7.57</v>
      </c>
      <c r="K1520" s="124">
        <v>214867.26</v>
      </c>
      <c r="L1520" t="s">
        <v>786</v>
      </c>
    </row>
    <row r="1521" spans="1:11" hidden="1" x14ac:dyDescent="0.25">
      <c r="C1521" s="10" t="s">
        <v>58</v>
      </c>
      <c r="H1521" s="151">
        <v>28384.05</v>
      </c>
      <c r="I1521" s="133"/>
      <c r="J1521" s="151">
        <v>214867.26</v>
      </c>
      <c r="K1521" s="133"/>
    </row>
    <row r="1522" spans="1:11" hidden="1" x14ac:dyDescent="0.25"/>
    <row r="1523" spans="1:11" ht="217.5" hidden="1" x14ac:dyDescent="0.25">
      <c r="A1523" s="6">
        <v>258</v>
      </c>
      <c r="B1523" s="4" t="s">
        <v>726</v>
      </c>
      <c r="C1523" s="8" t="s">
        <v>727</v>
      </c>
      <c r="D1523" s="16" t="s">
        <v>393</v>
      </c>
      <c r="E1523" s="13">
        <v>157.5</v>
      </c>
      <c r="F1523" s="11">
        <v>11.96</v>
      </c>
      <c r="H1523" s="14" t="s">
        <v>50</v>
      </c>
      <c r="I1523" s="11">
        <v>1883.7</v>
      </c>
      <c r="J1523" s="13">
        <v>3.84</v>
      </c>
      <c r="K1523" s="11">
        <v>7233.41</v>
      </c>
    </row>
    <row r="1524" spans="1:11" ht="38.25" hidden="1" x14ac:dyDescent="0.25">
      <c r="C1524" s="9" t="s">
        <v>728</v>
      </c>
    </row>
    <row r="1525" spans="1:11" hidden="1" x14ac:dyDescent="0.25">
      <c r="C1525" s="10" t="s">
        <v>58</v>
      </c>
      <c r="H1525" s="151">
        <v>1883.7</v>
      </c>
      <c r="I1525" s="133"/>
      <c r="J1525" s="151">
        <v>7233.41</v>
      </c>
      <c r="K1525" s="133"/>
    </row>
    <row r="1526" spans="1:11" hidden="1" x14ac:dyDescent="0.25"/>
    <row r="1527" spans="1:11" ht="243" hidden="1" x14ac:dyDescent="0.25">
      <c r="A1527" s="6">
        <v>259</v>
      </c>
      <c r="B1527" s="4" t="s">
        <v>729</v>
      </c>
      <c r="C1527" s="8" t="s">
        <v>730</v>
      </c>
      <c r="D1527" s="16" t="s">
        <v>393</v>
      </c>
      <c r="E1527" s="13">
        <v>598.5</v>
      </c>
      <c r="F1527" s="11">
        <v>5.85</v>
      </c>
      <c r="H1527" s="14" t="s">
        <v>50</v>
      </c>
      <c r="I1527" s="11">
        <v>3501.23</v>
      </c>
      <c r="J1527" s="13">
        <v>7.88</v>
      </c>
      <c r="K1527" s="11">
        <v>27589.69</v>
      </c>
    </row>
    <row r="1528" spans="1:11" ht="38.25" hidden="1" x14ac:dyDescent="0.25">
      <c r="C1528" s="9" t="s">
        <v>731</v>
      </c>
    </row>
    <row r="1529" spans="1:11" hidden="1" x14ac:dyDescent="0.25">
      <c r="C1529" s="10" t="s">
        <v>58</v>
      </c>
      <c r="H1529" s="151">
        <v>3501.23</v>
      </c>
      <c r="I1529" s="133"/>
      <c r="J1529" s="151">
        <v>27589.69</v>
      </c>
      <c r="K1529" s="133"/>
    </row>
    <row r="1530" spans="1:11" hidden="1" x14ac:dyDescent="0.25"/>
    <row r="1531" spans="1:11" ht="267.75" hidden="1" x14ac:dyDescent="0.25">
      <c r="A1531" s="6">
        <v>260</v>
      </c>
      <c r="B1531" s="4" t="s">
        <v>729</v>
      </c>
      <c r="C1531" s="3" t="s">
        <v>732</v>
      </c>
      <c r="D1531" s="16" t="s">
        <v>393</v>
      </c>
      <c r="E1531" s="14">
        <v>189</v>
      </c>
      <c r="F1531" s="11">
        <v>5.85</v>
      </c>
      <c r="H1531" s="14" t="s">
        <v>50</v>
      </c>
      <c r="I1531" s="11">
        <v>1105.6500000000001</v>
      </c>
      <c r="J1531" s="13">
        <v>7.88</v>
      </c>
      <c r="K1531" s="11">
        <v>8712.52</v>
      </c>
    </row>
    <row r="1532" spans="1:11" ht="25.5" hidden="1" x14ac:dyDescent="0.25">
      <c r="C1532" s="9" t="s">
        <v>733</v>
      </c>
    </row>
    <row r="1533" spans="1:11" hidden="1" x14ac:dyDescent="0.25">
      <c r="C1533" s="10" t="s">
        <v>58</v>
      </c>
      <c r="H1533" s="151">
        <v>1105.6500000000001</v>
      </c>
      <c r="I1533" s="133"/>
      <c r="J1533" s="151">
        <v>8712.52</v>
      </c>
      <c r="K1533" s="133"/>
    </row>
    <row r="1534" spans="1:11" hidden="1" x14ac:dyDescent="0.25"/>
    <row r="1535" spans="1:11" ht="267.75" hidden="1" x14ac:dyDescent="0.25">
      <c r="A1535" s="6">
        <v>261</v>
      </c>
      <c r="B1535" s="4" t="s">
        <v>729</v>
      </c>
      <c r="C1535" s="3" t="s">
        <v>734</v>
      </c>
      <c r="D1535" s="16" t="s">
        <v>393</v>
      </c>
      <c r="E1535" s="14">
        <v>420</v>
      </c>
      <c r="F1535" s="11">
        <v>5.85</v>
      </c>
      <c r="H1535" s="14" t="s">
        <v>50</v>
      </c>
      <c r="I1535" s="11">
        <v>2457</v>
      </c>
      <c r="J1535" s="13">
        <v>7.88</v>
      </c>
      <c r="K1535" s="11">
        <v>19361.16</v>
      </c>
    </row>
    <row r="1536" spans="1:11" ht="25.5" hidden="1" x14ac:dyDescent="0.25">
      <c r="C1536" s="9" t="s">
        <v>735</v>
      </c>
    </row>
    <row r="1537" spans="1:11" hidden="1" x14ac:dyDescent="0.25">
      <c r="C1537" s="10" t="s">
        <v>58</v>
      </c>
      <c r="H1537" s="151">
        <v>2457</v>
      </c>
      <c r="I1537" s="133"/>
      <c r="J1537" s="151">
        <v>19361.16</v>
      </c>
      <c r="K1537" s="133"/>
    </row>
    <row r="1538" spans="1:11" hidden="1" x14ac:dyDescent="0.25"/>
    <row r="1539" spans="1:11" ht="267.75" hidden="1" x14ac:dyDescent="0.25">
      <c r="A1539" s="6">
        <v>262</v>
      </c>
      <c r="B1539" s="4" t="s">
        <v>736</v>
      </c>
      <c r="C1539" s="3" t="s">
        <v>737</v>
      </c>
      <c r="D1539" s="16" t="s">
        <v>393</v>
      </c>
      <c r="E1539" s="14">
        <v>84</v>
      </c>
      <c r="F1539" s="11">
        <v>6.24</v>
      </c>
      <c r="H1539" s="14" t="s">
        <v>50</v>
      </c>
      <c r="I1539" s="11">
        <v>524.16</v>
      </c>
      <c r="J1539" s="13">
        <v>7.85</v>
      </c>
      <c r="K1539" s="11">
        <v>4114.66</v>
      </c>
    </row>
    <row r="1540" spans="1:11" ht="25.5" hidden="1" x14ac:dyDescent="0.25">
      <c r="C1540" s="9" t="s">
        <v>738</v>
      </c>
    </row>
    <row r="1541" spans="1:11" hidden="1" x14ac:dyDescent="0.25">
      <c r="C1541" s="10" t="s">
        <v>58</v>
      </c>
      <c r="H1541" s="151">
        <v>524.16</v>
      </c>
      <c r="I1541" s="133"/>
      <c r="J1541" s="151">
        <v>4114.66</v>
      </c>
      <c r="K1541" s="133"/>
    </row>
    <row r="1542" spans="1:11" hidden="1" x14ac:dyDescent="0.25"/>
    <row r="1543" spans="1:11" ht="216.75" hidden="1" x14ac:dyDescent="0.25">
      <c r="A1543" s="6">
        <v>263</v>
      </c>
      <c r="B1543" s="4" t="s">
        <v>739</v>
      </c>
      <c r="C1543" s="3" t="s">
        <v>740</v>
      </c>
      <c r="D1543" s="16" t="s">
        <v>393</v>
      </c>
      <c r="E1543" s="14">
        <v>126</v>
      </c>
      <c r="F1543" s="11">
        <v>16.52</v>
      </c>
      <c r="H1543" s="14" t="s">
        <v>50</v>
      </c>
      <c r="I1543" s="11">
        <v>2081.52</v>
      </c>
      <c r="J1543" s="13">
        <v>4.4800000000000004</v>
      </c>
      <c r="K1543" s="11">
        <v>9325.2099999999991</v>
      </c>
    </row>
    <row r="1544" spans="1:11" ht="25.5" hidden="1" x14ac:dyDescent="0.25">
      <c r="C1544" s="9" t="s">
        <v>741</v>
      </c>
    </row>
    <row r="1545" spans="1:11" hidden="1" x14ac:dyDescent="0.25">
      <c r="C1545" s="10" t="s">
        <v>58</v>
      </c>
      <c r="H1545" s="151">
        <v>2081.52</v>
      </c>
      <c r="I1545" s="133"/>
      <c r="J1545" s="151">
        <v>9325.2099999999991</v>
      </c>
      <c r="K1545" s="133"/>
    </row>
    <row r="1546" spans="1:11" hidden="1" x14ac:dyDescent="0.25"/>
    <row r="1547" spans="1:11" ht="281.25" hidden="1" x14ac:dyDescent="0.25">
      <c r="A1547" s="6">
        <v>264</v>
      </c>
      <c r="B1547" s="4" t="s">
        <v>742</v>
      </c>
      <c r="C1547" s="8" t="s">
        <v>743</v>
      </c>
      <c r="D1547" s="16" t="s">
        <v>393</v>
      </c>
      <c r="E1547" s="14">
        <v>123</v>
      </c>
      <c r="F1547" s="11">
        <v>42.32</v>
      </c>
      <c r="H1547" s="14" t="s">
        <v>50</v>
      </c>
      <c r="I1547" s="11">
        <v>5205.3599999999997</v>
      </c>
      <c r="J1547" s="13">
        <v>8.0399999999999991</v>
      </c>
      <c r="K1547" s="11">
        <v>41851.089999999997</v>
      </c>
    </row>
    <row r="1548" spans="1:11" hidden="1" x14ac:dyDescent="0.25">
      <c r="C1548" s="10" t="s">
        <v>58</v>
      </c>
      <c r="H1548" s="151">
        <v>5205.3599999999997</v>
      </c>
      <c r="I1548" s="133"/>
      <c r="J1548" s="151">
        <v>41851.089999999997</v>
      </c>
      <c r="K1548" s="133"/>
    </row>
    <row r="1549" spans="1:11" hidden="1" x14ac:dyDescent="0.25"/>
    <row r="1550" spans="1:11" ht="294" hidden="1" x14ac:dyDescent="0.25">
      <c r="A1550" s="6">
        <v>265</v>
      </c>
      <c r="B1550" s="4" t="s">
        <v>744</v>
      </c>
      <c r="C1550" s="8" t="s">
        <v>745</v>
      </c>
      <c r="D1550" s="16" t="s">
        <v>393</v>
      </c>
      <c r="E1550" s="13">
        <v>61.5</v>
      </c>
      <c r="F1550" s="11">
        <v>64.55</v>
      </c>
      <c r="H1550" s="14" t="s">
        <v>50</v>
      </c>
      <c r="I1550" s="11">
        <v>3969.83</v>
      </c>
      <c r="J1550" s="13">
        <v>8.01</v>
      </c>
      <c r="K1550" s="11">
        <v>31798.34</v>
      </c>
    </row>
    <row r="1551" spans="1:11" hidden="1" x14ac:dyDescent="0.25">
      <c r="C1551" s="10" t="s">
        <v>58</v>
      </c>
      <c r="H1551" s="151">
        <v>3969.83</v>
      </c>
      <c r="I1551" s="133"/>
      <c r="J1551" s="151">
        <v>31798.34</v>
      </c>
      <c r="K1551" s="133"/>
    </row>
    <row r="1552" spans="1:11" hidden="1" x14ac:dyDescent="0.25"/>
    <row r="1553" spans="1:11" ht="294" hidden="1" x14ac:dyDescent="0.25">
      <c r="A1553" s="6">
        <v>266</v>
      </c>
      <c r="B1553" s="4" t="s">
        <v>746</v>
      </c>
      <c r="C1553" s="8" t="s">
        <v>747</v>
      </c>
      <c r="D1553" s="16" t="s">
        <v>393</v>
      </c>
      <c r="E1553" s="14">
        <v>41</v>
      </c>
      <c r="F1553" s="11">
        <v>96.05</v>
      </c>
      <c r="H1553" s="14" t="s">
        <v>50</v>
      </c>
      <c r="I1553" s="11">
        <v>3938.05</v>
      </c>
      <c r="J1553" s="13">
        <v>8.0299999999999994</v>
      </c>
      <c r="K1553" s="11">
        <v>31622.54</v>
      </c>
    </row>
    <row r="1554" spans="1:11" hidden="1" x14ac:dyDescent="0.25">
      <c r="C1554" s="10" t="s">
        <v>58</v>
      </c>
      <c r="H1554" s="151">
        <v>3938.05</v>
      </c>
      <c r="I1554" s="133"/>
      <c r="J1554" s="151">
        <v>31622.54</v>
      </c>
      <c r="K1554" s="133"/>
    </row>
    <row r="1555" spans="1:11" hidden="1" x14ac:dyDescent="0.25"/>
    <row r="1556" spans="1:11" ht="90" hidden="1" x14ac:dyDescent="0.25">
      <c r="A1556" s="6">
        <v>267</v>
      </c>
      <c r="B1556" s="4" t="s">
        <v>748</v>
      </c>
      <c r="C1556" s="8" t="s">
        <v>749</v>
      </c>
      <c r="D1556" s="16" t="s">
        <v>750</v>
      </c>
      <c r="E1556" s="14">
        <v>22</v>
      </c>
    </row>
    <row r="1557" spans="1:11" ht="38.25" hidden="1" x14ac:dyDescent="0.25">
      <c r="C1557" s="9" t="s">
        <v>751</v>
      </c>
    </row>
    <row r="1558" spans="1:11" hidden="1" x14ac:dyDescent="0.25">
      <c r="C1558" s="5" t="s">
        <v>43</v>
      </c>
      <c r="F1558" s="11">
        <v>28.6</v>
      </c>
      <c r="H1558" s="13">
        <v>1.0469999999999999</v>
      </c>
      <c r="I1558" s="11">
        <v>658.77</v>
      </c>
      <c r="J1558" s="13">
        <v>56.35</v>
      </c>
      <c r="K1558" s="11">
        <v>37121.69</v>
      </c>
    </row>
    <row r="1559" spans="1:11" hidden="1" x14ac:dyDescent="0.25">
      <c r="C1559" s="7" t="s">
        <v>45</v>
      </c>
      <c r="F1559" s="11">
        <v>0.75</v>
      </c>
      <c r="H1559" s="13">
        <v>1.0469999999999999</v>
      </c>
      <c r="I1559" s="11">
        <v>17.28</v>
      </c>
      <c r="J1559" s="13">
        <v>17.03</v>
      </c>
      <c r="K1559" s="11">
        <v>294.27999999999997</v>
      </c>
    </row>
    <row r="1560" spans="1:11" hidden="1" x14ac:dyDescent="0.25">
      <c r="C1560" s="7" t="s">
        <v>47</v>
      </c>
      <c r="F1560" s="11">
        <v>0.11</v>
      </c>
      <c r="H1560" s="13">
        <v>1.0469999999999999</v>
      </c>
      <c r="I1560" s="11">
        <v>2.5299999999999998</v>
      </c>
      <c r="J1560" s="13">
        <v>56.35</v>
      </c>
      <c r="K1560" s="11">
        <v>142.57</v>
      </c>
    </row>
    <row r="1561" spans="1:11" hidden="1" x14ac:dyDescent="0.25">
      <c r="C1561" s="7" t="s">
        <v>48</v>
      </c>
      <c r="F1561" s="11">
        <v>55.68</v>
      </c>
      <c r="H1561" s="13">
        <v>1.0189999999999999</v>
      </c>
      <c r="I1561" s="11">
        <v>1248.23</v>
      </c>
      <c r="J1561" s="13">
        <v>19.61</v>
      </c>
      <c r="K1561" s="11">
        <v>24477.79</v>
      </c>
    </row>
    <row r="1562" spans="1:11" ht="51.75" hidden="1" x14ac:dyDescent="0.25">
      <c r="A1562" s="6" t="s">
        <v>752</v>
      </c>
      <c r="B1562" s="4" t="s">
        <v>753</v>
      </c>
      <c r="C1562" s="8" t="s">
        <v>754</v>
      </c>
      <c r="D1562" s="16" t="s">
        <v>393</v>
      </c>
      <c r="E1562" s="14">
        <v>330</v>
      </c>
      <c r="F1562" s="11">
        <v>2.35</v>
      </c>
      <c r="H1562" s="13">
        <v>1.0189999999999999</v>
      </c>
      <c r="I1562" s="11">
        <v>790.23</v>
      </c>
      <c r="J1562" s="13">
        <v>15.59</v>
      </c>
      <c r="K1562" s="11">
        <v>12319.69</v>
      </c>
    </row>
    <row r="1563" spans="1:11" ht="204.75" hidden="1" x14ac:dyDescent="0.25">
      <c r="A1563" s="6" t="s">
        <v>755</v>
      </c>
      <c r="B1563" s="4" t="s">
        <v>756</v>
      </c>
      <c r="C1563" s="8" t="s">
        <v>757</v>
      </c>
      <c r="D1563" s="16" t="s">
        <v>393</v>
      </c>
      <c r="E1563" s="14">
        <v>231</v>
      </c>
      <c r="F1563" s="11">
        <v>24.54</v>
      </c>
      <c r="H1563" s="13">
        <v>1.0189999999999999</v>
      </c>
      <c r="I1563" s="11">
        <v>5776.45</v>
      </c>
      <c r="J1563" s="13">
        <v>3.54</v>
      </c>
      <c r="K1563" s="11">
        <v>20448.63</v>
      </c>
    </row>
    <row r="1564" spans="1:11" ht="153.75" hidden="1" x14ac:dyDescent="0.25">
      <c r="A1564" s="6" t="s">
        <v>758</v>
      </c>
      <c r="B1564" s="4" t="s">
        <v>759</v>
      </c>
      <c r="C1564" s="8" t="s">
        <v>760</v>
      </c>
      <c r="D1564" s="16" t="s">
        <v>397</v>
      </c>
      <c r="E1564" s="13">
        <v>2.2000000000000002</v>
      </c>
      <c r="F1564" s="11">
        <v>144.93</v>
      </c>
      <c r="H1564" s="13">
        <v>1.0189999999999999</v>
      </c>
      <c r="I1564" s="11">
        <v>324.89999999999998</v>
      </c>
      <c r="J1564" s="13">
        <v>7.82</v>
      </c>
      <c r="K1564" s="11">
        <v>2540.7199999999998</v>
      </c>
    </row>
    <row r="1565" spans="1:11" hidden="1" x14ac:dyDescent="0.25">
      <c r="C1565" s="7" t="s">
        <v>51</v>
      </c>
      <c r="D1565" s="11" t="s">
        <v>52</v>
      </c>
      <c r="E1565" s="14">
        <v>87</v>
      </c>
      <c r="I1565" s="11">
        <v>575.33000000000004</v>
      </c>
      <c r="J1565" s="14">
        <v>87</v>
      </c>
      <c r="K1565" s="11">
        <v>32419.91</v>
      </c>
    </row>
    <row r="1566" spans="1:11" hidden="1" x14ac:dyDescent="0.25">
      <c r="C1566" s="7" t="s">
        <v>53</v>
      </c>
      <c r="D1566" s="11" t="s">
        <v>52</v>
      </c>
      <c r="E1566" s="14">
        <v>47</v>
      </c>
      <c r="I1566" s="11">
        <v>310.81</v>
      </c>
      <c r="J1566" s="14">
        <v>47</v>
      </c>
      <c r="K1566" s="11">
        <v>17514.2</v>
      </c>
    </row>
    <row r="1567" spans="1:11" hidden="1" x14ac:dyDescent="0.25">
      <c r="C1567" s="7" t="s">
        <v>54</v>
      </c>
      <c r="D1567" s="11" t="s">
        <v>55</v>
      </c>
      <c r="E1567" s="13">
        <v>2.2000000000000002</v>
      </c>
      <c r="H1567" s="13">
        <v>1.0469999999999999</v>
      </c>
      <c r="I1567" s="12">
        <v>50.674799999999998</v>
      </c>
    </row>
    <row r="1568" spans="1:11" hidden="1" x14ac:dyDescent="0.25">
      <c r="A1568" s="86"/>
      <c r="B1568" s="86"/>
      <c r="C1568" s="86" t="s">
        <v>56</v>
      </c>
      <c r="D1568" s="86"/>
      <c r="E1568" s="86"/>
      <c r="F1568" s="86"/>
      <c r="G1568" s="86"/>
      <c r="H1568" s="149">
        <v>9702</v>
      </c>
      <c r="I1568" s="150"/>
      <c r="J1568" s="149">
        <v>147136.91</v>
      </c>
      <c r="K1568" s="150"/>
    </row>
    <row r="1569" spans="1:11" hidden="1" x14ac:dyDescent="0.25">
      <c r="C1569" s="10" t="s">
        <v>57</v>
      </c>
      <c r="H1569" s="151">
        <v>0</v>
      </c>
      <c r="I1569" s="133"/>
      <c r="J1569" s="151">
        <v>0</v>
      </c>
      <c r="K1569" s="133"/>
    </row>
    <row r="1570" spans="1:11" hidden="1" x14ac:dyDescent="0.25">
      <c r="C1570" s="10" t="s">
        <v>58</v>
      </c>
      <c r="H1570" s="151">
        <v>9702</v>
      </c>
      <c r="I1570" s="133"/>
      <c r="J1570" s="151">
        <v>147136.91</v>
      </c>
      <c r="K1570" s="133"/>
    </row>
    <row r="1571" spans="1:11" hidden="1" x14ac:dyDescent="0.25"/>
    <row r="1572" spans="1:11" ht="102.75" hidden="1" x14ac:dyDescent="0.25">
      <c r="A1572" s="6">
        <v>268</v>
      </c>
      <c r="B1572" s="4" t="s">
        <v>761</v>
      </c>
      <c r="C1572" s="8" t="s">
        <v>762</v>
      </c>
      <c r="D1572" s="16" t="s">
        <v>102</v>
      </c>
      <c r="E1572" s="14">
        <v>10</v>
      </c>
    </row>
    <row r="1573" spans="1:11" hidden="1" x14ac:dyDescent="0.25">
      <c r="C1573" s="5" t="s">
        <v>43</v>
      </c>
      <c r="F1573" s="11">
        <v>30.34</v>
      </c>
      <c r="H1573" s="13">
        <v>1.0669999999999999</v>
      </c>
      <c r="I1573" s="11">
        <v>323.73</v>
      </c>
      <c r="J1573" s="13">
        <v>56.35</v>
      </c>
      <c r="K1573" s="11">
        <v>18242.189999999999</v>
      </c>
    </row>
    <row r="1574" spans="1:11" hidden="1" x14ac:dyDescent="0.25">
      <c r="C1574" s="7" t="s">
        <v>45</v>
      </c>
      <c r="F1574" s="11">
        <v>4.7699999999999996</v>
      </c>
      <c r="H1574" s="13">
        <v>1.0669999999999999</v>
      </c>
      <c r="I1574" s="11">
        <v>50.9</v>
      </c>
      <c r="J1574" s="13">
        <v>15.34</v>
      </c>
      <c r="K1574" s="11">
        <v>780.81</v>
      </c>
    </row>
    <row r="1575" spans="1:11" hidden="1" x14ac:dyDescent="0.25">
      <c r="C1575" s="7" t="s">
        <v>47</v>
      </c>
      <c r="F1575" s="11">
        <v>0.38</v>
      </c>
      <c r="H1575" s="13">
        <v>1.0669999999999999</v>
      </c>
      <c r="I1575" s="11">
        <v>4.05</v>
      </c>
      <c r="J1575" s="13">
        <v>56.35</v>
      </c>
      <c r="K1575" s="11">
        <v>228.22</v>
      </c>
    </row>
    <row r="1576" spans="1:11" hidden="1" x14ac:dyDescent="0.25">
      <c r="C1576" s="7" t="s">
        <v>48</v>
      </c>
      <c r="F1576" s="11">
        <v>26.02</v>
      </c>
      <c r="H1576" s="14" t="s">
        <v>50</v>
      </c>
      <c r="I1576" s="11">
        <v>260.2</v>
      </c>
      <c r="J1576" s="13">
        <v>7.99</v>
      </c>
      <c r="K1576" s="11">
        <v>2079</v>
      </c>
    </row>
    <row r="1577" spans="1:11" ht="39" hidden="1" x14ac:dyDescent="0.25">
      <c r="A1577" s="6" t="s">
        <v>763</v>
      </c>
      <c r="B1577" s="4" t="s">
        <v>764</v>
      </c>
      <c r="C1577" s="8" t="s">
        <v>765</v>
      </c>
      <c r="D1577" s="16" t="s">
        <v>328</v>
      </c>
      <c r="E1577" s="13">
        <v>3.0000000000000001E-6</v>
      </c>
      <c r="F1577" s="11">
        <v>17868.28</v>
      </c>
      <c r="H1577" s="14" t="s">
        <v>50</v>
      </c>
      <c r="I1577" s="11">
        <v>0.05</v>
      </c>
      <c r="J1577" s="13">
        <v>6.81</v>
      </c>
      <c r="K1577" s="11">
        <v>0.34</v>
      </c>
    </row>
    <row r="1578" spans="1:11" hidden="1" x14ac:dyDescent="0.25">
      <c r="C1578" s="7" t="s">
        <v>51</v>
      </c>
      <c r="D1578" s="11" t="s">
        <v>52</v>
      </c>
      <c r="E1578" s="14">
        <v>109</v>
      </c>
      <c r="I1578" s="11">
        <v>357.28</v>
      </c>
      <c r="J1578" s="14">
        <v>109</v>
      </c>
      <c r="K1578" s="11">
        <v>20132.75</v>
      </c>
    </row>
    <row r="1579" spans="1:11" hidden="1" x14ac:dyDescent="0.25">
      <c r="C1579" s="7" t="s">
        <v>53</v>
      </c>
      <c r="D1579" s="11" t="s">
        <v>52</v>
      </c>
      <c r="E1579" s="14">
        <v>61</v>
      </c>
      <c r="I1579" s="11">
        <v>199.95</v>
      </c>
      <c r="J1579" s="14">
        <v>61</v>
      </c>
      <c r="K1579" s="11">
        <v>11266.95</v>
      </c>
    </row>
    <row r="1580" spans="1:11" hidden="1" x14ac:dyDescent="0.25">
      <c r="C1580" s="7" t="s">
        <v>54</v>
      </c>
      <c r="D1580" s="11" t="s">
        <v>55</v>
      </c>
      <c r="E1580" s="13">
        <v>2.37</v>
      </c>
      <c r="H1580" s="13">
        <v>1.0669999999999999</v>
      </c>
      <c r="I1580" s="12">
        <v>25.2879</v>
      </c>
    </row>
    <row r="1581" spans="1:11" hidden="1" x14ac:dyDescent="0.25">
      <c r="A1581" s="87"/>
      <c r="B1581" s="87"/>
      <c r="C1581" s="87" t="s">
        <v>56</v>
      </c>
      <c r="D1581" s="87"/>
      <c r="E1581" s="87"/>
      <c r="F1581" s="87"/>
      <c r="G1581" s="87"/>
      <c r="H1581" s="149">
        <v>1192.1099999999999</v>
      </c>
      <c r="I1581" s="150"/>
      <c r="J1581" s="149">
        <v>52502.04</v>
      </c>
      <c r="K1581" s="150"/>
    </row>
    <row r="1582" spans="1:11" hidden="1" x14ac:dyDescent="0.25">
      <c r="C1582" s="10" t="s">
        <v>57</v>
      </c>
      <c r="H1582" s="151">
        <v>0</v>
      </c>
      <c r="I1582" s="133"/>
      <c r="J1582" s="151">
        <v>0</v>
      </c>
      <c r="K1582" s="133"/>
    </row>
    <row r="1583" spans="1:11" hidden="1" x14ac:dyDescent="0.25">
      <c r="C1583" s="10" t="s">
        <v>58</v>
      </c>
      <c r="H1583" s="151">
        <v>1192.1099999999999</v>
      </c>
      <c r="I1583" s="133"/>
      <c r="J1583" s="151">
        <v>52502.04</v>
      </c>
      <c r="K1583" s="133"/>
    </row>
    <row r="1584" spans="1:11" hidden="1" x14ac:dyDescent="0.25"/>
    <row r="1585" spans="1:15" ht="141" x14ac:dyDescent="0.25">
      <c r="A1585" s="93">
        <v>269</v>
      </c>
      <c r="B1585" s="94" t="s">
        <v>766</v>
      </c>
      <c r="C1585" s="101" t="s">
        <v>767</v>
      </c>
      <c r="D1585" s="96" t="s">
        <v>245</v>
      </c>
      <c r="E1585" s="97">
        <v>10</v>
      </c>
      <c r="F1585" s="98">
        <v>547.5</v>
      </c>
      <c r="G1585" s="99"/>
      <c r="H1585" s="97" t="s">
        <v>50</v>
      </c>
      <c r="I1585" s="98">
        <v>5475</v>
      </c>
      <c r="J1585" s="100">
        <v>15.2</v>
      </c>
      <c r="K1585" s="98">
        <v>83220</v>
      </c>
      <c r="O1585" s="116">
        <f>K1585</f>
        <v>83220</v>
      </c>
    </row>
    <row r="1586" spans="1:15" hidden="1" x14ac:dyDescent="0.25">
      <c r="C1586" s="10" t="s">
        <v>58</v>
      </c>
      <c r="H1586" s="151">
        <v>5475</v>
      </c>
      <c r="I1586" s="133"/>
      <c r="J1586" s="151">
        <v>83220</v>
      </c>
      <c r="K1586" s="133"/>
    </row>
    <row r="1587" spans="1:15" hidden="1" x14ac:dyDescent="0.25"/>
    <row r="1588" spans="1:15" ht="89.25" hidden="1" x14ac:dyDescent="0.25">
      <c r="A1588" s="6">
        <v>270</v>
      </c>
      <c r="B1588" s="4" t="s">
        <v>768</v>
      </c>
      <c r="C1588" s="8" t="s">
        <v>769</v>
      </c>
      <c r="D1588" s="16" t="s">
        <v>368</v>
      </c>
      <c r="E1588" s="14">
        <v>4</v>
      </c>
    </row>
    <row r="1589" spans="1:15" hidden="1" x14ac:dyDescent="0.25">
      <c r="C1589" s="5" t="s">
        <v>43</v>
      </c>
      <c r="F1589" s="11">
        <v>6.75</v>
      </c>
      <c r="G1589" s="15" t="s">
        <v>689</v>
      </c>
      <c r="H1589" s="13">
        <v>1.0469999999999999</v>
      </c>
      <c r="I1589" s="11">
        <v>33.92</v>
      </c>
      <c r="J1589" s="13">
        <v>56.35</v>
      </c>
      <c r="K1589" s="11">
        <v>1911.39</v>
      </c>
    </row>
    <row r="1590" spans="1:15" ht="39" hidden="1" x14ac:dyDescent="0.25">
      <c r="A1590" s="6" t="s">
        <v>770</v>
      </c>
      <c r="B1590" s="4" t="s">
        <v>764</v>
      </c>
      <c r="C1590" s="8" t="s">
        <v>765</v>
      </c>
      <c r="D1590" s="16" t="s">
        <v>328</v>
      </c>
      <c r="E1590" s="13">
        <v>9.6000000000000002E-4</v>
      </c>
      <c r="F1590" s="11">
        <v>17868.28</v>
      </c>
      <c r="H1590" s="14" t="s">
        <v>50</v>
      </c>
      <c r="I1590" s="11">
        <v>17.149999999999999</v>
      </c>
      <c r="J1590" s="13">
        <v>6.81</v>
      </c>
      <c r="K1590" s="11">
        <v>116.79</v>
      </c>
    </row>
    <row r="1591" spans="1:15" hidden="1" x14ac:dyDescent="0.25">
      <c r="C1591" s="7" t="s">
        <v>51</v>
      </c>
      <c r="D1591" s="11" t="s">
        <v>52</v>
      </c>
      <c r="E1591" s="14">
        <v>90</v>
      </c>
      <c r="I1591" s="11">
        <v>30.53</v>
      </c>
      <c r="J1591" s="14">
        <v>90</v>
      </c>
      <c r="K1591" s="11">
        <v>1720.25</v>
      </c>
    </row>
    <row r="1592" spans="1:15" hidden="1" x14ac:dyDescent="0.25">
      <c r="C1592" s="7" t="s">
        <v>53</v>
      </c>
      <c r="D1592" s="11" t="s">
        <v>52</v>
      </c>
      <c r="E1592" s="14">
        <v>46</v>
      </c>
      <c r="I1592" s="11">
        <v>15.6</v>
      </c>
      <c r="J1592" s="14">
        <v>46</v>
      </c>
      <c r="K1592" s="11">
        <v>879.24</v>
      </c>
    </row>
    <row r="1593" spans="1:15" hidden="1" x14ac:dyDescent="0.25">
      <c r="C1593" s="7" t="s">
        <v>54</v>
      </c>
      <c r="D1593" s="11" t="s">
        <v>55</v>
      </c>
      <c r="E1593" s="13">
        <v>0.52</v>
      </c>
      <c r="G1593" s="15" t="s">
        <v>689</v>
      </c>
      <c r="H1593" s="13">
        <v>1.0469999999999999</v>
      </c>
      <c r="I1593" s="12">
        <v>2.6133120000000001</v>
      </c>
    </row>
    <row r="1594" spans="1:15" hidden="1" x14ac:dyDescent="0.25">
      <c r="A1594" s="88"/>
      <c r="B1594" s="88"/>
      <c r="C1594" s="88" t="s">
        <v>56</v>
      </c>
      <c r="D1594" s="88"/>
      <c r="E1594" s="88"/>
      <c r="F1594" s="88"/>
      <c r="G1594" s="88"/>
      <c r="H1594" s="149">
        <v>97.2</v>
      </c>
      <c r="I1594" s="150"/>
      <c r="J1594" s="149">
        <v>4627.67</v>
      </c>
      <c r="K1594" s="150"/>
    </row>
    <row r="1595" spans="1:15" hidden="1" x14ac:dyDescent="0.25">
      <c r="C1595" s="10" t="s">
        <v>57</v>
      </c>
      <c r="H1595" s="151">
        <v>0</v>
      </c>
      <c r="I1595" s="133"/>
      <c r="J1595" s="151">
        <v>0</v>
      </c>
      <c r="K1595" s="133"/>
    </row>
    <row r="1596" spans="1:15" hidden="1" x14ac:dyDescent="0.25">
      <c r="C1596" s="10" t="s">
        <v>58</v>
      </c>
      <c r="H1596" s="151">
        <v>97.2</v>
      </c>
      <c r="I1596" s="133"/>
      <c r="J1596" s="151">
        <v>4627.67</v>
      </c>
      <c r="K1596" s="133"/>
    </row>
    <row r="1597" spans="1:15" hidden="1" x14ac:dyDescent="0.25"/>
    <row r="1598" spans="1:15" ht="102.75" x14ac:dyDescent="0.25">
      <c r="A1598" s="93">
        <v>271</v>
      </c>
      <c r="B1598" s="94" t="s">
        <v>771</v>
      </c>
      <c r="C1598" s="118" t="s">
        <v>772</v>
      </c>
      <c r="D1598" s="96" t="s">
        <v>61</v>
      </c>
      <c r="E1598" s="97">
        <v>4</v>
      </c>
      <c r="F1598" s="98">
        <v>1261.51</v>
      </c>
      <c r="G1598" s="99"/>
      <c r="H1598" s="97" t="s">
        <v>50</v>
      </c>
      <c r="I1598" s="98">
        <v>5046.04</v>
      </c>
      <c r="J1598" s="100">
        <v>7.57</v>
      </c>
      <c r="K1598" s="98">
        <v>38198.519999999997</v>
      </c>
      <c r="L1598" s="127">
        <v>8729</v>
      </c>
      <c r="O1598" s="116">
        <f>L1598/1.22*1.03*1.012*4</f>
        <v>29832.00144262295</v>
      </c>
    </row>
    <row r="1599" spans="1:15" hidden="1" x14ac:dyDescent="0.25">
      <c r="C1599" s="10" t="s">
        <v>58</v>
      </c>
      <c r="H1599" s="151">
        <v>5046.04</v>
      </c>
      <c r="I1599" s="133"/>
      <c r="J1599" s="151">
        <v>38198.519999999997</v>
      </c>
      <c r="K1599" s="133"/>
    </row>
    <row r="1600" spans="1:15" hidden="1" x14ac:dyDescent="0.25"/>
    <row r="1601" spans="1:15" ht="102" hidden="1" x14ac:dyDescent="0.25">
      <c r="A1601" s="6">
        <v>272</v>
      </c>
      <c r="B1601" s="4" t="s">
        <v>773</v>
      </c>
      <c r="C1601" s="8" t="s">
        <v>774</v>
      </c>
      <c r="D1601" s="16" t="s">
        <v>187</v>
      </c>
      <c r="E1601" s="13">
        <v>0.1</v>
      </c>
    </row>
    <row r="1602" spans="1:15" ht="25.5" hidden="1" x14ac:dyDescent="0.25">
      <c r="C1602" s="9" t="s">
        <v>775</v>
      </c>
    </row>
    <row r="1603" spans="1:15" hidden="1" x14ac:dyDescent="0.25">
      <c r="C1603" s="5" t="s">
        <v>43</v>
      </c>
      <c r="F1603" s="11">
        <v>470.94</v>
      </c>
      <c r="G1603" s="15" t="s">
        <v>689</v>
      </c>
      <c r="H1603" s="13">
        <v>1.0469999999999999</v>
      </c>
      <c r="I1603" s="11">
        <v>59.17</v>
      </c>
      <c r="J1603" s="13">
        <v>56.35</v>
      </c>
      <c r="K1603" s="11">
        <v>3334.23</v>
      </c>
    </row>
    <row r="1604" spans="1:15" hidden="1" x14ac:dyDescent="0.25">
      <c r="C1604" s="7" t="s">
        <v>45</v>
      </c>
      <c r="F1604" s="11">
        <v>1.1000000000000001</v>
      </c>
      <c r="G1604" s="15" t="s">
        <v>689</v>
      </c>
      <c r="H1604" s="13">
        <v>1.0469999999999999</v>
      </c>
      <c r="I1604" s="11">
        <v>0.14000000000000001</v>
      </c>
      <c r="J1604" s="13">
        <v>15.29</v>
      </c>
      <c r="K1604" s="11">
        <v>2.14</v>
      </c>
    </row>
    <row r="1605" spans="1:15" hidden="1" x14ac:dyDescent="0.25">
      <c r="C1605" s="7" t="s">
        <v>47</v>
      </c>
      <c r="F1605" s="11">
        <v>0.13</v>
      </c>
      <c r="G1605" s="15" t="s">
        <v>689</v>
      </c>
      <c r="H1605" s="13">
        <v>1.0469999999999999</v>
      </c>
      <c r="I1605" s="11">
        <v>0.02</v>
      </c>
      <c r="J1605" s="13">
        <v>56.35</v>
      </c>
      <c r="K1605" s="11">
        <v>1.1299999999999999</v>
      </c>
    </row>
    <row r="1606" spans="1:15" hidden="1" x14ac:dyDescent="0.25">
      <c r="C1606" s="7" t="s">
        <v>48</v>
      </c>
      <c r="F1606" s="11">
        <v>1.29</v>
      </c>
      <c r="G1606" s="15" t="s">
        <v>690</v>
      </c>
      <c r="H1606" s="14" t="s">
        <v>50</v>
      </c>
      <c r="I1606" s="11">
        <v>0.13</v>
      </c>
      <c r="J1606" s="13">
        <v>7.61</v>
      </c>
      <c r="K1606" s="11">
        <v>0.99</v>
      </c>
    </row>
    <row r="1607" spans="1:15" hidden="1" x14ac:dyDescent="0.25">
      <c r="C1607" s="7" t="s">
        <v>51</v>
      </c>
      <c r="D1607" s="11" t="s">
        <v>52</v>
      </c>
      <c r="E1607" s="14">
        <v>90</v>
      </c>
      <c r="I1607" s="11">
        <v>53.27</v>
      </c>
      <c r="J1607" s="14">
        <v>90</v>
      </c>
      <c r="K1607" s="11">
        <v>3001.82</v>
      </c>
    </row>
    <row r="1608" spans="1:15" hidden="1" x14ac:dyDescent="0.25">
      <c r="C1608" s="7" t="s">
        <v>53</v>
      </c>
      <c r="D1608" s="11" t="s">
        <v>52</v>
      </c>
      <c r="E1608" s="14">
        <v>46</v>
      </c>
      <c r="I1608" s="11">
        <v>27.23</v>
      </c>
      <c r="J1608" s="14">
        <v>46</v>
      </c>
      <c r="K1608" s="11">
        <v>1534.27</v>
      </c>
    </row>
    <row r="1609" spans="1:15" hidden="1" x14ac:dyDescent="0.25">
      <c r="C1609" s="7" t="s">
        <v>54</v>
      </c>
      <c r="D1609" s="11" t="s">
        <v>55</v>
      </c>
      <c r="E1609" s="13">
        <v>29.96</v>
      </c>
      <c r="G1609" s="15" t="s">
        <v>689</v>
      </c>
      <c r="H1609" s="13">
        <v>1.0469999999999999</v>
      </c>
      <c r="I1609" s="12">
        <v>3.7641743999999999</v>
      </c>
    </row>
    <row r="1610" spans="1:15" hidden="1" x14ac:dyDescent="0.25">
      <c r="A1610" s="89"/>
      <c r="B1610" s="89"/>
      <c r="C1610" s="89" t="s">
        <v>56</v>
      </c>
      <c r="D1610" s="89"/>
      <c r="E1610" s="89"/>
      <c r="F1610" s="89"/>
      <c r="G1610" s="89"/>
      <c r="H1610" s="149">
        <v>139.94</v>
      </c>
      <c r="I1610" s="150"/>
      <c r="J1610" s="149">
        <v>7873.45</v>
      </c>
      <c r="K1610" s="150"/>
    </row>
    <row r="1611" spans="1:15" hidden="1" x14ac:dyDescent="0.25">
      <c r="C1611" s="10" t="s">
        <v>57</v>
      </c>
      <c r="H1611" s="151">
        <v>0</v>
      </c>
      <c r="I1611" s="133"/>
      <c r="J1611" s="151">
        <v>0</v>
      </c>
      <c r="K1611" s="133"/>
    </row>
    <row r="1612" spans="1:15" hidden="1" x14ac:dyDescent="0.25">
      <c r="C1612" s="10" t="s">
        <v>58</v>
      </c>
      <c r="H1612" s="151">
        <v>139.94</v>
      </c>
      <c r="I1612" s="133"/>
      <c r="J1612" s="151">
        <v>7873.45</v>
      </c>
      <c r="K1612" s="133"/>
    </row>
    <row r="1613" spans="1:15" hidden="1" x14ac:dyDescent="0.25"/>
    <row r="1614" spans="1:15" ht="179.25" x14ac:dyDescent="0.25">
      <c r="A1614" s="93">
        <v>273</v>
      </c>
      <c r="B1614" s="94" t="s">
        <v>776</v>
      </c>
      <c r="C1614" s="101" t="s">
        <v>777</v>
      </c>
      <c r="D1614" s="96" t="s">
        <v>61</v>
      </c>
      <c r="E1614" s="97">
        <v>1</v>
      </c>
      <c r="F1614" s="98">
        <v>41309.120000000003</v>
      </c>
      <c r="G1614" s="99"/>
      <c r="H1614" s="97" t="s">
        <v>50</v>
      </c>
      <c r="I1614" s="98">
        <v>41309.120000000003</v>
      </c>
      <c r="J1614" s="100">
        <v>7.57</v>
      </c>
      <c r="K1614" s="98">
        <v>312710.03999999998</v>
      </c>
      <c r="L1614" s="128">
        <v>311802.31</v>
      </c>
      <c r="O1614" s="116">
        <f>L1614/1.22*1.03*1.012*1</f>
        <v>266401.8490586885</v>
      </c>
    </row>
    <row r="1615" spans="1:15" hidden="1" x14ac:dyDescent="0.25">
      <c r="C1615" s="10" t="s">
        <v>58</v>
      </c>
      <c r="H1615" s="151">
        <v>41309.120000000003</v>
      </c>
      <c r="I1615" s="133"/>
      <c r="J1615" s="151">
        <v>312710.03999999998</v>
      </c>
      <c r="K1615" s="133"/>
    </row>
    <row r="1616" spans="1:15" hidden="1" x14ac:dyDescent="0.25"/>
    <row r="1617" spans="1:11" hidden="1" x14ac:dyDescent="0.25"/>
    <row r="1618" spans="1:11" hidden="1" x14ac:dyDescent="0.25">
      <c r="A1618" s="90"/>
      <c r="B1618" s="90"/>
      <c r="C1618" s="90"/>
      <c r="D1618" s="90"/>
      <c r="E1618" s="90"/>
      <c r="F1618" s="90"/>
      <c r="G1618" s="90"/>
      <c r="H1618" s="90"/>
      <c r="I1618" s="90"/>
      <c r="J1618" s="90"/>
      <c r="K1618" s="90"/>
    </row>
    <row r="1619" spans="1:11" ht="15.95" hidden="1" customHeight="1" x14ac:dyDescent="0.25">
      <c r="A1619" s="152" t="s">
        <v>778</v>
      </c>
      <c r="B1619" s="133"/>
      <c r="C1619" s="133"/>
      <c r="D1619" s="133"/>
      <c r="E1619" s="133"/>
      <c r="F1619" s="133"/>
      <c r="G1619" s="133"/>
      <c r="H1619" s="151">
        <v>1686327.56</v>
      </c>
      <c r="I1619" s="133"/>
      <c r="J1619" s="151">
        <v>14706245.49</v>
      </c>
      <c r="K1619" s="133"/>
    </row>
    <row r="1620" spans="1:11" hidden="1" x14ac:dyDescent="0.25"/>
    <row r="1621" spans="1:11" ht="29.1" hidden="1" customHeight="1" x14ac:dyDescent="0.25">
      <c r="A1621" s="152" t="s">
        <v>779</v>
      </c>
      <c r="B1621" s="133"/>
      <c r="C1621" s="133"/>
      <c r="D1621" s="133"/>
      <c r="E1621" s="133"/>
      <c r="F1621" s="133"/>
      <c r="G1621" s="133"/>
      <c r="H1621" s="151">
        <v>5965804.4800000004</v>
      </c>
      <c r="I1621" s="133"/>
      <c r="J1621" s="151">
        <v>54679436.549999997</v>
      </c>
      <c r="K1621" s="133"/>
    </row>
    <row r="1622" spans="1:11" hidden="1" x14ac:dyDescent="0.25"/>
    <row r="1623" spans="1:11" hidden="1" x14ac:dyDescent="0.25"/>
    <row r="1624" spans="1:11" ht="15.95" hidden="1" customHeight="1" x14ac:dyDescent="0.25">
      <c r="A1624" s="153" t="s">
        <v>780</v>
      </c>
      <c r="B1624" s="133"/>
      <c r="C1624" s="91"/>
      <c r="D1624" s="154" t="s">
        <v>781</v>
      </c>
      <c r="E1624" s="154"/>
      <c r="F1624" s="154"/>
      <c r="G1624" s="154"/>
      <c r="H1624" s="154"/>
    </row>
    <row r="1625" spans="1:11" hidden="1" x14ac:dyDescent="0.25">
      <c r="C1625" s="155" t="s">
        <v>782</v>
      </c>
      <c r="D1625" s="133"/>
      <c r="E1625" s="133"/>
      <c r="F1625" s="133"/>
      <c r="G1625" s="133"/>
      <c r="H1625" s="133"/>
    </row>
    <row r="1626" spans="1:11" hidden="1" x14ac:dyDescent="0.25"/>
    <row r="1627" spans="1:11" ht="15.95" hidden="1" customHeight="1" x14ac:dyDescent="0.25">
      <c r="A1627" s="153" t="s">
        <v>783</v>
      </c>
      <c r="B1627" s="133"/>
      <c r="C1627" s="92"/>
      <c r="D1627" s="154" t="s">
        <v>784</v>
      </c>
      <c r="E1627" s="154"/>
      <c r="F1627" s="154"/>
      <c r="G1627" s="154"/>
      <c r="H1627" s="154"/>
    </row>
    <row r="1628" spans="1:11" hidden="1" x14ac:dyDescent="0.25">
      <c r="C1628" s="155" t="s">
        <v>782</v>
      </c>
      <c r="D1628" s="133"/>
      <c r="E1628" s="133"/>
      <c r="F1628" s="133"/>
      <c r="G1628" s="133"/>
      <c r="H1628" s="133"/>
    </row>
  </sheetData>
  <autoFilter ref="B2:B1628">
    <filterColumn colId="0">
      <colorFilter dxfId="0"/>
    </filterColumn>
  </autoFilter>
  <mergeCells count="886">
    <mergeCell ref="A1624:B1624"/>
    <mergeCell ref="D1624:H1624"/>
    <mergeCell ref="C1625:H1625"/>
    <mergeCell ref="A1627:B1627"/>
    <mergeCell ref="D1627:H1627"/>
    <mergeCell ref="C1628:H1628"/>
    <mergeCell ref="H1612:I1612"/>
    <mergeCell ref="J1612:K1612"/>
    <mergeCell ref="H1615:I1615"/>
    <mergeCell ref="J1615:K1615"/>
    <mergeCell ref="A1619:G1619"/>
    <mergeCell ref="H1619:I1619"/>
    <mergeCell ref="J1619:K1619"/>
    <mergeCell ref="A1621:G1621"/>
    <mergeCell ref="H1621:I1621"/>
    <mergeCell ref="J1621:K1621"/>
    <mergeCell ref="H1595:I1595"/>
    <mergeCell ref="J1595:K1595"/>
    <mergeCell ref="H1596:I1596"/>
    <mergeCell ref="J1596:K1596"/>
    <mergeCell ref="H1599:I1599"/>
    <mergeCell ref="J1599:K1599"/>
    <mergeCell ref="H1610:I1610"/>
    <mergeCell ref="J1610:K1610"/>
    <mergeCell ref="H1611:I1611"/>
    <mergeCell ref="J1611:K1611"/>
    <mergeCell ref="H1581:I1581"/>
    <mergeCell ref="J1581:K1581"/>
    <mergeCell ref="H1582:I1582"/>
    <mergeCell ref="J1582:K1582"/>
    <mergeCell ref="H1583:I1583"/>
    <mergeCell ref="J1583:K1583"/>
    <mergeCell ref="H1586:I1586"/>
    <mergeCell ref="J1586:K1586"/>
    <mergeCell ref="H1594:I1594"/>
    <mergeCell ref="J1594:K1594"/>
    <mergeCell ref="H1551:I1551"/>
    <mergeCell ref="J1551:K1551"/>
    <mergeCell ref="H1554:I1554"/>
    <mergeCell ref="J1554:K1554"/>
    <mergeCell ref="H1568:I1568"/>
    <mergeCell ref="J1568:K1568"/>
    <mergeCell ref="H1569:I1569"/>
    <mergeCell ref="J1569:K1569"/>
    <mergeCell ref="H1570:I1570"/>
    <mergeCell ref="J1570:K1570"/>
    <mergeCell ref="H1533:I1533"/>
    <mergeCell ref="J1533:K1533"/>
    <mergeCell ref="H1537:I1537"/>
    <mergeCell ref="J1537:K1537"/>
    <mergeCell ref="H1541:I1541"/>
    <mergeCell ref="J1541:K1541"/>
    <mergeCell ref="H1545:I1545"/>
    <mergeCell ref="J1545:K1545"/>
    <mergeCell ref="H1548:I1548"/>
    <mergeCell ref="J1548:K1548"/>
    <mergeCell ref="H1514:I1514"/>
    <mergeCell ref="J1514:K1514"/>
    <mergeCell ref="H1518:I1518"/>
    <mergeCell ref="J1518:K1518"/>
    <mergeCell ref="H1521:I1521"/>
    <mergeCell ref="J1521:K1521"/>
    <mergeCell ref="H1525:I1525"/>
    <mergeCell ref="J1525:K1525"/>
    <mergeCell ref="H1529:I1529"/>
    <mergeCell ref="J1529:K1529"/>
    <mergeCell ref="H1494:I1494"/>
    <mergeCell ref="J1494:K1494"/>
    <mergeCell ref="H1498:I1498"/>
    <mergeCell ref="J1498:K1498"/>
    <mergeCell ref="H1502:I1502"/>
    <mergeCell ref="J1502:K1502"/>
    <mergeCell ref="H1506:I1506"/>
    <mergeCell ref="J1506:K1506"/>
    <mergeCell ref="H1510:I1510"/>
    <mergeCell ref="J1510:K1510"/>
    <mergeCell ref="H1474:I1474"/>
    <mergeCell ref="J1474:K1474"/>
    <mergeCell ref="H1477:I1477"/>
    <mergeCell ref="J1477:K1477"/>
    <mergeCell ref="A1479:K1479"/>
    <mergeCell ref="H1492:I1492"/>
    <mergeCell ref="J1492:K1492"/>
    <mergeCell ref="H1493:I1493"/>
    <mergeCell ref="J1493:K1493"/>
    <mergeCell ref="H1462:I1462"/>
    <mergeCell ref="J1462:K1462"/>
    <mergeCell ref="H1463:I1463"/>
    <mergeCell ref="J1463:K1463"/>
    <mergeCell ref="H1464:I1464"/>
    <mergeCell ref="J1464:K1464"/>
    <mergeCell ref="H1472:I1472"/>
    <mergeCell ref="J1472:K1472"/>
    <mergeCell ref="H1473:I1473"/>
    <mergeCell ref="J1473:K1473"/>
    <mergeCell ref="H1438:I1438"/>
    <mergeCell ref="J1438:K1438"/>
    <mergeCell ref="A1440:K1440"/>
    <mergeCell ref="H1450:I1450"/>
    <mergeCell ref="J1450:K1450"/>
    <mergeCell ref="H1451:I1451"/>
    <mergeCell ref="J1451:K1451"/>
    <mergeCell ref="H1452:I1452"/>
    <mergeCell ref="J1452:K1452"/>
    <mergeCell ref="H1422:I1422"/>
    <mergeCell ref="J1422:K1422"/>
    <mergeCell ref="H1423:I1423"/>
    <mergeCell ref="J1423:K1423"/>
    <mergeCell ref="H1433:I1433"/>
    <mergeCell ref="J1433:K1433"/>
    <mergeCell ref="H1434:I1434"/>
    <mergeCell ref="J1434:K1434"/>
    <mergeCell ref="H1435:I1435"/>
    <mergeCell ref="J1435:K1435"/>
    <mergeCell ref="H1403:I1403"/>
    <mergeCell ref="J1403:K1403"/>
    <mergeCell ref="H1406:I1406"/>
    <mergeCell ref="J1406:K1406"/>
    <mergeCell ref="H1409:I1409"/>
    <mergeCell ref="J1409:K1409"/>
    <mergeCell ref="A1411:K1411"/>
    <mergeCell ref="H1421:I1421"/>
    <mergeCell ref="J1421:K1421"/>
    <mergeCell ref="H1384:I1384"/>
    <mergeCell ref="J1384:K1384"/>
    <mergeCell ref="H1395:I1395"/>
    <mergeCell ref="J1395:K1395"/>
    <mergeCell ref="H1396:I1396"/>
    <mergeCell ref="J1396:K1396"/>
    <mergeCell ref="H1397:I1397"/>
    <mergeCell ref="J1397:K1397"/>
    <mergeCell ref="H1400:I1400"/>
    <mergeCell ref="J1400:K1400"/>
    <mergeCell ref="A1364:K1364"/>
    <mergeCell ref="A1366:K1366"/>
    <mergeCell ref="H1376:I1376"/>
    <mergeCell ref="J1376:K1376"/>
    <mergeCell ref="H1377:I1377"/>
    <mergeCell ref="J1377:K1377"/>
    <mergeCell ref="H1378:I1378"/>
    <mergeCell ref="J1378:K1378"/>
    <mergeCell ref="H1381:I1381"/>
    <mergeCell ref="J1381:K1381"/>
    <mergeCell ref="H1355:I1355"/>
    <mergeCell ref="J1355:K1355"/>
    <mergeCell ref="H1356:I1356"/>
    <mergeCell ref="J1356:K1356"/>
    <mergeCell ref="H1357:I1357"/>
    <mergeCell ref="J1357:K1357"/>
    <mergeCell ref="A1361:G1361"/>
    <mergeCell ref="H1361:I1361"/>
    <mergeCell ref="J1361:K1361"/>
    <mergeCell ref="H1330:I1330"/>
    <mergeCell ref="J1330:K1330"/>
    <mergeCell ref="H1338:I1338"/>
    <mergeCell ref="J1338:K1338"/>
    <mergeCell ref="H1339:I1339"/>
    <mergeCell ref="J1339:K1339"/>
    <mergeCell ref="H1340:I1340"/>
    <mergeCell ref="J1340:K1340"/>
    <mergeCell ref="H1343:I1343"/>
    <mergeCell ref="J1343:K1343"/>
    <mergeCell ref="H1311:I1311"/>
    <mergeCell ref="J1311:K1311"/>
    <mergeCell ref="H1322:I1322"/>
    <mergeCell ref="J1322:K1322"/>
    <mergeCell ref="H1323:I1323"/>
    <mergeCell ref="J1323:K1323"/>
    <mergeCell ref="H1324:I1324"/>
    <mergeCell ref="J1324:K1324"/>
    <mergeCell ref="H1327:I1327"/>
    <mergeCell ref="J1327:K1327"/>
    <mergeCell ref="H1292:I1292"/>
    <mergeCell ref="J1292:K1292"/>
    <mergeCell ref="H1295:I1295"/>
    <mergeCell ref="J1295:K1295"/>
    <mergeCell ref="H1306:I1306"/>
    <mergeCell ref="J1306:K1306"/>
    <mergeCell ref="H1307:I1307"/>
    <mergeCell ref="J1307:K1307"/>
    <mergeCell ref="H1308:I1308"/>
    <mergeCell ref="J1308:K1308"/>
    <mergeCell ref="H1277:I1277"/>
    <mergeCell ref="J1277:K1277"/>
    <mergeCell ref="H1280:I1280"/>
    <mergeCell ref="J1280:K1280"/>
    <mergeCell ref="H1283:I1283"/>
    <mergeCell ref="J1283:K1283"/>
    <mergeCell ref="H1286:I1286"/>
    <mergeCell ref="J1286:K1286"/>
    <mergeCell ref="H1289:I1289"/>
    <mergeCell ref="J1289:K1289"/>
    <mergeCell ref="H1262:I1262"/>
    <mergeCell ref="J1262:K1262"/>
    <mergeCell ref="H1265:I1265"/>
    <mergeCell ref="J1265:K1265"/>
    <mergeCell ref="H1268:I1268"/>
    <mergeCell ref="J1268:K1268"/>
    <mergeCell ref="H1271:I1271"/>
    <mergeCell ref="J1271:K1271"/>
    <mergeCell ref="H1274:I1274"/>
    <mergeCell ref="J1274:K1274"/>
    <mergeCell ref="H1246:I1246"/>
    <mergeCell ref="J1246:K1246"/>
    <mergeCell ref="H1247:I1247"/>
    <mergeCell ref="J1247:K1247"/>
    <mergeCell ref="H1248:I1248"/>
    <mergeCell ref="J1248:K1248"/>
    <mergeCell ref="H1260:I1260"/>
    <mergeCell ref="J1260:K1260"/>
    <mergeCell ref="H1261:I1261"/>
    <mergeCell ref="J1261:K1261"/>
    <mergeCell ref="H1219:I1219"/>
    <mergeCell ref="J1219:K1219"/>
    <mergeCell ref="H1220:I1220"/>
    <mergeCell ref="J1220:K1220"/>
    <mergeCell ref="H1232:I1232"/>
    <mergeCell ref="J1232:K1232"/>
    <mergeCell ref="H1233:I1233"/>
    <mergeCell ref="J1233:K1233"/>
    <mergeCell ref="H1234:I1234"/>
    <mergeCell ref="J1234:K1234"/>
    <mergeCell ref="H1192:I1192"/>
    <mergeCell ref="J1192:K1192"/>
    <mergeCell ref="H1204:I1204"/>
    <mergeCell ref="J1204:K1204"/>
    <mergeCell ref="H1205:I1205"/>
    <mergeCell ref="J1205:K1205"/>
    <mergeCell ref="H1206:I1206"/>
    <mergeCell ref="J1206:K1206"/>
    <mergeCell ref="H1218:I1218"/>
    <mergeCell ref="J1218:K1218"/>
    <mergeCell ref="H1176:I1176"/>
    <mergeCell ref="J1176:K1176"/>
    <mergeCell ref="H1177:I1177"/>
    <mergeCell ref="J1177:K1177"/>
    <mergeCell ref="H1178:I1178"/>
    <mergeCell ref="J1178:K1178"/>
    <mergeCell ref="H1190:I1190"/>
    <mergeCell ref="J1190:K1190"/>
    <mergeCell ref="H1191:I1191"/>
    <mergeCell ref="J1191:K1191"/>
    <mergeCell ref="H1149:I1149"/>
    <mergeCell ref="J1149:K1149"/>
    <mergeCell ref="H1150:I1150"/>
    <mergeCell ref="J1150:K1150"/>
    <mergeCell ref="H1162:I1162"/>
    <mergeCell ref="J1162:K1162"/>
    <mergeCell ref="H1163:I1163"/>
    <mergeCell ref="J1163:K1163"/>
    <mergeCell ref="H1164:I1164"/>
    <mergeCell ref="J1164:K1164"/>
    <mergeCell ref="H1126:I1126"/>
    <mergeCell ref="J1126:K1126"/>
    <mergeCell ref="H1129:I1129"/>
    <mergeCell ref="J1129:K1129"/>
    <mergeCell ref="A1133:G1133"/>
    <mergeCell ref="H1133:I1133"/>
    <mergeCell ref="J1133:K1133"/>
    <mergeCell ref="A1136:K1136"/>
    <mergeCell ref="H1148:I1148"/>
    <mergeCell ref="J1148:K1148"/>
    <mergeCell ref="H1108:I1108"/>
    <mergeCell ref="J1108:K1108"/>
    <mergeCell ref="H1111:I1111"/>
    <mergeCell ref="J1111:K1111"/>
    <mergeCell ref="A1113:K1113"/>
    <mergeCell ref="H1124:I1124"/>
    <mergeCell ref="J1124:K1124"/>
    <mergeCell ref="H1125:I1125"/>
    <mergeCell ref="J1125:K1125"/>
    <mergeCell ref="H1093:I1093"/>
    <mergeCell ref="J1093:K1093"/>
    <mergeCell ref="H1096:I1096"/>
    <mergeCell ref="J1096:K1096"/>
    <mergeCell ref="H1099:I1099"/>
    <mergeCell ref="J1099:K1099"/>
    <mergeCell ref="H1102:I1102"/>
    <mergeCell ref="J1102:K1102"/>
    <mergeCell ref="H1105:I1105"/>
    <mergeCell ref="J1105:K1105"/>
    <mergeCell ref="H1080:I1080"/>
    <mergeCell ref="J1080:K1080"/>
    <mergeCell ref="H1081:I1081"/>
    <mergeCell ref="J1081:K1081"/>
    <mergeCell ref="H1084:I1084"/>
    <mergeCell ref="J1084:K1084"/>
    <mergeCell ref="H1087:I1087"/>
    <mergeCell ref="J1087:K1087"/>
    <mergeCell ref="H1090:I1090"/>
    <mergeCell ref="J1090:K1090"/>
    <mergeCell ref="H1060:I1060"/>
    <mergeCell ref="J1060:K1060"/>
    <mergeCell ref="H1063:I1063"/>
    <mergeCell ref="J1063:K1063"/>
    <mergeCell ref="H1066:I1066"/>
    <mergeCell ref="J1066:K1066"/>
    <mergeCell ref="A1068:K1068"/>
    <mergeCell ref="H1079:I1079"/>
    <mergeCell ref="J1079:K1079"/>
    <mergeCell ref="H1045:I1045"/>
    <mergeCell ref="J1045:K1045"/>
    <mergeCell ref="H1048:I1048"/>
    <mergeCell ref="J1048:K1048"/>
    <mergeCell ref="H1051:I1051"/>
    <mergeCell ref="J1051:K1051"/>
    <mergeCell ref="H1054:I1054"/>
    <mergeCell ref="J1054:K1054"/>
    <mergeCell ref="H1057:I1057"/>
    <mergeCell ref="J1057:K1057"/>
    <mergeCell ref="H1030:I1030"/>
    <mergeCell ref="J1030:K1030"/>
    <mergeCell ref="H1033:I1033"/>
    <mergeCell ref="J1033:K1033"/>
    <mergeCell ref="H1036:I1036"/>
    <mergeCell ref="J1036:K1036"/>
    <mergeCell ref="H1039:I1039"/>
    <mergeCell ref="J1039:K1039"/>
    <mergeCell ref="H1042:I1042"/>
    <mergeCell ref="J1042:K1042"/>
    <mergeCell ref="H1017:I1017"/>
    <mergeCell ref="J1017:K1017"/>
    <mergeCell ref="H1018:I1018"/>
    <mergeCell ref="J1018:K1018"/>
    <mergeCell ref="H1021:I1021"/>
    <mergeCell ref="J1021:K1021"/>
    <mergeCell ref="H1024:I1024"/>
    <mergeCell ref="J1024:K1024"/>
    <mergeCell ref="H1027:I1027"/>
    <mergeCell ref="J1027:K1027"/>
    <mergeCell ref="H996:I996"/>
    <mergeCell ref="J996:K996"/>
    <mergeCell ref="H999:I999"/>
    <mergeCell ref="J999:K999"/>
    <mergeCell ref="H1002:I1002"/>
    <mergeCell ref="J1002:K1002"/>
    <mergeCell ref="A1004:K1004"/>
    <mergeCell ref="H1016:I1016"/>
    <mergeCell ref="J1016:K1016"/>
    <mergeCell ref="H979:I979"/>
    <mergeCell ref="J979:K979"/>
    <mergeCell ref="H980:I980"/>
    <mergeCell ref="J980:K980"/>
    <mergeCell ref="H983:I983"/>
    <mergeCell ref="J983:K983"/>
    <mergeCell ref="H994:I994"/>
    <mergeCell ref="J994:K994"/>
    <mergeCell ref="H995:I995"/>
    <mergeCell ref="J995:K995"/>
    <mergeCell ref="H962:I962"/>
    <mergeCell ref="J962:K962"/>
    <mergeCell ref="H963:I963"/>
    <mergeCell ref="J963:K963"/>
    <mergeCell ref="H964:I964"/>
    <mergeCell ref="J964:K964"/>
    <mergeCell ref="H967:I967"/>
    <mergeCell ref="J967:K967"/>
    <mergeCell ref="H978:I978"/>
    <mergeCell ref="J978:K978"/>
    <mergeCell ref="H935:I935"/>
    <mergeCell ref="J935:K935"/>
    <mergeCell ref="H946:I946"/>
    <mergeCell ref="J946:K946"/>
    <mergeCell ref="H947:I947"/>
    <mergeCell ref="J947:K947"/>
    <mergeCell ref="H948:I948"/>
    <mergeCell ref="J948:K948"/>
    <mergeCell ref="H951:I951"/>
    <mergeCell ref="J951:K951"/>
    <mergeCell ref="H916:I916"/>
    <mergeCell ref="J916:K916"/>
    <mergeCell ref="H919:I919"/>
    <mergeCell ref="J919:K919"/>
    <mergeCell ref="H930:I930"/>
    <mergeCell ref="J930:K930"/>
    <mergeCell ref="H931:I931"/>
    <mergeCell ref="J931:K931"/>
    <mergeCell ref="H932:I932"/>
    <mergeCell ref="J932:K932"/>
    <mergeCell ref="H899:I899"/>
    <mergeCell ref="J899:K899"/>
    <mergeCell ref="H900:I900"/>
    <mergeCell ref="J900:K900"/>
    <mergeCell ref="H903:I903"/>
    <mergeCell ref="J903:K903"/>
    <mergeCell ref="H914:I914"/>
    <mergeCell ref="J914:K914"/>
    <mergeCell ref="H915:I915"/>
    <mergeCell ref="J915:K915"/>
    <mergeCell ref="H881:I881"/>
    <mergeCell ref="J881:K881"/>
    <mergeCell ref="H882:I882"/>
    <mergeCell ref="J882:K882"/>
    <mergeCell ref="H883:I883"/>
    <mergeCell ref="J883:K883"/>
    <mergeCell ref="H887:I887"/>
    <mergeCell ref="J887:K887"/>
    <mergeCell ref="H898:I898"/>
    <mergeCell ref="J898:K898"/>
    <mergeCell ref="A854:K854"/>
    <mergeCell ref="H865:I865"/>
    <mergeCell ref="J865:K865"/>
    <mergeCell ref="H866:I866"/>
    <mergeCell ref="J866:K866"/>
    <mergeCell ref="H867:I867"/>
    <mergeCell ref="J867:K867"/>
    <mergeCell ref="H870:I870"/>
    <mergeCell ref="J870:K870"/>
    <mergeCell ref="H842:I842"/>
    <mergeCell ref="J842:K842"/>
    <mergeCell ref="H843:I843"/>
    <mergeCell ref="J843:K843"/>
    <mergeCell ref="H846:I846"/>
    <mergeCell ref="J846:K846"/>
    <mergeCell ref="H849:I849"/>
    <mergeCell ref="J849:K849"/>
    <mergeCell ref="H852:I852"/>
    <mergeCell ref="J852:K852"/>
    <mergeCell ref="H822:I822"/>
    <mergeCell ref="J822:K822"/>
    <mergeCell ref="H825:I825"/>
    <mergeCell ref="J825:K825"/>
    <mergeCell ref="H828:I828"/>
    <mergeCell ref="J828:K828"/>
    <mergeCell ref="H831:I831"/>
    <mergeCell ref="J831:K831"/>
    <mergeCell ref="H841:I841"/>
    <mergeCell ref="J841:K841"/>
    <mergeCell ref="A804:K804"/>
    <mergeCell ref="H814:I814"/>
    <mergeCell ref="J814:K814"/>
    <mergeCell ref="H815:I815"/>
    <mergeCell ref="J815:K815"/>
    <mergeCell ref="H816:I816"/>
    <mergeCell ref="J816:K816"/>
    <mergeCell ref="H819:I819"/>
    <mergeCell ref="J819:K819"/>
    <mergeCell ref="H787:I787"/>
    <mergeCell ref="J787:K787"/>
    <mergeCell ref="H790:I790"/>
    <mergeCell ref="J790:K790"/>
    <mergeCell ref="H800:I800"/>
    <mergeCell ref="J800:K800"/>
    <mergeCell ref="H801:I801"/>
    <mergeCell ref="J801:K801"/>
    <mergeCell ref="H802:I802"/>
    <mergeCell ref="J802:K802"/>
    <mergeCell ref="H769:I769"/>
    <mergeCell ref="J769:K769"/>
    <mergeCell ref="H772:I772"/>
    <mergeCell ref="J772:K772"/>
    <mergeCell ref="H775:I775"/>
    <mergeCell ref="J775:K775"/>
    <mergeCell ref="H785:I785"/>
    <mergeCell ref="J785:K785"/>
    <mergeCell ref="H786:I786"/>
    <mergeCell ref="J786:K786"/>
    <mergeCell ref="H758:I758"/>
    <mergeCell ref="J758:K758"/>
    <mergeCell ref="H759:I759"/>
    <mergeCell ref="J759:K759"/>
    <mergeCell ref="H760:I760"/>
    <mergeCell ref="J760:K760"/>
    <mergeCell ref="H763:I763"/>
    <mergeCell ref="J763:K763"/>
    <mergeCell ref="H766:I766"/>
    <mergeCell ref="J766:K766"/>
    <mergeCell ref="H736:I736"/>
    <mergeCell ref="J736:K736"/>
    <mergeCell ref="H739:I739"/>
    <mergeCell ref="J739:K739"/>
    <mergeCell ref="A743:G743"/>
    <mergeCell ref="H743:I743"/>
    <mergeCell ref="J743:K743"/>
    <mergeCell ref="A746:K746"/>
    <mergeCell ref="A748:K748"/>
    <mergeCell ref="H717:I717"/>
    <mergeCell ref="J717:K717"/>
    <mergeCell ref="H728:I728"/>
    <mergeCell ref="J728:K728"/>
    <mergeCell ref="H729:I729"/>
    <mergeCell ref="J729:K729"/>
    <mergeCell ref="H730:I730"/>
    <mergeCell ref="J730:K730"/>
    <mergeCell ref="H733:I733"/>
    <mergeCell ref="J733:K733"/>
    <mergeCell ref="H698:I698"/>
    <mergeCell ref="J698:K698"/>
    <mergeCell ref="A700:K700"/>
    <mergeCell ref="H712:I712"/>
    <mergeCell ref="J712:K712"/>
    <mergeCell ref="H713:I713"/>
    <mergeCell ref="J713:K713"/>
    <mergeCell ref="H714:I714"/>
    <mergeCell ref="J714:K714"/>
    <mergeCell ref="H680:I680"/>
    <mergeCell ref="J680:K680"/>
    <mergeCell ref="H683:I683"/>
    <mergeCell ref="J683:K683"/>
    <mergeCell ref="H693:I693"/>
    <mergeCell ref="J693:K693"/>
    <mergeCell ref="H694:I694"/>
    <mergeCell ref="J694:K694"/>
    <mergeCell ref="H695:I695"/>
    <mergeCell ref="J695:K695"/>
    <mergeCell ref="H667:I667"/>
    <mergeCell ref="J667:K667"/>
    <mergeCell ref="H668:I668"/>
    <mergeCell ref="J668:K668"/>
    <mergeCell ref="H671:I671"/>
    <mergeCell ref="J671:K671"/>
    <mergeCell ref="H674:I674"/>
    <mergeCell ref="J674:K674"/>
    <mergeCell ref="H677:I677"/>
    <mergeCell ref="J677:K677"/>
    <mergeCell ref="H646:I646"/>
    <mergeCell ref="J646:K646"/>
    <mergeCell ref="H649:I649"/>
    <mergeCell ref="J649:K649"/>
    <mergeCell ref="H652:I652"/>
    <mergeCell ref="J652:K652"/>
    <mergeCell ref="H655:I655"/>
    <mergeCell ref="J655:K655"/>
    <mergeCell ref="H666:I666"/>
    <mergeCell ref="J666:K666"/>
    <mergeCell ref="H631:I631"/>
    <mergeCell ref="J631:K631"/>
    <mergeCell ref="H634:I634"/>
    <mergeCell ref="J634:K634"/>
    <mergeCell ref="H637:I637"/>
    <mergeCell ref="J637:K637"/>
    <mergeCell ref="H640:I640"/>
    <mergeCell ref="J640:K640"/>
    <mergeCell ref="H643:I643"/>
    <mergeCell ref="J643:K643"/>
    <mergeCell ref="H616:I616"/>
    <mergeCell ref="J616:K616"/>
    <mergeCell ref="H619:I619"/>
    <mergeCell ref="J619:K619"/>
    <mergeCell ref="H622:I622"/>
    <mergeCell ref="J622:K622"/>
    <mergeCell ref="H625:I625"/>
    <mergeCell ref="J625:K625"/>
    <mergeCell ref="H628:I628"/>
    <mergeCell ref="J628:K628"/>
    <mergeCell ref="H601:I601"/>
    <mergeCell ref="J601:K601"/>
    <mergeCell ref="H604:I604"/>
    <mergeCell ref="J604:K604"/>
    <mergeCell ref="H607:I607"/>
    <mergeCell ref="J607:K607"/>
    <mergeCell ref="H610:I610"/>
    <mergeCell ref="J610:K610"/>
    <mergeCell ref="H613:I613"/>
    <mergeCell ref="J613:K613"/>
    <mergeCell ref="H590:I590"/>
    <mergeCell ref="J590:K590"/>
    <mergeCell ref="H591:I591"/>
    <mergeCell ref="J591:K591"/>
    <mergeCell ref="H592:I592"/>
    <mergeCell ref="J592:K592"/>
    <mergeCell ref="H595:I595"/>
    <mergeCell ref="J595:K595"/>
    <mergeCell ref="H598:I598"/>
    <mergeCell ref="J598:K598"/>
    <mergeCell ref="H567:I567"/>
    <mergeCell ref="J567:K567"/>
    <mergeCell ref="H570:I570"/>
    <mergeCell ref="J570:K570"/>
    <mergeCell ref="H573:I573"/>
    <mergeCell ref="J573:K573"/>
    <mergeCell ref="H576:I576"/>
    <mergeCell ref="J576:K576"/>
    <mergeCell ref="A578:K578"/>
    <mergeCell ref="H552:I552"/>
    <mergeCell ref="J552:K552"/>
    <mergeCell ref="H555:I555"/>
    <mergeCell ref="J555:K555"/>
    <mergeCell ref="H558:I558"/>
    <mergeCell ref="J558:K558"/>
    <mergeCell ref="H561:I561"/>
    <mergeCell ref="J561:K561"/>
    <mergeCell ref="H564:I564"/>
    <mergeCell ref="J564:K564"/>
    <mergeCell ref="H542:I542"/>
    <mergeCell ref="J542:K542"/>
    <mergeCell ref="H543:I543"/>
    <mergeCell ref="J543:K543"/>
    <mergeCell ref="H544:I544"/>
    <mergeCell ref="J544:K544"/>
    <mergeCell ref="H547:I547"/>
    <mergeCell ref="J547:K547"/>
    <mergeCell ref="A549:K549"/>
    <mergeCell ref="H517:I517"/>
    <mergeCell ref="J517:K517"/>
    <mergeCell ref="H527:I527"/>
    <mergeCell ref="J527:K527"/>
    <mergeCell ref="H528:I528"/>
    <mergeCell ref="J528:K528"/>
    <mergeCell ref="H529:I529"/>
    <mergeCell ref="J529:K529"/>
    <mergeCell ref="H532:I532"/>
    <mergeCell ref="J532:K532"/>
    <mergeCell ref="H499:I499"/>
    <mergeCell ref="J499:K499"/>
    <mergeCell ref="H502:I502"/>
    <mergeCell ref="J502:K502"/>
    <mergeCell ref="H512:I512"/>
    <mergeCell ref="J512:K512"/>
    <mergeCell ref="H513:I513"/>
    <mergeCell ref="J513:K513"/>
    <mergeCell ref="H514:I514"/>
    <mergeCell ref="J514:K514"/>
    <mergeCell ref="H480:I480"/>
    <mergeCell ref="J480:K480"/>
    <mergeCell ref="H484:I484"/>
    <mergeCell ref="J484:K484"/>
    <mergeCell ref="H494:I494"/>
    <mergeCell ref="J494:K494"/>
    <mergeCell ref="H495:I495"/>
    <mergeCell ref="J495:K495"/>
    <mergeCell ref="H496:I496"/>
    <mergeCell ref="J496:K496"/>
    <mergeCell ref="H467:I467"/>
    <mergeCell ref="J467:K467"/>
    <mergeCell ref="H468:I468"/>
    <mergeCell ref="J468:K468"/>
    <mergeCell ref="H469:I469"/>
    <mergeCell ref="J469:K469"/>
    <mergeCell ref="H472:I472"/>
    <mergeCell ref="J472:K472"/>
    <mergeCell ref="H476:I476"/>
    <mergeCell ref="J476:K476"/>
    <mergeCell ref="H441:I441"/>
    <mergeCell ref="J441:K441"/>
    <mergeCell ref="H451:I451"/>
    <mergeCell ref="J451:K451"/>
    <mergeCell ref="H452:I452"/>
    <mergeCell ref="J452:K452"/>
    <mergeCell ref="H453:I453"/>
    <mergeCell ref="J453:K453"/>
    <mergeCell ref="H456:I456"/>
    <mergeCell ref="J456:K456"/>
    <mergeCell ref="H426:I426"/>
    <mergeCell ref="J426:K426"/>
    <mergeCell ref="H429:I429"/>
    <mergeCell ref="J429:K429"/>
    <mergeCell ref="H432:I432"/>
    <mergeCell ref="J432:K432"/>
    <mergeCell ref="H435:I435"/>
    <mergeCell ref="J435:K435"/>
    <mergeCell ref="H438:I438"/>
    <mergeCell ref="J438:K438"/>
    <mergeCell ref="A405:K405"/>
    <mergeCell ref="A407:K407"/>
    <mergeCell ref="H418:I418"/>
    <mergeCell ref="J418:K418"/>
    <mergeCell ref="H419:I419"/>
    <mergeCell ref="J419:K419"/>
    <mergeCell ref="H420:I420"/>
    <mergeCell ref="J420:K420"/>
    <mergeCell ref="H423:I423"/>
    <mergeCell ref="J423:K423"/>
    <mergeCell ref="H394:I394"/>
    <mergeCell ref="J394:K394"/>
    <mergeCell ref="H395:I395"/>
    <mergeCell ref="J395:K395"/>
    <mergeCell ref="H398:I398"/>
    <mergeCell ref="J398:K398"/>
    <mergeCell ref="A402:G402"/>
    <mergeCell ref="H402:I402"/>
    <mergeCell ref="J402:K402"/>
    <mergeCell ref="H367:I367"/>
    <mergeCell ref="J367:K367"/>
    <mergeCell ref="H379:I379"/>
    <mergeCell ref="J379:K379"/>
    <mergeCell ref="H380:I380"/>
    <mergeCell ref="J380:K380"/>
    <mergeCell ref="H381:I381"/>
    <mergeCell ref="J381:K381"/>
    <mergeCell ref="H393:I393"/>
    <mergeCell ref="J393:K393"/>
    <mergeCell ref="H351:I351"/>
    <mergeCell ref="J351:K351"/>
    <mergeCell ref="H352:I352"/>
    <mergeCell ref="J352:K352"/>
    <mergeCell ref="H353:I353"/>
    <mergeCell ref="J353:K353"/>
    <mergeCell ref="H365:I365"/>
    <mergeCell ref="J365:K365"/>
    <mergeCell ref="H366:I366"/>
    <mergeCell ref="J366:K366"/>
    <mergeCell ref="H324:I324"/>
    <mergeCell ref="J324:K324"/>
    <mergeCell ref="H325:I325"/>
    <mergeCell ref="J325:K325"/>
    <mergeCell ref="H337:I337"/>
    <mergeCell ref="J337:K337"/>
    <mergeCell ref="H338:I338"/>
    <mergeCell ref="J338:K338"/>
    <mergeCell ref="H339:I339"/>
    <mergeCell ref="J339:K339"/>
    <mergeCell ref="H297:I297"/>
    <mergeCell ref="J297:K297"/>
    <mergeCell ref="H309:I309"/>
    <mergeCell ref="J309:K309"/>
    <mergeCell ref="H310:I310"/>
    <mergeCell ref="J310:K310"/>
    <mergeCell ref="H311:I311"/>
    <mergeCell ref="J311:K311"/>
    <mergeCell ref="H323:I323"/>
    <mergeCell ref="J323:K323"/>
    <mergeCell ref="H278:I278"/>
    <mergeCell ref="J278:K278"/>
    <mergeCell ref="H281:I281"/>
    <mergeCell ref="J281:K281"/>
    <mergeCell ref="A283:K283"/>
    <mergeCell ref="H295:I295"/>
    <mergeCell ref="J295:K295"/>
    <mergeCell ref="H296:I296"/>
    <mergeCell ref="J296:K296"/>
    <mergeCell ref="H260:I260"/>
    <mergeCell ref="J260:K260"/>
    <mergeCell ref="H263:I263"/>
    <mergeCell ref="J263:K263"/>
    <mergeCell ref="A265:K265"/>
    <mergeCell ref="H276:I276"/>
    <mergeCell ref="J276:K276"/>
    <mergeCell ref="H277:I277"/>
    <mergeCell ref="J277:K277"/>
    <mergeCell ref="H242:I242"/>
    <mergeCell ref="J242:K242"/>
    <mergeCell ref="H245:I245"/>
    <mergeCell ref="J245:K245"/>
    <mergeCell ref="H248:I248"/>
    <mergeCell ref="J248:K248"/>
    <mergeCell ref="H258:I258"/>
    <mergeCell ref="J258:K258"/>
    <mergeCell ref="H259:I259"/>
    <mergeCell ref="J259:K259"/>
    <mergeCell ref="H227:I227"/>
    <mergeCell ref="J227:K227"/>
    <mergeCell ref="H230:I230"/>
    <mergeCell ref="J230:K230"/>
    <mergeCell ref="H233:I233"/>
    <mergeCell ref="J233:K233"/>
    <mergeCell ref="H236:I236"/>
    <mergeCell ref="J236:K236"/>
    <mergeCell ref="H239:I239"/>
    <mergeCell ref="J239:K239"/>
    <mergeCell ref="H212:I212"/>
    <mergeCell ref="J212:K212"/>
    <mergeCell ref="H215:I215"/>
    <mergeCell ref="J215:K215"/>
    <mergeCell ref="H218:I218"/>
    <mergeCell ref="J218:K218"/>
    <mergeCell ref="H221:I221"/>
    <mergeCell ref="J221:K221"/>
    <mergeCell ref="H224:I224"/>
    <mergeCell ref="J224:K224"/>
    <mergeCell ref="H197:I197"/>
    <mergeCell ref="J197:K197"/>
    <mergeCell ref="H200:I200"/>
    <mergeCell ref="J200:K200"/>
    <mergeCell ref="H203:I203"/>
    <mergeCell ref="J203:K203"/>
    <mergeCell ref="H206:I206"/>
    <mergeCell ref="J206:K206"/>
    <mergeCell ref="H209:I209"/>
    <mergeCell ref="J209:K209"/>
    <mergeCell ref="H182:I182"/>
    <mergeCell ref="J182:K182"/>
    <mergeCell ref="H185:I185"/>
    <mergeCell ref="J185:K185"/>
    <mergeCell ref="H188:I188"/>
    <mergeCell ref="J188:K188"/>
    <mergeCell ref="H191:I191"/>
    <mergeCell ref="J191:K191"/>
    <mergeCell ref="H194:I194"/>
    <mergeCell ref="J194:K194"/>
    <mergeCell ref="H167:I167"/>
    <mergeCell ref="J167:K167"/>
    <mergeCell ref="H170:I170"/>
    <mergeCell ref="J170:K170"/>
    <mergeCell ref="H173:I173"/>
    <mergeCell ref="J173:K173"/>
    <mergeCell ref="H176:I176"/>
    <mergeCell ref="J176:K176"/>
    <mergeCell ref="H179:I179"/>
    <mergeCell ref="J179:K179"/>
    <mergeCell ref="H156:I156"/>
    <mergeCell ref="J156:K156"/>
    <mergeCell ref="H157:I157"/>
    <mergeCell ref="J157:K157"/>
    <mergeCell ref="H158:I158"/>
    <mergeCell ref="J158:K158"/>
    <mergeCell ref="H161:I161"/>
    <mergeCell ref="J161:K161"/>
    <mergeCell ref="H164:I164"/>
    <mergeCell ref="J164:K164"/>
    <mergeCell ref="H135:I135"/>
    <mergeCell ref="J135:K135"/>
    <mergeCell ref="H138:I138"/>
    <mergeCell ref="J138:K138"/>
    <mergeCell ref="H141:I141"/>
    <mergeCell ref="J141:K141"/>
    <mergeCell ref="H144:I144"/>
    <mergeCell ref="J144:K144"/>
    <mergeCell ref="A146:K146"/>
    <mergeCell ref="A116:K116"/>
    <mergeCell ref="H127:I127"/>
    <mergeCell ref="J127:K127"/>
    <mergeCell ref="H128:I128"/>
    <mergeCell ref="J128:K128"/>
    <mergeCell ref="H129:I129"/>
    <mergeCell ref="J129:K129"/>
    <mergeCell ref="H132:I132"/>
    <mergeCell ref="J132:K132"/>
    <mergeCell ref="H99:I99"/>
    <mergeCell ref="J99:K99"/>
    <mergeCell ref="H109:I109"/>
    <mergeCell ref="J109:K109"/>
    <mergeCell ref="H110:I110"/>
    <mergeCell ref="J110:K110"/>
    <mergeCell ref="H111:I111"/>
    <mergeCell ref="J111:K111"/>
    <mergeCell ref="H114:I114"/>
    <mergeCell ref="J114:K114"/>
    <mergeCell ref="H84:I84"/>
    <mergeCell ref="J84:K84"/>
    <mergeCell ref="H87:I87"/>
    <mergeCell ref="J87:K87"/>
    <mergeCell ref="H90:I90"/>
    <mergeCell ref="J90:K90"/>
    <mergeCell ref="H93:I93"/>
    <mergeCell ref="J93:K93"/>
    <mergeCell ref="H96:I96"/>
    <mergeCell ref="J96:K96"/>
    <mergeCell ref="H69:I69"/>
    <mergeCell ref="J69:K69"/>
    <mergeCell ref="H72:I72"/>
    <mergeCell ref="J72:K72"/>
    <mergeCell ref="H75:I75"/>
    <mergeCell ref="J75:K75"/>
    <mergeCell ref="H78:I78"/>
    <mergeCell ref="J78:K78"/>
    <mergeCell ref="H81:I81"/>
    <mergeCell ref="J81:K81"/>
    <mergeCell ref="H54:I54"/>
    <mergeCell ref="J54:K54"/>
    <mergeCell ref="H57:I57"/>
    <mergeCell ref="J57:K57"/>
    <mergeCell ref="H60:I60"/>
    <mergeCell ref="J60:K60"/>
    <mergeCell ref="H63:I63"/>
    <mergeCell ref="J63:K63"/>
    <mergeCell ref="H66:I66"/>
    <mergeCell ref="J66:K66"/>
    <mergeCell ref="A32:K32"/>
    <mergeCell ref="A33:K33"/>
    <mergeCell ref="A37:K37"/>
    <mergeCell ref="A39:K39"/>
    <mergeCell ref="H49:I49"/>
    <mergeCell ref="J49:K49"/>
    <mergeCell ref="H50:I50"/>
    <mergeCell ref="J50:K50"/>
    <mergeCell ref="H51:I51"/>
    <mergeCell ref="J51:K51"/>
    <mergeCell ref="A19:K19"/>
    <mergeCell ref="A21:K21"/>
    <mergeCell ref="E24:H24"/>
    <mergeCell ref="E25:H25"/>
    <mergeCell ref="E26:H26"/>
    <mergeCell ref="E27:H27"/>
    <mergeCell ref="E28:H28"/>
    <mergeCell ref="E29:H29"/>
    <mergeCell ref="E30:H30"/>
    <mergeCell ref="F8:I8"/>
    <mergeCell ref="B8:E8"/>
    <mergeCell ref="A10:K10"/>
    <mergeCell ref="A11:K11"/>
    <mergeCell ref="J12:K12"/>
    <mergeCell ref="A13:K13"/>
    <mergeCell ref="A14:K14"/>
    <mergeCell ref="A16:K16"/>
    <mergeCell ref="A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Татаринова Евгения Леонидовна</cp:lastModifiedBy>
  <dcterms:created xsi:type="dcterms:W3CDTF">2026-07-16T08:11:20Z</dcterms:created>
  <dcterms:modified xsi:type="dcterms:W3CDTF">2026-07-21T08:20:23Z</dcterms:modified>
</cp:coreProperties>
</file>