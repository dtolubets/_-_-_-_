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648CE005-A679-46AF-86DD-DDF4E6C10F76}" xr6:coauthVersionLast="36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'Смета по ТСН-2001(с доп.67'!$A$1:$AU$632</definedName>
    <definedName name="_xlnm.Print_Titles" localSheetId="0">'Смета по ТСН-2001(с доп.67'!$34:$34</definedName>
    <definedName name="_xlnm.Print_Area" localSheetId="0">'Смета по ТСН-2001(с доп.67'!$A$1:$K$633</definedName>
  </definedNames>
  <calcPr calcId="191029" calcOnSave="0"/>
</workbook>
</file>

<file path=xl/calcChain.xml><?xml version="1.0" encoding="utf-8"?>
<calcChain xmlns="http://schemas.openxmlformats.org/spreadsheetml/2006/main">
  <c r="A15" i="7" l="1"/>
  <c r="H631" i="7"/>
  <c r="H628" i="7"/>
  <c r="C631" i="7"/>
  <c r="C628" i="7"/>
  <c r="J29" i="7"/>
  <c r="J26" i="7"/>
  <c r="J25" i="7"/>
  <c r="J24" i="7"/>
  <c r="J23" i="7"/>
  <c r="J22" i="7"/>
  <c r="J21" i="7" s="1"/>
  <c r="I29" i="7"/>
  <c r="I27" i="7"/>
  <c r="I26" i="7"/>
  <c r="I25" i="7"/>
  <c r="I24" i="7"/>
  <c r="I23" i="7"/>
  <c r="I21" i="7" s="1"/>
  <c r="I22" i="7"/>
  <c r="I625" i="7"/>
  <c r="J625" i="7"/>
  <c r="I624" i="7"/>
  <c r="J624" i="7"/>
  <c r="A623" i="7"/>
  <c r="I621" i="7"/>
  <c r="J621" i="7"/>
  <c r="I620" i="7"/>
  <c r="J620" i="7"/>
  <c r="AQ619" i="7"/>
  <c r="A619" i="7"/>
  <c r="I617" i="7"/>
  <c r="J617" i="7"/>
  <c r="I616" i="7"/>
  <c r="J616" i="7"/>
  <c r="A615" i="7"/>
  <c r="K611" i="7"/>
  <c r="P612" i="7" s="1"/>
  <c r="J615" i="7" s="1"/>
  <c r="J611" i="7"/>
  <c r="I611" i="7"/>
  <c r="O612" i="7" s="1"/>
  <c r="H615" i="7" s="1"/>
  <c r="H611" i="7"/>
  <c r="F611" i="7"/>
  <c r="V611" i="7"/>
  <c r="T611" i="7"/>
  <c r="R611" i="7"/>
  <c r="U611" i="7"/>
  <c r="S611" i="7"/>
  <c r="Q611" i="7"/>
  <c r="E611" i="7"/>
  <c r="D611" i="7"/>
  <c r="B611" i="7"/>
  <c r="A610" i="7"/>
  <c r="I608" i="7"/>
  <c r="J608" i="7"/>
  <c r="I607" i="7"/>
  <c r="J607" i="7"/>
  <c r="A606" i="7"/>
  <c r="O603" i="7"/>
  <c r="H603" i="7"/>
  <c r="K602" i="7"/>
  <c r="P603" i="7" s="1"/>
  <c r="J602" i="7"/>
  <c r="I602" i="7"/>
  <c r="H602" i="7"/>
  <c r="F602" i="7"/>
  <c r="V602" i="7"/>
  <c r="T602" i="7"/>
  <c r="R602" i="7"/>
  <c r="U602" i="7"/>
  <c r="S602" i="7"/>
  <c r="Q602" i="7"/>
  <c r="E602" i="7"/>
  <c r="D602" i="7"/>
  <c r="B602" i="7"/>
  <c r="H600" i="7"/>
  <c r="P600" i="7"/>
  <c r="J600" i="7"/>
  <c r="C599" i="7"/>
  <c r="K598" i="7"/>
  <c r="J598" i="7"/>
  <c r="I598" i="7"/>
  <c r="O600" i="7" s="1"/>
  <c r="H598" i="7"/>
  <c r="F598" i="7"/>
  <c r="V598" i="7"/>
  <c r="T598" i="7"/>
  <c r="R598" i="7"/>
  <c r="U598" i="7"/>
  <c r="S598" i="7"/>
  <c r="Q598" i="7"/>
  <c r="E598" i="7"/>
  <c r="D598" i="7"/>
  <c r="B598" i="7"/>
  <c r="H595" i="7"/>
  <c r="J595" i="7"/>
  <c r="I593" i="7"/>
  <c r="H593" i="7"/>
  <c r="E593" i="7"/>
  <c r="K592" i="7"/>
  <c r="J592" i="7"/>
  <c r="I592" i="7"/>
  <c r="E592" i="7"/>
  <c r="K591" i="7"/>
  <c r="J591" i="7"/>
  <c r="E591" i="7"/>
  <c r="K590" i="7"/>
  <c r="J590" i="7"/>
  <c r="I590" i="7"/>
  <c r="H590" i="7"/>
  <c r="F590" i="7"/>
  <c r="K589" i="7"/>
  <c r="J589" i="7"/>
  <c r="I589" i="7"/>
  <c r="H589" i="7"/>
  <c r="F589" i="7"/>
  <c r="C588" i="7"/>
  <c r="V587" i="7"/>
  <c r="T587" i="7"/>
  <c r="R587" i="7"/>
  <c r="U587" i="7"/>
  <c r="S587" i="7"/>
  <c r="Q587" i="7"/>
  <c r="I591" i="7" s="1"/>
  <c r="E587" i="7"/>
  <c r="D587" i="7"/>
  <c r="B587" i="7"/>
  <c r="H584" i="7"/>
  <c r="J584" i="7"/>
  <c r="I582" i="7"/>
  <c r="H582" i="7"/>
  <c r="E582" i="7"/>
  <c r="K581" i="7"/>
  <c r="J581" i="7"/>
  <c r="E581" i="7"/>
  <c r="J580" i="7"/>
  <c r="E580" i="7"/>
  <c r="K579" i="7"/>
  <c r="J579" i="7"/>
  <c r="H579" i="7"/>
  <c r="I579" i="7"/>
  <c r="F579" i="7"/>
  <c r="V579" i="7"/>
  <c r="T579" i="7"/>
  <c r="R579" i="7"/>
  <c r="U579" i="7"/>
  <c r="S579" i="7"/>
  <c r="Q579" i="7"/>
  <c r="I580" i="7" s="1"/>
  <c r="E579" i="7"/>
  <c r="D579" i="7"/>
  <c r="B579" i="7"/>
  <c r="K578" i="7"/>
  <c r="J578" i="7"/>
  <c r="I578" i="7"/>
  <c r="H578" i="7"/>
  <c r="F578" i="7"/>
  <c r="K577" i="7"/>
  <c r="J577" i="7"/>
  <c r="I577" i="7"/>
  <c r="H577" i="7"/>
  <c r="F577" i="7"/>
  <c r="K576" i="7"/>
  <c r="J576" i="7"/>
  <c r="I576" i="7"/>
  <c r="H576" i="7"/>
  <c r="F576" i="7"/>
  <c r="K575" i="7"/>
  <c r="J575" i="7"/>
  <c r="I575" i="7"/>
  <c r="H575" i="7"/>
  <c r="F575" i="7"/>
  <c r="C574" i="7"/>
  <c r="V573" i="7"/>
  <c r="T573" i="7"/>
  <c r="R573" i="7"/>
  <c r="K580" i="7" s="1"/>
  <c r="U573" i="7"/>
  <c r="S573" i="7"/>
  <c r="I581" i="7" s="1"/>
  <c r="Q573" i="7"/>
  <c r="E573" i="7"/>
  <c r="D573" i="7"/>
  <c r="B573" i="7"/>
  <c r="P571" i="7"/>
  <c r="J571" i="7"/>
  <c r="C570" i="7"/>
  <c r="K569" i="7"/>
  <c r="J569" i="7"/>
  <c r="I569" i="7"/>
  <c r="O571" i="7" s="1"/>
  <c r="H569" i="7"/>
  <c r="F569" i="7"/>
  <c r="V569" i="7"/>
  <c r="T569" i="7"/>
  <c r="R569" i="7"/>
  <c r="U569" i="7"/>
  <c r="S569" i="7"/>
  <c r="Q569" i="7"/>
  <c r="E569" i="7"/>
  <c r="D569" i="7"/>
  <c r="B569" i="7"/>
  <c r="H566" i="7"/>
  <c r="J566" i="7"/>
  <c r="I564" i="7"/>
  <c r="H564" i="7"/>
  <c r="E564" i="7"/>
  <c r="J563" i="7"/>
  <c r="E563" i="7"/>
  <c r="J562" i="7"/>
  <c r="I562" i="7"/>
  <c r="E562" i="7"/>
  <c r="K561" i="7"/>
  <c r="J561" i="7"/>
  <c r="I561" i="7"/>
  <c r="H561" i="7"/>
  <c r="F561" i="7"/>
  <c r="K560" i="7"/>
  <c r="J560" i="7"/>
  <c r="I560" i="7"/>
  <c r="H560" i="7"/>
  <c r="F560" i="7"/>
  <c r="K559" i="7"/>
  <c r="J559" i="7"/>
  <c r="I559" i="7"/>
  <c r="H559" i="7"/>
  <c r="F559" i="7"/>
  <c r="K558" i="7"/>
  <c r="J558" i="7"/>
  <c r="I558" i="7"/>
  <c r="H558" i="7"/>
  <c r="F558" i="7"/>
  <c r="C557" i="7"/>
  <c r="V556" i="7"/>
  <c r="T556" i="7"/>
  <c r="K563" i="7" s="1"/>
  <c r="R556" i="7"/>
  <c r="K562" i="7" s="1"/>
  <c r="U556" i="7"/>
  <c r="S556" i="7"/>
  <c r="I563" i="7" s="1"/>
  <c r="Q556" i="7"/>
  <c r="E556" i="7"/>
  <c r="D556" i="7"/>
  <c r="B556" i="7"/>
  <c r="H554" i="7"/>
  <c r="P554" i="7"/>
  <c r="J554" i="7"/>
  <c r="C553" i="7"/>
  <c r="K552" i="7"/>
  <c r="J552" i="7"/>
  <c r="I552" i="7"/>
  <c r="O554" i="7" s="1"/>
  <c r="H552" i="7"/>
  <c r="F552" i="7"/>
  <c r="V552" i="7"/>
  <c r="T552" i="7"/>
  <c r="R552" i="7"/>
  <c r="U552" i="7"/>
  <c r="S552" i="7"/>
  <c r="Q552" i="7"/>
  <c r="E552" i="7"/>
  <c r="D552" i="7"/>
  <c r="B552" i="7"/>
  <c r="O550" i="7"/>
  <c r="P550" i="7"/>
  <c r="C549" i="7"/>
  <c r="K548" i="7"/>
  <c r="J550" i="7" s="1"/>
  <c r="J548" i="7"/>
  <c r="I548" i="7"/>
  <c r="H550" i="7" s="1"/>
  <c r="H548" i="7"/>
  <c r="F548" i="7"/>
  <c r="V548" i="7"/>
  <c r="T548" i="7"/>
  <c r="R548" i="7"/>
  <c r="U548" i="7"/>
  <c r="S548" i="7"/>
  <c r="Q548" i="7"/>
  <c r="E548" i="7"/>
  <c r="D548" i="7"/>
  <c r="B548" i="7"/>
  <c r="H546" i="7"/>
  <c r="C545" i="7"/>
  <c r="K544" i="7"/>
  <c r="P546" i="7" s="1"/>
  <c r="J544" i="7"/>
  <c r="I544" i="7"/>
  <c r="O546" i="7" s="1"/>
  <c r="H544" i="7"/>
  <c r="F544" i="7"/>
  <c r="V544" i="7"/>
  <c r="T544" i="7"/>
  <c r="R544" i="7"/>
  <c r="U544" i="7"/>
  <c r="S544" i="7"/>
  <c r="Q544" i="7"/>
  <c r="E544" i="7"/>
  <c r="D544" i="7"/>
  <c r="B544" i="7"/>
  <c r="H541" i="7"/>
  <c r="J541" i="7"/>
  <c r="I539" i="7"/>
  <c r="H539" i="7"/>
  <c r="E539" i="7"/>
  <c r="J538" i="7"/>
  <c r="E538" i="7"/>
  <c r="J537" i="7"/>
  <c r="E537" i="7"/>
  <c r="K536" i="7"/>
  <c r="J536" i="7"/>
  <c r="I536" i="7"/>
  <c r="H536" i="7"/>
  <c r="F536" i="7"/>
  <c r="K535" i="7"/>
  <c r="J535" i="7"/>
  <c r="I535" i="7"/>
  <c r="H535" i="7"/>
  <c r="F535" i="7"/>
  <c r="K534" i="7"/>
  <c r="J534" i="7"/>
  <c r="I534" i="7"/>
  <c r="H534" i="7"/>
  <c r="F534" i="7"/>
  <c r="K533" i="7"/>
  <c r="J533" i="7"/>
  <c r="I533" i="7"/>
  <c r="H533" i="7"/>
  <c r="F533" i="7"/>
  <c r="C532" i="7"/>
  <c r="V531" i="7"/>
  <c r="T531" i="7"/>
  <c r="K538" i="7" s="1"/>
  <c r="R531" i="7"/>
  <c r="K537" i="7" s="1"/>
  <c r="U531" i="7"/>
  <c r="S531" i="7"/>
  <c r="I538" i="7" s="1"/>
  <c r="Q531" i="7"/>
  <c r="I537" i="7" s="1"/>
  <c r="E531" i="7"/>
  <c r="D531" i="7"/>
  <c r="B531" i="7"/>
  <c r="H528" i="7"/>
  <c r="J528" i="7"/>
  <c r="I526" i="7"/>
  <c r="H526" i="7"/>
  <c r="E526" i="7"/>
  <c r="J525" i="7"/>
  <c r="I525" i="7"/>
  <c r="E525" i="7"/>
  <c r="K524" i="7"/>
  <c r="J524" i="7"/>
  <c r="E524" i="7"/>
  <c r="K523" i="7"/>
  <c r="J523" i="7"/>
  <c r="H523" i="7"/>
  <c r="I523" i="7"/>
  <c r="F523" i="7"/>
  <c r="V523" i="7"/>
  <c r="T523" i="7"/>
  <c r="R523" i="7"/>
  <c r="U523" i="7"/>
  <c r="S523" i="7"/>
  <c r="Q523" i="7"/>
  <c r="I524" i="7" s="1"/>
  <c r="E523" i="7"/>
  <c r="D523" i="7"/>
  <c r="B523" i="7"/>
  <c r="K522" i="7"/>
  <c r="J522" i="7"/>
  <c r="I522" i="7"/>
  <c r="H522" i="7"/>
  <c r="F522" i="7"/>
  <c r="K521" i="7"/>
  <c r="J521" i="7"/>
  <c r="I521" i="7"/>
  <c r="H521" i="7"/>
  <c r="F521" i="7"/>
  <c r="K520" i="7"/>
  <c r="J520" i="7"/>
  <c r="I520" i="7"/>
  <c r="H520" i="7"/>
  <c r="F520" i="7"/>
  <c r="K519" i="7"/>
  <c r="J519" i="7"/>
  <c r="I519" i="7"/>
  <c r="H519" i="7"/>
  <c r="F519" i="7"/>
  <c r="C518" i="7"/>
  <c r="V517" i="7"/>
  <c r="T517" i="7"/>
  <c r="K525" i="7" s="1"/>
  <c r="R517" i="7"/>
  <c r="U517" i="7"/>
  <c r="S517" i="7"/>
  <c r="Q517" i="7"/>
  <c r="E517" i="7"/>
  <c r="D517" i="7"/>
  <c r="B517" i="7"/>
  <c r="H514" i="7"/>
  <c r="J514" i="7"/>
  <c r="I512" i="7"/>
  <c r="H512" i="7"/>
  <c r="E512" i="7"/>
  <c r="J511" i="7"/>
  <c r="E511" i="7"/>
  <c r="J510" i="7"/>
  <c r="E510" i="7"/>
  <c r="K509" i="7"/>
  <c r="J509" i="7"/>
  <c r="H509" i="7"/>
  <c r="I509" i="7"/>
  <c r="F509" i="7"/>
  <c r="V509" i="7"/>
  <c r="T509" i="7"/>
  <c r="R509" i="7"/>
  <c r="U509" i="7"/>
  <c r="S509" i="7"/>
  <c r="Q509" i="7"/>
  <c r="I510" i="7" s="1"/>
  <c r="E509" i="7"/>
  <c r="D509" i="7"/>
  <c r="B509" i="7"/>
  <c r="K508" i="7"/>
  <c r="J508" i="7"/>
  <c r="H508" i="7"/>
  <c r="I508" i="7"/>
  <c r="F508" i="7"/>
  <c r="V508" i="7"/>
  <c r="T508" i="7"/>
  <c r="R508" i="7"/>
  <c r="U508" i="7"/>
  <c r="S508" i="7"/>
  <c r="Q508" i="7"/>
  <c r="E508" i="7"/>
  <c r="D508" i="7"/>
  <c r="B508" i="7"/>
  <c r="K507" i="7"/>
  <c r="J507" i="7"/>
  <c r="I507" i="7"/>
  <c r="H507" i="7"/>
  <c r="F507" i="7"/>
  <c r="K506" i="7"/>
  <c r="J506" i="7"/>
  <c r="I506" i="7"/>
  <c r="H506" i="7"/>
  <c r="F506" i="7"/>
  <c r="K505" i="7"/>
  <c r="J505" i="7"/>
  <c r="I505" i="7"/>
  <c r="H505" i="7"/>
  <c r="F505" i="7"/>
  <c r="K504" i="7"/>
  <c r="J504" i="7"/>
  <c r="I504" i="7"/>
  <c r="H504" i="7"/>
  <c r="F504" i="7"/>
  <c r="C503" i="7"/>
  <c r="V502" i="7"/>
  <c r="T502" i="7"/>
  <c r="K511" i="7" s="1"/>
  <c r="R502" i="7"/>
  <c r="K510" i="7" s="1"/>
  <c r="U502" i="7"/>
  <c r="S502" i="7"/>
  <c r="I511" i="7" s="1"/>
  <c r="Q502" i="7"/>
  <c r="E502" i="7"/>
  <c r="D502" i="7"/>
  <c r="B502" i="7"/>
  <c r="C499" i="7"/>
  <c r="K498" i="7"/>
  <c r="P500" i="7" s="1"/>
  <c r="J498" i="7"/>
  <c r="I498" i="7"/>
  <c r="O500" i="7" s="1"/>
  <c r="H498" i="7"/>
  <c r="F498" i="7"/>
  <c r="V498" i="7"/>
  <c r="T498" i="7"/>
  <c r="R498" i="7"/>
  <c r="U498" i="7"/>
  <c r="S498" i="7"/>
  <c r="Q498" i="7"/>
  <c r="E498" i="7"/>
  <c r="D498" i="7"/>
  <c r="B498" i="7"/>
  <c r="O496" i="7"/>
  <c r="C495" i="7"/>
  <c r="K494" i="7"/>
  <c r="P496" i="7" s="1"/>
  <c r="J494" i="7"/>
  <c r="I494" i="7"/>
  <c r="H496" i="7" s="1"/>
  <c r="H494" i="7"/>
  <c r="F494" i="7"/>
  <c r="V494" i="7"/>
  <c r="T494" i="7"/>
  <c r="R494" i="7"/>
  <c r="U494" i="7"/>
  <c r="S494" i="7"/>
  <c r="Q494" i="7"/>
  <c r="E494" i="7"/>
  <c r="D494" i="7"/>
  <c r="B494" i="7"/>
  <c r="H491" i="7"/>
  <c r="J491" i="7"/>
  <c r="I489" i="7"/>
  <c r="H489" i="7"/>
  <c r="E489" i="7"/>
  <c r="J488" i="7"/>
  <c r="E488" i="7"/>
  <c r="K487" i="7"/>
  <c r="J487" i="7"/>
  <c r="E487" i="7"/>
  <c r="K486" i="7"/>
  <c r="J486" i="7"/>
  <c r="H486" i="7"/>
  <c r="I486" i="7"/>
  <c r="F486" i="7"/>
  <c r="V486" i="7"/>
  <c r="T486" i="7"/>
  <c r="R486" i="7"/>
  <c r="U486" i="7"/>
  <c r="S486" i="7"/>
  <c r="Q486" i="7"/>
  <c r="I487" i="7" s="1"/>
  <c r="E486" i="7"/>
  <c r="D486" i="7"/>
  <c r="B486" i="7"/>
  <c r="K485" i="7"/>
  <c r="J485" i="7"/>
  <c r="H485" i="7"/>
  <c r="I485" i="7"/>
  <c r="F485" i="7"/>
  <c r="V485" i="7"/>
  <c r="T485" i="7"/>
  <c r="R485" i="7"/>
  <c r="U485" i="7"/>
  <c r="S485" i="7"/>
  <c r="Q485" i="7"/>
  <c r="E485" i="7"/>
  <c r="D485" i="7"/>
  <c r="B485" i="7"/>
  <c r="K484" i="7"/>
  <c r="J484" i="7"/>
  <c r="H484" i="7"/>
  <c r="I484" i="7"/>
  <c r="F484" i="7"/>
  <c r="V484" i="7"/>
  <c r="T484" i="7"/>
  <c r="R484" i="7"/>
  <c r="U484" i="7"/>
  <c r="S484" i="7"/>
  <c r="Q484" i="7"/>
  <c r="E484" i="7"/>
  <c r="D484" i="7"/>
  <c r="B484" i="7"/>
  <c r="K483" i="7"/>
  <c r="J483" i="7"/>
  <c r="I483" i="7"/>
  <c r="H483" i="7"/>
  <c r="F483" i="7"/>
  <c r="K482" i="7"/>
  <c r="J482" i="7"/>
  <c r="I482" i="7"/>
  <c r="H482" i="7"/>
  <c r="F482" i="7"/>
  <c r="K481" i="7"/>
  <c r="J481" i="7"/>
  <c r="I481" i="7"/>
  <c r="H481" i="7"/>
  <c r="F481" i="7"/>
  <c r="K480" i="7"/>
  <c r="J480" i="7"/>
  <c r="I480" i="7"/>
  <c r="H480" i="7"/>
  <c r="F480" i="7"/>
  <c r="C479" i="7"/>
  <c r="V478" i="7"/>
  <c r="T478" i="7"/>
  <c r="K488" i="7" s="1"/>
  <c r="R478" i="7"/>
  <c r="U478" i="7"/>
  <c r="S478" i="7"/>
  <c r="I488" i="7" s="1"/>
  <c r="Q478" i="7"/>
  <c r="E478" i="7"/>
  <c r="D478" i="7"/>
  <c r="B478" i="7"/>
  <c r="A477" i="7"/>
  <c r="I475" i="7"/>
  <c r="J475" i="7"/>
  <c r="I474" i="7"/>
  <c r="J474" i="7"/>
  <c r="A473" i="7"/>
  <c r="H469" i="7"/>
  <c r="J469" i="7"/>
  <c r="I467" i="7"/>
  <c r="H467" i="7"/>
  <c r="E467" i="7"/>
  <c r="J466" i="7"/>
  <c r="E466" i="7"/>
  <c r="J465" i="7"/>
  <c r="E465" i="7"/>
  <c r="K464" i="7"/>
  <c r="J464" i="7"/>
  <c r="H464" i="7"/>
  <c r="I464" i="7"/>
  <c r="F464" i="7"/>
  <c r="V464" i="7"/>
  <c r="T464" i="7"/>
  <c r="R464" i="7"/>
  <c r="U464" i="7"/>
  <c r="S464" i="7"/>
  <c r="Q464" i="7"/>
  <c r="E464" i="7"/>
  <c r="D464" i="7"/>
  <c r="B464" i="7"/>
  <c r="K463" i="7"/>
  <c r="J463" i="7"/>
  <c r="I463" i="7"/>
  <c r="H463" i="7"/>
  <c r="F463" i="7"/>
  <c r="K462" i="7"/>
  <c r="J462" i="7"/>
  <c r="I462" i="7"/>
  <c r="H462" i="7"/>
  <c r="F462" i="7"/>
  <c r="K461" i="7"/>
  <c r="J461" i="7"/>
  <c r="I461" i="7"/>
  <c r="H461" i="7"/>
  <c r="F461" i="7"/>
  <c r="K460" i="7"/>
  <c r="J460" i="7"/>
  <c r="I460" i="7"/>
  <c r="H460" i="7"/>
  <c r="F460" i="7"/>
  <c r="C459" i="7"/>
  <c r="V458" i="7"/>
  <c r="T458" i="7"/>
  <c r="K466" i="7" s="1"/>
  <c r="R458" i="7"/>
  <c r="K465" i="7" s="1"/>
  <c r="U458" i="7"/>
  <c r="S458" i="7"/>
  <c r="I466" i="7" s="1"/>
  <c r="Q458" i="7"/>
  <c r="I465" i="7" s="1"/>
  <c r="E458" i="7"/>
  <c r="D458" i="7"/>
  <c r="B458" i="7"/>
  <c r="H455" i="7"/>
  <c r="J455" i="7"/>
  <c r="I453" i="7"/>
  <c r="H453" i="7"/>
  <c r="E453" i="7"/>
  <c r="K452" i="7"/>
  <c r="J452" i="7"/>
  <c r="E452" i="7"/>
  <c r="J451" i="7"/>
  <c r="E451" i="7"/>
  <c r="K450" i="7"/>
  <c r="J450" i="7"/>
  <c r="H450" i="7"/>
  <c r="I450" i="7"/>
  <c r="F450" i="7"/>
  <c r="V450" i="7"/>
  <c r="T450" i="7"/>
  <c r="R450" i="7"/>
  <c r="U450" i="7"/>
  <c r="S450" i="7"/>
  <c r="Q450" i="7"/>
  <c r="E450" i="7"/>
  <c r="D450" i="7"/>
  <c r="B450" i="7"/>
  <c r="K449" i="7"/>
  <c r="J449" i="7"/>
  <c r="H449" i="7"/>
  <c r="I449" i="7"/>
  <c r="F449" i="7"/>
  <c r="V449" i="7"/>
  <c r="T449" i="7"/>
  <c r="R449" i="7"/>
  <c r="U449" i="7"/>
  <c r="S449" i="7"/>
  <c r="Q449" i="7"/>
  <c r="E449" i="7"/>
  <c r="D449" i="7"/>
  <c r="B449" i="7"/>
  <c r="K448" i="7"/>
  <c r="J448" i="7"/>
  <c r="I448" i="7"/>
  <c r="H448" i="7"/>
  <c r="F448" i="7"/>
  <c r="K447" i="7"/>
  <c r="J447" i="7"/>
  <c r="I447" i="7"/>
  <c r="H447" i="7"/>
  <c r="F447" i="7"/>
  <c r="K446" i="7"/>
  <c r="J446" i="7"/>
  <c r="I446" i="7"/>
  <c r="H446" i="7"/>
  <c r="F446" i="7"/>
  <c r="K445" i="7"/>
  <c r="J445" i="7"/>
  <c r="I445" i="7"/>
  <c r="H445" i="7"/>
  <c r="F445" i="7"/>
  <c r="V444" i="7"/>
  <c r="T444" i="7"/>
  <c r="R444" i="7"/>
  <c r="K451" i="7" s="1"/>
  <c r="U444" i="7"/>
  <c r="S444" i="7"/>
  <c r="I452" i="7" s="1"/>
  <c r="Q444" i="7"/>
  <c r="I451" i="7" s="1"/>
  <c r="E444" i="7"/>
  <c r="D444" i="7"/>
  <c r="B444" i="7"/>
  <c r="O442" i="7"/>
  <c r="P442" i="7"/>
  <c r="J442" i="7"/>
  <c r="K441" i="7"/>
  <c r="J441" i="7"/>
  <c r="I441" i="7"/>
  <c r="H442" i="7" s="1"/>
  <c r="H441" i="7"/>
  <c r="F441" i="7"/>
  <c r="V441" i="7"/>
  <c r="T441" i="7"/>
  <c r="R441" i="7"/>
  <c r="U441" i="7"/>
  <c r="S441" i="7"/>
  <c r="Q441" i="7"/>
  <c r="E441" i="7"/>
  <c r="D441" i="7"/>
  <c r="B441" i="7"/>
  <c r="H438" i="7"/>
  <c r="J438" i="7"/>
  <c r="I436" i="7"/>
  <c r="H436" i="7"/>
  <c r="E436" i="7"/>
  <c r="J435" i="7"/>
  <c r="I435" i="7"/>
  <c r="E435" i="7"/>
  <c r="J434" i="7"/>
  <c r="E434" i="7"/>
  <c r="K433" i="7"/>
  <c r="J433" i="7"/>
  <c r="H433" i="7"/>
  <c r="I433" i="7"/>
  <c r="F433" i="7"/>
  <c r="V433" i="7"/>
  <c r="T433" i="7"/>
  <c r="K435" i="7" s="1"/>
  <c r="R433" i="7"/>
  <c r="U433" i="7"/>
  <c r="S433" i="7"/>
  <c r="Q433" i="7"/>
  <c r="E433" i="7"/>
  <c r="D433" i="7"/>
  <c r="B433" i="7"/>
  <c r="K432" i="7"/>
  <c r="J432" i="7"/>
  <c r="I432" i="7"/>
  <c r="H432" i="7"/>
  <c r="F432" i="7"/>
  <c r="K431" i="7"/>
  <c r="J431" i="7"/>
  <c r="I431" i="7"/>
  <c r="H431" i="7"/>
  <c r="F431" i="7"/>
  <c r="K430" i="7"/>
  <c r="J430" i="7"/>
  <c r="I430" i="7"/>
  <c r="H430" i="7"/>
  <c r="F430" i="7"/>
  <c r="K429" i="7"/>
  <c r="J429" i="7"/>
  <c r="I429" i="7"/>
  <c r="H429" i="7"/>
  <c r="F429" i="7"/>
  <c r="C428" i="7"/>
  <c r="V427" i="7"/>
  <c r="T427" i="7"/>
  <c r="R427" i="7"/>
  <c r="K434" i="7" s="1"/>
  <c r="U427" i="7"/>
  <c r="S427" i="7"/>
  <c r="Q427" i="7"/>
  <c r="I434" i="7" s="1"/>
  <c r="E427" i="7"/>
  <c r="D427" i="7"/>
  <c r="B427" i="7"/>
  <c r="H424" i="7"/>
  <c r="J424" i="7"/>
  <c r="I422" i="7"/>
  <c r="H422" i="7"/>
  <c r="E422" i="7"/>
  <c r="J421" i="7"/>
  <c r="I421" i="7"/>
  <c r="E421" i="7"/>
  <c r="J420" i="7"/>
  <c r="E420" i="7"/>
  <c r="K419" i="7"/>
  <c r="J419" i="7"/>
  <c r="H419" i="7"/>
  <c r="I419" i="7"/>
  <c r="F419" i="7"/>
  <c r="V419" i="7"/>
  <c r="T419" i="7"/>
  <c r="R419" i="7"/>
  <c r="U419" i="7"/>
  <c r="S419" i="7"/>
  <c r="Q419" i="7"/>
  <c r="E419" i="7"/>
  <c r="D419" i="7"/>
  <c r="B419" i="7"/>
  <c r="K418" i="7"/>
  <c r="J418" i="7"/>
  <c r="I418" i="7"/>
  <c r="O425" i="7" s="1"/>
  <c r="H418" i="7"/>
  <c r="F418" i="7"/>
  <c r="C417" i="7"/>
  <c r="V416" i="7"/>
  <c r="T416" i="7"/>
  <c r="K421" i="7" s="1"/>
  <c r="R416" i="7"/>
  <c r="K420" i="7" s="1"/>
  <c r="U416" i="7"/>
  <c r="S416" i="7"/>
  <c r="Q416" i="7"/>
  <c r="I420" i="7" s="1"/>
  <c r="E416" i="7"/>
  <c r="D416" i="7"/>
  <c r="B416" i="7"/>
  <c r="H413" i="7"/>
  <c r="J413" i="7"/>
  <c r="I411" i="7"/>
  <c r="H411" i="7"/>
  <c r="E411" i="7"/>
  <c r="J410" i="7"/>
  <c r="E410" i="7"/>
  <c r="J409" i="7"/>
  <c r="E409" i="7"/>
  <c r="K408" i="7"/>
  <c r="J408" i="7"/>
  <c r="H408" i="7"/>
  <c r="I408" i="7"/>
  <c r="F408" i="7"/>
  <c r="V408" i="7"/>
  <c r="T408" i="7"/>
  <c r="R408" i="7"/>
  <c r="U408" i="7"/>
  <c r="S408" i="7"/>
  <c r="Q408" i="7"/>
  <c r="E408" i="7"/>
  <c r="D408" i="7"/>
  <c r="B408" i="7"/>
  <c r="K407" i="7"/>
  <c r="J407" i="7"/>
  <c r="I407" i="7"/>
  <c r="H407" i="7"/>
  <c r="F407" i="7"/>
  <c r="K406" i="7"/>
  <c r="J406" i="7"/>
  <c r="I406" i="7"/>
  <c r="H406" i="7"/>
  <c r="F406" i="7"/>
  <c r="K405" i="7"/>
  <c r="J405" i="7"/>
  <c r="I405" i="7"/>
  <c r="H405" i="7"/>
  <c r="F405" i="7"/>
  <c r="K404" i="7"/>
  <c r="J404" i="7"/>
  <c r="I404" i="7"/>
  <c r="H404" i="7"/>
  <c r="F404" i="7"/>
  <c r="C403" i="7"/>
  <c r="V402" i="7"/>
  <c r="T402" i="7"/>
  <c r="K410" i="7" s="1"/>
  <c r="R402" i="7"/>
  <c r="K409" i="7" s="1"/>
  <c r="U402" i="7"/>
  <c r="S402" i="7"/>
  <c r="I410" i="7" s="1"/>
  <c r="Q402" i="7"/>
  <c r="I409" i="7" s="1"/>
  <c r="E402" i="7"/>
  <c r="D402" i="7"/>
  <c r="B402" i="7"/>
  <c r="O400" i="7"/>
  <c r="P400" i="7"/>
  <c r="J400" i="7"/>
  <c r="K399" i="7"/>
  <c r="J399" i="7"/>
  <c r="I399" i="7"/>
  <c r="H400" i="7" s="1"/>
  <c r="H399" i="7"/>
  <c r="F399" i="7"/>
  <c r="V399" i="7"/>
  <c r="T399" i="7"/>
  <c r="R399" i="7"/>
  <c r="U399" i="7"/>
  <c r="S399" i="7"/>
  <c r="Q399" i="7"/>
  <c r="E399" i="7"/>
  <c r="D399" i="7"/>
  <c r="B399" i="7"/>
  <c r="H397" i="7"/>
  <c r="K396" i="7"/>
  <c r="P397" i="7" s="1"/>
  <c r="J396" i="7"/>
  <c r="I396" i="7"/>
  <c r="O397" i="7" s="1"/>
  <c r="H396" i="7"/>
  <c r="F396" i="7"/>
  <c r="V396" i="7"/>
  <c r="T396" i="7"/>
  <c r="R396" i="7"/>
  <c r="U396" i="7"/>
  <c r="S396" i="7"/>
  <c r="Q396" i="7"/>
  <c r="E396" i="7"/>
  <c r="D396" i="7"/>
  <c r="B396" i="7"/>
  <c r="O394" i="7"/>
  <c r="P394" i="7"/>
  <c r="J394" i="7"/>
  <c r="K393" i="7"/>
  <c r="J393" i="7"/>
  <c r="I393" i="7"/>
  <c r="H394" i="7" s="1"/>
  <c r="H393" i="7"/>
  <c r="F393" i="7"/>
  <c r="V393" i="7"/>
  <c r="T393" i="7"/>
  <c r="R393" i="7"/>
  <c r="U393" i="7"/>
  <c r="S393" i="7"/>
  <c r="Q393" i="7"/>
  <c r="E393" i="7"/>
  <c r="D393" i="7"/>
  <c r="B393" i="7"/>
  <c r="H391" i="7"/>
  <c r="K390" i="7"/>
  <c r="P391" i="7" s="1"/>
  <c r="J390" i="7"/>
  <c r="I390" i="7"/>
  <c r="O391" i="7" s="1"/>
  <c r="H390" i="7"/>
  <c r="F390" i="7"/>
  <c r="V390" i="7"/>
  <c r="T390" i="7"/>
  <c r="R390" i="7"/>
  <c r="U390" i="7"/>
  <c r="S390" i="7"/>
  <c r="Q390" i="7"/>
  <c r="E390" i="7"/>
  <c r="D390" i="7"/>
  <c r="B390" i="7"/>
  <c r="P388" i="7"/>
  <c r="J388" i="7"/>
  <c r="K387" i="7"/>
  <c r="J387" i="7"/>
  <c r="I387" i="7"/>
  <c r="O388" i="7" s="1"/>
  <c r="H387" i="7"/>
  <c r="F387" i="7"/>
  <c r="V387" i="7"/>
  <c r="T387" i="7"/>
  <c r="R387" i="7"/>
  <c r="U387" i="7"/>
  <c r="S387" i="7"/>
  <c r="Q387" i="7"/>
  <c r="E387" i="7"/>
  <c r="D387" i="7"/>
  <c r="B387" i="7"/>
  <c r="H385" i="7"/>
  <c r="K384" i="7"/>
  <c r="P385" i="7" s="1"/>
  <c r="J384" i="7"/>
  <c r="I384" i="7"/>
  <c r="O385" i="7" s="1"/>
  <c r="H384" i="7"/>
  <c r="F384" i="7"/>
  <c r="V384" i="7"/>
  <c r="T384" i="7"/>
  <c r="R384" i="7"/>
  <c r="U384" i="7"/>
  <c r="S384" i="7"/>
  <c r="Q384" i="7"/>
  <c r="E384" i="7"/>
  <c r="D384" i="7"/>
  <c r="B384" i="7"/>
  <c r="H381" i="7"/>
  <c r="J381" i="7"/>
  <c r="I379" i="7"/>
  <c r="H379" i="7"/>
  <c r="E379" i="7"/>
  <c r="K378" i="7"/>
  <c r="J378" i="7"/>
  <c r="E378" i="7"/>
  <c r="K377" i="7"/>
  <c r="J377" i="7"/>
  <c r="I377" i="7"/>
  <c r="E377" i="7"/>
  <c r="K376" i="7"/>
  <c r="J376" i="7"/>
  <c r="I376" i="7"/>
  <c r="H376" i="7"/>
  <c r="F376" i="7"/>
  <c r="K375" i="7"/>
  <c r="J375" i="7"/>
  <c r="I375" i="7"/>
  <c r="H375" i="7"/>
  <c r="F375" i="7"/>
  <c r="K374" i="7"/>
  <c r="J374" i="7"/>
  <c r="I374" i="7"/>
  <c r="H374" i="7"/>
  <c r="F374" i="7"/>
  <c r="C373" i="7"/>
  <c r="V372" i="7"/>
  <c r="T372" i="7"/>
  <c r="R372" i="7"/>
  <c r="U372" i="7"/>
  <c r="S372" i="7"/>
  <c r="I378" i="7" s="1"/>
  <c r="Q372" i="7"/>
  <c r="E372" i="7"/>
  <c r="D372" i="7"/>
  <c r="B372" i="7"/>
  <c r="P370" i="7"/>
  <c r="J370" i="7"/>
  <c r="K369" i="7"/>
  <c r="J369" i="7"/>
  <c r="I369" i="7"/>
  <c r="O370" i="7" s="1"/>
  <c r="H369" i="7"/>
  <c r="F369" i="7"/>
  <c r="V369" i="7"/>
  <c r="T369" i="7"/>
  <c r="R369" i="7"/>
  <c r="U369" i="7"/>
  <c r="S369" i="7"/>
  <c r="Q369" i="7"/>
  <c r="E369" i="7"/>
  <c r="D369" i="7"/>
  <c r="B369" i="7"/>
  <c r="H366" i="7"/>
  <c r="J366" i="7"/>
  <c r="I364" i="7"/>
  <c r="H364" i="7"/>
  <c r="E364" i="7"/>
  <c r="J363" i="7"/>
  <c r="I363" i="7"/>
  <c r="E363" i="7"/>
  <c r="J362" i="7"/>
  <c r="I362" i="7"/>
  <c r="E362" i="7"/>
  <c r="K361" i="7"/>
  <c r="J361" i="7"/>
  <c r="I361" i="7"/>
  <c r="H361" i="7"/>
  <c r="F361" i="7"/>
  <c r="K360" i="7"/>
  <c r="J360" i="7"/>
  <c r="I360" i="7"/>
  <c r="H360" i="7"/>
  <c r="F360" i="7"/>
  <c r="K359" i="7"/>
  <c r="J359" i="7"/>
  <c r="I359" i="7"/>
  <c r="H359" i="7"/>
  <c r="F359" i="7"/>
  <c r="K358" i="7"/>
  <c r="J365" i="7" s="1"/>
  <c r="J358" i="7"/>
  <c r="I358" i="7"/>
  <c r="H358" i="7"/>
  <c r="F358" i="7"/>
  <c r="V357" i="7"/>
  <c r="T357" i="7"/>
  <c r="K363" i="7" s="1"/>
  <c r="R357" i="7"/>
  <c r="K362" i="7" s="1"/>
  <c r="U357" i="7"/>
  <c r="S357" i="7"/>
  <c r="Q357" i="7"/>
  <c r="E357" i="7"/>
  <c r="D357" i="7"/>
  <c r="B357" i="7"/>
  <c r="H355" i="7"/>
  <c r="J355" i="7"/>
  <c r="K354" i="7"/>
  <c r="P355" i="7" s="1"/>
  <c r="J354" i="7"/>
  <c r="I354" i="7"/>
  <c r="O355" i="7" s="1"/>
  <c r="H354" i="7"/>
  <c r="F354" i="7"/>
  <c r="V354" i="7"/>
  <c r="T354" i="7"/>
  <c r="R354" i="7"/>
  <c r="U354" i="7"/>
  <c r="S354" i="7"/>
  <c r="Q354" i="7"/>
  <c r="E354" i="7"/>
  <c r="D354" i="7"/>
  <c r="B354" i="7"/>
  <c r="H351" i="7"/>
  <c r="J351" i="7"/>
  <c r="I349" i="7"/>
  <c r="H349" i="7"/>
  <c r="E349" i="7"/>
  <c r="K348" i="7"/>
  <c r="J348" i="7"/>
  <c r="E348" i="7"/>
  <c r="J347" i="7"/>
  <c r="E347" i="7"/>
  <c r="K346" i="7"/>
  <c r="J346" i="7"/>
  <c r="I346" i="7"/>
  <c r="H346" i="7"/>
  <c r="F346" i="7"/>
  <c r="K345" i="7"/>
  <c r="J345" i="7"/>
  <c r="I345" i="7"/>
  <c r="H345" i="7"/>
  <c r="F345" i="7"/>
  <c r="K344" i="7"/>
  <c r="J344" i="7"/>
  <c r="I344" i="7"/>
  <c r="H344" i="7"/>
  <c r="F344" i="7"/>
  <c r="K343" i="7"/>
  <c r="J343" i="7"/>
  <c r="I343" i="7"/>
  <c r="H343" i="7"/>
  <c r="F343" i="7"/>
  <c r="C342" i="7"/>
  <c r="V341" i="7"/>
  <c r="T341" i="7"/>
  <c r="R341" i="7"/>
  <c r="K347" i="7" s="1"/>
  <c r="U341" i="7"/>
  <c r="S341" i="7"/>
  <c r="I348" i="7" s="1"/>
  <c r="Q341" i="7"/>
  <c r="I347" i="7" s="1"/>
  <c r="E341" i="7"/>
  <c r="D341" i="7"/>
  <c r="B341" i="7"/>
  <c r="H339" i="7"/>
  <c r="P339" i="7"/>
  <c r="K338" i="7"/>
  <c r="J339" i="7" s="1"/>
  <c r="J338" i="7"/>
  <c r="I338" i="7"/>
  <c r="O339" i="7" s="1"/>
  <c r="H338" i="7"/>
  <c r="F338" i="7"/>
  <c r="V338" i="7"/>
  <c r="T338" i="7"/>
  <c r="R338" i="7"/>
  <c r="U338" i="7"/>
  <c r="S338" i="7"/>
  <c r="Q338" i="7"/>
  <c r="E338" i="7"/>
  <c r="D338" i="7"/>
  <c r="B338" i="7"/>
  <c r="H335" i="7"/>
  <c r="J335" i="7"/>
  <c r="I333" i="7"/>
  <c r="H333" i="7"/>
  <c r="E333" i="7"/>
  <c r="K332" i="7"/>
  <c r="J332" i="7"/>
  <c r="E332" i="7"/>
  <c r="J331" i="7"/>
  <c r="E331" i="7"/>
  <c r="K330" i="7"/>
  <c r="J330" i="7"/>
  <c r="I330" i="7"/>
  <c r="H330" i="7"/>
  <c r="F330" i="7"/>
  <c r="K329" i="7"/>
  <c r="J329" i="7"/>
  <c r="I329" i="7"/>
  <c r="H329" i="7"/>
  <c r="F329" i="7"/>
  <c r="V328" i="7"/>
  <c r="T328" i="7"/>
  <c r="R328" i="7"/>
  <c r="K331" i="7" s="1"/>
  <c r="P336" i="7" s="1"/>
  <c r="U328" i="7"/>
  <c r="S328" i="7"/>
  <c r="I332" i="7" s="1"/>
  <c r="Q328" i="7"/>
  <c r="I331" i="7" s="1"/>
  <c r="E328" i="7"/>
  <c r="D328" i="7"/>
  <c r="B328" i="7"/>
  <c r="O326" i="7"/>
  <c r="P326" i="7"/>
  <c r="K325" i="7"/>
  <c r="J326" i="7" s="1"/>
  <c r="J325" i="7"/>
  <c r="I325" i="7"/>
  <c r="H326" i="7" s="1"/>
  <c r="H325" i="7"/>
  <c r="F325" i="7"/>
  <c r="V325" i="7"/>
  <c r="T325" i="7"/>
  <c r="R325" i="7"/>
  <c r="U325" i="7"/>
  <c r="S325" i="7"/>
  <c r="Q325" i="7"/>
  <c r="E325" i="7"/>
  <c r="D325" i="7"/>
  <c r="B325" i="7"/>
  <c r="H322" i="7"/>
  <c r="J322" i="7"/>
  <c r="I320" i="7"/>
  <c r="H320" i="7"/>
  <c r="E320" i="7"/>
  <c r="J319" i="7"/>
  <c r="E319" i="7"/>
  <c r="J318" i="7"/>
  <c r="E318" i="7"/>
  <c r="K317" i="7"/>
  <c r="J317" i="7"/>
  <c r="I317" i="7"/>
  <c r="H317" i="7"/>
  <c r="F317" i="7"/>
  <c r="K316" i="7"/>
  <c r="J316" i="7"/>
  <c r="I316" i="7"/>
  <c r="H316" i="7"/>
  <c r="F316" i="7"/>
  <c r="V315" i="7"/>
  <c r="T315" i="7"/>
  <c r="K319" i="7" s="1"/>
  <c r="R315" i="7"/>
  <c r="K318" i="7" s="1"/>
  <c r="U315" i="7"/>
  <c r="S315" i="7"/>
  <c r="I319" i="7" s="1"/>
  <c r="Q315" i="7"/>
  <c r="I318" i="7" s="1"/>
  <c r="E315" i="7"/>
  <c r="D315" i="7"/>
  <c r="B315" i="7"/>
  <c r="K312" i="7"/>
  <c r="P313" i="7" s="1"/>
  <c r="J312" i="7"/>
  <c r="I312" i="7"/>
  <c r="O313" i="7" s="1"/>
  <c r="H312" i="7"/>
  <c r="F312" i="7"/>
  <c r="V312" i="7"/>
  <c r="T312" i="7"/>
  <c r="R312" i="7"/>
  <c r="U312" i="7"/>
  <c r="S312" i="7"/>
  <c r="Q312" i="7"/>
  <c r="E312" i="7"/>
  <c r="D312" i="7"/>
  <c r="B312" i="7"/>
  <c r="H309" i="7"/>
  <c r="J309" i="7"/>
  <c r="I307" i="7"/>
  <c r="H307" i="7"/>
  <c r="E307" i="7"/>
  <c r="J306" i="7"/>
  <c r="E306" i="7"/>
  <c r="K305" i="7"/>
  <c r="J305" i="7"/>
  <c r="E305" i="7"/>
  <c r="K304" i="7"/>
  <c r="J304" i="7"/>
  <c r="I304" i="7"/>
  <c r="H304" i="7"/>
  <c r="F304" i="7"/>
  <c r="K303" i="7"/>
  <c r="J303" i="7"/>
  <c r="I303" i="7"/>
  <c r="H303" i="7"/>
  <c r="F303" i="7"/>
  <c r="K302" i="7"/>
  <c r="J302" i="7"/>
  <c r="I302" i="7"/>
  <c r="H302" i="7"/>
  <c r="F302" i="7"/>
  <c r="K301" i="7"/>
  <c r="J301" i="7"/>
  <c r="I301" i="7"/>
  <c r="H301" i="7"/>
  <c r="F301" i="7"/>
  <c r="V300" i="7"/>
  <c r="T300" i="7"/>
  <c r="K306" i="7" s="1"/>
  <c r="R300" i="7"/>
  <c r="U300" i="7"/>
  <c r="S300" i="7"/>
  <c r="I306" i="7" s="1"/>
  <c r="Q300" i="7"/>
  <c r="I305" i="7" s="1"/>
  <c r="E300" i="7"/>
  <c r="D300" i="7"/>
  <c r="B300" i="7"/>
  <c r="O298" i="7"/>
  <c r="J298" i="7"/>
  <c r="K297" i="7"/>
  <c r="P298" i="7" s="1"/>
  <c r="J297" i="7"/>
  <c r="I297" i="7"/>
  <c r="H298" i="7" s="1"/>
  <c r="H297" i="7"/>
  <c r="F297" i="7"/>
  <c r="V297" i="7"/>
  <c r="T297" i="7"/>
  <c r="R297" i="7"/>
  <c r="U297" i="7"/>
  <c r="S297" i="7"/>
  <c r="Q297" i="7"/>
  <c r="E297" i="7"/>
  <c r="D297" i="7"/>
  <c r="B297" i="7"/>
  <c r="K294" i="7"/>
  <c r="P295" i="7" s="1"/>
  <c r="J294" i="7"/>
  <c r="I294" i="7"/>
  <c r="O295" i="7" s="1"/>
  <c r="H294" i="7"/>
  <c r="F294" i="7"/>
  <c r="V294" i="7"/>
  <c r="T294" i="7"/>
  <c r="R294" i="7"/>
  <c r="U294" i="7"/>
  <c r="S294" i="7"/>
  <c r="Q294" i="7"/>
  <c r="E294" i="7"/>
  <c r="D294" i="7"/>
  <c r="B294" i="7"/>
  <c r="O292" i="7"/>
  <c r="J292" i="7"/>
  <c r="K291" i="7"/>
  <c r="P292" i="7" s="1"/>
  <c r="J291" i="7"/>
  <c r="I291" i="7"/>
  <c r="H292" i="7" s="1"/>
  <c r="H291" i="7"/>
  <c r="F291" i="7"/>
  <c r="V291" i="7"/>
  <c r="T291" i="7"/>
  <c r="R291" i="7"/>
  <c r="U291" i="7"/>
  <c r="S291" i="7"/>
  <c r="Q291" i="7"/>
  <c r="E291" i="7"/>
  <c r="D291" i="7"/>
  <c r="B291" i="7"/>
  <c r="K288" i="7"/>
  <c r="P289" i="7" s="1"/>
  <c r="J288" i="7"/>
  <c r="I288" i="7"/>
  <c r="O289" i="7" s="1"/>
  <c r="H288" i="7"/>
  <c r="F288" i="7"/>
  <c r="V288" i="7"/>
  <c r="T288" i="7"/>
  <c r="R288" i="7"/>
  <c r="U288" i="7"/>
  <c r="S288" i="7"/>
  <c r="Q288" i="7"/>
  <c r="E288" i="7"/>
  <c r="D288" i="7"/>
  <c r="B288" i="7"/>
  <c r="O286" i="7"/>
  <c r="J286" i="7"/>
  <c r="K285" i="7"/>
  <c r="P286" i="7" s="1"/>
  <c r="J285" i="7"/>
  <c r="I285" i="7"/>
  <c r="H286" i="7" s="1"/>
  <c r="H285" i="7"/>
  <c r="F285" i="7"/>
  <c r="V285" i="7"/>
  <c r="T285" i="7"/>
  <c r="R285" i="7"/>
  <c r="U285" i="7"/>
  <c r="S285" i="7"/>
  <c r="Q285" i="7"/>
  <c r="E285" i="7"/>
  <c r="D285" i="7"/>
  <c r="B285" i="7"/>
  <c r="H282" i="7"/>
  <c r="J282" i="7"/>
  <c r="I280" i="7"/>
  <c r="H280" i="7"/>
  <c r="E280" i="7"/>
  <c r="J279" i="7"/>
  <c r="E279" i="7"/>
  <c r="J278" i="7"/>
  <c r="E278" i="7"/>
  <c r="K277" i="7"/>
  <c r="J277" i="7"/>
  <c r="I277" i="7"/>
  <c r="H277" i="7"/>
  <c r="F277" i="7"/>
  <c r="K276" i="7"/>
  <c r="J276" i="7"/>
  <c r="I276" i="7"/>
  <c r="H276" i="7"/>
  <c r="F276" i="7"/>
  <c r="K275" i="7"/>
  <c r="J275" i="7"/>
  <c r="I275" i="7"/>
  <c r="H275" i="7"/>
  <c r="F275" i="7"/>
  <c r="C274" i="7"/>
  <c r="V273" i="7"/>
  <c r="T273" i="7"/>
  <c r="K279" i="7" s="1"/>
  <c r="R273" i="7"/>
  <c r="K278" i="7" s="1"/>
  <c r="U273" i="7"/>
  <c r="S273" i="7"/>
  <c r="I279" i="7" s="1"/>
  <c r="Q273" i="7"/>
  <c r="I278" i="7" s="1"/>
  <c r="E273" i="7"/>
  <c r="D273" i="7"/>
  <c r="B273" i="7"/>
  <c r="J270" i="7"/>
  <c r="I268" i="7"/>
  <c r="H268" i="7"/>
  <c r="E268" i="7"/>
  <c r="J267" i="7"/>
  <c r="I267" i="7"/>
  <c r="E267" i="7"/>
  <c r="J266" i="7"/>
  <c r="E266" i="7"/>
  <c r="K265" i="7"/>
  <c r="J265" i="7"/>
  <c r="H265" i="7"/>
  <c r="I265" i="7"/>
  <c r="H270" i="7" s="1"/>
  <c r="F265" i="7"/>
  <c r="V265" i="7"/>
  <c r="T265" i="7"/>
  <c r="R265" i="7"/>
  <c r="U265" i="7"/>
  <c r="S265" i="7"/>
  <c r="Q265" i="7"/>
  <c r="E265" i="7"/>
  <c r="D265" i="7"/>
  <c r="B265" i="7"/>
  <c r="K264" i="7"/>
  <c r="J264" i="7"/>
  <c r="I264" i="7"/>
  <c r="H264" i="7"/>
  <c r="F264" i="7"/>
  <c r="K263" i="7"/>
  <c r="J263" i="7"/>
  <c r="I263" i="7"/>
  <c r="H263" i="7"/>
  <c r="F263" i="7"/>
  <c r="K262" i="7"/>
  <c r="J262" i="7"/>
  <c r="I262" i="7"/>
  <c r="H262" i="7"/>
  <c r="F262" i="7"/>
  <c r="V261" i="7"/>
  <c r="T261" i="7"/>
  <c r="K267" i="7" s="1"/>
  <c r="R261" i="7"/>
  <c r="K266" i="7" s="1"/>
  <c r="U261" i="7"/>
  <c r="S261" i="7"/>
  <c r="Q261" i="7"/>
  <c r="I266" i="7" s="1"/>
  <c r="E261" i="7"/>
  <c r="D261" i="7"/>
  <c r="B261" i="7"/>
  <c r="H259" i="7"/>
  <c r="K258" i="7"/>
  <c r="P259" i="7" s="1"/>
  <c r="J258" i="7"/>
  <c r="I258" i="7"/>
  <c r="O259" i="7" s="1"/>
  <c r="H258" i="7"/>
  <c r="F258" i="7"/>
  <c r="V258" i="7"/>
  <c r="T258" i="7"/>
  <c r="R258" i="7"/>
  <c r="U258" i="7"/>
  <c r="S258" i="7"/>
  <c r="Q258" i="7"/>
  <c r="E258" i="7"/>
  <c r="D258" i="7"/>
  <c r="B258" i="7"/>
  <c r="H255" i="7"/>
  <c r="J255" i="7"/>
  <c r="I253" i="7"/>
  <c r="H253" i="7"/>
  <c r="E253" i="7"/>
  <c r="K252" i="7"/>
  <c r="J252" i="7"/>
  <c r="E252" i="7"/>
  <c r="J251" i="7"/>
  <c r="I251" i="7"/>
  <c r="E251" i="7"/>
  <c r="K250" i="7"/>
  <c r="J250" i="7"/>
  <c r="I250" i="7"/>
  <c r="H250" i="7"/>
  <c r="F250" i="7"/>
  <c r="K249" i="7"/>
  <c r="J249" i="7"/>
  <c r="I249" i="7"/>
  <c r="H249" i="7"/>
  <c r="F249" i="7"/>
  <c r="K248" i="7"/>
  <c r="J248" i="7"/>
  <c r="I248" i="7"/>
  <c r="H248" i="7"/>
  <c r="F248" i="7"/>
  <c r="K247" i="7"/>
  <c r="J247" i="7"/>
  <c r="I247" i="7"/>
  <c r="H247" i="7"/>
  <c r="F247" i="7"/>
  <c r="V246" i="7"/>
  <c r="T246" i="7"/>
  <c r="R246" i="7"/>
  <c r="K251" i="7" s="1"/>
  <c r="U246" i="7"/>
  <c r="S246" i="7"/>
  <c r="I252" i="7" s="1"/>
  <c r="Q246" i="7"/>
  <c r="E246" i="7"/>
  <c r="D246" i="7"/>
  <c r="B246" i="7"/>
  <c r="J244" i="7"/>
  <c r="K243" i="7"/>
  <c r="P244" i="7" s="1"/>
  <c r="J243" i="7"/>
  <c r="I243" i="7"/>
  <c r="O244" i="7" s="1"/>
  <c r="H243" i="7"/>
  <c r="F243" i="7"/>
  <c r="V243" i="7"/>
  <c r="T243" i="7"/>
  <c r="R243" i="7"/>
  <c r="U243" i="7"/>
  <c r="S243" i="7"/>
  <c r="Q243" i="7"/>
  <c r="E243" i="7"/>
  <c r="D243" i="7"/>
  <c r="B243" i="7"/>
  <c r="H240" i="7"/>
  <c r="J240" i="7"/>
  <c r="I238" i="7"/>
  <c r="H238" i="7"/>
  <c r="E238" i="7"/>
  <c r="K237" i="7"/>
  <c r="J237" i="7"/>
  <c r="I237" i="7"/>
  <c r="E237" i="7"/>
  <c r="J236" i="7"/>
  <c r="I236" i="7"/>
  <c r="E236" i="7"/>
  <c r="K235" i="7"/>
  <c r="J235" i="7"/>
  <c r="I235" i="7"/>
  <c r="H235" i="7"/>
  <c r="F235" i="7"/>
  <c r="K234" i="7"/>
  <c r="J234" i="7"/>
  <c r="I234" i="7"/>
  <c r="H234" i="7"/>
  <c r="F234" i="7"/>
  <c r="K233" i="7"/>
  <c r="J233" i="7"/>
  <c r="I233" i="7"/>
  <c r="H233" i="7"/>
  <c r="F233" i="7"/>
  <c r="K232" i="7"/>
  <c r="J232" i="7"/>
  <c r="I232" i="7"/>
  <c r="H239" i="7" s="1"/>
  <c r="H232" i="7"/>
  <c r="F232" i="7"/>
  <c r="V231" i="7"/>
  <c r="T231" i="7"/>
  <c r="R231" i="7"/>
  <c r="K236" i="7" s="1"/>
  <c r="U231" i="7"/>
  <c r="S231" i="7"/>
  <c r="Q231" i="7"/>
  <c r="E231" i="7"/>
  <c r="D231" i="7"/>
  <c r="B231" i="7"/>
  <c r="A230" i="7"/>
  <c r="I228" i="7"/>
  <c r="J228" i="7"/>
  <c r="I227" i="7"/>
  <c r="J227" i="7"/>
  <c r="A226" i="7"/>
  <c r="H222" i="7"/>
  <c r="J222" i="7"/>
  <c r="I220" i="7"/>
  <c r="H220" i="7"/>
  <c r="E220" i="7"/>
  <c r="K219" i="7"/>
  <c r="J219" i="7"/>
  <c r="E219" i="7"/>
  <c r="K218" i="7"/>
  <c r="J218" i="7"/>
  <c r="I218" i="7"/>
  <c r="E218" i="7"/>
  <c r="K217" i="7"/>
  <c r="J217" i="7"/>
  <c r="I217" i="7"/>
  <c r="H217" i="7"/>
  <c r="F217" i="7"/>
  <c r="C216" i="7"/>
  <c r="V215" i="7"/>
  <c r="T215" i="7"/>
  <c r="R215" i="7"/>
  <c r="U215" i="7"/>
  <c r="S215" i="7"/>
  <c r="I219" i="7" s="1"/>
  <c r="Q215" i="7"/>
  <c r="E215" i="7"/>
  <c r="D215" i="7"/>
  <c r="B215" i="7"/>
  <c r="H212" i="7"/>
  <c r="J212" i="7"/>
  <c r="I210" i="7"/>
  <c r="H210" i="7"/>
  <c r="E210" i="7"/>
  <c r="J209" i="7"/>
  <c r="E209" i="7"/>
  <c r="J208" i="7"/>
  <c r="I208" i="7"/>
  <c r="E208" i="7"/>
  <c r="K207" i="7"/>
  <c r="J207" i="7"/>
  <c r="I207" i="7"/>
  <c r="H207" i="7"/>
  <c r="F207" i="7"/>
  <c r="C206" i="7"/>
  <c r="V205" i="7"/>
  <c r="T205" i="7"/>
  <c r="K209" i="7" s="1"/>
  <c r="R205" i="7"/>
  <c r="K208" i="7" s="1"/>
  <c r="U205" i="7"/>
  <c r="S205" i="7"/>
  <c r="I209" i="7" s="1"/>
  <c r="Q205" i="7"/>
  <c r="E205" i="7"/>
  <c r="D205" i="7"/>
  <c r="B205" i="7"/>
  <c r="H202" i="7"/>
  <c r="J202" i="7"/>
  <c r="I200" i="7"/>
  <c r="H200" i="7"/>
  <c r="E200" i="7"/>
  <c r="J199" i="7"/>
  <c r="E199" i="7"/>
  <c r="K198" i="7"/>
  <c r="J198" i="7"/>
  <c r="E198" i="7"/>
  <c r="K197" i="7"/>
  <c r="J197" i="7"/>
  <c r="I197" i="7"/>
  <c r="H197" i="7"/>
  <c r="F197" i="7"/>
  <c r="K196" i="7"/>
  <c r="J196" i="7"/>
  <c r="I196" i="7"/>
  <c r="H196" i="7"/>
  <c r="F196" i="7"/>
  <c r="K195" i="7"/>
  <c r="J195" i="7"/>
  <c r="I195" i="7"/>
  <c r="H195" i="7"/>
  <c r="F195" i="7"/>
  <c r="K194" i="7"/>
  <c r="J194" i="7"/>
  <c r="I194" i="7"/>
  <c r="H194" i="7"/>
  <c r="F194" i="7"/>
  <c r="C193" i="7"/>
  <c r="V192" i="7"/>
  <c r="T192" i="7"/>
  <c r="K199" i="7" s="1"/>
  <c r="R192" i="7"/>
  <c r="U192" i="7"/>
  <c r="S192" i="7"/>
  <c r="I199" i="7" s="1"/>
  <c r="Q192" i="7"/>
  <c r="I198" i="7" s="1"/>
  <c r="E192" i="7"/>
  <c r="D192" i="7"/>
  <c r="B192" i="7"/>
  <c r="H189" i="7"/>
  <c r="J189" i="7"/>
  <c r="I187" i="7"/>
  <c r="H187" i="7"/>
  <c r="E187" i="7"/>
  <c r="K186" i="7"/>
  <c r="J186" i="7"/>
  <c r="E186" i="7"/>
  <c r="J185" i="7"/>
  <c r="E185" i="7"/>
  <c r="K184" i="7"/>
  <c r="J184" i="7"/>
  <c r="I184" i="7"/>
  <c r="H184" i="7"/>
  <c r="F184" i="7"/>
  <c r="K183" i="7"/>
  <c r="J183" i="7"/>
  <c r="I183" i="7"/>
  <c r="H183" i="7"/>
  <c r="F183" i="7"/>
  <c r="K182" i="7"/>
  <c r="J182" i="7"/>
  <c r="I182" i="7"/>
  <c r="H182" i="7"/>
  <c r="F182" i="7"/>
  <c r="K181" i="7"/>
  <c r="J181" i="7"/>
  <c r="I181" i="7"/>
  <c r="H181" i="7"/>
  <c r="F181" i="7"/>
  <c r="V180" i="7"/>
  <c r="T180" i="7"/>
  <c r="R180" i="7"/>
  <c r="K185" i="7" s="1"/>
  <c r="U180" i="7"/>
  <c r="S180" i="7"/>
  <c r="I186" i="7" s="1"/>
  <c r="Q180" i="7"/>
  <c r="I185" i="7" s="1"/>
  <c r="E180" i="7"/>
  <c r="D180" i="7"/>
  <c r="B180" i="7"/>
  <c r="H177" i="7"/>
  <c r="J177" i="7"/>
  <c r="I175" i="7"/>
  <c r="H175" i="7"/>
  <c r="E175" i="7"/>
  <c r="J174" i="7"/>
  <c r="E174" i="7"/>
  <c r="J173" i="7"/>
  <c r="E173" i="7"/>
  <c r="K172" i="7"/>
  <c r="J172" i="7"/>
  <c r="I172" i="7"/>
  <c r="H172" i="7"/>
  <c r="F172" i="7"/>
  <c r="K171" i="7"/>
  <c r="J171" i="7"/>
  <c r="I171" i="7"/>
  <c r="H171" i="7"/>
  <c r="F171" i="7"/>
  <c r="K170" i="7"/>
  <c r="J170" i="7"/>
  <c r="I170" i="7"/>
  <c r="H170" i="7"/>
  <c r="F170" i="7"/>
  <c r="K169" i="7"/>
  <c r="J169" i="7"/>
  <c r="I169" i="7"/>
  <c r="H169" i="7"/>
  <c r="F169" i="7"/>
  <c r="C168" i="7"/>
  <c r="V167" i="7"/>
  <c r="T167" i="7"/>
  <c r="K174" i="7" s="1"/>
  <c r="R167" i="7"/>
  <c r="K173" i="7" s="1"/>
  <c r="U167" i="7"/>
  <c r="S167" i="7"/>
  <c r="I174" i="7" s="1"/>
  <c r="Q167" i="7"/>
  <c r="I173" i="7" s="1"/>
  <c r="E167" i="7"/>
  <c r="D167" i="7"/>
  <c r="B167" i="7"/>
  <c r="H164" i="7"/>
  <c r="J164" i="7"/>
  <c r="I162" i="7"/>
  <c r="H162" i="7"/>
  <c r="E162" i="7"/>
  <c r="J161" i="7"/>
  <c r="E161" i="7"/>
  <c r="J160" i="7"/>
  <c r="I160" i="7"/>
  <c r="E160" i="7"/>
  <c r="K159" i="7"/>
  <c r="J159" i="7"/>
  <c r="I159" i="7"/>
  <c r="H159" i="7"/>
  <c r="F159" i="7"/>
  <c r="C158" i="7"/>
  <c r="V157" i="7"/>
  <c r="T157" i="7"/>
  <c r="K161" i="7" s="1"/>
  <c r="R157" i="7"/>
  <c r="K160" i="7" s="1"/>
  <c r="U157" i="7"/>
  <c r="S157" i="7"/>
  <c r="I161" i="7" s="1"/>
  <c r="Q157" i="7"/>
  <c r="E157" i="7"/>
  <c r="D157" i="7"/>
  <c r="B157" i="7"/>
  <c r="H154" i="7"/>
  <c r="J154" i="7"/>
  <c r="I152" i="7"/>
  <c r="H152" i="7"/>
  <c r="E152" i="7"/>
  <c r="J151" i="7"/>
  <c r="E151" i="7"/>
  <c r="J150" i="7"/>
  <c r="E150" i="7"/>
  <c r="K149" i="7"/>
  <c r="J149" i="7"/>
  <c r="I149" i="7"/>
  <c r="H149" i="7"/>
  <c r="F149" i="7"/>
  <c r="K148" i="7"/>
  <c r="J148" i="7"/>
  <c r="I148" i="7"/>
  <c r="H148" i="7"/>
  <c r="F148" i="7"/>
  <c r="K147" i="7"/>
  <c r="J147" i="7"/>
  <c r="I147" i="7"/>
  <c r="H147" i="7"/>
  <c r="F147" i="7"/>
  <c r="K146" i="7"/>
  <c r="J146" i="7"/>
  <c r="I146" i="7"/>
  <c r="H146" i="7"/>
  <c r="F146" i="7"/>
  <c r="C145" i="7"/>
  <c r="V144" i="7"/>
  <c r="T144" i="7"/>
  <c r="K151" i="7" s="1"/>
  <c r="R144" i="7"/>
  <c r="K150" i="7" s="1"/>
  <c r="U144" i="7"/>
  <c r="S144" i="7"/>
  <c r="I151" i="7" s="1"/>
  <c r="Q144" i="7"/>
  <c r="I150" i="7" s="1"/>
  <c r="E144" i="7"/>
  <c r="D144" i="7"/>
  <c r="B144" i="7"/>
  <c r="H141" i="7"/>
  <c r="J141" i="7"/>
  <c r="I139" i="7"/>
  <c r="H139" i="7"/>
  <c r="E139" i="7"/>
  <c r="J138" i="7"/>
  <c r="E138" i="7"/>
  <c r="J137" i="7"/>
  <c r="E137" i="7"/>
  <c r="K136" i="7"/>
  <c r="J136" i="7"/>
  <c r="I136" i="7"/>
  <c r="H136" i="7"/>
  <c r="F136" i="7"/>
  <c r="K135" i="7"/>
  <c r="J135" i="7"/>
  <c r="I135" i="7"/>
  <c r="H135" i="7"/>
  <c r="F135" i="7"/>
  <c r="C134" i="7"/>
  <c r="V133" i="7"/>
  <c r="T133" i="7"/>
  <c r="K138" i="7" s="1"/>
  <c r="R133" i="7"/>
  <c r="K137" i="7" s="1"/>
  <c r="U133" i="7"/>
  <c r="S133" i="7"/>
  <c r="I138" i="7" s="1"/>
  <c r="Q133" i="7"/>
  <c r="I137" i="7" s="1"/>
  <c r="E133" i="7"/>
  <c r="D133" i="7"/>
  <c r="B133" i="7"/>
  <c r="H130" i="7"/>
  <c r="J130" i="7"/>
  <c r="I128" i="7"/>
  <c r="H128" i="7"/>
  <c r="E128" i="7"/>
  <c r="J127" i="7"/>
  <c r="E127" i="7"/>
  <c r="K126" i="7"/>
  <c r="J126" i="7"/>
  <c r="I126" i="7"/>
  <c r="E126" i="7"/>
  <c r="K125" i="7"/>
  <c r="J125" i="7"/>
  <c r="I125" i="7"/>
  <c r="H125" i="7"/>
  <c r="F125" i="7"/>
  <c r="K124" i="7"/>
  <c r="J124" i="7"/>
  <c r="I124" i="7"/>
  <c r="H124" i="7"/>
  <c r="F124" i="7"/>
  <c r="K123" i="7"/>
  <c r="J123" i="7"/>
  <c r="I123" i="7"/>
  <c r="H123" i="7"/>
  <c r="F123" i="7"/>
  <c r="V122" i="7"/>
  <c r="T122" i="7"/>
  <c r="K127" i="7" s="1"/>
  <c r="R122" i="7"/>
  <c r="U122" i="7"/>
  <c r="S122" i="7"/>
  <c r="I127" i="7" s="1"/>
  <c r="Q122" i="7"/>
  <c r="E122" i="7"/>
  <c r="D122" i="7"/>
  <c r="B122" i="7"/>
  <c r="H119" i="7"/>
  <c r="J119" i="7"/>
  <c r="I117" i="7"/>
  <c r="H117" i="7"/>
  <c r="E117" i="7"/>
  <c r="J116" i="7"/>
  <c r="E116" i="7"/>
  <c r="J115" i="7"/>
  <c r="E115" i="7"/>
  <c r="K114" i="7"/>
  <c r="J114" i="7"/>
  <c r="I114" i="7"/>
  <c r="H114" i="7"/>
  <c r="F114" i="7"/>
  <c r="K113" i="7"/>
  <c r="J113" i="7"/>
  <c r="I113" i="7"/>
  <c r="H113" i="7"/>
  <c r="F113" i="7"/>
  <c r="K112" i="7"/>
  <c r="J112" i="7"/>
  <c r="I112" i="7"/>
  <c r="H112" i="7"/>
  <c r="F112" i="7"/>
  <c r="C111" i="7"/>
  <c r="V110" i="7"/>
  <c r="T110" i="7"/>
  <c r="K116" i="7" s="1"/>
  <c r="R110" i="7"/>
  <c r="K115" i="7" s="1"/>
  <c r="U110" i="7"/>
  <c r="S110" i="7"/>
  <c r="I116" i="7" s="1"/>
  <c r="Q110" i="7"/>
  <c r="I115" i="7" s="1"/>
  <c r="E110" i="7"/>
  <c r="D110" i="7"/>
  <c r="B110" i="7"/>
  <c r="H107" i="7"/>
  <c r="J107" i="7"/>
  <c r="I105" i="7"/>
  <c r="H105" i="7"/>
  <c r="E105" i="7"/>
  <c r="J104" i="7"/>
  <c r="E104" i="7"/>
  <c r="J103" i="7"/>
  <c r="E103" i="7"/>
  <c r="K102" i="7"/>
  <c r="J102" i="7"/>
  <c r="I102" i="7"/>
  <c r="H102" i="7"/>
  <c r="F102" i="7"/>
  <c r="V101" i="7"/>
  <c r="T101" i="7"/>
  <c r="K104" i="7" s="1"/>
  <c r="R101" i="7"/>
  <c r="K103" i="7" s="1"/>
  <c r="U101" i="7"/>
  <c r="S101" i="7"/>
  <c r="I104" i="7" s="1"/>
  <c r="Q101" i="7"/>
  <c r="I103" i="7" s="1"/>
  <c r="E101" i="7"/>
  <c r="D101" i="7"/>
  <c r="B101" i="7"/>
  <c r="H98" i="7"/>
  <c r="J98" i="7"/>
  <c r="I96" i="7"/>
  <c r="H96" i="7"/>
  <c r="E96" i="7"/>
  <c r="J95" i="7"/>
  <c r="E95" i="7"/>
  <c r="K94" i="7"/>
  <c r="J94" i="7"/>
  <c r="E94" i="7"/>
  <c r="K93" i="7"/>
  <c r="J93" i="7"/>
  <c r="I93" i="7"/>
  <c r="H93" i="7"/>
  <c r="F93" i="7"/>
  <c r="V92" i="7"/>
  <c r="T92" i="7"/>
  <c r="K95" i="7" s="1"/>
  <c r="R92" i="7"/>
  <c r="U92" i="7"/>
  <c r="S92" i="7"/>
  <c r="I95" i="7" s="1"/>
  <c r="Q92" i="7"/>
  <c r="I94" i="7" s="1"/>
  <c r="E92" i="7"/>
  <c r="D92" i="7"/>
  <c r="B92" i="7"/>
  <c r="H89" i="7"/>
  <c r="J89" i="7"/>
  <c r="I87" i="7"/>
  <c r="H87" i="7"/>
  <c r="E87" i="7"/>
  <c r="J86" i="7"/>
  <c r="E86" i="7"/>
  <c r="J85" i="7"/>
  <c r="E85" i="7"/>
  <c r="K84" i="7"/>
  <c r="J84" i="7"/>
  <c r="I84" i="7"/>
  <c r="H84" i="7"/>
  <c r="F84" i="7"/>
  <c r="K83" i="7"/>
  <c r="J83" i="7"/>
  <c r="I83" i="7"/>
  <c r="H83" i="7"/>
  <c r="F83" i="7"/>
  <c r="K82" i="7"/>
  <c r="J82" i="7"/>
  <c r="I82" i="7"/>
  <c r="H82" i="7"/>
  <c r="F82" i="7"/>
  <c r="V81" i="7"/>
  <c r="T81" i="7"/>
  <c r="K86" i="7" s="1"/>
  <c r="R81" i="7"/>
  <c r="K85" i="7" s="1"/>
  <c r="U81" i="7"/>
  <c r="S81" i="7"/>
  <c r="I86" i="7" s="1"/>
  <c r="Q81" i="7"/>
  <c r="I85" i="7" s="1"/>
  <c r="E81" i="7"/>
  <c r="D81" i="7"/>
  <c r="B81" i="7"/>
  <c r="H78" i="7"/>
  <c r="J78" i="7"/>
  <c r="I76" i="7"/>
  <c r="H76" i="7"/>
  <c r="E76" i="7"/>
  <c r="K75" i="7"/>
  <c r="J75" i="7"/>
  <c r="I75" i="7"/>
  <c r="E75" i="7"/>
  <c r="J74" i="7"/>
  <c r="E74" i="7"/>
  <c r="K73" i="7"/>
  <c r="J73" i="7"/>
  <c r="I73" i="7"/>
  <c r="H73" i="7"/>
  <c r="F73" i="7"/>
  <c r="K72" i="7"/>
  <c r="J72" i="7"/>
  <c r="I72" i="7"/>
  <c r="H72" i="7"/>
  <c r="F72" i="7"/>
  <c r="C71" i="7"/>
  <c r="V70" i="7"/>
  <c r="T70" i="7"/>
  <c r="R70" i="7"/>
  <c r="K74" i="7" s="1"/>
  <c r="U70" i="7"/>
  <c r="S70" i="7"/>
  <c r="Q70" i="7"/>
  <c r="I74" i="7" s="1"/>
  <c r="E70" i="7"/>
  <c r="D70" i="7"/>
  <c r="B70" i="7"/>
  <c r="H67" i="7"/>
  <c r="J67" i="7"/>
  <c r="I65" i="7"/>
  <c r="H65" i="7"/>
  <c r="E65" i="7"/>
  <c r="J64" i="7"/>
  <c r="E64" i="7"/>
  <c r="J63" i="7"/>
  <c r="E63" i="7"/>
  <c r="K62" i="7"/>
  <c r="J62" i="7"/>
  <c r="I62" i="7"/>
  <c r="H62" i="7"/>
  <c r="F62" i="7"/>
  <c r="K61" i="7"/>
  <c r="J61" i="7"/>
  <c r="I61" i="7"/>
  <c r="H61" i="7"/>
  <c r="F61" i="7"/>
  <c r="V60" i="7"/>
  <c r="T60" i="7"/>
  <c r="K64" i="7" s="1"/>
  <c r="R60" i="7"/>
  <c r="K63" i="7" s="1"/>
  <c r="U60" i="7"/>
  <c r="S60" i="7"/>
  <c r="I64" i="7" s="1"/>
  <c r="Q60" i="7"/>
  <c r="I63" i="7" s="1"/>
  <c r="E60" i="7"/>
  <c r="D60" i="7"/>
  <c r="B60" i="7"/>
  <c r="H57" i="7"/>
  <c r="J57" i="7"/>
  <c r="I55" i="7"/>
  <c r="H55" i="7"/>
  <c r="E55" i="7"/>
  <c r="J54" i="7"/>
  <c r="E54" i="7"/>
  <c r="J53" i="7"/>
  <c r="E53" i="7"/>
  <c r="K52" i="7"/>
  <c r="J52" i="7"/>
  <c r="I52" i="7"/>
  <c r="H52" i="7"/>
  <c r="F52" i="7"/>
  <c r="K51" i="7"/>
  <c r="J51" i="7"/>
  <c r="I51" i="7"/>
  <c r="H51" i="7"/>
  <c r="F51" i="7"/>
  <c r="V50" i="7"/>
  <c r="T50" i="7"/>
  <c r="K54" i="7" s="1"/>
  <c r="R50" i="7"/>
  <c r="K53" i="7" s="1"/>
  <c r="U50" i="7"/>
  <c r="S50" i="7"/>
  <c r="I54" i="7" s="1"/>
  <c r="Q50" i="7"/>
  <c r="I53" i="7" s="1"/>
  <c r="E50" i="7"/>
  <c r="D50" i="7"/>
  <c r="B50" i="7"/>
  <c r="H47" i="7"/>
  <c r="J47" i="7"/>
  <c r="I45" i="7"/>
  <c r="H45" i="7"/>
  <c r="E45" i="7"/>
  <c r="J44" i="7"/>
  <c r="E44" i="7"/>
  <c r="J43" i="7"/>
  <c r="E43" i="7"/>
  <c r="K42" i="7"/>
  <c r="J42" i="7"/>
  <c r="I42" i="7"/>
  <c r="H42" i="7"/>
  <c r="F42" i="7"/>
  <c r="K41" i="7"/>
  <c r="J41" i="7"/>
  <c r="I41" i="7"/>
  <c r="H41" i="7"/>
  <c r="F41" i="7"/>
  <c r="K40" i="7"/>
  <c r="J40" i="7"/>
  <c r="I40" i="7"/>
  <c r="H40" i="7"/>
  <c r="F40" i="7"/>
  <c r="V39" i="7"/>
  <c r="T39" i="7"/>
  <c r="K44" i="7" s="1"/>
  <c r="R39" i="7"/>
  <c r="K43" i="7" s="1"/>
  <c r="U39" i="7"/>
  <c r="S39" i="7"/>
  <c r="I44" i="7" s="1"/>
  <c r="Q39" i="7"/>
  <c r="I43" i="7" s="1"/>
  <c r="E39" i="7"/>
  <c r="D39" i="7"/>
  <c r="B39" i="7"/>
  <c r="A38" i="7"/>
  <c r="A36" i="7"/>
  <c r="A18" i="7"/>
  <c r="A13" i="7"/>
  <c r="G6" i="7"/>
  <c r="B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1" i="3"/>
  <c r="Y1" i="3"/>
  <c r="CU1" i="3"/>
  <c r="CY1" i="3"/>
  <c r="CZ1" i="3"/>
  <c r="DA1" i="3"/>
  <c r="DB1" i="3"/>
  <c r="DC1" i="3"/>
  <c r="A2" i="3"/>
  <c r="Y2" i="3"/>
  <c r="CV2" i="3" s="1"/>
  <c r="CU2" i="3"/>
  <c r="CY2" i="3"/>
  <c r="CZ2" i="3"/>
  <c r="DA2" i="3"/>
  <c r="DB2" i="3"/>
  <c r="DC2" i="3"/>
  <c r="A3" i="3"/>
  <c r="Y3" i="3"/>
  <c r="CV3" i="3" s="1"/>
  <c r="CU3" i="3"/>
  <c r="CY3" i="3"/>
  <c r="CZ3" i="3"/>
  <c r="DA3" i="3"/>
  <c r="DB3" i="3"/>
  <c r="DC3" i="3"/>
  <c r="A4" i="3"/>
  <c r="Y4" i="3"/>
  <c r="CU4" i="3"/>
  <c r="CV4" i="3"/>
  <c r="CX4" i="3"/>
  <c r="CY4" i="3"/>
  <c r="CZ4" i="3"/>
  <c r="DA4" i="3"/>
  <c r="DB4" i="3"/>
  <c r="DC4" i="3"/>
  <c r="A5" i="3"/>
  <c r="Y5" i="3"/>
  <c r="CX5" i="3" s="1"/>
  <c r="CU5" i="3"/>
  <c r="CV5" i="3"/>
  <c r="CY5" i="3"/>
  <c r="CZ5" i="3"/>
  <c r="DB5" i="3" s="1"/>
  <c r="DA5" i="3"/>
  <c r="DC5" i="3"/>
  <c r="A6" i="3"/>
  <c r="Y6" i="3"/>
  <c r="CW6" i="3"/>
  <c r="CX6" i="3"/>
  <c r="DF6" i="3" s="1"/>
  <c r="CY6" i="3"/>
  <c r="CZ6" i="3"/>
  <c r="DA6" i="3"/>
  <c r="DB6" i="3"/>
  <c r="DC6" i="3"/>
  <c r="DH6" i="3"/>
  <c r="DI6" i="3"/>
  <c r="A7" i="3"/>
  <c r="Y7" i="3"/>
  <c r="CW7" i="3" s="1"/>
  <c r="CY7" i="3"/>
  <c r="CZ7" i="3"/>
  <c r="DB7" i="3" s="1"/>
  <c r="DA7" i="3"/>
  <c r="DC7" i="3"/>
  <c r="A8" i="3"/>
  <c r="Y8" i="3"/>
  <c r="CX8" i="3" s="1"/>
  <c r="DH8" i="3" s="1"/>
  <c r="CY8" i="3"/>
  <c r="CZ8" i="3"/>
  <c r="DB8" i="3" s="1"/>
  <c r="DA8" i="3"/>
  <c r="DC8" i="3"/>
  <c r="DF8" i="3"/>
  <c r="DJ8" i="3" s="1"/>
  <c r="DG8" i="3"/>
  <c r="DI8" i="3"/>
  <c r="A9" i="3"/>
  <c r="Y9" i="3"/>
  <c r="CX9" i="3"/>
  <c r="DG9" i="3" s="1"/>
  <c r="CY9" i="3"/>
  <c r="CZ9" i="3"/>
  <c r="DA9" i="3"/>
  <c r="DB9" i="3"/>
  <c r="DC9" i="3"/>
  <c r="DF9" i="3"/>
  <c r="DJ9" i="3" s="1"/>
  <c r="DI9" i="3"/>
  <c r="A10" i="3"/>
  <c r="Y10" i="3"/>
  <c r="CX10" i="3" s="1"/>
  <c r="CY10" i="3"/>
  <c r="CZ10" i="3"/>
  <c r="DA10" i="3"/>
  <c r="DB10" i="3"/>
  <c r="DC10" i="3"/>
  <c r="A11" i="3"/>
  <c r="Y11" i="3"/>
  <c r="CX11" i="3" s="1"/>
  <c r="CY11" i="3"/>
  <c r="CZ11" i="3"/>
  <c r="DA11" i="3"/>
  <c r="DB11" i="3"/>
  <c r="DC11" i="3"/>
  <c r="A12" i="3"/>
  <c r="Y12" i="3"/>
  <c r="CX12" i="3" s="1"/>
  <c r="CY12" i="3"/>
  <c r="CZ12" i="3"/>
  <c r="DA12" i="3"/>
  <c r="DB12" i="3"/>
  <c r="DC12" i="3"/>
  <c r="A13" i="3"/>
  <c r="Y13" i="3"/>
  <c r="CX13" i="3" s="1"/>
  <c r="CY13" i="3"/>
  <c r="CZ13" i="3"/>
  <c r="DA13" i="3"/>
  <c r="DB13" i="3"/>
  <c r="DC13" i="3"/>
  <c r="A14" i="3"/>
  <c r="Y14" i="3"/>
  <c r="CV14" i="3" s="1"/>
  <c r="CU14" i="3"/>
  <c r="CY14" i="3"/>
  <c r="CZ14" i="3"/>
  <c r="DB14" i="3" s="1"/>
  <c r="DA14" i="3"/>
  <c r="DC14" i="3"/>
  <c r="A15" i="3"/>
  <c r="Y15" i="3"/>
  <c r="CW15" i="3"/>
  <c r="CX15" i="3"/>
  <c r="DF15" i="3" s="1"/>
  <c r="CY15" i="3"/>
  <c r="CZ15" i="3"/>
  <c r="DA15" i="3"/>
  <c r="DB15" i="3"/>
  <c r="DC15" i="3"/>
  <c r="DH15" i="3"/>
  <c r="DI15" i="3"/>
  <c r="A16" i="3"/>
  <c r="Y16" i="3"/>
  <c r="CX16" i="3" s="1"/>
  <c r="DF16" i="3" s="1"/>
  <c r="CW16" i="3"/>
  <c r="CY16" i="3"/>
  <c r="CZ16" i="3"/>
  <c r="DA16" i="3"/>
  <c r="DB16" i="3"/>
  <c r="DC16" i="3"/>
  <c r="DG16" i="3"/>
  <c r="DJ16" i="3" s="1"/>
  <c r="DH16" i="3"/>
  <c r="A17" i="3"/>
  <c r="Y17" i="3"/>
  <c r="CX17" i="3"/>
  <c r="CY17" i="3"/>
  <c r="CZ17" i="3"/>
  <c r="DB17" i="3" s="1"/>
  <c r="DA17" i="3"/>
  <c r="DC17" i="3"/>
  <c r="A18" i="3"/>
  <c r="Y18" i="3"/>
  <c r="CX18" i="3" s="1"/>
  <c r="CY18" i="3"/>
  <c r="CZ18" i="3"/>
  <c r="DB18" i="3" s="1"/>
  <c r="DA18" i="3"/>
  <c r="DC18" i="3"/>
  <c r="A19" i="3"/>
  <c r="Y19" i="3"/>
  <c r="CX19" i="3" s="1"/>
  <c r="CY19" i="3"/>
  <c r="CZ19" i="3"/>
  <c r="DB19" i="3" s="1"/>
  <c r="DA19" i="3"/>
  <c r="DC19" i="3"/>
  <c r="A20" i="3"/>
  <c r="Y20" i="3"/>
  <c r="CX20" i="3" s="1"/>
  <c r="CY20" i="3"/>
  <c r="CZ20" i="3"/>
  <c r="DB20" i="3" s="1"/>
  <c r="DA20" i="3"/>
  <c r="DC20" i="3"/>
  <c r="A21" i="3"/>
  <c r="Y21" i="3"/>
  <c r="CX21" i="3" s="1"/>
  <c r="CY21" i="3"/>
  <c r="CZ21" i="3"/>
  <c r="DB21" i="3" s="1"/>
  <c r="DA21" i="3"/>
  <c r="DC21" i="3"/>
  <c r="A22" i="3"/>
  <c r="Y22" i="3"/>
  <c r="CX22" i="3" s="1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A26" i="3"/>
  <c r="DB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V35" i="3" s="1"/>
  <c r="CU35" i="3"/>
  <c r="CX35" i="3"/>
  <c r="DG35" i="3" s="1"/>
  <c r="CY35" i="3"/>
  <c r="CZ35" i="3"/>
  <c r="DB35" i="3" s="1"/>
  <c r="DA35" i="3"/>
  <c r="DC35" i="3"/>
  <c r="DF35" i="3"/>
  <c r="DH35" i="3"/>
  <c r="A36" i="3"/>
  <c r="Y36" i="3"/>
  <c r="CU36" i="3"/>
  <c r="CV36" i="3"/>
  <c r="CX36" i="3"/>
  <c r="DG36" i="3" s="1"/>
  <c r="CY36" i="3"/>
  <c r="CZ36" i="3"/>
  <c r="DB36" i="3" s="1"/>
  <c r="DA36" i="3"/>
  <c r="DC36" i="3"/>
  <c r="DF36" i="3"/>
  <c r="DI36" i="3"/>
  <c r="DJ36" i="3" s="1"/>
  <c r="A37" i="3"/>
  <c r="Y37" i="3"/>
  <c r="CV37" i="3" s="1"/>
  <c r="CU37" i="3"/>
  <c r="CY37" i="3"/>
  <c r="CZ37" i="3"/>
  <c r="DB37" i="3" s="1"/>
  <c r="DA37" i="3"/>
  <c r="DC37" i="3"/>
  <c r="A38" i="3"/>
  <c r="Y38" i="3"/>
  <c r="CX38" i="3" s="1"/>
  <c r="DG38" i="3" s="1"/>
  <c r="CY38" i="3"/>
  <c r="CZ38" i="3"/>
  <c r="DB38" i="3" s="1"/>
  <c r="DA38" i="3"/>
  <c r="DC38" i="3"/>
  <c r="DF38" i="3"/>
  <c r="DJ38" i="3" s="1"/>
  <c r="DI38" i="3"/>
  <c r="A39" i="3"/>
  <c r="Y39" i="3"/>
  <c r="CX39" i="3"/>
  <c r="DF39" i="3" s="1"/>
  <c r="DJ39" i="3" s="1"/>
  <c r="CY39" i="3"/>
  <c r="CZ39" i="3"/>
  <c r="DB39" i="3" s="1"/>
  <c r="DA39" i="3"/>
  <c r="DC39" i="3"/>
  <c r="DH39" i="3"/>
  <c r="DI39" i="3"/>
  <c r="A40" i="3"/>
  <c r="Y40" i="3"/>
  <c r="CX40" i="3" s="1"/>
  <c r="CU40" i="3"/>
  <c r="CV40" i="3"/>
  <c r="CY40" i="3"/>
  <c r="CZ40" i="3"/>
  <c r="DB40" i="3" s="1"/>
  <c r="DA40" i="3"/>
  <c r="DC40" i="3"/>
  <c r="A41" i="3"/>
  <c r="Y41" i="3"/>
  <c r="CX41" i="3" s="1"/>
  <c r="CY41" i="3"/>
  <c r="CZ41" i="3"/>
  <c r="DB41" i="3" s="1"/>
  <c r="DA41" i="3"/>
  <c r="DC41" i="3"/>
  <c r="A42" i="3"/>
  <c r="Y42" i="3"/>
  <c r="CX42" i="3" s="1"/>
  <c r="CY42" i="3"/>
  <c r="CZ42" i="3"/>
  <c r="DB42" i="3" s="1"/>
  <c r="DA42" i="3"/>
  <c r="DC42" i="3"/>
  <c r="A43" i="3"/>
  <c r="Y43" i="3"/>
  <c r="CU43" i="3"/>
  <c r="CY43" i="3"/>
  <c r="CZ43" i="3"/>
  <c r="DA43" i="3"/>
  <c r="DB43" i="3"/>
  <c r="DC43" i="3"/>
  <c r="A44" i="3"/>
  <c r="Y44" i="3"/>
  <c r="CX44" i="3" s="1"/>
  <c r="DH44" i="3" s="1"/>
  <c r="CU44" i="3"/>
  <c r="CY44" i="3"/>
  <c r="CZ44" i="3"/>
  <c r="DB44" i="3" s="1"/>
  <c r="DA44" i="3"/>
  <c r="DC44" i="3"/>
  <c r="DF44" i="3"/>
  <c r="DG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B47" i="3" s="1"/>
  <c r="DA47" i="3"/>
  <c r="DC47" i="3"/>
  <c r="A48" i="3"/>
  <c r="Y48" i="3"/>
  <c r="CY48" i="3"/>
  <c r="CZ48" i="3"/>
  <c r="DB48" i="3" s="1"/>
  <c r="DA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B53" i="3" s="1"/>
  <c r="DA53" i="3"/>
  <c r="DC53" i="3"/>
  <c r="A54" i="3"/>
  <c r="Y54" i="3"/>
  <c r="CY54" i="3"/>
  <c r="CZ54" i="3"/>
  <c r="DB54" i="3" s="1"/>
  <c r="DA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X57" i="3" s="1"/>
  <c r="CU57" i="3"/>
  <c r="CV57" i="3"/>
  <c r="CY57" i="3"/>
  <c r="CZ57" i="3"/>
  <c r="DA57" i="3"/>
  <c r="DB57" i="3"/>
  <c r="DC57" i="3"/>
  <c r="A58" i="3"/>
  <c r="Y58" i="3"/>
  <c r="CU58" i="3"/>
  <c r="CV58" i="3"/>
  <c r="CX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A66" i="3"/>
  <c r="DB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B85" i="3" s="1"/>
  <c r="DA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B92" i="3" s="1"/>
  <c r="DA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U95" i="3"/>
  <c r="CV95" i="3"/>
  <c r="CX95" i="3"/>
  <c r="DF95" i="3" s="1"/>
  <c r="CY95" i="3"/>
  <c r="CZ95" i="3"/>
  <c r="DA95" i="3"/>
  <c r="DB95" i="3"/>
  <c r="DC95" i="3"/>
  <c r="DG95" i="3"/>
  <c r="A96" i="3"/>
  <c r="Y96" i="3"/>
  <c r="CW96" i="3" s="1"/>
  <c r="CX96" i="3"/>
  <c r="DG96" i="3" s="1"/>
  <c r="CY96" i="3"/>
  <c r="CZ96" i="3"/>
  <c r="DB96" i="3" s="1"/>
  <c r="DA96" i="3"/>
  <c r="DC96" i="3"/>
  <c r="DF96" i="3"/>
  <c r="DI96" i="3"/>
  <c r="DJ96" i="3"/>
  <c r="A97" i="3"/>
  <c r="Y97" i="3"/>
  <c r="CW97" i="3" s="1"/>
  <c r="CX97" i="3"/>
  <c r="CY97" i="3"/>
  <c r="CZ97" i="3"/>
  <c r="DA97" i="3"/>
  <c r="DB97" i="3"/>
  <c r="DC97" i="3"/>
  <c r="DG97" i="3"/>
  <c r="DJ97" i="3" s="1"/>
  <c r="A98" i="3"/>
  <c r="Y98" i="3"/>
  <c r="CX98" i="3"/>
  <c r="CY98" i="3"/>
  <c r="CZ98" i="3"/>
  <c r="DA98" i="3"/>
  <c r="DB98" i="3"/>
  <c r="DC98" i="3"/>
  <c r="DG98" i="3"/>
  <c r="DI98" i="3"/>
  <c r="A99" i="3"/>
  <c r="Y99" i="3"/>
  <c r="CX99" i="3" s="1"/>
  <c r="CU99" i="3"/>
  <c r="CV99" i="3"/>
  <c r="CY99" i="3"/>
  <c r="CZ99" i="3"/>
  <c r="DB99" i="3" s="1"/>
  <c r="DA99" i="3"/>
  <c r="DC99" i="3"/>
  <c r="DF99" i="3"/>
  <c r="A100" i="3"/>
  <c r="Y100" i="3"/>
  <c r="CW100" i="3" s="1"/>
  <c r="CX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X102" i="3" s="1"/>
  <c r="DH102" i="3" s="1"/>
  <c r="CY102" i="3"/>
  <c r="CZ102" i="3"/>
  <c r="DB102" i="3" s="1"/>
  <c r="DA102" i="3"/>
  <c r="DC102" i="3"/>
  <c r="DF102" i="3"/>
  <c r="DJ102" i="3" s="1"/>
  <c r="DG102" i="3"/>
  <c r="A103" i="3"/>
  <c r="Y103" i="3"/>
  <c r="CY103" i="3"/>
  <c r="CZ103" i="3"/>
  <c r="DA103" i="3"/>
  <c r="DB103" i="3"/>
  <c r="DC103" i="3"/>
  <c r="A104" i="3"/>
  <c r="Y104" i="3"/>
  <c r="CY104" i="3"/>
  <c r="CZ104" i="3"/>
  <c r="DB104" i="3" s="1"/>
  <c r="DA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B111" i="3" s="1"/>
  <c r="DA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A114" i="3"/>
  <c r="DB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B117" i="3" s="1"/>
  <c r="DA117" i="3"/>
  <c r="DC117" i="3"/>
  <c r="A118" i="3"/>
  <c r="Y118" i="3"/>
  <c r="CY118" i="3"/>
  <c r="CZ118" i="3"/>
  <c r="DB118" i="3" s="1"/>
  <c r="DA118" i="3"/>
  <c r="DC118" i="3"/>
  <c r="A119" i="3"/>
  <c r="Y119" i="3"/>
  <c r="CU119" i="3"/>
  <c r="CV119" i="3"/>
  <c r="CX119" i="3"/>
  <c r="DI119" i="3" s="1"/>
  <c r="DJ119" i="3" s="1"/>
  <c r="CY119" i="3"/>
  <c r="CZ119" i="3"/>
  <c r="DB119" i="3" s="1"/>
  <c r="DA119" i="3"/>
  <c r="DC119" i="3"/>
  <c r="DF119" i="3"/>
  <c r="DG119" i="3"/>
  <c r="DH119" i="3"/>
  <c r="A120" i="3"/>
  <c r="Y120" i="3"/>
  <c r="CU120" i="3"/>
  <c r="CV120" i="3"/>
  <c r="CX120" i="3"/>
  <c r="CY120" i="3"/>
  <c r="CZ120" i="3"/>
  <c r="DB120" i="3" s="1"/>
  <c r="DA120" i="3"/>
  <c r="DC120" i="3"/>
  <c r="A121" i="3"/>
  <c r="Y121" i="3"/>
  <c r="CV121" i="3" s="1"/>
  <c r="CU121" i="3"/>
  <c r="CY121" i="3"/>
  <c r="CZ121" i="3"/>
  <c r="DB121" i="3" s="1"/>
  <c r="DA121" i="3"/>
  <c r="DC121" i="3"/>
  <c r="A122" i="3"/>
  <c r="Y122" i="3"/>
  <c r="CU122" i="3"/>
  <c r="CV122" i="3"/>
  <c r="CX122" i="3"/>
  <c r="CY122" i="3"/>
  <c r="CZ122" i="3"/>
  <c r="DB122" i="3" s="1"/>
  <c r="DA122" i="3"/>
  <c r="DC122" i="3"/>
  <c r="DH122" i="3"/>
  <c r="A123" i="3"/>
  <c r="Y123" i="3"/>
  <c r="CX123" i="3" s="1"/>
  <c r="DF123" i="3" s="1"/>
  <c r="CU123" i="3"/>
  <c r="CV123" i="3"/>
  <c r="CY123" i="3"/>
  <c r="CZ123" i="3"/>
  <c r="DB123" i="3" s="1"/>
  <c r="DA123" i="3"/>
  <c r="DC123" i="3"/>
  <c r="A124" i="3"/>
  <c r="Y124" i="3"/>
  <c r="CW124" i="3" s="1"/>
  <c r="CY124" i="3"/>
  <c r="CZ124" i="3"/>
  <c r="DA124" i="3"/>
  <c r="DB124" i="3"/>
  <c r="DC124" i="3"/>
  <c r="A125" i="3"/>
  <c r="Y125" i="3"/>
  <c r="CX125" i="3" s="1"/>
  <c r="CW125" i="3"/>
  <c r="CY125" i="3"/>
  <c r="CZ125" i="3"/>
  <c r="DB125" i="3" s="1"/>
  <c r="DA125" i="3"/>
  <c r="DC125" i="3"/>
  <c r="A126" i="3"/>
  <c r="Y126" i="3"/>
  <c r="CX126" i="3" s="1"/>
  <c r="CY126" i="3"/>
  <c r="CZ126" i="3"/>
  <c r="DB126" i="3" s="1"/>
  <c r="DA126" i="3"/>
  <c r="DC126" i="3"/>
  <c r="DI126" i="3"/>
  <c r="A127" i="3"/>
  <c r="Y127" i="3"/>
  <c r="CX127" i="3" s="1"/>
  <c r="CY127" i="3"/>
  <c r="CZ127" i="3"/>
  <c r="DB127" i="3" s="1"/>
  <c r="DA127" i="3"/>
  <c r="DC127" i="3"/>
  <c r="DH127" i="3"/>
  <c r="DI127" i="3"/>
  <c r="A128" i="3"/>
  <c r="Y128" i="3"/>
  <c r="CX128" i="3" s="1"/>
  <c r="CY128" i="3"/>
  <c r="CZ128" i="3"/>
  <c r="DB128" i="3" s="1"/>
  <c r="DA128" i="3"/>
  <c r="DC128" i="3"/>
  <c r="DH128" i="3"/>
  <c r="DI128" i="3"/>
  <c r="A129" i="3"/>
  <c r="Y129" i="3"/>
  <c r="CX129" i="3" s="1"/>
  <c r="CY129" i="3"/>
  <c r="CZ129" i="3"/>
  <c r="DB129" i="3" s="1"/>
  <c r="DA129" i="3"/>
  <c r="DC129" i="3"/>
  <c r="DH129" i="3"/>
  <c r="A130" i="3"/>
  <c r="Y130" i="3"/>
  <c r="CX130" i="3" s="1"/>
  <c r="DF130" i="3" s="1"/>
  <c r="DJ130" i="3" s="1"/>
  <c r="CY130" i="3"/>
  <c r="CZ130" i="3"/>
  <c r="DB130" i="3" s="1"/>
  <c r="DA130" i="3"/>
  <c r="DC130" i="3"/>
  <c r="DG130" i="3"/>
  <c r="DH130" i="3"/>
  <c r="DI130" i="3"/>
  <c r="A131" i="3"/>
  <c r="Y131" i="3"/>
  <c r="CX131" i="3" s="1"/>
  <c r="CY131" i="3"/>
  <c r="CZ131" i="3"/>
  <c r="DA131" i="3"/>
  <c r="DB131" i="3"/>
  <c r="DC131" i="3"/>
  <c r="DF131" i="3"/>
  <c r="DG131" i="3"/>
  <c r="DH131" i="3"/>
  <c r="DI131" i="3"/>
  <c r="DJ131" i="3"/>
  <c r="A132" i="3"/>
  <c r="Y132" i="3"/>
  <c r="CX132" i="3"/>
  <c r="DF132" i="3" s="1"/>
  <c r="DJ132" i="3" s="1"/>
  <c r="CY132" i="3"/>
  <c r="CZ132" i="3"/>
  <c r="DA132" i="3"/>
  <c r="DB132" i="3"/>
  <c r="DC132" i="3"/>
  <c r="DI132" i="3"/>
  <c r="A133" i="3"/>
  <c r="Y133" i="3"/>
  <c r="CU133" i="3"/>
  <c r="CY133" i="3"/>
  <c r="CZ133" i="3"/>
  <c r="DB133" i="3" s="1"/>
  <c r="DA133" i="3"/>
  <c r="DC133" i="3"/>
  <c r="A134" i="3"/>
  <c r="Y134" i="3"/>
  <c r="CW134" i="3" s="1"/>
  <c r="CX134" i="3"/>
  <c r="DG134" i="3" s="1"/>
  <c r="DJ134" i="3" s="1"/>
  <c r="CY134" i="3"/>
  <c r="CZ134" i="3"/>
  <c r="DA134" i="3"/>
  <c r="DB134" i="3"/>
  <c r="DC134" i="3"/>
  <c r="DF134" i="3"/>
  <c r="DI134" i="3"/>
  <c r="A135" i="3"/>
  <c r="Y135" i="3"/>
  <c r="CW135" i="3" s="1"/>
  <c r="CY135" i="3"/>
  <c r="CZ135" i="3"/>
  <c r="DA135" i="3"/>
  <c r="DB135" i="3"/>
  <c r="DC135" i="3"/>
  <c r="A136" i="3"/>
  <c r="Y136" i="3"/>
  <c r="CX136" i="3"/>
  <c r="DG136" i="3" s="1"/>
  <c r="CY136" i="3"/>
  <c r="CZ136" i="3"/>
  <c r="DB136" i="3" s="1"/>
  <c r="DA136" i="3"/>
  <c r="DC136" i="3"/>
  <c r="DF136" i="3"/>
  <c r="DJ136" i="3" s="1"/>
  <c r="DI136" i="3"/>
  <c r="A137" i="3"/>
  <c r="Y137" i="3"/>
  <c r="CX137" i="3"/>
  <c r="DF137" i="3" s="1"/>
  <c r="DJ137" i="3" s="1"/>
  <c r="CY137" i="3"/>
  <c r="CZ137" i="3"/>
  <c r="DB137" i="3" s="1"/>
  <c r="DA137" i="3"/>
  <c r="DC137" i="3"/>
  <c r="DH137" i="3"/>
  <c r="DI137" i="3"/>
  <c r="A138" i="3"/>
  <c r="Y138" i="3"/>
  <c r="CX138" i="3"/>
  <c r="DF138" i="3" s="1"/>
  <c r="DJ138" i="3" s="1"/>
  <c r="CY138" i="3"/>
  <c r="CZ138" i="3"/>
  <c r="DA138" i="3"/>
  <c r="DB138" i="3"/>
  <c r="DC138" i="3"/>
  <c r="DG138" i="3"/>
  <c r="DH138" i="3"/>
  <c r="A139" i="3"/>
  <c r="Y139" i="3"/>
  <c r="CX139" i="3"/>
  <c r="CY139" i="3"/>
  <c r="CZ139" i="3"/>
  <c r="DB139" i="3" s="1"/>
  <c r="DA139" i="3"/>
  <c r="DC139" i="3"/>
  <c r="A140" i="3"/>
  <c r="Y140" i="3"/>
  <c r="CX140" i="3" s="1"/>
  <c r="CY140" i="3"/>
  <c r="CZ140" i="3"/>
  <c r="DB140" i="3" s="1"/>
  <c r="DA140" i="3"/>
  <c r="DC140" i="3"/>
  <c r="A141" i="3"/>
  <c r="Y141" i="3"/>
  <c r="CX141" i="3" s="1"/>
  <c r="CY141" i="3"/>
  <c r="CZ141" i="3"/>
  <c r="DA141" i="3"/>
  <c r="DB141" i="3"/>
  <c r="DC141" i="3"/>
  <c r="A142" i="3"/>
  <c r="Y142" i="3"/>
  <c r="CX142" i="3"/>
  <c r="DF142" i="3" s="1"/>
  <c r="DJ142" i="3" s="1"/>
  <c r="CY142" i="3"/>
  <c r="CZ142" i="3"/>
  <c r="DA142" i="3"/>
  <c r="DB142" i="3"/>
  <c r="DC142" i="3"/>
  <c r="DI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B148" i="3" s="1"/>
  <c r="DA148" i="3"/>
  <c r="DC148" i="3"/>
  <c r="A149" i="3"/>
  <c r="Y149" i="3"/>
  <c r="CY149" i="3"/>
  <c r="CZ149" i="3"/>
  <c r="DB149" i="3" s="1"/>
  <c r="DA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B153" i="3" s="1"/>
  <c r="DA153" i="3"/>
  <c r="DC153" i="3"/>
  <c r="A154" i="3"/>
  <c r="Y154" i="3"/>
  <c r="CY154" i="3"/>
  <c r="CZ154" i="3"/>
  <c r="DA154" i="3"/>
  <c r="DB154" i="3"/>
  <c r="DC154" i="3"/>
  <c r="A155" i="3"/>
  <c r="Y155" i="3"/>
  <c r="CV155" i="3" s="1"/>
  <c r="CU155" i="3"/>
  <c r="CY155" i="3"/>
  <c r="CZ155" i="3"/>
  <c r="DA155" i="3"/>
  <c r="DB155" i="3"/>
  <c r="DC155" i="3"/>
  <c r="A156" i="3"/>
  <c r="Y156" i="3"/>
  <c r="CX156" i="3" s="1"/>
  <c r="DG156" i="3" s="1"/>
  <c r="CU156" i="3"/>
  <c r="CV156" i="3"/>
  <c r="CY156" i="3"/>
  <c r="CZ156" i="3"/>
  <c r="DB156" i="3" s="1"/>
  <c r="DA156" i="3"/>
  <c r="DC156" i="3"/>
  <c r="A157" i="3"/>
  <c r="Y157" i="3"/>
  <c r="CX157" i="3" s="1"/>
  <c r="CU157" i="3"/>
  <c r="CV157" i="3"/>
  <c r="CY157" i="3"/>
  <c r="CZ157" i="3"/>
  <c r="DA157" i="3"/>
  <c r="DB157" i="3"/>
  <c r="DC157" i="3"/>
  <c r="DG157" i="3"/>
  <c r="A158" i="3"/>
  <c r="Y158" i="3"/>
  <c r="CX158" i="3"/>
  <c r="DG158" i="3" s="1"/>
  <c r="CY158" i="3"/>
  <c r="CZ158" i="3"/>
  <c r="DB158" i="3" s="1"/>
  <c r="DA158" i="3"/>
  <c r="DC158" i="3"/>
  <c r="DF158" i="3"/>
  <c r="DJ158" i="3" s="1"/>
  <c r="DI158" i="3"/>
  <c r="A159" i="3"/>
  <c r="Y159" i="3"/>
  <c r="CX159" i="3"/>
  <c r="DF159" i="3" s="1"/>
  <c r="DJ159" i="3" s="1"/>
  <c r="CY159" i="3"/>
  <c r="CZ159" i="3"/>
  <c r="DB159" i="3" s="1"/>
  <c r="DA159" i="3"/>
  <c r="DC159" i="3"/>
  <c r="DH159" i="3"/>
  <c r="DI159" i="3"/>
  <c r="A160" i="3"/>
  <c r="Y160" i="3"/>
  <c r="CX160" i="3" s="1"/>
  <c r="CU160" i="3"/>
  <c r="CV160" i="3"/>
  <c r="CY160" i="3"/>
  <c r="CZ160" i="3"/>
  <c r="DB160" i="3" s="1"/>
  <c r="DA160" i="3"/>
  <c r="DC160" i="3"/>
  <c r="A161" i="3"/>
  <c r="Y161" i="3"/>
  <c r="CX161" i="3"/>
  <c r="DF161" i="3" s="1"/>
  <c r="DJ161" i="3" s="1"/>
  <c r="CY161" i="3"/>
  <c r="CZ161" i="3"/>
  <c r="DA161" i="3"/>
  <c r="DB161" i="3"/>
  <c r="DC161" i="3"/>
  <c r="DG161" i="3"/>
  <c r="DH161" i="3"/>
  <c r="DI161" i="3"/>
  <c r="A162" i="3"/>
  <c r="Y162" i="3"/>
  <c r="CX162" i="3"/>
  <c r="CY162" i="3"/>
  <c r="CZ162" i="3"/>
  <c r="DA162" i="3"/>
  <c r="DB162" i="3"/>
  <c r="DC162" i="3"/>
  <c r="A163" i="3"/>
  <c r="Y163" i="3"/>
  <c r="CU163" i="3"/>
  <c r="CY163" i="3"/>
  <c r="CZ163" i="3"/>
  <c r="DA163" i="3"/>
  <c r="DB163" i="3"/>
  <c r="DC163" i="3"/>
  <c r="A164" i="3"/>
  <c r="Y164" i="3"/>
  <c r="CV164" i="3" s="1"/>
  <c r="CU164" i="3"/>
  <c r="CY164" i="3"/>
  <c r="CZ164" i="3"/>
  <c r="DB164" i="3" s="1"/>
  <c r="DA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B171" i="3" s="1"/>
  <c r="DA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B176" i="3" s="1"/>
  <c r="DA176" i="3"/>
  <c r="DC176" i="3"/>
  <c r="A177" i="3"/>
  <c r="Y177" i="3"/>
  <c r="CX177" i="3" s="1"/>
  <c r="DG177" i="3" s="1"/>
  <c r="CU177" i="3"/>
  <c r="CV177" i="3"/>
  <c r="CY177" i="3"/>
  <c r="CZ177" i="3"/>
  <c r="DA177" i="3"/>
  <c r="DB177" i="3"/>
  <c r="DC177" i="3"/>
  <c r="A178" i="3"/>
  <c r="Y178" i="3"/>
  <c r="CU178" i="3"/>
  <c r="CV178" i="3"/>
  <c r="CX178" i="3"/>
  <c r="DF178" i="3" s="1"/>
  <c r="CY178" i="3"/>
  <c r="CZ178" i="3"/>
  <c r="DA178" i="3"/>
  <c r="DB178" i="3"/>
  <c r="DC178" i="3"/>
  <c r="DG178" i="3"/>
  <c r="DH178" i="3"/>
  <c r="A179" i="3"/>
  <c r="Y179" i="3"/>
  <c r="CY179" i="3"/>
  <c r="CZ179" i="3"/>
  <c r="DA179" i="3"/>
  <c r="DB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A199" i="3"/>
  <c r="DB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A209" i="3"/>
  <c r="DB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B215" i="3" s="1"/>
  <c r="DA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B218" i="3" s="1"/>
  <c r="DA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U221" i="3"/>
  <c r="CY221" i="3"/>
  <c r="CZ221" i="3"/>
  <c r="DA221" i="3"/>
  <c r="DB221" i="3"/>
  <c r="DC221" i="3"/>
  <c r="A222" i="3"/>
  <c r="Y222" i="3"/>
  <c r="CX222" i="3" s="1"/>
  <c r="DI222" i="3" s="1"/>
  <c r="CW222" i="3"/>
  <c r="CY222" i="3"/>
  <c r="CZ222" i="3"/>
  <c r="DB222" i="3" s="1"/>
  <c r="DA222" i="3"/>
  <c r="DC222" i="3"/>
  <c r="A223" i="3"/>
  <c r="Y223" i="3"/>
  <c r="CW223" i="3" s="1"/>
  <c r="CX223" i="3"/>
  <c r="CY223" i="3"/>
  <c r="CZ223" i="3"/>
  <c r="DA223" i="3"/>
  <c r="DB223" i="3"/>
  <c r="DC223" i="3"/>
  <c r="A224" i="3"/>
  <c r="Y224" i="3"/>
  <c r="CX224" i="3"/>
  <c r="CY224" i="3"/>
  <c r="CZ224" i="3"/>
  <c r="DB224" i="3" s="1"/>
  <c r="DA224" i="3"/>
  <c r="DC224" i="3"/>
  <c r="A225" i="3"/>
  <c r="Y225" i="3"/>
  <c r="CX225" i="3" s="1"/>
  <c r="CY225" i="3"/>
  <c r="CZ225" i="3"/>
  <c r="DA225" i="3"/>
  <c r="DB225" i="3"/>
  <c r="DC225" i="3"/>
  <c r="DG225" i="3"/>
  <c r="A226" i="3"/>
  <c r="Y226" i="3"/>
  <c r="CX226" i="3"/>
  <c r="DF226" i="3" s="1"/>
  <c r="DJ226" i="3" s="1"/>
  <c r="CY226" i="3"/>
  <c r="CZ226" i="3"/>
  <c r="DB226" i="3" s="1"/>
  <c r="DA226" i="3"/>
  <c r="DC226" i="3"/>
  <c r="DI226" i="3"/>
  <c r="A227" i="3"/>
  <c r="Y227" i="3"/>
  <c r="CU227" i="3"/>
  <c r="CV227" i="3"/>
  <c r="CX227" i="3"/>
  <c r="DH227" i="3" s="1"/>
  <c r="CY227" i="3"/>
  <c r="CZ227" i="3"/>
  <c r="DB227" i="3" s="1"/>
  <c r="DA227" i="3"/>
  <c r="DC227" i="3"/>
  <c r="DG227" i="3"/>
  <c r="A228" i="3"/>
  <c r="Y228" i="3"/>
  <c r="CY228" i="3"/>
  <c r="CZ228" i="3"/>
  <c r="DA228" i="3"/>
  <c r="DB228" i="3"/>
  <c r="DC228" i="3"/>
  <c r="A229" i="3"/>
  <c r="Y229" i="3"/>
  <c r="CX229" i="3" s="1"/>
  <c r="DI229" i="3" s="1"/>
  <c r="CW229" i="3"/>
  <c r="CY229" i="3"/>
  <c r="CZ229" i="3"/>
  <c r="DB229" i="3" s="1"/>
  <c r="DA229" i="3"/>
  <c r="DC229" i="3"/>
  <c r="A230" i="3"/>
  <c r="Y230" i="3"/>
  <c r="CX230" i="3" s="1"/>
  <c r="CY230" i="3"/>
  <c r="CZ230" i="3"/>
  <c r="DA230" i="3"/>
  <c r="DB230" i="3"/>
  <c r="DC230" i="3"/>
  <c r="DG230" i="3"/>
  <c r="A231" i="3"/>
  <c r="Y231" i="3"/>
  <c r="CX231" i="3"/>
  <c r="CY231" i="3"/>
  <c r="CZ231" i="3"/>
  <c r="DA231" i="3"/>
  <c r="DB231" i="3"/>
  <c r="DC231" i="3"/>
  <c r="A232" i="3"/>
  <c r="Y232" i="3"/>
  <c r="CX232" i="3" s="1"/>
  <c r="CY232" i="3"/>
  <c r="CZ232" i="3"/>
  <c r="DB232" i="3" s="1"/>
  <c r="DA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B237" i="3" s="1"/>
  <c r="DA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A242" i="3"/>
  <c r="DB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A252" i="3"/>
  <c r="DB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B265" i="3" s="1"/>
  <c r="DA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A270" i="3"/>
  <c r="DB270" i="3"/>
  <c r="DC270" i="3"/>
  <c r="A271" i="3"/>
  <c r="Y271" i="3"/>
  <c r="CY271" i="3"/>
  <c r="CZ271" i="3"/>
  <c r="DB271" i="3" s="1"/>
  <c r="DA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B275" i="3" s="1"/>
  <c r="DA275" i="3"/>
  <c r="DC275" i="3"/>
  <c r="A276" i="3"/>
  <c r="Y276" i="3"/>
  <c r="CY276" i="3"/>
  <c r="CZ276" i="3"/>
  <c r="DA276" i="3"/>
  <c r="DB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B295" i="3" s="1"/>
  <c r="DA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B298" i="3" s="1"/>
  <c r="DA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A309" i="3"/>
  <c r="DB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A312" i="3"/>
  <c r="DB312" i="3"/>
  <c r="DC312" i="3"/>
  <c r="A313" i="3"/>
  <c r="Y313" i="3"/>
  <c r="CY313" i="3"/>
  <c r="CZ313" i="3"/>
  <c r="DA313" i="3"/>
  <c r="DB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A317" i="3"/>
  <c r="DB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A320" i="3"/>
  <c r="DB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A327" i="3"/>
  <c r="DB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B332" i="3" s="1"/>
  <c r="DA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B334" i="3" s="1"/>
  <c r="DA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B340" i="3" s="1"/>
  <c r="DA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B342" i="3" s="1"/>
  <c r="DA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A344" i="3"/>
  <c r="DB344" i="3"/>
  <c r="DC344" i="3"/>
  <c r="A345" i="3"/>
  <c r="Y345" i="3"/>
  <c r="CY345" i="3"/>
  <c r="CZ345" i="3"/>
  <c r="DB345" i="3" s="1"/>
  <c r="DA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A356" i="3"/>
  <c r="DB356" i="3"/>
  <c r="DC356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R28" i="1"/>
  <c r="U28" i="1"/>
  <c r="AC28" i="1"/>
  <c r="AE28" i="1"/>
  <c r="CS28" i="1" s="1"/>
  <c r="AF28" i="1"/>
  <c r="AG28" i="1"/>
  <c r="CU28" i="1" s="1"/>
  <c r="T28" i="1" s="1"/>
  <c r="AH28" i="1"/>
  <c r="AI28" i="1"/>
  <c r="CW28" i="1" s="1"/>
  <c r="V28" i="1" s="1"/>
  <c r="AJ28" i="1"/>
  <c r="CQ28" i="1"/>
  <c r="CR28" i="1"/>
  <c r="CV28" i="1"/>
  <c r="CX28" i="1"/>
  <c r="W28" i="1" s="1"/>
  <c r="GL28" i="1"/>
  <c r="GN28" i="1"/>
  <c r="GP28" i="1"/>
  <c r="GV28" i="1"/>
  <c r="HC28" i="1"/>
  <c r="GX28" i="1" s="1"/>
  <c r="C29" i="1"/>
  <c r="D29" i="1"/>
  <c r="P29" i="1"/>
  <c r="S29" i="1"/>
  <c r="Y29" i="1" s="1"/>
  <c r="AC29" i="1"/>
  <c r="AD29" i="1"/>
  <c r="AB29" i="1" s="1"/>
  <c r="AE29" i="1"/>
  <c r="CS29" i="1" s="1"/>
  <c r="AF29" i="1"/>
  <c r="CT29" i="1" s="1"/>
  <c r="AG29" i="1"/>
  <c r="AH29" i="1"/>
  <c r="CV29" i="1" s="1"/>
  <c r="U29" i="1" s="1"/>
  <c r="AI29" i="1"/>
  <c r="CW29" i="1" s="1"/>
  <c r="V29" i="1" s="1"/>
  <c r="AJ29" i="1"/>
  <c r="CQ29" i="1"/>
  <c r="CR29" i="1"/>
  <c r="CU29" i="1"/>
  <c r="T29" i="1" s="1"/>
  <c r="CX29" i="1"/>
  <c r="W29" i="1" s="1"/>
  <c r="CY29" i="1"/>
  <c r="GL29" i="1"/>
  <c r="GN29" i="1"/>
  <c r="GP29" i="1"/>
  <c r="GV29" i="1"/>
  <c r="GX29" i="1"/>
  <c r="HC29" i="1"/>
  <c r="C30" i="1"/>
  <c r="D30" i="1"/>
  <c r="S30" i="1"/>
  <c r="CZ30" i="1" s="1"/>
  <c r="W30" i="1"/>
  <c r="X30" i="1"/>
  <c r="AC30" i="1"/>
  <c r="AE30" i="1"/>
  <c r="CR30" i="1" s="1"/>
  <c r="AF30" i="1"/>
  <c r="AG30" i="1"/>
  <c r="CU30" i="1" s="1"/>
  <c r="T30" i="1" s="1"/>
  <c r="AH30" i="1"/>
  <c r="CV30" i="1" s="1"/>
  <c r="U30" i="1" s="1"/>
  <c r="AI30" i="1"/>
  <c r="CW30" i="1" s="1"/>
  <c r="V30" i="1" s="1"/>
  <c r="AJ30" i="1"/>
  <c r="CS30" i="1"/>
  <c r="CT30" i="1"/>
  <c r="CX30" i="1"/>
  <c r="CY30" i="1"/>
  <c r="GL30" i="1"/>
  <c r="GN30" i="1"/>
  <c r="GP30" i="1"/>
  <c r="GV30" i="1"/>
  <c r="HC30" i="1" s="1"/>
  <c r="GX30" i="1" s="1"/>
  <c r="C31" i="1"/>
  <c r="D31" i="1"/>
  <c r="R31" i="1"/>
  <c r="U31" i="1"/>
  <c r="AC31" i="1"/>
  <c r="AE31" i="1"/>
  <c r="AF31" i="1"/>
  <c r="S31" i="1" s="1"/>
  <c r="AG31" i="1"/>
  <c r="CU31" i="1" s="1"/>
  <c r="T31" i="1" s="1"/>
  <c r="AH31" i="1"/>
  <c r="AI31" i="1"/>
  <c r="AJ31" i="1"/>
  <c r="CX31" i="1" s="1"/>
  <c r="W31" i="1" s="1"/>
  <c r="CT31" i="1"/>
  <c r="CV31" i="1"/>
  <c r="CW31" i="1"/>
  <c r="V31" i="1" s="1"/>
  <c r="CZ31" i="1"/>
  <c r="GL31" i="1"/>
  <c r="GN31" i="1"/>
  <c r="GP31" i="1"/>
  <c r="GV31" i="1"/>
  <c r="HC31" i="1"/>
  <c r="GX31" i="1" s="1"/>
  <c r="C32" i="1"/>
  <c r="D32" i="1"/>
  <c r="P32" i="1"/>
  <c r="CP32" i="1" s="1"/>
  <c r="O32" i="1" s="1"/>
  <c r="Q32" i="1"/>
  <c r="S32" i="1"/>
  <c r="CY32" i="1" s="1"/>
  <c r="V32" i="1"/>
  <c r="X32" i="1"/>
  <c r="Y32" i="1"/>
  <c r="AC32" i="1"/>
  <c r="AD32" i="1"/>
  <c r="AB32" i="1" s="1"/>
  <c r="AE32" i="1"/>
  <c r="AF32" i="1"/>
  <c r="CT32" i="1" s="1"/>
  <c r="AG32" i="1"/>
  <c r="AH32" i="1"/>
  <c r="AI32" i="1"/>
  <c r="CW32" i="1" s="1"/>
  <c r="AJ32" i="1"/>
  <c r="CX32" i="1" s="1"/>
  <c r="W32" i="1" s="1"/>
  <c r="CQ32" i="1"/>
  <c r="CR32" i="1"/>
  <c r="CU32" i="1"/>
  <c r="T32" i="1" s="1"/>
  <c r="CV32" i="1"/>
  <c r="U32" i="1" s="1"/>
  <c r="GL32" i="1"/>
  <c r="GN32" i="1"/>
  <c r="GP32" i="1"/>
  <c r="GV32" i="1"/>
  <c r="HC32" i="1"/>
  <c r="GX32" i="1" s="1"/>
  <c r="C33" i="1"/>
  <c r="D33" i="1"/>
  <c r="P33" i="1"/>
  <c r="Q33" i="1"/>
  <c r="S33" i="1"/>
  <c r="X33" i="1" s="1"/>
  <c r="AC33" i="1"/>
  <c r="AE33" i="1"/>
  <c r="AF33" i="1"/>
  <c r="CT33" i="1" s="1"/>
  <c r="AG33" i="1"/>
  <c r="CU33" i="1" s="1"/>
  <c r="T33" i="1" s="1"/>
  <c r="AH33" i="1"/>
  <c r="CV33" i="1" s="1"/>
  <c r="U33" i="1" s="1"/>
  <c r="AI33" i="1"/>
  <c r="CW33" i="1" s="1"/>
  <c r="V33" i="1" s="1"/>
  <c r="AJ33" i="1"/>
  <c r="CP33" i="1"/>
  <c r="O33" i="1" s="1"/>
  <c r="CQ33" i="1"/>
  <c r="CX33" i="1"/>
  <c r="W33" i="1" s="1"/>
  <c r="GL33" i="1"/>
  <c r="GN33" i="1"/>
  <c r="GP33" i="1"/>
  <c r="GV33" i="1"/>
  <c r="HC33" i="1"/>
  <c r="GX33" i="1" s="1"/>
  <c r="C34" i="1"/>
  <c r="D34" i="1"/>
  <c r="I34" i="1"/>
  <c r="P34" i="1" s="1"/>
  <c r="K34" i="1"/>
  <c r="V34" i="1"/>
  <c r="AC34" i="1"/>
  <c r="AE34" i="1"/>
  <c r="CS34" i="1" s="1"/>
  <c r="AF34" i="1"/>
  <c r="AG34" i="1"/>
  <c r="AH34" i="1"/>
  <c r="AI34" i="1"/>
  <c r="CW34" i="1" s="1"/>
  <c r="AJ34" i="1"/>
  <c r="CX34" i="1" s="1"/>
  <c r="CQ34" i="1"/>
  <c r="CR34" i="1"/>
  <c r="CT34" i="1"/>
  <c r="CU34" i="1"/>
  <c r="CV34" i="1"/>
  <c r="U34" i="1" s="1"/>
  <c r="GL34" i="1"/>
  <c r="GN34" i="1"/>
  <c r="GP34" i="1"/>
  <c r="GV34" i="1"/>
  <c r="HC34" i="1"/>
  <c r="GX34" i="1" s="1"/>
  <c r="C35" i="1"/>
  <c r="D35" i="1"/>
  <c r="I35" i="1"/>
  <c r="K35" i="1"/>
  <c r="Q35" i="1"/>
  <c r="R35" i="1"/>
  <c r="U35" i="1"/>
  <c r="AC35" i="1"/>
  <c r="AE35" i="1"/>
  <c r="AF35" i="1"/>
  <c r="S35" i="1" s="1"/>
  <c r="AG35" i="1"/>
  <c r="CU35" i="1" s="1"/>
  <c r="T35" i="1" s="1"/>
  <c r="AH35" i="1"/>
  <c r="AI35" i="1"/>
  <c r="CW35" i="1" s="1"/>
  <c r="V35" i="1" s="1"/>
  <c r="AJ35" i="1"/>
  <c r="CX35" i="1" s="1"/>
  <c r="W35" i="1" s="1"/>
  <c r="CT35" i="1"/>
  <c r="CV35" i="1"/>
  <c r="CZ35" i="1"/>
  <c r="GL35" i="1"/>
  <c r="GN35" i="1"/>
  <c r="GP35" i="1"/>
  <c r="GV35" i="1"/>
  <c r="HC35" i="1" s="1"/>
  <c r="GX35" i="1" s="1"/>
  <c r="C36" i="1"/>
  <c r="D36" i="1"/>
  <c r="P36" i="1"/>
  <c r="Q36" i="1"/>
  <c r="S36" i="1"/>
  <c r="V36" i="1"/>
  <c r="X36" i="1"/>
  <c r="Y36" i="1"/>
  <c r="AC36" i="1"/>
  <c r="AE36" i="1"/>
  <c r="AF36" i="1"/>
  <c r="AG36" i="1"/>
  <c r="AH36" i="1"/>
  <c r="AI36" i="1"/>
  <c r="CW36" i="1" s="1"/>
  <c r="AJ36" i="1"/>
  <c r="CX36" i="1" s="1"/>
  <c r="W36" i="1" s="1"/>
  <c r="CQ36" i="1"/>
  <c r="CR36" i="1"/>
  <c r="CT36" i="1"/>
  <c r="CU36" i="1"/>
  <c r="T36" i="1" s="1"/>
  <c r="CV36" i="1"/>
  <c r="U36" i="1" s="1"/>
  <c r="GL36" i="1"/>
  <c r="GN36" i="1"/>
  <c r="GP36" i="1"/>
  <c r="GV36" i="1"/>
  <c r="HC36" i="1"/>
  <c r="GX36" i="1" s="1"/>
  <c r="C37" i="1"/>
  <c r="D37" i="1"/>
  <c r="P37" i="1"/>
  <c r="Q37" i="1"/>
  <c r="S37" i="1"/>
  <c r="X37" i="1" s="1"/>
  <c r="AC37" i="1"/>
  <c r="AE37" i="1"/>
  <c r="AF37" i="1"/>
  <c r="CT37" i="1" s="1"/>
  <c r="AG37" i="1"/>
  <c r="CU37" i="1" s="1"/>
  <c r="T37" i="1" s="1"/>
  <c r="AH37" i="1"/>
  <c r="CV37" i="1" s="1"/>
  <c r="U37" i="1" s="1"/>
  <c r="AI37" i="1"/>
  <c r="CW37" i="1" s="1"/>
  <c r="V37" i="1" s="1"/>
  <c r="AJ37" i="1"/>
  <c r="CP37" i="1"/>
  <c r="O37" i="1" s="1"/>
  <c r="CQ37" i="1"/>
  <c r="CX37" i="1"/>
  <c r="W37" i="1" s="1"/>
  <c r="GL37" i="1"/>
  <c r="GN37" i="1"/>
  <c r="GP37" i="1"/>
  <c r="GV37" i="1"/>
  <c r="HC37" i="1"/>
  <c r="GX37" i="1" s="1"/>
  <c r="C38" i="1"/>
  <c r="D38" i="1"/>
  <c r="R38" i="1"/>
  <c r="U38" i="1"/>
  <c r="AB38" i="1"/>
  <c r="AC38" i="1"/>
  <c r="P38" i="1" s="1"/>
  <c r="AD38" i="1"/>
  <c r="AE38" i="1"/>
  <c r="Q38" i="1" s="1"/>
  <c r="AF38" i="1"/>
  <c r="S38" i="1" s="1"/>
  <c r="AG38" i="1"/>
  <c r="CU38" i="1" s="1"/>
  <c r="T38" i="1" s="1"/>
  <c r="AH38" i="1"/>
  <c r="AI38" i="1"/>
  <c r="AJ38" i="1"/>
  <c r="CQ38" i="1"/>
  <c r="CR38" i="1"/>
  <c r="CS38" i="1"/>
  <c r="CT38" i="1"/>
  <c r="CV38" i="1"/>
  <c r="CW38" i="1"/>
  <c r="V38" i="1" s="1"/>
  <c r="CX38" i="1"/>
  <c r="W38" i="1" s="1"/>
  <c r="GL38" i="1"/>
  <c r="GN38" i="1"/>
  <c r="GP38" i="1"/>
  <c r="GV38" i="1"/>
  <c r="HC38" i="1" s="1"/>
  <c r="GX38" i="1" s="1"/>
  <c r="C39" i="1"/>
  <c r="D39" i="1"/>
  <c r="P39" i="1"/>
  <c r="Q39" i="1"/>
  <c r="CP39" i="1" s="1"/>
  <c r="O39" i="1" s="1"/>
  <c r="S39" i="1"/>
  <c r="Y39" i="1" s="1"/>
  <c r="V39" i="1"/>
  <c r="AC39" i="1"/>
  <c r="AE39" i="1"/>
  <c r="AF39" i="1"/>
  <c r="CT39" i="1" s="1"/>
  <c r="AG39" i="1"/>
  <c r="CU39" i="1" s="1"/>
  <c r="T39" i="1" s="1"/>
  <c r="AH39" i="1"/>
  <c r="AI39" i="1"/>
  <c r="CW39" i="1" s="1"/>
  <c r="AJ39" i="1"/>
  <c r="CX39" i="1" s="1"/>
  <c r="W39" i="1" s="1"/>
  <c r="CQ39" i="1"/>
  <c r="CV39" i="1"/>
  <c r="U39" i="1" s="1"/>
  <c r="GL39" i="1"/>
  <c r="GN39" i="1"/>
  <c r="GP39" i="1"/>
  <c r="GV39" i="1"/>
  <c r="HC39" i="1"/>
  <c r="GX39" i="1" s="1"/>
  <c r="C40" i="1"/>
  <c r="D40" i="1"/>
  <c r="P40" i="1"/>
  <c r="W40" i="1"/>
  <c r="AC40" i="1"/>
  <c r="AE40" i="1"/>
  <c r="AF40" i="1"/>
  <c r="CT40" i="1" s="1"/>
  <c r="AG40" i="1"/>
  <c r="AH40" i="1"/>
  <c r="CV40" i="1" s="1"/>
  <c r="U40" i="1" s="1"/>
  <c r="AI40" i="1"/>
  <c r="CW40" i="1" s="1"/>
  <c r="V40" i="1" s="1"/>
  <c r="AJ40" i="1"/>
  <c r="CQ40" i="1"/>
  <c r="CU40" i="1"/>
  <c r="T40" i="1" s="1"/>
  <c r="CX40" i="1"/>
  <c r="GL40" i="1"/>
  <c r="GN40" i="1"/>
  <c r="GP40" i="1"/>
  <c r="GV40" i="1"/>
  <c r="HC40" i="1"/>
  <c r="GX40" i="1" s="1"/>
  <c r="C41" i="1"/>
  <c r="D41" i="1"/>
  <c r="R41" i="1"/>
  <c r="S41" i="1"/>
  <c r="CY41" i="1" s="1"/>
  <c r="U41" i="1"/>
  <c r="AC41" i="1"/>
  <c r="P41" i="1" s="1"/>
  <c r="CP41" i="1" s="1"/>
  <c r="O41" i="1" s="1"/>
  <c r="AD41" i="1"/>
  <c r="AE41" i="1"/>
  <c r="Q41" i="1" s="1"/>
  <c r="AF41" i="1"/>
  <c r="CT41" i="1" s="1"/>
  <c r="AG41" i="1"/>
  <c r="AH41" i="1"/>
  <c r="CV41" i="1" s="1"/>
  <c r="AI41" i="1"/>
  <c r="AJ41" i="1"/>
  <c r="CR41" i="1"/>
  <c r="CS41" i="1"/>
  <c r="CU41" i="1"/>
  <c r="T41" i="1" s="1"/>
  <c r="CW41" i="1"/>
  <c r="V41" i="1" s="1"/>
  <c r="CX41" i="1"/>
  <c r="W41" i="1" s="1"/>
  <c r="GL41" i="1"/>
  <c r="GN41" i="1"/>
  <c r="GP41" i="1"/>
  <c r="GV41" i="1"/>
  <c r="HC41" i="1" s="1"/>
  <c r="GX41" i="1" s="1"/>
  <c r="C42" i="1"/>
  <c r="D42" i="1"/>
  <c r="I42" i="1"/>
  <c r="Q42" i="1" s="1"/>
  <c r="K42" i="1"/>
  <c r="R42" i="1"/>
  <c r="AC42" i="1"/>
  <c r="CQ42" i="1" s="1"/>
  <c r="AD42" i="1"/>
  <c r="AE42" i="1"/>
  <c r="AF42" i="1"/>
  <c r="AG42" i="1"/>
  <c r="AH42" i="1"/>
  <c r="CV42" i="1" s="1"/>
  <c r="U42" i="1" s="1"/>
  <c r="AI42" i="1"/>
  <c r="CW42" i="1" s="1"/>
  <c r="V42" i="1" s="1"/>
  <c r="AJ42" i="1"/>
  <c r="CR42" i="1"/>
  <c r="CS42" i="1"/>
  <c r="CT42" i="1"/>
  <c r="CU42" i="1"/>
  <c r="CX42" i="1"/>
  <c r="GL42" i="1"/>
  <c r="GN42" i="1"/>
  <c r="GP42" i="1"/>
  <c r="GV42" i="1"/>
  <c r="HC42" i="1" s="1"/>
  <c r="GX42" i="1" s="1"/>
  <c r="C43" i="1"/>
  <c r="D43" i="1"/>
  <c r="I43" i="1"/>
  <c r="K43" i="1"/>
  <c r="AC43" i="1"/>
  <c r="AD43" i="1"/>
  <c r="AB43" i="1" s="1"/>
  <c r="AE43" i="1"/>
  <c r="CS43" i="1" s="1"/>
  <c r="AF43" i="1"/>
  <c r="CT43" i="1" s="1"/>
  <c r="AG43" i="1"/>
  <c r="AH43" i="1"/>
  <c r="AI43" i="1"/>
  <c r="CW43" i="1" s="1"/>
  <c r="V43" i="1" s="1"/>
  <c r="AJ43" i="1"/>
  <c r="CX43" i="1" s="1"/>
  <c r="W43" i="1" s="1"/>
  <c r="CQ43" i="1"/>
  <c r="CR43" i="1"/>
  <c r="CU43" i="1"/>
  <c r="T43" i="1" s="1"/>
  <c r="CV43" i="1"/>
  <c r="GL43" i="1"/>
  <c r="GN43" i="1"/>
  <c r="GP43" i="1"/>
  <c r="GV43" i="1"/>
  <c r="GX43" i="1"/>
  <c r="HC43" i="1"/>
  <c r="C44" i="1"/>
  <c r="D44" i="1"/>
  <c r="Q44" i="1"/>
  <c r="R44" i="1"/>
  <c r="AC44" i="1"/>
  <c r="AE44" i="1"/>
  <c r="CS44" i="1" s="1"/>
  <c r="AF44" i="1"/>
  <c r="CT44" i="1" s="1"/>
  <c r="AG44" i="1"/>
  <c r="CU44" i="1" s="1"/>
  <c r="T44" i="1" s="1"/>
  <c r="AH44" i="1"/>
  <c r="CV44" i="1" s="1"/>
  <c r="U44" i="1" s="1"/>
  <c r="AI44" i="1"/>
  <c r="AJ44" i="1"/>
  <c r="CQ44" i="1"/>
  <c r="CR44" i="1"/>
  <c r="CW44" i="1"/>
  <c r="V44" i="1" s="1"/>
  <c r="CX44" i="1"/>
  <c r="W44" i="1" s="1"/>
  <c r="GL44" i="1"/>
  <c r="GN44" i="1"/>
  <c r="GP44" i="1"/>
  <c r="GV44" i="1"/>
  <c r="HC44" i="1" s="1"/>
  <c r="GX44" i="1" s="1"/>
  <c r="C45" i="1"/>
  <c r="D45" i="1"/>
  <c r="R45" i="1"/>
  <c r="T45" i="1"/>
  <c r="W45" i="1"/>
  <c r="AC45" i="1"/>
  <c r="CQ45" i="1" s="1"/>
  <c r="AD45" i="1"/>
  <c r="AE45" i="1"/>
  <c r="Q45" i="1" s="1"/>
  <c r="AF45" i="1"/>
  <c r="S45" i="1" s="1"/>
  <c r="AG45" i="1"/>
  <c r="AH45" i="1"/>
  <c r="CV45" i="1" s="1"/>
  <c r="U45" i="1" s="1"/>
  <c r="AI45" i="1"/>
  <c r="CW45" i="1" s="1"/>
  <c r="V45" i="1" s="1"/>
  <c r="AJ45" i="1"/>
  <c r="CR45" i="1"/>
  <c r="CS45" i="1"/>
  <c r="CT45" i="1"/>
  <c r="CU45" i="1"/>
  <c r="CX45" i="1"/>
  <c r="GL45" i="1"/>
  <c r="GN45" i="1"/>
  <c r="GP45" i="1"/>
  <c r="GV45" i="1"/>
  <c r="HC45" i="1" s="1"/>
  <c r="GX45" i="1"/>
  <c r="C46" i="1"/>
  <c r="D46" i="1"/>
  <c r="I46" i="1"/>
  <c r="K46" i="1"/>
  <c r="R46" i="1"/>
  <c r="AC46" i="1"/>
  <c r="P46" i="1" s="1"/>
  <c r="AD46" i="1"/>
  <c r="AE46" i="1"/>
  <c r="CS46" i="1" s="1"/>
  <c r="AF46" i="1"/>
  <c r="S46" i="1" s="1"/>
  <c r="AG46" i="1"/>
  <c r="AH46" i="1"/>
  <c r="CV46" i="1" s="1"/>
  <c r="U46" i="1" s="1"/>
  <c r="AI46" i="1"/>
  <c r="CW46" i="1" s="1"/>
  <c r="V46" i="1" s="1"/>
  <c r="AJ46" i="1"/>
  <c r="CX46" i="1" s="1"/>
  <c r="W46" i="1" s="1"/>
  <c r="CR46" i="1"/>
  <c r="CT46" i="1"/>
  <c r="CU46" i="1"/>
  <c r="T46" i="1" s="1"/>
  <c r="GL46" i="1"/>
  <c r="GN46" i="1"/>
  <c r="GP46" i="1"/>
  <c r="GV46" i="1"/>
  <c r="HC46" i="1" s="1"/>
  <c r="GX46" i="1" s="1"/>
  <c r="C47" i="1"/>
  <c r="D47" i="1"/>
  <c r="I47" i="1"/>
  <c r="Q47" i="1" s="1"/>
  <c r="K47" i="1"/>
  <c r="T47" i="1"/>
  <c r="AC47" i="1"/>
  <c r="CQ47" i="1" s="1"/>
  <c r="AD47" i="1"/>
  <c r="AE47" i="1"/>
  <c r="AF47" i="1"/>
  <c r="S47" i="1" s="1"/>
  <c r="AG47" i="1"/>
  <c r="AH47" i="1"/>
  <c r="CV47" i="1" s="1"/>
  <c r="U47" i="1" s="1"/>
  <c r="AI47" i="1"/>
  <c r="CW47" i="1" s="1"/>
  <c r="V47" i="1" s="1"/>
  <c r="AJ47" i="1"/>
  <c r="CX47" i="1" s="1"/>
  <c r="W47" i="1" s="1"/>
  <c r="CR47" i="1"/>
  <c r="CS47" i="1"/>
  <c r="CT47" i="1"/>
  <c r="CU47" i="1"/>
  <c r="GL47" i="1"/>
  <c r="GN47" i="1"/>
  <c r="GP47" i="1"/>
  <c r="GV47" i="1"/>
  <c r="HC47" i="1" s="1"/>
  <c r="GX47" i="1" s="1"/>
  <c r="C48" i="1"/>
  <c r="D48" i="1"/>
  <c r="I48" i="1"/>
  <c r="K48" i="1"/>
  <c r="AB48" i="1"/>
  <c r="AC48" i="1"/>
  <c r="CQ48" i="1" s="1"/>
  <c r="AD48" i="1"/>
  <c r="AE48" i="1"/>
  <c r="AF48" i="1"/>
  <c r="CT48" i="1" s="1"/>
  <c r="AG48" i="1"/>
  <c r="CU48" i="1" s="1"/>
  <c r="T48" i="1" s="1"/>
  <c r="AH48" i="1"/>
  <c r="CV48" i="1" s="1"/>
  <c r="U48" i="1" s="1"/>
  <c r="AI48" i="1"/>
  <c r="CW48" i="1" s="1"/>
  <c r="V48" i="1" s="1"/>
  <c r="AJ48" i="1"/>
  <c r="CR48" i="1"/>
  <c r="CS48" i="1"/>
  <c r="CX48" i="1"/>
  <c r="W48" i="1" s="1"/>
  <c r="GL48" i="1"/>
  <c r="GO48" i="1"/>
  <c r="GP48" i="1"/>
  <c r="GV48" i="1"/>
  <c r="HC48" i="1"/>
  <c r="C49" i="1"/>
  <c r="D49" i="1"/>
  <c r="I49" i="1"/>
  <c r="P49" i="1" s="1"/>
  <c r="K49" i="1"/>
  <c r="R49" i="1"/>
  <c r="AC49" i="1"/>
  <c r="AD49" i="1"/>
  <c r="AE49" i="1"/>
  <c r="AF49" i="1"/>
  <c r="S49" i="1" s="1"/>
  <c r="AG49" i="1"/>
  <c r="CU49" i="1" s="1"/>
  <c r="T49" i="1" s="1"/>
  <c r="AH49" i="1"/>
  <c r="CV49" i="1" s="1"/>
  <c r="U49" i="1" s="1"/>
  <c r="AI49" i="1"/>
  <c r="AJ49" i="1"/>
  <c r="CQ49" i="1"/>
  <c r="CR49" i="1"/>
  <c r="CS49" i="1"/>
  <c r="CW49" i="1"/>
  <c r="V49" i="1" s="1"/>
  <c r="CX49" i="1"/>
  <c r="W49" i="1" s="1"/>
  <c r="GL49" i="1"/>
  <c r="GO49" i="1"/>
  <c r="GP49" i="1"/>
  <c r="GV49" i="1"/>
  <c r="HC49" i="1" s="1"/>
  <c r="GX49" i="1" s="1"/>
  <c r="C50" i="1"/>
  <c r="D50" i="1"/>
  <c r="I50" i="1"/>
  <c r="K50" i="1"/>
  <c r="P50" i="1"/>
  <c r="R50" i="1"/>
  <c r="W50" i="1"/>
  <c r="AC50" i="1"/>
  <c r="AE50" i="1"/>
  <c r="CR50" i="1" s="1"/>
  <c r="AF50" i="1"/>
  <c r="CT50" i="1" s="1"/>
  <c r="AG50" i="1"/>
  <c r="CU50" i="1" s="1"/>
  <c r="T50" i="1" s="1"/>
  <c r="AH50" i="1"/>
  <c r="AI50" i="1"/>
  <c r="AJ50" i="1"/>
  <c r="CQ50" i="1"/>
  <c r="CV50" i="1"/>
  <c r="U50" i="1" s="1"/>
  <c r="CW50" i="1"/>
  <c r="V50" i="1" s="1"/>
  <c r="CX50" i="1"/>
  <c r="GL50" i="1"/>
  <c r="GN50" i="1"/>
  <c r="GP50" i="1"/>
  <c r="GV50" i="1"/>
  <c r="HC50" i="1"/>
  <c r="GX50" i="1" s="1"/>
  <c r="C51" i="1"/>
  <c r="D51" i="1"/>
  <c r="I51" i="1"/>
  <c r="K51" i="1"/>
  <c r="P51" i="1"/>
  <c r="S51" i="1"/>
  <c r="CY51" i="1" s="1"/>
  <c r="AC51" i="1"/>
  <c r="AD51" i="1"/>
  <c r="AB51" i="1" s="1"/>
  <c r="AE51" i="1"/>
  <c r="Q51" i="1" s="1"/>
  <c r="AF51" i="1"/>
  <c r="CT51" i="1" s="1"/>
  <c r="AG51" i="1"/>
  <c r="AH51" i="1"/>
  <c r="AI51" i="1"/>
  <c r="CW51" i="1" s="1"/>
  <c r="V51" i="1" s="1"/>
  <c r="AJ51" i="1"/>
  <c r="CX51" i="1" s="1"/>
  <c r="W51" i="1" s="1"/>
  <c r="CQ51" i="1"/>
  <c r="CU51" i="1"/>
  <c r="T51" i="1" s="1"/>
  <c r="CV51" i="1"/>
  <c r="U51" i="1" s="1"/>
  <c r="GL51" i="1"/>
  <c r="GN51" i="1"/>
  <c r="GP51" i="1"/>
  <c r="GV51" i="1"/>
  <c r="GX51" i="1"/>
  <c r="HC51" i="1"/>
  <c r="C52" i="1"/>
  <c r="D52" i="1"/>
  <c r="I52" i="1"/>
  <c r="R52" i="1" s="1"/>
  <c r="K52" i="1"/>
  <c r="P52" i="1"/>
  <c r="S52" i="1"/>
  <c r="Y52" i="1" s="1"/>
  <c r="U52" i="1"/>
  <c r="X52" i="1"/>
  <c r="AC52" i="1"/>
  <c r="CQ52" i="1" s="1"/>
  <c r="AD52" i="1"/>
  <c r="AE52" i="1"/>
  <c r="CR52" i="1" s="1"/>
  <c r="AF52" i="1"/>
  <c r="AG52" i="1"/>
  <c r="AH52" i="1"/>
  <c r="AI52" i="1"/>
  <c r="CW52" i="1" s="1"/>
  <c r="V52" i="1" s="1"/>
  <c r="AJ52" i="1"/>
  <c r="CX52" i="1" s="1"/>
  <c r="W52" i="1" s="1"/>
  <c r="CT52" i="1"/>
  <c r="CU52" i="1"/>
  <c r="T52" i="1" s="1"/>
  <c r="CV52" i="1"/>
  <c r="CZ52" i="1"/>
  <c r="GL52" i="1"/>
  <c r="GO52" i="1"/>
  <c r="GP52" i="1"/>
  <c r="GV52" i="1"/>
  <c r="HC52" i="1" s="1"/>
  <c r="GX52" i="1" s="1"/>
  <c r="C53" i="1"/>
  <c r="D53" i="1"/>
  <c r="I53" i="1"/>
  <c r="K53" i="1"/>
  <c r="S53" i="1"/>
  <c r="X53" i="1" s="1"/>
  <c r="AC53" i="1"/>
  <c r="P53" i="1" s="1"/>
  <c r="AE53" i="1"/>
  <c r="AD53" i="1" s="1"/>
  <c r="AB53" i="1" s="1"/>
  <c r="AF53" i="1"/>
  <c r="AG53" i="1"/>
  <c r="CU53" i="1" s="1"/>
  <c r="T53" i="1" s="1"/>
  <c r="AH53" i="1"/>
  <c r="CV53" i="1" s="1"/>
  <c r="U53" i="1" s="1"/>
  <c r="AI53" i="1"/>
  <c r="CW53" i="1" s="1"/>
  <c r="V53" i="1" s="1"/>
  <c r="EA63" i="1" s="1"/>
  <c r="AJ53" i="1"/>
  <c r="CX53" i="1" s="1"/>
  <c r="W53" i="1" s="1"/>
  <c r="CS53" i="1"/>
  <c r="CT53" i="1"/>
  <c r="CY53" i="1"/>
  <c r="CZ53" i="1"/>
  <c r="GL53" i="1"/>
  <c r="GO53" i="1"/>
  <c r="GP53" i="1"/>
  <c r="GV53" i="1"/>
  <c r="HC53" i="1" s="1"/>
  <c r="GX53" i="1" s="1"/>
  <c r="C54" i="1"/>
  <c r="D54" i="1"/>
  <c r="P54" i="1"/>
  <c r="S54" i="1"/>
  <c r="Y54" i="1" s="1"/>
  <c r="U54" i="1"/>
  <c r="X54" i="1"/>
  <c r="AC54" i="1"/>
  <c r="CQ54" i="1" s="1"/>
  <c r="AD54" i="1"/>
  <c r="AE54" i="1"/>
  <c r="CR54" i="1" s="1"/>
  <c r="AF54" i="1"/>
  <c r="AG54" i="1"/>
  <c r="AH54" i="1"/>
  <c r="AI54" i="1"/>
  <c r="CW54" i="1" s="1"/>
  <c r="V54" i="1" s="1"/>
  <c r="AJ54" i="1"/>
  <c r="CX54" i="1" s="1"/>
  <c r="W54" i="1" s="1"/>
  <c r="CT54" i="1"/>
  <c r="CU54" i="1"/>
  <c r="T54" i="1" s="1"/>
  <c r="CV54" i="1"/>
  <c r="CZ54" i="1"/>
  <c r="GL54" i="1"/>
  <c r="GO54" i="1"/>
  <c r="GP54" i="1"/>
  <c r="GV54" i="1"/>
  <c r="HC54" i="1" s="1"/>
  <c r="GX54" i="1" s="1"/>
  <c r="C55" i="1"/>
  <c r="D55" i="1"/>
  <c r="P55" i="1"/>
  <c r="S55" i="1"/>
  <c r="CY55" i="1" s="1"/>
  <c r="AC55" i="1"/>
  <c r="AD55" i="1"/>
  <c r="AB55" i="1" s="1"/>
  <c r="AE55" i="1"/>
  <c r="Q55" i="1" s="1"/>
  <c r="AF55" i="1"/>
  <c r="CT55" i="1" s="1"/>
  <c r="AG55" i="1"/>
  <c r="AH55" i="1"/>
  <c r="AI55" i="1"/>
  <c r="CW55" i="1" s="1"/>
  <c r="V55" i="1" s="1"/>
  <c r="AJ55" i="1"/>
  <c r="CX55" i="1" s="1"/>
  <c r="W55" i="1" s="1"/>
  <c r="CQ55" i="1"/>
  <c r="CU55" i="1"/>
  <c r="T55" i="1" s="1"/>
  <c r="CV55" i="1"/>
  <c r="U55" i="1" s="1"/>
  <c r="GL55" i="1"/>
  <c r="GO55" i="1"/>
  <c r="GP55" i="1"/>
  <c r="GV55" i="1"/>
  <c r="GX55" i="1"/>
  <c r="HC55" i="1"/>
  <c r="C56" i="1"/>
  <c r="D56" i="1"/>
  <c r="I56" i="1"/>
  <c r="R56" i="1" s="1"/>
  <c r="K56" i="1"/>
  <c r="P56" i="1"/>
  <c r="S56" i="1"/>
  <c r="Y56" i="1" s="1"/>
  <c r="U56" i="1"/>
  <c r="X56" i="1"/>
  <c r="AC56" i="1"/>
  <c r="AB56" i="1" s="1"/>
  <c r="AD56" i="1"/>
  <c r="AE56" i="1"/>
  <c r="CR56" i="1" s="1"/>
  <c r="AF56" i="1"/>
  <c r="AG56" i="1"/>
  <c r="AH56" i="1"/>
  <c r="AI56" i="1"/>
  <c r="CW56" i="1" s="1"/>
  <c r="V56" i="1" s="1"/>
  <c r="AJ56" i="1"/>
  <c r="CX56" i="1" s="1"/>
  <c r="W56" i="1" s="1"/>
  <c r="CQ56" i="1"/>
  <c r="CT56" i="1"/>
  <c r="CU56" i="1"/>
  <c r="T56" i="1" s="1"/>
  <c r="CV56" i="1"/>
  <c r="CZ56" i="1"/>
  <c r="GL56" i="1"/>
  <c r="GO56" i="1"/>
  <c r="GP56" i="1"/>
  <c r="GV56" i="1"/>
  <c r="HC56" i="1" s="1"/>
  <c r="GX56" i="1" s="1"/>
  <c r="C57" i="1"/>
  <c r="D57" i="1"/>
  <c r="I57" i="1"/>
  <c r="K57" i="1"/>
  <c r="S57" i="1"/>
  <c r="X57" i="1" s="1"/>
  <c r="U57" i="1"/>
  <c r="AB57" i="1"/>
  <c r="AC57" i="1"/>
  <c r="P57" i="1" s="1"/>
  <c r="AE57" i="1"/>
  <c r="AD57" i="1" s="1"/>
  <c r="AF57" i="1"/>
  <c r="AG57" i="1"/>
  <c r="CU57" i="1" s="1"/>
  <c r="T57" i="1" s="1"/>
  <c r="AH57" i="1"/>
  <c r="AI57" i="1"/>
  <c r="CW57" i="1" s="1"/>
  <c r="V57" i="1" s="1"/>
  <c r="AJ57" i="1"/>
  <c r="CX57" i="1" s="1"/>
  <c r="W57" i="1" s="1"/>
  <c r="CS57" i="1"/>
  <c r="CT57" i="1"/>
  <c r="CV57" i="1"/>
  <c r="CZ57" i="1"/>
  <c r="GL57" i="1"/>
  <c r="GO57" i="1"/>
  <c r="GP57" i="1"/>
  <c r="GV57" i="1"/>
  <c r="HC57" i="1" s="1"/>
  <c r="GX57" i="1" s="1"/>
  <c r="C58" i="1"/>
  <c r="D58" i="1"/>
  <c r="I58" i="1"/>
  <c r="Q58" i="1" s="1"/>
  <c r="K58" i="1"/>
  <c r="S58" i="1"/>
  <c r="V58" i="1"/>
  <c r="AC58" i="1"/>
  <c r="CQ58" i="1" s="1"/>
  <c r="AE58" i="1"/>
  <c r="AD58" i="1" s="1"/>
  <c r="AB58" i="1" s="1"/>
  <c r="AF58" i="1"/>
  <c r="AG58" i="1"/>
  <c r="CU58" i="1" s="1"/>
  <c r="T58" i="1" s="1"/>
  <c r="AH58" i="1"/>
  <c r="CV58" i="1" s="1"/>
  <c r="U58" i="1" s="1"/>
  <c r="AI58" i="1"/>
  <c r="AJ58" i="1"/>
  <c r="CR58" i="1"/>
  <c r="CS58" i="1"/>
  <c r="CT58" i="1"/>
  <c r="CW58" i="1"/>
  <c r="CX58" i="1"/>
  <c r="W58" i="1" s="1"/>
  <c r="GL58" i="1"/>
  <c r="GO58" i="1"/>
  <c r="GP58" i="1"/>
  <c r="GV58" i="1"/>
  <c r="HC58" i="1" s="1"/>
  <c r="GX58" i="1" s="1"/>
  <c r="C59" i="1"/>
  <c r="D59" i="1"/>
  <c r="I59" i="1"/>
  <c r="CU114" i="3" s="1"/>
  <c r="K59" i="1"/>
  <c r="S59" i="1"/>
  <c r="Y59" i="1" s="1"/>
  <c r="X59" i="1"/>
  <c r="AC59" i="1"/>
  <c r="AE59" i="1"/>
  <c r="CS59" i="1" s="1"/>
  <c r="AF59" i="1"/>
  <c r="CT59" i="1" s="1"/>
  <c r="AG59" i="1"/>
  <c r="CU59" i="1" s="1"/>
  <c r="T59" i="1" s="1"/>
  <c r="AH59" i="1"/>
  <c r="CV59" i="1" s="1"/>
  <c r="U59" i="1" s="1"/>
  <c r="AI59" i="1"/>
  <c r="AJ59" i="1"/>
  <c r="CQ59" i="1"/>
  <c r="CR59" i="1"/>
  <c r="CW59" i="1"/>
  <c r="V59" i="1" s="1"/>
  <c r="CX59" i="1"/>
  <c r="W59" i="1" s="1"/>
  <c r="GL59" i="1"/>
  <c r="GO59" i="1"/>
  <c r="GP59" i="1"/>
  <c r="GV59" i="1"/>
  <c r="HC59" i="1" s="1"/>
  <c r="GX59" i="1" s="1"/>
  <c r="C60" i="1"/>
  <c r="D60" i="1"/>
  <c r="I60" i="1"/>
  <c r="K60" i="1"/>
  <c r="T60" i="1"/>
  <c r="AC60" i="1"/>
  <c r="AE60" i="1"/>
  <c r="AF60" i="1"/>
  <c r="S60" i="1" s="1"/>
  <c r="AG60" i="1"/>
  <c r="AH60" i="1"/>
  <c r="AI60" i="1"/>
  <c r="AJ60" i="1"/>
  <c r="CX60" i="1" s="1"/>
  <c r="W60" i="1" s="1"/>
  <c r="CQ60" i="1"/>
  <c r="CU60" i="1"/>
  <c r="CV60" i="1"/>
  <c r="U60" i="1" s="1"/>
  <c r="CW60" i="1"/>
  <c r="V60" i="1" s="1"/>
  <c r="GL60" i="1"/>
  <c r="GO60" i="1"/>
  <c r="GP60" i="1"/>
  <c r="GV60" i="1"/>
  <c r="HC60" i="1"/>
  <c r="GX60" i="1" s="1"/>
  <c r="C61" i="1"/>
  <c r="D61" i="1"/>
  <c r="I61" i="1"/>
  <c r="P61" i="1" s="1"/>
  <c r="K61" i="1"/>
  <c r="V61" i="1"/>
  <c r="AC61" i="1"/>
  <c r="CQ61" i="1" s="1"/>
  <c r="AE61" i="1"/>
  <c r="CR61" i="1" s="1"/>
  <c r="AF61" i="1"/>
  <c r="CT61" i="1" s="1"/>
  <c r="AG61" i="1"/>
  <c r="AH61" i="1"/>
  <c r="AI61" i="1"/>
  <c r="AJ61" i="1"/>
  <c r="CX61" i="1" s="1"/>
  <c r="W61" i="1" s="1"/>
  <c r="CU61" i="1"/>
  <c r="T61" i="1" s="1"/>
  <c r="CV61" i="1"/>
  <c r="U61" i="1" s="1"/>
  <c r="CW61" i="1"/>
  <c r="GL61" i="1"/>
  <c r="FR63" i="1" s="1"/>
  <c r="GO61" i="1"/>
  <c r="GP61" i="1"/>
  <c r="GV61" i="1"/>
  <c r="HC61" i="1"/>
  <c r="GX61" i="1" s="1"/>
  <c r="B63" i="1"/>
  <c r="B26" i="1" s="1"/>
  <c r="C63" i="1"/>
  <c r="C26" i="1" s="1"/>
  <c r="D63" i="1"/>
  <c r="D26" i="1" s="1"/>
  <c r="F63" i="1"/>
  <c r="F26" i="1" s="1"/>
  <c r="G63" i="1"/>
  <c r="G26" i="1" s="1"/>
  <c r="AP63" i="1"/>
  <c r="AP26" i="1" s="1"/>
  <c r="AU63" i="1"/>
  <c r="BB63" i="1"/>
  <c r="BX63" i="1"/>
  <c r="BY63" i="1"/>
  <c r="BY26" i="1" s="1"/>
  <c r="BZ63" i="1"/>
  <c r="CD63" i="1"/>
  <c r="CD26" i="1" s="1"/>
  <c r="CK63" i="1"/>
  <c r="CK26" i="1" s="1"/>
  <c r="CL63" i="1"/>
  <c r="CL26" i="1" s="1"/>
  <c r="CM63" i="1"/>
  <c r="EG63" i="1"/>
  <c r="EG26" i="1" s="1"/>
  <c r="ET63" i="1"/>
  <c r="EV63" i="1"/>
  <c r="FP63" i="1"/>
  <c r="FP26" i="1" s="1"/>
  <c r="FQ63" i="1"/>
  <c r="FQ26" i="1" s="1"/>
  <c r="FV63" i="1"/>
  <c r="GC63" i="1"/>
  <c r="GC26" i="1" s="1"/>
  <c r="GD63" i="1"/>
  <c r="GD26" i="1" s="1"/>
  <c r="GE63" i="1"/>
  <c r="GE26" i="1" s="1"/>
  <c r="P67" i="1"/>
  <c r="F72" i="1"/>
  <c r="D93" i="1"/>
  <c r="E95" i="1"/>
  <c r="Z95" i="1"/>
  <c r="AA95" i="1"/>
  <c r="AM95" i="1"/>
  <c r="AN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DR95" i="1"/>
  <c r="DS95" i="1"/>
  <c r="EE95" i="1"/>
  <c r="EF95" i="1"/>
  <c r="EW95" i="1"/>
  <c r="EX95" i="1"/>
  <c r="EY95" i="1"/>
  <c r="EZ95" i="1"/>
  <c r="FA95" i="1"/>
  <c r="FB95" i="1"/>
  <c r="FC95" i="1"/>
  <c r="FD95" i="1"/>
  <c r="FE95" i="1"/>
  <c r="FF95" i="1"/>
  <c r="FG95" i="1"/>
  <c r="FH95" i="1"/>
  <c r="FI95" i="1"/>
  <c r="FJ95" i="1"/>
  <c r="FK95" i="1"/>
  <c r="FL95" i="1"/>
  <c r="FM95" i="1"/>
  <c r="FN95" i="1"/>
  <c r="FO95" i="1"/>
  <c r="GF95" i="1"/>
  <c r="GG95" i="1"/>
  <c r="GH95" i="1"/>
  <c r="GI95" i="1"/>
  <c r="GJ95" i="1"/>
  <c r="GK95" i="1"/>
  <c r="GL95" i="1"/>
  <c r="GM95" i="1"/>
  <c r="GN95" i="1"/>
  <c r="GO95" i="1"/>
  <c r="GP95" i="1"/>
  <c r="GQ95" i="1"/>
  <c r="GR95" i="1"/>
  <c r="GS95" i="1"/>
  <c r="GT95" i="1"/>
  <c r="GU95" i="1"/>
  <c r="GV95" i="1"/>
  <c r="GW95" i="1"/>
  <c r="GX95" i="1"/>
  <c r="C97" i="1"/>
  <c r="D97" i="1"/>
  <c r="S97" i="1"/>
  <c r="W97" i="1"/>
  <c r="AC97" i="1"/>
  <c r="AD97" i="1"/>
  <c r="AE97" i="1"/>
  <c r="R97" i="1" s="1"/>
  <c r="AF97" i="1"/>
  <c r="AG97" i="1"/>
  <c r="AH97" i="1"/>
  <c r="AI97" i="1"/>
  <c r="CW97" i="1" s="1"/>
  <c r="V97" i="1" s="1"/>
  <c r="AJ97" i="1"/>
  <c r="CT97" i="1"/>
  <c r="CU97" i="1"/>
  <c r="T97" i="1" s="1"/>
  <c r="CV97" i="1"/>
  <c r="U97" i="1" s="1"/>
  <c r="CX97" i="1"/>
  <c r="GL97" i="1"/>
  <c r="GN97" i="1"/>
  <c r="GP97" i="1"/>
  <c r="GV97" i="1"/>
  <c r="HC97" i="1"/>
  <c r="GX97" i="1" s="1"/>
  <c r="C98" i="1"/>
  <c r="D98" i="1"/>
  <c r="P98" i="1"/>
  <c r="R98" i="1"/>
  <c r="S98" i="1"/>
  <c r="Y98" i="1" s="1"/>
  <c r="U98" i="1"/>
  <c r="X98" i="1"/>
  <c r="AC98" i="1"/>
  <c r="AD98" i="1"/>
  <c r="AB98" i="1" s="1"/>
  <c r="AE98" i="1"/>
  <c r="CR98" i="1" s="1"/>
  <c r="AF98" i="1"/>
  <c r="CT98" i="1" s="1"/>
  <c r="AG98" i="1"/>
  <c r="AH98" i="1"/>
  <c r="CV98" i="1" s="1"/>
  <c r="AI98" i="1"/>
  <c r="AJ98" i="1"/>
  <c r="CQ98" i="1"/>
  <c r="CS98" i="1"/>
  <c r="CU98" i="1"/>
  <c r="T98" i="1" s="1"/>
  <c r="CW98" i="1"/>
  <c r="V98" i="1" s="1"/>
  <c r="CX98" i="1"/>
  <c r="W98" i="1" s="1"/>
  <c r="CY98" i="1"/>
  <c r="GL98" i="1"/>
  <c r="GN98" i="1"/>
  <c r="GP98" i="1"/>
  <c r="GV98" i="1"/>
  <c r="HC98" i="1" s="1"/>
  <c r="GX98" i="1" s="1"/>
  <c r="Q99" i="1"/>
  <c r="R99" i="1"/>
  <c r="S99" i="1"/>
  <c r="X99" i="1" s="1"/>
  <c r="AC99" i="1"/>
  <c r="P99" i="1" s="1"/>
  <c r="AE99" i="1"/>
  <c r="CS99" i="1" s="1"/>
  <c r="AF99" i="1"/>
  <c r="AG99" i="1"/>
  <c r="CU99" i="1" s="1"/>
  <c r="T99" i="1" s="1"/>
  <c r="AH99" i="1"/>
  <c r="CV99" i="1" s="1"/>
  <c r="U99" i="1" s="1"/>
  <c r="AI99" i="1"/>
  <c r="CW99" i="1" s="1"/>
  <c r="V99" i="1" s="1"/>
  <c r="AJ99" i="1"/>
  <c r="CT99" i="1"/>
  <c r="CX99" i="1"/>
  <c r="W99" i="1" s="1"/>
  <c r="CY99" i="1"/>
  <c r="CZ99" i="1"/>
  <c r="GL99" i="1"/>
  <c r="GN99" i="1"/>
  <c r="GO99" i="1"/>
  <c r="GP99" i="1"/>
  <c r="GV99" i="1"/>
  <c r="HC99" i="1" s="1"/>
  <c r="GX99" i="1" s="1"/>
  <c r="Q100" i="1"/>
  <c r="S100" i="1"/>
  <c r="AC100" i="1"/>
  <c r="CQ100" i="1" s="1"/>
  <c r="AE100" i="1"/>
  <c r="R100" i="1" s="1"/>
  <c r="AF100" i="1"/>
  <c r="AG100" i="1"/>
  <c r="CU100" i="1" s="1"/>
  <c r="T100" i="1" s="1"/>
  <c r="AH100" i="1"/>
  <c r="CV100" i="1" s="1"/>
  <c r="U100" i="1" s="1"/>
  <c r="AI100" i="1"/>
  <c r="CW100" i="1" s="1"/>
  <c r="V100" i="1" s="1"/>
  <c r="AJ100" i="1"/>
  <c r="CS100" i="1"/>
  <c r="CT100" i="1"/>
  <c r="CX100" i="1"/>
  <c r="W100" i="1" s="1"/>
  <c r="CY100" i="1"/>
  <c r="CZ100" i="1"/>
  <c r="GL100" i="1"/>
  <c r="GN100" i="1"/>
  <c r="GO100" i="1"/>
  <c r="GP100" i="1"/>
  <c r="GV100" i="1"/>
  <c r="HC100" i="1" s="1"/>
  <c r="GX100" i="1"/>
  <c r="C101" i="1"/>
  <c r="D101" i="1"/>
  <c r="Q101" i="1"/>
  <c r="R101" i="1"/>
  <c r="S101" i="1"/>
  <c r="X101" i="1" s="1"/>
  <c r="AB101" i="1"/>
  <c r="AC101" i="1"/>
  <c r="AE101" i="1"/>
  <c r="AD101" i="1" s="1"/>
  <c r="AF101" i="1"/>
  <c r="AG101" i="1"/>
  <c r="CU101" i="1" s="1"/>
  <c r="T101" i="1" s="1"/>
  <c r="AH101" i="1"/>
  <c r="CV101" i="1" s="1"/>
  <c r="U101" i="1" s="1"/>
  <c r="AI101" i="1"/>
  <c r="CW101" i="1" s="1"/>
  <c r="V101" i="1" s="1"/>
  <c r="AJ101" i="1"/>
  <c r="CT101" i="1"/>
  <c r="CX101" i="1"/>
  <c r="W101" i="1" s="1"/>
  <c r="CZ101" i="1"/>
  <c r="GL101" i="1"/>
  <c r="GN101" i="1"/>
  <c r="GP101" i="1"/>
  <c r="GV101" i="1"/>
  <c r="HC101" i="1"/>
  <c r="GX101" i="1" s="1"/>
  <c r="C102" i="1"/>
  <c r="D102" i="1"/>
  <c r="P102" i="1"/>
  <c r="Q102" i="1"/>
  <c r="R102" i="1"/>
  <c r="AC102" i="1"/>
  <c r="CQ102" i="1" s="1"/>
  <c r="AE102" i="1"/>
  <c r="CR102" i="1" s="1"/>
  <c r="AF102" i="1"/>
  <c r="AG102" i="1"/>
  <c r="CU102" i="1" s="1"/>
  <c r="T102" i="1" s="1"/>
  <c r="AH102" i="1"/>
  <c r="CV102" i="1" s="1"/>
  <c r="U102" i="1" s="1"/>
  <c r="AI102" i="1"/>
  <c r="AJ102" i="1"/>
  <c r="CS102" i="1"/>
  <c r="CW102" i="1"/>
  <c r="V102" i="1" s="1"/>
  <c r="CX102" i="1"/>
  <c r="W102" i="1" s="1"/>
  <c r="GL102" i="1"/>
  <c r="GN102" i="1"/>
  <c r="GP102" i="1"/>
  <c r="GV102" i="1"/>
  <c r="HC102" i="1" s="1"/>
  <c r="GX102" i="1" s="1"/>
  <c r="P103" i="1"/>
  <c r="FR103" i="1" s="1"/>
  <c r="Q103" i="1"/>
  <c r="R103" i="1"/>
  <c r="AC103" i="1"/>
  <c r="CQ103" i="1" s="1"/>
  <c r="AE103" i="1"/>
  <c r="AD103" i="1" s="1"/>
  <c r="AF103" i="1"/>
  <c r="CT103" i="1" s="1"/>
  <c r="AG103" i="1"/>
  <c r="CU103" i="1" s="1"/>
  <c r="T103" i="1" s="1"/>
  <c r="AH103" i="1"/>
  <c r="AI103" i="1"/>
  <c r="AJ103" i="1"/>
  <c r="CR103" i="1"/>
  <c r="CS103" i="1"/>
  <c r="CV103" i="1"/>
  <c r="U103" i="1" s="1"/>
  <c r="CW103" i="1"/>
  <c r="V103" i="1" s="1"/>
  <c r="CX103" i="1"/>
  <c r="W103" i="1" s="1"/>
  <c r="GL103" i="1"/>
  <c r="GN103" i="1"/>
  <c r="GO103" i="1"/>
  <c r="GP103" i="1"/>
  <c r="GV103" i="1"/>
  <c r="HC103" i="1"/>
  <c r="GX103" i="1" s="1"/>
  <c r="Q104" i="1"/>
  <c r="R104" i="1"/>
  <c r="AC104" i="1"/>
  <c r="P104" i="1" s="1"/>
  <c r="FR104" i="1" s="1"/>
  <c r="AE104" i="1"/>
  <c r="AF104" i="1"/>
  <c r="AG104" i="1"/>
  <c r="CU104" i="1" s="1"/>
  <c r="T104" i="1" s="1"/>
  <c r="AH104" i="1"/>
  <c r="AI104" i="1"/>
  <c r="AJ104" i="1"/>
  <c r="CQ104" i="1"/>
  <c r="CV104" i="1"/>
  <c r="U104" i="1" s="1"/>
  <c r="CW104" i="1"/>
  <c r="V104" i="1" s="1"/>
  <c r="CX104" i="1"/>
  <c r="W104" i="1" s="1"/>
  <c r="GL104" i="1"/>
  <c r="GN104" i="1"/>
  <c r="GO104" i="1"/>
  <c r="GP104" i="1"/>
  <c r="GV104" i="1"/>
  <c r="GX104" i="1"/>
  <c r="HC104" i="1"/>
  <c r="C105" i="1"/>
  <c r="D105" i="1"/>
  <c r="R105" i="1"/>
  <c r="W105" i="1"/>
  <c r="AC105" i="1"/>
  <c r="AB105" i="1" s="1"/>
  <c r="AD105" i="1"/>
  <c r="AE105" i="1"/>
  <c r="CS105" i="1" s="1"/>
  <c r="AF105" i="1"/>
  <c r="CT105" i="1" s="1"/>
  <c r="AG105" i="1"/>
  <c r="CU105" i="1" s="1"/>
  <c r="T105" i="1" s="1"/>
  <c r="AH105" i="1"/>
  <c r="CV105" i="1" s="1"/>
  <c r="U105" i="1" s="1"/>
  <c r="AI105" i="1"/>
  <c r="AJ105" i="1"/>
  <c r="CQ105" i="1"/>
  <c r="CR105" i="1"/>
  <c r="CW105" i="1"/>
  <c r="V105" i="1" s="1"/>
  <c r="CX105" i="1"/>
  <c r="GL105" i="1"/>
  <c r="GN105" i="1"/>
  <c r="GP105" i="1"/>
  <c r="GV105" i="1"/>
  <c r="HC105" i="1" s="1"/>
  <c r="GX105" i="1" s="1"/>
  <c r="C106" i="1"/>
  <c r="D106" i="1"/>
  <c r="R106" i="1"/>
  <c r="S106" i="1"/>
  <c r="Y106" i="1" s="1"/>
  <c r="T106" i="1"/>
  <c r="AC106" i="1"/>
  <c r="CQ106" i="1" s="1"/>
  <c r="AE106" i="1"/>
  <c r="AD106" i="1" s="1"/>
  <c r="AF106" i="1"/>
  <c r="CT106" i="1" s="1"/>
  <c r="AG106" i="1"/>
  <c r="CU106" i="1" s="1"/>
  <c r="AH106" i="1"/>
  <c r="CV106" i="1" s="1"/>
  <c r="U106" i="1" s="1"/>
  <c r="AI106" i="1"/>
  <c r="AJ106" i="1"/>
  <c r="CR106" i="1"/>
  <c r="CS106" i="1"/>
  <c r="CW106" i="1"/>
  <c r="V106" i="1" s="1"/>
  <c r="CX106" i="1"/>
  <c r="W106" i="1" s="1"/>
  <c r="GL106" i="1"/>
  <c r="GN106" i="1"/>
  <c r="GP106" i="1"/>
  <c r="GV106" i="1"/>
  <c r="HC106" i="1"/>
  <c r="GX106" i="1" s="1"/>
  <c r="I107" i="1"/>
  <c r="P107" i="1"/>
  <c r="U107" i="1"/>
  <c r="V107" i="1"/>
  <c r="AC107" i="1"/>
  <c r="CQ107" i="1" s="1"/>
  <c r="AD107" i="1"/>
  <c r="AE107" i="1"/>
  <c r="AF107" i="1"/>
  <c r="S107" i="1" s="1"/>
  <c r="AG107" i="1"/>
  <c r="AH107" i="1"/>
  <c r="AI107" i="1"/>
  <c r="CW107" i="1" s="1"/>
  <c r="AJ107" i="1"/>
  <c r="CX107" i="1" s="1"/>
  <c r="W107" i="1" s="1"/>
  <c r="CR107" i="1"/>
  <c r="CS107" i="1"/>
  <c r="CT107" i="1"/>
  <c r="CU107" i="1"/>
  <c r="CV107" i="1"/>
  <c r="GL107" i="1"/>
  <c r="GN107" i="1"/>
  <c r="GO107" i="1"/>
  <c r="GP107" i="1"/>
  <c r="GV107" i="1"/>
  <c r="HC107" i="1" s="1"/>
  <c r="GX107" i="1" s="1"/>
  <c r="I108" i="1"/>
  <c r="P108" i="1"/>
  <c r="FR108" i="1" s="1"/>
  <c r="Q108" i="1"/>
  <c r="AC108" i="1"/>
  <c r="CQ108" i="1" s="1"/>
  <c r="AD108" i="1"/>
  <c r="AB108" i="1" s="1"/>
  <c r="AE108" i="1"/>
  <c r="AF108" i="1"/>
  <c r="CT108" i="1" s="1"/>
  <c r="AG108" i="1"/>
  <c r="AH108" i="1"/>
  <c r="AI108" i="1"/>
  <c r="CW108" i="1" s="1"/>
  <c r="V108" i="1" s="1"/>
  <c r="AJ108" i="1"/>
  <c r="CX108" i="1" s="1"/>
  <c r="W108" i="1" s="1"/>
  <c r="CU108" i="1"/>
  <c r="T108" i="1" s="1"/>
  <c r="CV108" i="1"/>
  <c r="U108" i="1" s="1"/>
  <c r="GL108" i="1"/>
  <c r="GN108" i="1"/>
  <c r="GO108" i="1"/>
  <c r="GP108" i="1"/>
  <c r="GV108" i="1"/>
  <c r="HC108" i="1" s="1"/>
  <c r="GX108" i="1" s="1"/>
  <c r="C109" i="1"/>
  <c r="D109" i="1"/>
  <c r="I109" i="1"/>
  <c r="K109" i="1"/>
  <c r="AC109" i="1"/>
  <c r="AE109" i="1"/>
  <c r="AD109" i="1" s="1"/>
  <c r="AB109" i="1" s="1"/>
  <c r="AF109" i="1"/>
  <c r="S109" i="1" s="1"/>
  <c r="AG109" i="1"/>
  <c r="CU109" i="1" s="1"/>
  <c r="T109" i="1" s="1"/>
  <c r="AH109" i="1"/>
  <c r="CV109" i="1" s="1"/>
  <c r="U109" i="1" s="1"/>
  <c r="AI109" i="1"/>
  <c r="CW109" i="1" s="1"/>
  <c r="V109" i="1" s="1"/>
  <c r="AJ109" i="1"/>
  <c r="CX109" i="1" s="1"/>
  <c r="W109" i="1" s="1"/>
  <c r="CR109" i="1"/>
  <c r="CS109" i="1"/>
  <c r="CT109" i="1"/>
  <c r="GL109" i="1"/>
  <c r="GN109" i="1"/>
  <c r="GP109" i="1"/>
  <c r="GV109" i="1"/>
  <c r="HC109" i="1" s="1"/>
  <c r="GX109" i="1" s="1"/>
  <c r="C110" i="1"/>
  <c r="D110" i="1"/>
  <c r="I110" i="1"/>
  <c r="K110" i="1"/>
  <c r="R110" i="1"/>
  <c r="T110" i="1"/>
  <c r="AB110" i="1"/>
  <c r="AC110" i="1"/>
  <c r="CQ110" i="1" s="1"/>
  <c r="AE110" i="1"/>
  <c r="AD110" i="1" s="1"/>
  <c r="AF110" i="1"/>
  <c r="AG110" i="1"/>
  <c r="CU110" i="1" s="1"/>
  <c r="AH110" i="1"/>
  <c r="CV110" i="1" s="1"/>
  <c r="AI110" i="1"/>
  <c r="AJ110" i="1"/>
  <c r="CR110" i="1"/>
  <c r="CS110" i="1"/>
  <c r="CW110" i="1"/>
  <c r="V110" i="1" s="1"/>
  <c r="CX110" i="1"/>
  <c r="W110" i="1" s="1"/>
  <c r="GL110" i="1"/>
  <c r="GN110" i="1"/>
  <c r="GP110" i="1"/>
  <c r="GV110" i="1"/>
  <c r="HC110" i="1"/>
  <c r="GX110" i="1" s="1"/>
  <c r="S111" i="1"/>
  <c r="V111" i="1"/>
  <c r="W111" i="1"/>
  <c r="AC111" i="1"/>
  <c r="AE111" i="1"/>
  <c r="AF111" i="1"/>
  <c r="AG111" i="1"/>
  <c r="AH111" i="1"/>
  <c r="AI111" i="1"/>
  <c r="AJ111" i="1"/>
  <c r="CX111" i="1" s="1"/>
  <c r="CT111" i="1"/>
  <c r="CU111" i="1"/>
  <c r="T111" i="1" s="1"/>
  <c r="CV111" i="1"/>
  <c r="U111" i="1" s="1"/>
  <c r="CW111" i="1"/>
  <c r="GL111" i="1"/>
  <c r="GN111" i="1"/>
  <c r="GO111" i="1"/>
  <c r="GP111" i="1"/>
  <c r="GV111" i="1"/>
  <c r="HC111" i="1" s="1"/>
  <c r="GX111" i="1"/>
  <c r="R112" i="1"/>
  <c r="S112" i="1"/>
  <c r="X112" i="1"/>
  <c r="Y112" i="1"/>
  <c r="AC112" i="1"/>
  <c r="AB112" i="1" s="1"/>
  <c r="AD112" i="1"/>
  <c r="AE112" i="1"/>
  <c r="Q112" i="1" s="1"/>
  <c r="AF112" i="1"/>
  <c r="CT112" i="1" s="1"/>
  <c r="AG112" i="1"/>
  <c r="CU112" i="1" s="1"/>
  <c r="T112" i="1" s="1"/>
  <c r="AH112" i="1"/>
  <c r="CV112" i="1" s="1"/>
  <c r="U112" i="1" s="1"/>
  <c r="AI112" i="1"/>
  <c r="AJ112" i="1"/>
  <c r="CQ112" i="1"/>
  <c r="CR112" i="1"/>
  <c r="CS112" i="1"/>
  <c r="CW112" i="1"/>
  <c r="V112" i="1" s="1"/>
  <c r="CX112" i="1"/>
  <c r="W112" i="1" s="1"/>
  <c r="GL112" i="1"/>
  <c r="GN112" i="1"/>
  <c r="GO112" i="1"/>
  <c r="GP112" i="1"/>
  <c r="GV112" i="1"/>
  <c r="HC112" i="1"/>
  <c r="GX112" i="1" s="1"/>
  <c r="R113" i="1"/>
  <c r="U113" i="1"/>
  <c r="AC113" i="1"/>
  <c r="AD113" i="1"/>
  <c r="AE113" i="1"/>
  <c r="CR113" i="1" s="1"/>
  <c r="AF113" i="1"/>
  <c r="AG113" i="1"/>
  <c r="CU113" i="1" s="1"/>
  <c r="T113" i="1" s="1"/>
  <c r="AH113" i="1"/>
  <c r="CV113" i="1" s="1"/>
  <c r="AI113" i="1"/>
  <c r="AJ113" i="1"/>
  <c r="CS113" i="1"/>
  <c r="CW113" i="1"/>
  <c r="V113" i="1" s="1"/>
  <c r="CX113" i="1"/>
  <c r="W113" i="1" s="1"/>
  <c r="GL113" i="1"/>
  <c r="GN113" i="1"/>
  <c r="GO113" i="1"/>
  <c r="GP113" i="1"/>
  <c r="GV113" i="1"/>
  <c r="HC113" i="1"/>
  <c r="GX113" i="1" s="1"/>
  <c r="Q114" i="1"/>
  <c r="S114" i="1"/>
  <c r="V114" i="1"/>
  <c r="AC114" i="1"/>
  <c r="AD114" i="1"/>
  <c r="AE114" i="1"/>
  <c r="AF114" i="1"/>
  <c r="AG114" i="1"/>
  <c r="AH114" i="1"/>
  <c r="AI114" i="1"/>
  <c r="AJ114" i="1"/>
  <c r="CX114" i="1" s="1"/>
  <c r="W114" i="1" s="1"/>
  <c r="CT114" i="1"/>
  <c r="CU114" i="1"/>
  <c r="T114" i="1" s="1"/>
  <c r="CV114" i="1"/>
  <c r="U114" i="1" s="1"/>
  <c r="CW114" i="1"/>
  <c r="GL114" i="1"/>
  <c r="GN114" i="1"/>
  <c r="GO114" i="1"/>
  <c r="GP114" i="1"/>
  <c r="GV114" i="1"/>
  <c r="HC114" i="1" s="1"/>
  <c r="GX114" i="1" s="1"/>
  <c r="R115" i="1"/>
  <c r="V115" i="1"/>
  <c r="AC115" i="1"/>
  <c r="AD115" i="1"/>
  <c r="AE115" i="1"/>
  <c r="Q115" i="1" s="1"/>
  <c r="AF115" i="1"/>
  <c r="CT115" i="1" s="1"/>
  <c r="AG115" i="1"/>
  <c r="CU115" i="1" s="1"/>
  <c r="T115" i="1" s="1"/>
  <c r="AH115" i="1"/>
  <c r="CV115" i="1" s="1"/>
  <c r="U115" i="1" s="1"/>
  <c r="AI115" i="1"/>
  <c r="AJ115" i="1"/>
  <c r="CQ115" i="1"/>
  <c r="CR115" i="1"/>
  <c r="CS115" i="1"/>
  <c r="CW115" i="1"/>
  <c r="CX115" i="1"/>
  <c r="W115" i="1" s="1"/>
  <c r="GL115" i="1"/>
  <c r="GN115" i="1"/>
  <c r="GO115" i="1"/>
  <c r="GP115" i="1"/>
  <c r="GV115" i="1"/>
  <c r="HC115" i="1"/>
  <c r="GX115" i="1" s="1"/>
  <c r="R116" i="1"/>
  <c r="S116" i="1"/>
  <c r="U116" i="1"/>
  <c r="AC116" i="1"/>
  <c r="AD116" i="1"/>
  <c r="AE116" i="1"/>
  <c r="CR116" i="1" s="1"/>
  <c r="AF116" i="1"/>
  <c r="AG116" i="1"/>
  <c r="AH116" i="1"/>
  <c r="CV116" i="1" s="1"/>
  <c r="AI116" i="1"/>
  <c r="CW116" i="1" s="1"/>
  <c r="V116" i="1" s="1"/>
  <c r="AJ116" i="1"/>
  <c r="CS116" i="1"/>
  <c r="CT116" i="1"/>
  <c r="CU116" i="1"/>
  <c r="T116" i="1" s="1"/>
  <c r="CX116" i="1"/>
  <c r="W116" i="1" s="1"/>
  <c r="GL116" i="1"/>
  <c r="GN116" i="1"/>
  <c r="GO116" i="1"/>
  <c r="GP116" i="1"/>
  <c r="GV116" i="1"/>
  <c r="HC116" i="1" s="1"/>
  <c r="GX116" i="1" s="1"/>
  <c r="Q117" i="1"/>
  <c r="S117" i="1"/>
  <c r="CY117" i="1" s="1"/>
  <c r="V117" i="1"/>
  <c r="AC117" i="1"/>
  <c r="AD117" i="1"/>
  <c r="AE117" i="1"/>
  <c r="AF117" i="1"/>
  <c r="AG117" i="1"/>
  <c r="AH117" i="1"/>
  <c r="AI117" i="1"/>
  <c r="AJ117" i="1"/>
  <c r="CX117" i="1" s="1"/>
  <c r="W117" i="1" s="1"/>
  <c r="CT117" i="1"/>
  <c r="CU117" i="1"/>
  <c r="T117" i="1" s="1"/>
  <c r="CV117" i="1"/>
  <c r="U117" i="1" s="1"/>
  <c r="CW117" i="1"/>
  <c r="GL117" i="1"/>
  <c r="GN117" i="1"/>
  <c r="GO117" i="1"/>
  <c r="GP117" i="1"/>
  <c r="GV117" i="1"/>
  <c r="HC117" i="1" s="1"/>
  <c r="GX117" i="1" s="1"/>
  <c r="R118" i="1"/>
  <c r="S118" i="1"/>
  <c r="X118" i="1" s="1"/>
  <c r="T118" i="1"/>
  <c r="AC118" i="1"/>
  <c r="AB118" i="1" s="1"/>
  <c r="AD118" i="1"/>
  <c r="AE118" i="1"/>
  <c r="Q118" i="1" s="1"/>
  <c r="AF118" i="1"/>
  <c r="CT118" i="1" s="1"/>
  <c r="AG118" i="1"/>
  <c r="CU118" i="1" s="1"/>
  <c r="AH118" i="1"/>
  <c r="CV118" i="1" s="1"/>
  <c r="U118" i="1" s="1"/>
  <c r="AI118" i="1"/>
  <c r="AJ118" i="1"/>
  <c r="CQ118" i="1"/>
  <c r="CR118" i="1"/>
  <c r="CS118" i="1"/>
  <c r="CW118" i="1"/>
  <c r="V118" i="1" s="1"/>
  <c r="CX118" i="1"/>
  <c r="W118" i="1" s="1"/>
  <c r="GL118" i="1"/>
  <c r="GN118" i="1"/>
  <c r="GO118" i="1"/>
  <c r="GP118" i="1"/>
  <c r="GV118" i="1"/>
  <c r="HC118" i="1"/>
  <c r="GX118" i="1" s="1"/>
  <c r="R119" i="1"/>
  <c r="AC119" i="1"/>
  <c r="AD119" i="1"/>
  <c r="AE119" i="1"/>
  <c r="CR119" i="1" s="1"/>
  <c r="AF119" i="1"/>
  <c r="S119" i="1" s="1"/>
  <c r="AG119" i="1"/>
  <c r="CU119" i="1" s="1"/>
  <c r="T119" i="1" s="1"/>
  <c r="AH119" i="1"/>
  <c r="CV119" i="1" s="1"/>
  <c r="U119" i="1" s="1"/>
  <c r="AI119" i="1"/>
  <c r="CW119" i="1" s="1"/>
  <c r="V119" i="1" s="1"/>
  <c r="AJ119" i="1"/>
  <c r="CS119" i="1"/>
  <c r="CX119" i="1"/>
  <c r="W119" i="1" s="1"/>
  <c r="GL119" i="1"/>
  <c r="GN119" i="1"/>
  <c r="GO119" i="1"/>
  <c r="GP119" i="1"/>
  <c r="GV119" i="1"/>
  <c r="HC119" i="1" s="1"/>
  <c r="GX119" i="1" s="1"/>
  <c r="S120" i="1"/>
  <c r="CY120" i="1" s="1"/>
  <c r="V120" i="1"/>
  <c r="AC120" i="1"/>
  <c r="AE120" i="1"/>
  <c r="AF120" i="1"/>
  <c r="AG120" i="1"/>
  <c r="AH120" i="1"/>
  <c r="AI120" i="1"/>
  <c r="AJ120" i="1"/>
  <c r="CX120" i="1" s="1"/>
  <c r="W120" i="1" s="1"/>
  <c r="CT120" i="1"/>
  <c r="CU120" i="1"/>
  <c r="T120" i="1" s="1"/>
  <c r="CV120" i="1"/>
  <c r="U120" i="1" s="1"/>
  <c r="CW120" i="1"/>
  <c r="GL120" i="1"/>
  <c r="GN120" i="1"/>
  <c r="GO120" i="1"/>
  <c r="GP120" i="1"/>
  <c r="GV120" i="1"/>
  <c r="HC120" i="1" s="1"/>
  <c r="GX120" i="1" s="1"/>
  <c r="C121" i="1"/>
  <c r="D121" i="1"/>
  <c r="P121" i="1"/>
  <c r="V121" i="1"/>
  <c r="W121" i="1"/>
  <c r="AC121" i="1"/>
  <c r="CQ121" i="1" s="1"/>
  <c r="AE121" i="1"/>
  <c r="AF121" i="1"/>
  <c r="AG121" i="1"/>
  <c r="CU121" i="1" s="1"/>
  <c r="T121" i="1" s="1"/>
  <c r="AH121" i="1"/>
  <c r="AI121" i="1"/>
  <c r="AJ121" i="1"/>
  <c r="CV121" i="1"/>
  <c r="U121" i="1" s="1"/>
  <c r="CW121" i="1"/>
  <c r="CX121" i="1"/>
  <c r="GL121" i="1"/>
  <c r="GN121" i="1"/>
  <c r="GP121" i="1"/>
  <c r="GV121" i="1"/>
  <c r="HC121" i="1"/>
  <c r="GX121" i="1" s="1"/>
  <c r="C122" i="1"/>
  <c r="D122" i="1"/>
  <c r="P122" i="1"/>
  <c r="W122" i="1"/>
  <c r="AC122" i="1"/>
  <c r="AE122" i="1"/>
  <c r="AF122" i="1"/>
  <c r="S122" i="1" s="1"/>
  <c r="AG122" i="1"/>
  <c r="AH122" i="1"/>
  <c r="AI122" i="1"/>
  <c r="AJ122" i="1"/>
  <c r="CQ122" i="1"/>
  <c r="CU122" i="1"/>
  <c r="T122" i="1" s="1"/>
  <c r="CV122" i="1"/>
  <c r="U122" i="1" s="1"/>
  <c r="CW122" i="1"/>
  <c r="V122" i="1" s="1"/>
  <c r="CX122" i="1"/>
  <c r="GL122" i="1"/>
  <c r="GN122" i="1"/>
  <c r="GP122" i="1"/>
  <c r="GV122" i="1"/>
  <c r="HC122" i="1"/>
  <c r="GX122" i="1" s="1"/>
  <c r="T123" i="1"/>
  <c r="U123" i="1"/>
  <c r="X123" i="1"/>
  <c r="Y123" i="1"/>
  <c r="AC123" i="1"/>
  <c r="AE123" i="1"/>
  <c r="AD123" i="1" s="1"/>
  <c r="AF123" i="1"/>
  <c r="S123" i="1" s="1"/>
  <c r="CZ123" i="1" s="1"/>
  <c r="AG123" i="1"/>
  <c r="CU123" i="1" s="1"/>
  <c r="AH123" i="1"/>
  <c r="CV123" i="1" s="1"/>
  <c r="AI123" i="1"/>
  <c r="CW123" i="1" s="1"/>
  <c r="V123" i="1" s="1"/>
  <c r="AJ123" i="1"/>
  <c r="CX123" i="1" s="1"/>
  <c r="W123" i="1" s="1"/>
  <c r="CR123" i="1"/>
  <c r="CS123" i="1"/>
  <c r="CT123" i="1"/>
  <c r="CY123" i="1"/>
  <c r="GL123" i="1"/>
  <c r="GN123" i="1"/>
  <c r="GO123" i="1"/>
  <c r="GP123" i="1"/>
  <c r="GV123" i="1"/>
  <c r="GX123" i="1"/>
  <c r="HC123" i="1"/>
  <c r="P124" i="1"/>
  <c r="V124" i="1"/>
  <c r="W124" i="1"/>
  <c r="AC124" i="1"/>
  <c r="CQ124" i="1" s="1"/>
  <c r="AE124" i="1"/>
  <c r="AF124" i="1"/>
  <c r="AG124" i="1"/>
  <c r="CU124" i="1" s="1"/>
  <c r="T124" i="1" s="1"/>
  <c r="AH124" i="1"/>
  <c r="CV124" i="1" s="1"/>
  <c r="U124" i="1" s="1"/>
  <c r="AI124" i="1"/>
  <c r="AJ124" i="1"/>
  <c r="CW124" i="1"/>
  <c r="CX124" i="1"/>
  <c r="FR124" i="1"/>
  <c r="GL124" i="1"/>
  <c r="GN124" i="1"/>
  <c r="GO124" i="1"/>
  <c r="GP124" i="1"/>
  <c r="GV124" i="1"/>
  <c r="HC124" i="1"/>
  <c r="GX124" i="1" s="1"/>
  <c r="C125" i="1"/>
  <c r="D125" i="1"/>
  <c r="Q125" i="1"/>
  <c r="S125" i="1"/>
  <c r="X125" i="1" s="1"/>
  <c r="V125" i="1"/>
  <c r="AC125" i="1"/>
  <c r="AD125" i="1"/>
  <c r="AE125" i="1"/>
  <c r="R125" i="1" s="1"/>
  <c r="AF125" i="1"/>
  <c r="AG125" i="1"/>
  <c r="CU125" i="1" s="1"/>
  <c r="T125" i="1" s="1"/>
  <c r="AH125" i="1"/>
  <c r="AI125" i="1"/>
  <c r="AJ125" i="1"/>
  <c r="CX125" i="1" s="1"/>
  <c r="W125" i="1" s="1"/>
  <c r="CS125" i="1"/>
  <c r="CT125" i="1"/>
  <c r="CV125" i="1"/>
  <c r="U125" i="1" s="1"/>
  <c r="CW125" i="1"/>
  <c r="GL125" i="1"/>
  <c r="GN125" i="1"/>
  <c r="GP125" i="1"/>
  <c r="GV125" i="1"/>
  <c r="HC125" i="1"/>
  <c r="GX125" i="1" s="1"/>
  <c r="C126" i="1"/>
  <c r="D126" i="1"/>
  <c r="R126" i="1"/>
  <c r="S126" i="1"/>
  <c r="T126" i="1"/>
  <c r="AC126" i="1"/>
  <c r="P126" i="1" s="1"/>
  <c r="AE126" i="1"/>
  <c r="AF126" i="1"/>
  <c r="CT126" i="1" s="1"/>
  <c r="AG126" i="1"/>
  <c r="CU126" i="1" s="1"/>
  <c r="AH126" i="1"/>
  <c r="CV126" i="1" s="1"/>
  <c r="U126" i="1" s="1"/>
  <c r="AI126" i="1"/>
  <c r="CW126" i="1" s="1"/>
  <c r="V126" i="1" s="1"/>
  <c r="AJ126" i="1"/>
  <c r="CQ126" i="1"/>
  <c r="CX126" i="1"/>
  <c r="W126" i="1" s="1"/>
  <c r="CY126" i="1"/>
  <c r="GL126" i="1"/>
  <c r="GN126" i="1"/>
  <c r="GP126" i="1"/>
  <c r="GV126" i="1"/>
  <c r="HC126" i="1"/>
  <c r="GX126" i="1" s="1"/>
  <c r="Q127" i="1"/>
  <c r="R127" i="1"/>
  <c r="S127" i="1"/>
  <c r="W127" i="1"/>
  <c r="AC127" i="1"/>
  <c r="P127" i="1" s="1"/>
  <c r="AD127" i="1"/>
  <c r="AB127" i="1" s="1"/>
  <c r="AE127" i="1"/>
  <c r="CR127" i="1" s="1"/>
  <c r="AF127" i="1"/>
  <c r="AG127" i="1"/>
  <c r="AH127" i="1"/>
  <c r="AI127" i="1"/>
  <c r="CW127" i="1" s="1"/>
  <c r="V127" i="1" s="1"/>
  <c r="AJ127" i="1"/>
  <c r="CS127" i="1"/>
  <c r="CT127" i="1"/>
  <c r="CU127" i="1"/>
  <c r="T127" i="1" s="1"/>
  <c r="CV127" i="1"/>
  <c r="U127" i="1" s="1"/>
  <c r="CX127" i="1"/>
  <c r="GL127" i="1"/>
  <c r="GN127" i="1"/>
  <c r="GO127" i="1"/>
  <c r="GP127" i="1"/>
  <c r="GV127" i="1"/>
  <c r="HC127" i="1"/>
  <c r="GX127" i="1" s="1"/>
  <c r="R128" i="1"/>
  <c r="S128" i="1"/>
  <c r="X128" i="1"/>
  <c r="AB128" i="1"/>
  <c r="AC128" i="1"/>
  <c r="P128" i="1" s="1"/>
  <c r="FR128" i="1" s="1"/>
  <c r="AE128" i="1"/>
  <c r="AD128" i="1" s="1"/>
  <c r="AF128" i="1"/>
  <c r="CT128" i="1" s="1"/>
  <c r="AG128" i="1"/>
  <c r="CU128" i="1" s="1"/>
  <c r="T128" i="1" s="1"/>
  <c r="AH128" i="1"/>
  <c r="CV128" i="1" s="1"/>
  <c r="U128" i="1" s="1"/>
  <c r="AI128" i="1"/>
  <c r="AJ128" i="1"/>
  <c r="CQ128" i="1"/>
  <c r="CR128" i="1"/>
  <c r="CS128" i="1"/>
  <c r="CW128" i="1"/>
  <c r="V128" i="1" s="1"/>
  <c r="CX128" i="1"/>
  <c r="W128" i="1" s="1"/>
  <c r="CY128" i="1"/>
  <c r="GL128" i="1"/>
  <c r="GN128" i="1"/>
  <c r="GO128" i="1"/>
  <c r="GP128" i="1"/>
  <c r="GV128" i="1"/>
  <c r="HC128" i="1"/>
  <c r="GX128" i="1" s="1"/>
  <c r="C129" i="1"/>
  <c r="D129" i="1"/>
  <c r="Q129" i="1"/>
  <c r="S129" i="1"/>
  <c r="T129" i="1"/>
  <c r="Y129" i="1"/>
  <c r="AB129" i="1"/>
  <c r="AC129" i="1"/>
  <c r="P129" i="1" s="1"/>
  <c r="CP129" i="1" s="1"/>
  <c r="O129" i="1" s="1"/>
  <c r="AE129" i="1"/>
  <c r="AD129" i="1" s="1"/>
  <c r="AF129" i="1"/>
  <c r="CT129" i="1" s="1"/>
  <c r="AG129" i="1"/>
  <c r="CU129" i="1" s="1"/>
  <c r="AH129" i="1"/>
  <c r="AI129" i="1"/>
  <c r="AJ129" i="1"/>
  <c r="CQ129" i="1"/>
  <c r="CV129" i="1"/>
  <c r="U129" i="1" s="1"/>
  <c r="CW129" i="1"/>
  <c r="V129" i="1" s="1"/>
  <c r="CX129" i="1"/>
  <c r="W129" i="1" s="1"/>
  <c r="CY129" i="1"/>
  <c r="GL129" i="1"/>
  <c r="GN129" i="1"/>
  <c r="GP129" i="1"/>
  <c r="GV129" i="1"/>
  <c r="HC129" i="1"/>
  <c r="GX129" i="1" s="1"/>
  <c r="C130" i="1"/>
  <c r="D130" i="1"/>
  <c r="S130" i="1"/>
  <c r="X130" i="1" s="1"/>
  <c r="T130" i="1"/>
  <c r="U130" i="1"/>
  <c r="AC130" i="1"/>
  <c r="P130" i="1" s="1"/>
  <c r="AE130" i="1"/>
  <c r="AD130" i="1" s="1"/>
  <c r="AF130" i="1"/>
  <c r="AG130" i="1"/>
  <c r="CU130" i="1" s="1"/>
  <c r="AH130" i="1"/>
  <c r="CV130" i="1" s="1"/>
  <c r="AI130" i="1"/>
  <c r="CW130" i="1" s="1"/>
  <c r="V130" i="1" s="1"/>
  <c r="AJ130" i="1"/>
  <c r="CQ130" i="1"/>
  <c r="CR130" i="1"/>
  <c r="CS130" i="1"/>
  <c r="CT130" i="1"/>
  <c r="CX130" i="1"/>
  <c r="W130" i="1" s="1"/>
  <c r="GL130" i="1"/>
  <c r="GN130" i="1"/>
  <c r="GP130" i="1"/>
  <c r="GV130" i="1"/>
  <c r="HC130" i="1" s="1"/>
  <c r="GX130" i="1" s="1"/>
  <c r="P131" i="1"/>
  <c r="Q131" i="1"/>
  <c r="W131" i="1"/>
  <c r="AC131" i="1"/>
  <c r="AE131" i="1"/>
  <c r="AF131" i="1"/>
  <c r="AG131" i="1"/>
  <c r="AH131" i="1"/>
  <c r="AI131" i="1"/>
  <c r="CW131" i="1" s="1"/>
  <c r="V131" i="1" s="1"/>
  <c r="AJ131" i="1"/>
  <c r="CX131" i="1" s="1"/>
  <c r="CQ131" i="1"/>
  <c r="CU131" i="1"/>
  <c r="T131" i="1" s="1"/>
  <c r="CV131" i="1"/>
  <c r="U131" i="1" s="1"/>
  <c r="GL131" i="1"/>
  <c r="GN131" i="1"/>
  <c r="GO131" i="1"/>
  <c r="GP131" i="1"/>
  <c r="GV131" i="1"/>
  <c r="HC131" i="1"/>
  <c r="GX131" i="1" s="1"/>
  <c r="Q132" i="1"/>
  <c r="R132" i="1"/>
  <c r="T132" i="1"/>
  <c r="AB132" i="1"/>
  <c r="AC132" i="1"/>
  <c r="P132" i="1" s="1"/>
  <c r="AE132" i="1"/>
  <c r="AD132" i="1" s="1"/>
  <c r="AF132" i="1"/>
  <c r="CT132" i="1" s="1"/>
  <c r="AG132" i="1"/>
  <c r="CU132" i="1" s="1"/>
  <c r="AH132" i="1"/>
  <c r="AI132" i="1"/>
  <c r="AJ132" i="1"/>
  <c r="CQ132" i="1"/>
  <c r="CR132" i="1"/>
  <c r="CS132" i="1"/>
  <c r="CV132" i="1"/>
  <c r="U132" i="1" s="1"/>
  <c r="CW132" i="1"/>
  <c r="V132" i="1" s="1"/>
  <c r="CX132" i="1"/>
  <c r="W132" i="1" s="1"/>
  <c r="GL132" i="1"/>
  <c r="GN132" i="1"/>
  <c r="GO132" i="1"/>
  <c r="GP132" i="1"/>
  <c r="GV132" i="1"/>
  <c r="HC132" i="1"/>
  <c r="GX132" i="1" s="1"/>
  <c r="C133" i="1"/>
  <c r="D133" i="1"/>
  <c r="I133" i="1"/>
  <c r="K133" i="1"/>
  <c r="P133" i="1"/>
  <c r="U133" i="1"/>
  <c r="AC133" i="1"/>
  <c r="AE133" i="1"/>
  <c r="AF133" i="1"/>
  <c r="AG133" i="1"/>
  <c r="AH133" i="1"/>
  <c r="AI133" i="1"/>
  <c r="AJ133" i="1"/>
  <c r="CX133" i="1" s="1"/>
  <c r="W133" i="1" s="1"/>
  <c r="CQ133" i="1"/>
  <c r="CU133" i="1"/>
  <c r="T133" i="1" s="1"/>
  <c r="CV133" i="1"/>
  <c r="CW133" i="1"/>
  <c r="V133" i="1" s="1"/>
  <c r="GL133" i="1"/>
  <c r="GN133" i="1"/>
  <c r="GP133" i="1"/>
  <c r="GV133" i="1"/>
  <c r="HC133" i="1"/>
  <c r="GX133" i="1" s="1"/>
  <c r="C134" i="1"/>
  <c r="D134" i="1"/>
  <c r="I134" i="1"/>
  <c r="K134" i="1"/>
  <c r="P134" i="1"/>
  <c r="CP134" i="1" s="1"/>
  <c r="O134" i="1" s="1"/>
  <c r="Q134" i="1"/>
  <c r="AC134" i="1"/>
  <c r="CQ134" i="1" s="1"/>
  <c r="AD134" i="1"/>
  <c r="AE134" i="1"/>
  <c r="CR134" i="1" s="1"/>
  <c r="AF134" i="1"/>
  <c r="S134" i="1" s="1"/>
  <c r="AG134" i="1"/>
  <c r="AH134" i="1"/>
  <c r="AI134" i="1"/>
  <c r="CW134" i="1" s="1"/>
  <c r="V134" i="1" s="1"/>
  <c r="AJ134" i="1"/>
  <c r="CX134" i="1" s="1"/>
  <c r="W134" i="1" s="1"/>
  <c r="CS134" i="1"/>
  <c r="CT134" i="1"/>
  <c r="CU134" i="1"/>
  <c r="T134" i="1" s="1"/>
  <c r="CV134" i="1"/>
  <c r="U134" i="1" s="1"/>
  <c r="CZ134" i="1"/>
  <c r="GL134" i="1"/>
  <c r="GN134" i="1"/>
  <c r="GP134" i="1"/>
  <c r="GV134" i="1"/>
  <c r="HC134" i="1" s="1"/>
  <c r="GX134" i="1" s="1"/>
  <c r="R135" i="1"/>
  <c r="AC135" i="1"/>
  <c r="P135" i="1" s="1"/>
  <c r="AE135" i="1"/>
  <c r="AD135" i="1" s="1"/>
  <c r="AB135" i="1" s="1"/>
  <c r="AF135" i="1"/>
  <c r="AG135" i="1"/>
  <c r="CU135" i="1" s="1"/>
  <c r="T135" i="1" s="1"/>
  <c r="AH135" i="1"/>
  <c r="CV135" i="1" s="1"/>
  <c r="U135" i="1" s="1"/>
  <c r="AI135" i="1"/>
  <c r="AJ135" i="1"/>
  <c r="CQ135" i="1"/>
  <c r="CR135" i="1"/>
  <c r="CS135" i="1"/>
  <c r="CW135" i="1"/>
  <c r="V135" i="1" s="1"/>
  <c r="CX135" i="1"/>
  <c r="W135" i="1" s="1"/>
  <c r="GL135" i="1"/>
  <c r="GN135" i="1"/>
  <c r="GO135" i="1"/>
  <c r="GP135" i="1"/>
  <c r="GV135" i="1"/>
  <c r="HC135" i="1"/>
  <c r="GX135" i="1" s="1"/>
  <c r="P136" i="1"/>
  <c r="S136" i="1"/>
  <c r="T136" i="1"/>
  <c r="U136" i="1"/>
  <c r="V136" i="1"/>
  <c r="AB136" i="1"/>
  <c r="AC136" i="1"/>
  <c r="CQ136" i="1" s="1"/>
  <c r="AD136" i="1"/>
  <c r="AE136" i="1"/>
  <c r="CR136" i="1" s="1"/>
  <c r="AF136" i="1"/>
  <c r="AG136" i="1"/>
  <c r="AH136" i="1"/>
  <c r="CV136" i="1" s="1"/>
  <c r="AI136" i="1"/>
  <c r="CW136" i="1" s="1"/>
  <c r="AJ136" i="1"/>
  <c r="CS136" i="1"/>
  <c r="CT136" i="1"/>
  <c r="CU136" i="1"/>
  <c r="CX136" i="1"/>
  <c r="W136" i="1" s="1"/>
  <c r="CZ136" i="1"/>
  <c r="GL136" i="1"/>
  <c r="GN136" i="1"/>
  <c r="GO136" i="1"/>
  <c r="GP136" i="1"/>
  <c r="GV136" i="1"/>
  <c r="HC136" i="1" s="1"/>
  <c r="GX136" i="1" s="1"/>
  <c r="C137" i="1"/>
  <c r="D137" i="1"/>
  <c r="P137" i="1"/>
  <c r="S137" i="1"/>
  <c r="X137" i="1" s="1"/>
  <c r="V137" i="1"/>
  <c r="Y137" i="1"/>
  <c r="AB137" i="1"/>
  <c r="AC137" i="1"/>
  <c r="CQ137" i="1" s="1"/>
  <c r="AD137" i="1"/>
  <c r="AE137" i="1"/>
  <c r="Q137" i="1" s="1"/>
  <c r="AF137" i="1"/>
  <c r="AG137" i="1"/>
  <c r="AH137" i="1"/>
  <c r="CV137" i="1" s="1"/>
  <c r="U137" i="1" s="1"/>
  <c r="AI137" i="1"/>
  <c r="CW137" i="1" s="1"/>
  <c r="AJ137" i="1"/>
  <c r="CX137" i="1" s="1"/>
  <c r="W137" i="1" s="1"/>
  <c r="CR137" i="1"/>
  <c r="CS137" i="1"/>
  <c r="CT137" i="1"/>
  <c r="CU137" i="1"/>
  <c r="T137" i="1" s="1"/>
  <c r="CY137" i="1"/>
  <c r="CZ137" i="1"/>
  <c r="GL137" i="1"/>
  <c r="GN137" i="1"/>
  <c r="GP137" i="1"/>
  <c r="GV137" i="1"/>
  <c r="HC137" i="1" s="1"/>
  <c r="GX137" i="1"/>
  <c r="C138" i="1"/>
  <c r="D138" i="1"/>
  <c r="V138" i="1"/>
  <c r="W138" i="1"/>
  <c r="AC138" i="1"/>
  <c r="P138" i="1" s="1"/>
  <c r="AE138" i="1"/>
  <c r="Q138" i="1" s="1"/>
  <c r="AF138" i="1"/>
  <c r="S138" i="1" s="1"/>
  <c r="AG138" i="1"/>
  <c r="AH138" i="1"/>
  <c r="AI138" i="1"/>
  <c r="CW138" i="1" s="1"/>
  <c r="AJ138" i="1"/>
  <c r="CX138" i="1" s="1"/>
  <c r="CT138" i="1"/>
  <c r="CU138" i="1"/>
  <c r="T138" i="1" s="1"/>
  <c r="CV138" i="1"/>
  <c r="U138" i="1" s="1"/>
  <c r="CY138" i="1"/>
  <c r="GL138" i="1"/>
  <c r="GN138" i="1"/>
  <c r="GP138" i="1"/>
  <c r="GV138" i="1"/>
  <c r="HC138" i="1" s="1"/>
  <c r="GX138" i="1" s="1"/>
  <c r="Q139" i="1"/>
  <c r="R139" i="1"/>
  <c r="S139" i="1"/>
  <c r="T139" i="1"/>
  <c r="AC139" i="1"/>
  <c r="P139" i="1" s="1"/>
  <c r="AE139" i="1"/>
  <c r="AD139" i="1" s="1"/>
  <c r="AB139" i="1" s="1"/>
  <c r="AF139" i="1"/>
  <c r="CT139" i="1" s="1"/>
  <c r="AG139" i="1"/>
  <c r="CU139" i="1" s="1"/>
  <c r="AH139" i="1"/>
  <c r="AI139" i="1"/>
  <c r="AJ139" i="1"/>
  <c r="CQ139" i="1"/>
  <c r="CR139" i="1"/>
  <c r="CV139" i="1"/>
  <c r="U139" i="1" s="1"/>
  <c r="CW139" i="1"/>
  <c r="V139" i="1" s="1"/>
  <c r="CX139" i="1"/>
  <c r="W139" i="1" s="1"/>
  <c r="GL139" i="1"/>
  <c r="GN139" i="1"/>
  <c r="GO139" i="1"/>
  <c r="GP139" i="1"/>
  <c r="GV139" i="1"/>
  <c r="GX139" i="1"/>
  <c r="HC139" i="1"/>
  <c r="S140" i="1"/>
  <c r="X140" i="1" s="1"/>
  <c r="U140" i="1"/>
  <c r="Y140" i="1"/>
  <c r="AB140" i="1"/>
  <c r="AC140" i="1"/>
  <c r="CQ140" i="1" s="1"/>
  <c r="AD140" i="1"/>
  <c r="AE140" i="1"/>
  <c r="Q140" i="1" s="1"/>
  <c r="AF140" i="1"/>
  <c r="AG140" i="1"/>
  <c r="AH140" i="1"/>
  <c r="CV140" i="1" s="1"/>
  <c r="AI140" i="1"/>
  <c r="CW140" i="1" s="1"/>
  <c r="V140" i="1" s="1"/>
  <c r="AJ140" i="1"/>
  <c r="CX140" i="1" s="1"/>
  <c r="W140" i="1" s="1"/>
  <c r="CR140" i="1"/>
  <c r="CS140" i="1"/>
  <c r="CT140" i="1"/>
  <c r="CU140" i="1"/>
  <c r="T140" i="1" s="1"/>
  <c r="CY140" i="1"/>
  <c r="CZ140" i="1"/>
  <c r="GL140" i="1"/>
  <c r="GN140" i="1"/>
  <c r="GO140" i="1"/>
  <c r="GP140" i="1"/>
  <c r="GV140" i="1"/>
  <c r="HC140" i="1" s="1"/>
  <c r="GX140" i="1" s="1"/>
  <c r="C141" i="1"/>
  <c r="D141" i="1"/>
  <c r="I141" i="1"/>
  <c r="K141" i="1"/>
  <c r="Q141" i="1"/>
  <c r="R141" i="1"/>
  <c r="S141" i="1"/>
  <c r="CZ141" i="1" s="1"/>
  <c r="AC141" i="1"/>
  <c r="P141" i="1" s="1"/>
  <c r="AE141" i="1"/>
  <c r="AD141" i="1" s="1"/>
  <c r="AB141" i="1" s="1"/>
  <c r="AF141" i="1"/>
  <c r="CT141" i="1" s="1"/>
  <c r="AG141" i="1"/>
  <c r="CU141" i="1" s="1"/>
  <c r="T141" i="1" s="1"/>
  <c r="AH141" i="1"/>
  <c r="CV141" i="1" s="1"/>
  <c r="U141" i="1" s="1"/>
  <c r="AI141" i="1"/>
  <c r="AJ141" i="1"/>
  <c r="CQ141" i="1"/>
  <c r="CW141" i="1"/>
  <c r="CX141" i="1"/>
  <c r="W141" i="1" s="1"/>
  <c r="GL141" i="1"/>
  <c r="GN141" i="1"/>
  <c r="GP141" i="1"/>
  <c r="GV141" i="1"/>
  <c r="HC141" i="1"/>
  <c r="GX141" i="1" s="1"/>
  <c r="C142" i="1"/>
  <c r="D142" i="1"/>
  <c r="I142" i="1"/>
  <c r="K142" i="1"/>
  <c r="Q142" i="1"/>
  <c r="R142" i="1"/>
  <c r="W142" i="1"/>
  <c r="AC142" i="1"/>
  <c r="AE142" i="1"/>
  <c r="AF142" i="1"/>
  <c r="CT142" i="1" s="1"/>
  <c r="AG142" i="1"/>
  <c r="CU142" i="1" s="1"/>
  <c r="T142" i="1" s="1"/>
  <c r="AH142" i="1"/>
  <c r="AI142" i="1"/>
  <c r="AJ142" i="1"/>
  <c r="CQ142" i="1"/>
  <c r="CR142" i="1"/>
  <c r="CV142" i="1"/>
  <c r="U142" i="1" s="1"/>
  <c r="CW142" i="1"/>
  <c r="V142" i="1" s="1"/>
  <c r="CX142" i="1"/>
  <c r="GL142" i="1"/>
  <c r="GN142" i="1"/>
  <c r="GP142" i="1"/>
  <c r="GV142" i="1"/>
  <c r="HC142" i="1"/>
  <c r="GX142" i="1" s="1"/>
  <c r="P143" i="1"/>
  <c r="S143" i="1"/>
  <c r="U143" i="1"/>
  <c r="AB143" i="1"/>
  <c r="AC143" i="1"/>
  <c r="CQ143" i="1" s="1"/>
  <c r="AD143" i="1"/>
  <c r="AE143" i="1"/>
  <c r="CR143" i="1" s="1"/>
  <c r="AF143" i="1"/>
  <c r="AG143" i="1"/>
  <c r="CU143" i="1" s="1"/>
  <c r="T143" i="1" s="1"/>
  <c r="AH143" i="1"/>
  <c r="CV143" i="1" s="1"/>
  <c r="AI143" i="1"/>
  <c r="CW143" i="1" s="1"/>
  <c r="V143" i="1" s="1"/>
  <c r="AJ143" i="1"/>
  <c r="CX143" i="1" s="1"/>
  <c r="W143" i="1" s="1"/>
  <c r="CS143" i="1"/>
  <c r="CT143" i="1"/>
  <c r="GL143" i="1"/>
  <c r="GN143" i="1"/>
  <c r="GO143" i="1"/>
  <c r="GP143" i="1"/>
  <c r="GV143" i="1"/>
  <c r="HC143" i="1" s="1"/>
  <c r="GX143" i="1" s="1"/>
  <c r="P144" i="1"/>
  <c r="R144" i="1"/>
  <c r="W144" i="1"/>
  <c r="AC144" i="1"/>
  <c r="AE144" i="1"/>
  <c r="AF144" i="1"/>
  <c r="AG144" i="1"/>
  <c r="AH144" i="1"/>
  <c r="AI144" i="1"/>
  <c r="AJ144" i="1"/>
  <c r="CX144" i="1" s="1"/>
  <c r="CU144" i="1"/>
  <c r="T144" i="1" s="1"/>
  <c r="CV144" i="1"/>
  <c r="U144" i="1" s="1"/>
  <c r="CW144" i="1"/>
  <c r="V144" i="1" s="1"/>
  <c r="GL144" i="1"/>
  <c r="GN144" i="1"/>
  <c r="GO144" i="1"/>
  <c r="GP144" i="1"/>
  <c r="GV144" i="1"/>
  <c r="HC144" i="1" s="1"/>
  <c r="GX144" i="1" s="1"/>
  <c r="R145" i="1"/>
  <c r="S145" i="1"/>
  <c r="CY145" i="1" s="1"/>
  <c r="T145" i="1"/>
  <c r="X145" i="1"/>
  <c r="Y145" i="1"/>
  <c r="AB145" i="1"/>
  <c r="AC145" i="1"/>
  <c r="P145" i="1" s="1"/>
  <c r="FR145" i="1" s="1"/>
  <c r="AE145" i="1"/>
  <c r="AD145" i="1" s="1"/>
  <c r="AF145" i="1"/>
  <c r="CT145" i="1" s="1"/>
  <c r="AG145" i="1"/>
  <c r="CU145" i="1" s="1"/>
  <c r="AH145" i="1"/>
  <c r="CV145" i="1" s="1"/>
  <c r="U145" i="1" s="1"/>
  <c r="AI145" i="1"/>
  <c r="AJ145" i="1"/>
  <c r="CQ145" i="1"/>
  <c r="CR145" i="1"/>
  <c r="CS145" i="1"/>
  <c r="CW145" i="1"/>
  <c r="V145" i="1" s="1"/>
  <c r="CX145" i="1"/>
  <c r="W145" i="1" s="1"/>
  <c r="GL145" i="1"/>
  <c r="GN145" i="1"/>
  <c r="GO145" i="1"/>
  <c r="GP145" i="1"/>
  <c r="GV145" i="1"/>
  <c r="HC145" i="1"/>
  <c r="GX145" i="1" s="1"/>
  <c r="P146" i="1"/>
  <c r="CP146" i="1" s="1"/>
  <c r="O146" i="1" s="1"/>
  <c r="Q146" i="1"/>
  <c r="S146" i="1"/>
  <c r="AC146" i="1"/>
  <c r="CQ146" i="1" s="1"/>
  <c r="AE146" i="1"/>
  <c r="AF146" i="1"/>
  <c r="AG146" i="1"/>
  <c r="CU146" i="1" s="1"/>
  <c r="T146" i="1" s="1"/>
  <c r="AH146" i="1"/>
  <c r="CV146" i="1" s="1"/>
  <c r="U146" i="1" s="1"/>
  <c r="AI146" i="1"/>
  <c r="CW146" i="1" s="1"/>
  <c r="V146" i="1" s="1"/>
  <c r="AJ146" i="1"/>
  <c r="CS146" i="1"/>
  <c r="CT146" i="1"/>
  <c r="CX146" i="1"/>
  <c r="W146" i="1" s="1"/>
  <c r="CZ146" i="1"/>
  <c r="FR146" i="1"/>
  <c r="GL146" i="1"/>
  <c r="GN146" i="1"/>
  <c r="GO146" i="1"/>
  <c r="GP146" i="1"/>
  <c r="GV146" i="1"/>
  <c r="HC146" i="1" s="1"/>
  <c r="GX146" i="1" s="1"/>
  <c r="Q147" i="1"/>
  <c r="W147" i="1"/>
  <c r="X147" i="1"/>
  <c r="Y147" i="1"/>
  <c r="AC147" i="1"/>
  <c r="P147" i="1" s="1"/>
  <c r="AE147" i="1"/>
  <c r="CS147" i="1" s="1"/>
  <c r="AF147" i="1"/>
  <c r="S147" i="1" s="1"/>
  <c r="AG147" i="1"/>
  <c r="AH147" i="1"/>
  <c r="AI147" i="1"/>
  <c r="AJ147" i="1"/>
  <c r="CX147" i="1" s="1"/>
  <c r="CQ147" i="1"/>
  <c r="CR147" i="1"/>
  <c r="CT147" i="1"/>
  <c r="CU147" i="1"/>
  <c r="T147" i="1" s="1"/>
  <c r="CV147" i="1"/>
  <c r="U147" i="1" s="1"/>
  <c r="CW147" i="1"/>
  <c r="V147" i="1" s="1"/>
  <c r="GL147" i="1"/>
  <c r="GN147" i="1"/>
  <c r="GO147" i="1"/>
  <c r="GP147" i="1"/>
  <c r="GV147" i="1"/>
  <c r="HC147" i="1"/>
  <c r="GX147" i="1" s="1"/>
  <c r="AC148" i="1"/>
  <c r="P148" i="1" s="1"/>
  <c r="FR148" i="1" s="1"/>
  <c r="AE148" i="1"/>
  <c r="AF148" i="1"/>
  <c r="CT148" i="1" s="1"/>
  <c r="AG148" i="1"/>
  <c r="CU148" i="1" s="1"/>
  <c r="T148" i="1" s="1"/>
  <c r="AH148" i="1"/>
  <c r="CV148" i="1" s="1"/>
  <c r="U148" i="1" s="1"/>
  <c r="AI148" i="1"/>
  <c r="AJ148" i="1"/>
  <c r="CQ148" i="1"/>
  <c r="CW148" i="1"/>
  <c r="V148" i="1" s="1"/>
  <c r="CX148" i="1"/>
  <c r="W148" i="1" s="1"/>
  <c r="GL148" i="1"/>
  <c r="GN148" i="1"/>
  <c r="GO148" i="1"/>
  <c r="GP148" i="1"/>
  <c r="GV148" i="1"/>
  <c r="GX148" i="1"/>
  <c r="HC148" i="1"/>
  <c r="P149" i="1"/>
  <c r="CP149" i="1" s="1"/>
  <c r="O149" i="1" s="1"/>
  <c r="Q149" i="1"/>
  <c r="S149" i="1"/>
  <c r="AC149" i="1"/>
  <c r="CQ149" i="1" s="1"/>
  <c r="AD149" i="1"/>
  <c r="AE149" i="1"/>
  <c r="R149" i="1" s="1"/>
  <c r="AF149" i="1"/>
  <c r="AG149" i="1"/>
  <c r="CU149" i="1" s="1"/>
  <c r="T149" i="1" s="1"/>
  <c r="AH149" i="1"/>
  <c r="CV149" i="1" s="1"/>
  <c r="U149" i="1" s="1"/>
  <c r="AI149" i="1"/>
  <c r="CW149" i="1" s="1"/>
  <c r="V149" i="1" s="1"/>
  <c r="AJ149" i="1"/>
  <c r="CX149" i="1" s="1"/>
  <c r="W149" i="1" s="1"/>
  <c r="CS149" i="1"/>
  <c r="CT149" i="1"/>
  <c r="GL149" i="1"/>
  <c r="GN149" i="1"/>
  <c r="GO149" i="1"/>
  <c r="GP149" i="1"/>
  <c r="GV149" i="1"/>
  <c r="HC149" i="1" s="1"/>
  <c r="GX149" i="1" s="1"/>
  <c r="P150" i="1"/>
  <c r="FR150" i="1" s="1"/>
  <c r="Q150" i="1"/>
  <c r="U150" i="1"/>
  <c r="AC150" i="1"/>
  <c r="AE150" i="1"/>
  <c r="CS150" i="1" s="1"/>
  <c r="AF150" i="1"/>
  <c r="CT150" i="1" s="1"/>
  <c r="AG150" i="1"/>
  <c r="CU150" i="1" s="1"/>
  <c r="T150" i="1" s="1"/>
  <c r="AH150" i="1"/>
  <c r="AI150" i="1"/>
  <c r="CW150" i="1" s="1"/>
  <c r="V150" i="1" s="1"/>
  <c r="AJ150" i="1"/>
  <c r="CX150" i="1" s="1"/>
  <c r="W150" i="1" s="1"/>
  <c r="CQ150" i="1"/>
  <c r="CR150" i="1"/>
  <c r="CV150" i="1"/>
  <c r="GL150" i="1"/>
  <c r="GN150" i="1"/>
  <c r="GO150" i="1"/>
  <c r="GP150" i="1"/>
  <c r="GV150" i="1"/>
  <c r="GX150" i="1"/>
  <c r="HC150" i="1"/>
  <c r="Q151" i="1"/>
  <c r="R151" i="1"/>
  <c r="W151" i="1"/>
  <c r="AC151" i="1"/>
  <c r="P151" i="1" s="1"/>
  <c r="FR151" i="1" s="1"/>
  <c r="AE151" i="1"/>
  <c r="AD151" i="1" s="1"/>
  <c r="AF151" i="1"/>
  <c r="CT151" i="1" s="1"/>
  <c r="AG151" i="1"/>
  <c r="CU151" i="1" s="1"/>
  <c r="T151" i="1" s="1"/>
  <c r="AH151" i="1"/>
  <c r="CV151" i="1" s="1"/>
  <c r="U151" i="1" s="1"/>
  <c r="AI151" i="1"/>
  <c r="AJ151" i="1"/>
  <c r="CQ151" i="1"/>
  <c r="CR151" i="1"/>
  <c r="CS151" i="1"/>
  <c r="CW151" i="1"/>
  <c r="V151" i="1" s="1"/>
  <c r="CX151" i="1"/>
  <c r="GL151" i="1"/>
  <c r="GN151" i="1"/>
  <c r="GO151" i="1"/>
  <c r="GP151" i="1"/>
  <c r="GV151" i="1"/>
  <c r="HC151" i="1" s="1"/>
  <c r="GX151" i="1" s="1"/>
  <c r="P152" i="1"/>
  <c r="FR152" i="1" s="1"/>
  <c r="R152" i="1"/>
  <c r="S152" i="1"/>
  <c r="AC152" i="1"/>
  <c r="CQ152" i="1" s="1"/>
  <c r="AD152" i="1"/>
  <c r="AE152" i="1"/>
  <c r="CR152" i="1" s="1"/>
  <c r="AF152" i="1"/>
  <c r="AG152" i="1"/>
  <c r="CU152" i="1" s="1"/>
  <c r="T152" i="1" s="1"/>
  <c r="AH152" i="1"/>
  <c r="CV152" i="1" s="1"/>
  <c r="U152" i="1" s="1"/>
  <c r="AI152" i="1"/>
  <c r="CW152" i="1" s="1"/>
  <c r="V152" i="1" s="1"/>
  <c r="AJ152" i="1"/>
  <c r="CS152" i="1"/>
  <c r="CT152" i="1"/>
  <c r="CX152" i="1"/>
  <c r="W152" i="1" s="1"/>
  <c r="CZ152" i="1"/>
  <c r="GL152" i="1"/>
  <c r="GN152" i="1"/>
  <c r="GO152" i="1"/>
  <c r="GP152" i="1"/>
  <c r="GV152" i="1"/>
  <c r="HC152" i="1" s="1"/>
  <c r="GX152" i="1" s="1"/>
  <c r="AC153" i="1"/>
  <c r="AE153" i="1"/>
  <c r="AF153" i="1"/>
  <c r="S153" i="1" s="1"/>
  <c r="AG153" i="1"/>
  <c r="AH153" i="1"/>
  <c r="AI153" i="1"/>
  <c r="AJ153" i="1"/>
  <c r="CX153" i="1" s="1"/>
  <c r="W153" i="1" s="1"/>
  <c r="CT153" i="1"/>
  <c r="CU153" i="1"/>
  <c r="T153" i="1" s="1"/>
  <c r="CV153" i="1"/>
  <c r="U153" i="1" s="1"/>
  <c r="CW153" i="1"/>
  <c r="V153" i="1" s="1"/>
  <c r="GL153" i="1"/>
  <c r="GN153" i="1"/>
  <c r="GO153" i="1"/>
  <c r="GP153" i="1"/>
  <c r="CD180" i="1" s="1"/>
  <c r="GV153" i="1"/>
  <c r="HC153" i="1" s="1"/>
  <c r="GX153" i="1"/>
  <c r="P154" i="1"/>
  <c r="FR154" i="1" s="1"/>
  <c r="R154" i="1"/>
  <c r="S154" i="1"/>
  <c r="CZ154" i="1" s="1"/>
  <c r="V154" i="1"/>
  <c r="W154" i="1"/>
  <c r="X154" i="1"/>
  <c r="Y154" i="1"/>
  <c r="AB154" i="1"/>
  <c r="AC154" i="1"/>
  <c r="AD154" i="1"/>
  <c r="AE154" i="1"/>
  <c r="Q154" i="1" s="1"/>
  <c r="AF154" i="1"/>
  <c r="CT154" i="1" s="1"/>
  <c r="AG154" i="1"/>
  <c r="CU154" i="1" s="1"/>
  <c r="T154" i="1" s="1"/>
  <c r="AH154" i="1"/>
  <c r="CV154" i="1" s="1"/>
  <c r="U154" i="1" s="1"/>
  <c r="AI154" i="1"/>
  <c r="AJ154" i="1"/>
  <c r="CP154" i="1"/>
  <c r="O154" i="1" s="1"/>
  <c r="GM154" i="1" s="1"/>
  <c r="CQ154" i="1"/>
  <c r="CR154" i="1"/>
  <c r="CS154" i="1"/>
  <c r="CW154" i="1"/>
  <c r="CX154" i="1"/>
  <c r="CY154" i="1"/>
  <c r="GL154" i="1"/>
  <c r="GN154" i="1"/>
  <c r="GO154" i="1"/>
  <c r="GP154" i="1"/>
  <c r="GV154" i="1"/>
  <c r="HC154" i="1" s="1"/>
  <c r="GX154" i="1" s="1"/>
  <c r="C155" i="1"/>
  <c r="D155" i="1"/>
  <c r="I155" i="1"/>
  <c r="K155" i="1"/>
  <c r="Q155" i="1"/>
  <c r="AC155" i="1"/>
  <c r="AE155" i="1"/>
  <c r="AF155" i="1"/>
  <c r="S155" i="1" s="1"/>
  <c r="AG155" i="1"/>
  <c r="AH155" i="1"/>
  <c r="AI155" i="1"/>
  <c r="AJ155" i="1"/>
  <c r="CX155" i="1" s="1"/>
  <c r="W155" i="1" s="1"/>
  <c r="CT155" i="1"/>
  <c r="CU155" i="1"/>
  <c r="T155" i="1" s="1"/>
  <c r="CV155" i="1"/>
  <c r="U155" i="1" s="1"/>
  <c r="CW155" i="1"/>
  <c r="V155" i="1" s="1"/>
  <c r="GL155" i="1"/>
  <c r="GO155" i="1"/>
  <c r="GP155" i="1"/>
  <c r="GV155" i="1"/>
  <c r="HC155" i="1" s="1"/>
  <c r="GX155" i="1" s="1"/>
  <c r="C156" i="1"/>
  <c r="D156" i="1"/>
  <c r="I156" i="1"/>
  <c r="R156" i="1" s="1"/>
  <c r="K156" i="1"/>
  <c r="P156" i="1"/>
  <c r="T156" i="1"/>
  <c r="V156" i="1"/>
  <c r="AC156" i="1"/>
  <c r="CQ156" i="1" s="1"/>
  <c r="AE156" i="1"/>
  <c r="CR156" i="1" s="1"/>
  <c r="AF156" i="1"/>
  <c r="AG156" i="1"/>
  <c r="AH156" i="1"/>
  <c r="CV156" i="1" s="1"/>
  <c r="U156" i="1" s="1"/>
  <c r="AI156" i="1"/>
  <c r="CW156" i="1" s="1"/>
  <c r="AJ156" i="1"/>
  <c r="CX156" i="1" s="1"/>
  <c r="W156" i="1" s="1"/>
  <c r="CT156" i="1"/>
  <c r="CU156" i="1"/>
  <c r="GL156" i="1"/>
  <c r="GO156" i="1"/>
  <c r="GP156" i="1"/>
  <c r="GV156" i="1"/>
  <c r="HC156" i="1"/>
  <c r="GX156" i="1" s="1"/>
  <c r="I157" i="1"/>
  <c r="P157" i="1"/>
  <c r="R157" i="1"/>
  <c r="AC157" i="1"/>
  <c r="AD157" i="1"/>
  <c r="AE157" i="1"/>
  <c r="CS157" i="1" s="1"/>
  <c r="AF157" i="1"/>
  <c r="AG157" i="1"/>
  <c r="AH157" i="1"/>
  <c r="AI157" i="1"/>
  <c r="AJ157" i="1"/>
  <c r="CQ157" i="1"/>
  <c r="CR157" i="1"/>
  <c r="CU157" i="1"/>
  <c r="T157" i="1" s="1"/>
  <c r="CV157" i="1"/>
  <c r="U157" i="1" s="1"/>
  <c r="CW157" i="1"/>
  <c r="V157" i="1" s="1"/>
  <c r="CX157" i="1"/>
  <c r="W157" i="1" s="1"/>
  <c r="GL157" i="1"/>
  <c r="GO157" i="1"/>
  <c r="GP157" i="1"/>
  <c r="GV157" i="1"/>
  <c r="GX157" i="1"/>
  <c r="HC157" i="1"/>
  <c r="I158" i="1"/>
  <c r="AB158" i="1"/>
  <c r="AC158" i="1"/>
  <c r="AE158" i="1"/>
  <c r="AD158" i="1" s="1"/>
  <c r="AF158" i="1"/>
  <c r="AG158" i="1"/>
  <c r="CU158" i="1" s="1"/>
  <c r="T158" i="1" s="1"/>
  <c r="AH158" i="1"/>
  <c r="CV158" i="1" s="1"/>
  <c r="U158" i="1" s="1"/>
  <c r="AI158" i="1"/>
  <c r="CW158" i="1" s="1"/>
  <c r="V158" i="1" s="1"/>
  <c r="AJ158" i="1"/>
  <c r="CQ158" i="1"/>
  <c r="CR158" i="1"/>
  <c r="CS158" i="1"/>
  <c r="CT158" i="1"/>
  <c r="CX158" i="1"/>
  <c r="W158" i="1" s="1"/>
  <c r="GL158" i="1"/>
  <c r="GO158" i="1"/>
  <c r="GP158" i="1"/>
  <c r="GV158" i="1"/>
  <c r="HC158" i="1" s="1"/>
  <c r="GX158" i="1" s="1"/>
  <c r="C159" i="1"/>
  <c r="D159" i="1"/>
  <c r="I159" i="1"/>
  <c r="P159" i="1" s="1"/>
  <c r="CP159" i="1" s="1"/>
  <c r="O159" i="1" s="1"/>
  <c r="K159" i="1"/>
  <c r="Q159" i="1"/>
  <c r="S159" i="1"/>
  <c r="AC159" i="1"/>
  <c r="AE159" i="1"/>
  <c r="AF159" i="1"/>
  <c r="CT159" i="1" s="1"/>
  <c r="AG159" i="1"/>
  <c r="CU159" i="1" s="1"/>
  <c r="T159" i="1" s="1"/>
  <c r="AH159" i="1"/>
  <c r="AI159" i="1"/>
  <c r="AJ159" i="1"/>
  <c r="CQ159" i="1"/>
  <c r="CV159" i="1"/>
  <c r="U159" i="1" s="1"/>
  <c r="CW159" i="1"/>
  <c r="V159" i="1" s="1"/>
  <c r="CX159" i="1"/>
  <c r="W159" i="1" s="1"/>
  <c r="GL159" i="1"/>
  <c r="GN159" i="1"/>
  <c r="GP159" i="1"/>
  <c r="GV159" i="1"/>
  <c r="HC159" i="1"/>
  <c r="GX159" i="1" s="1"/>
  <c r="C160" i="1"/>
  <c r="D160" i="1"/>
  <c r="I160" i="1"/>
  <c r="Q160" i="1" s="1"/>
  <c r="K160" i="1"/>
  <c r="S160" i="1"/>
  <c r="Y160" i="1" s="1"/>
  <c r="V160" i="1"/>
  <c r="X160" i="1"/>
  <c r="AC160" i="1"/>
  <c r="AE160" i="1"/>
  <c r="CS160" i="1" s="1"/>
  <c r="AF160" i="1"/>
  <c r="CT160" i="1" s="1"/>
  <c r="AG160" i="1"/>
  <c r="CU160" i="1" s="1"/>
  <c r="T160" i="1" s="1"/>
  <c r="AH160" i="1"/>
  <c r="AI160" i="1"/>
  <c r="AJ160" i="1"/>
  <c r="CX160" i="1" s="1"/>
  <c r="W160" i="1" s="1"/>
  <c r="CQ160" i="1"/>
  <c r="CR160" i="1"/>
  <c r="CV160" i="1"/>
  <c r="U160" i="1" s="1"/>
  <c r="CW160" i="1"/>
  <c r="GL160" i="1"/>
  <c r="GN160" i="1"/>
  <c r="GP160" i="1"/>
  <c r="GV160" i="1"/>
  <c r="HC160" i="1" s="1"/>
  <c r="GX160" i="1" s="1"/>
  <c r="I161" i="1"/>
  <c r="Q161" i="1" s="1"/>
  <c r="R161" i="1"/>
  <c r="AC161" i="1"/>
  <c r="CQ161" i="1" s="1"/>
  <c r="AE161" i="1"/>
  <c r="AD161" i="1" s="1"/>
  <c r="AF161" i="1"/>
  <c r="AG161" i="1"/>
  <c r="CU161" i="1" s="1"/>
  <c r="T161" i="1" s="1"/>
  <c r="AH161" i="1"/>
  <c r="CV161" i="1" s="1"/>
  <c r="U161" i="1" s="1"/>
  <c r="AI161" i="1"/>
  <c r="AJ161" i="1"/>
  <c r="CR161" i="1"/>
  <c r="CS161" i="1"/>
  <c r="CW161" i="1"/>
  <c r="V161" i="1" s="1"/>
  <c r="CX161" i="1"/>
  <c r="W161" i="1" s="1"/>
  <c r="GL161" i="1"/>
  <c r="GN161" i="1"/>
  <c r="GP161" i="1"/>
  <c r="GV161" i="1"/>
  <c r="HC161" i="1" s="1"/>
  <c r="GX161" i="1" s="1"/>
  <c r="I162" i="1"/>
  <c r="P162" i="1"/>
  <c r="AC162" i="1"/>
  <c r="CQ162" i="1" s="1"/>
  <c r="AD162" i="1"/>
  <c r="AB162" i="1" s="1"/>
  <c r="AE162" i="1"/>
  <c r="CR162" i="1" s="1"/>
  <c r="AF162" i="1"/>
  <c r="AG162" i="1"/>
  <c r="AH162" i="1"/>
  <c r="AI162" i="1"/>
  <c r="CW162" i="1" s="1"/>
  <c r="V162" i="1" s="1"/>
  <c r="AJ162" i="1"/>
  <c r="CX162" i="1" s="1"/>
  <c r="W162" i="1" s="1"/>
  <c r="CS162" i="1"/>
  <c r="CT162" i="1"/>
  <c r="CU162" i="1"/>
  <c r="T162" i="1" s="1"/>
  <c r="CV162" i="1"/>
  <c r="U162" i="1" s="1"/>
  <c r="GL162" i="1"/>
  <c r="GN162" i="1"/>
  <c r="GP162" i="1"/>
  <c r="GV162" i="1"/>
  <c r="HC162" i="1" s="1"/>
  <c r="GX162" i="1" s="1"/>
  <c r="C163" i="1"/>
  <c r="D163" i="1"/>
  <c r="I163" i="1"/>
  <c r="K163" i="1"/>
  <c r="P163" i="1"/>
  <c r="R163" i="1"/>
  <c r="S163" i="1"/>
  <c r="U163" i="1"/>
  <c r="AC163" i="1"/>
  <c r="CQ163" i="1" s="1"/>
  <c r="AD163" i="1"/>
  <c r="AE163" i="1"/>
  <c r="CR163" i="1" s="1"/>
  <c r="AF163" i="1"/>
  <c r="AG163" i="1"/>
  <c r="CU163" i="1" s="1"/>
  <c r="T163" i="1" s="1"/>
  <c r="AH163" i="1"/>
  <c r="CV163" i="1" s="1"/>
  <c r="AI163" i="1"/>
  <c r="CW163" i="1" s="1"/>
  <c r="V163" i="1" s="1"/>
  <c r="AJ163" i="1"/>
  <c r="CS163" i="1"/>
  <c r="CT163" i="1"/>
  <c r="CX163" i="1"/>
  <c r="W163" i="1" s="1"/>
  <c r="CZ163" i="1"/>
  <c r="GL163" i="1"/>
  <c r="GO163" i="1"/>
  <c r="GP163" i="1"/>
  <c r="GV163" i="1"/>
  <c r="HC163" i="1" s="1"/>
  <c r="GX163" i="1" s="1"/>
  <c r="C164" i="1"/>
  <c r="D164" i="1"/>
  <c r="I164" i="1"/>
  <c r="K164" i="1"/>
  <c r="AC164" i="1"/>
  <c r="P164" i="1" s="1"/>
  <c r="AE164" i="1"/>
  <c r="AD164" i="1" s="1"/>
  <c r="AB164" i="1" s="1"/>
  <c r="AF164" i="1"/>
  <c r="AG164" i="1"/>
  <c r="CU164" i="1" s="1"/>
  <c r="T164" i="1" s="1"/>
  <c r="AH164" i="1"/>
  <c r="CV164" i="1" s="1"/>
  <c r="U164" i="1" s="1"/>
  <c r="AI164" i="1"/>
  <c r="CW164" i="1" s="1"/>
  <c r="V164" i="1" s="1"/>
  <c r="AJ164" i="1"/>
  <c r="CQ164" i="1"/>
  <c r="CR164" i="1"/>
  <c r="CS164" i="1"/>
  <c r="CT164" i="1"/>
  <c r="CX164" i="1"/>
  <c r="W164" i="1" s="1"/>
  <c r="GL164" i="1"/>
  <c r="GO164" i="1"/>
  <c r="GP164" i="1"/>
  <c r="GV164" i="1"/>
  <c r="HC164" i="1" s="1"/>
  <c r="GX164" i="1" s="1"/>
  <c r="I165" i="1"/>
  <c r="P165" i="1"/>
  <c r="S165" i="1"/>
  <c r="T165" i="1"/>
  <c r="AC165" i="1"/>
  <c r="CQ165" i="1" s="1"/>
  <c r="AE165" i="1"/>
  <c r="AF165" i="1"/>
  <c r="AG165" i="1"/>
  <c r="AH165" i="1"/>
  <c r="AI165" i="1"/>
  <c r="CW165" i="1" s="1"/>
  <c r="V165" i="1" s="1"/>
  <c r="AJ165" i="1"/>
  <c r="CX165" i="1" s="1"/>
  <c r="W165" i="1" s="1"/>
  <c r="CT165" i="1"/>
  <c r="CU165" i="1"/>
  <c r="CV165" i="1"/>
  <c r="U165" i="1" s="1"/>
  <c r="GL165" i="1"/>
  <c r="GO165" i="1"/>
  <c r="GP165" i="1"/>
  <c r="GV165" i="1"/>
  <c r="HC165" i="1"/>
  <c r="GX165" i="1" s="1"/>
  <c r="AC166" i="1"/>
  <c r="AD166" i="1"/>
  <c r="AE166" i="1"/>
  <c r="CS166" i="1" s="1"/>
  <c r="AF166" i="1"/>
  <c r="AG166" i="1"/>
  <c r="AH166" i="1"/>
  <c r="AI166" i="1"/>
  <c r="AJ166" i="1"/>
  <c r="CQ166" i="1"/>
  <c r="CR166" i="1"/>
  <c r="CU166" i="1"/>
  <c r="CV166" i="1"/>
  <c r="CW166" i="1"/>
  <c r="CX166" i="1"/>
  <c r="GL166" i="1"/>
  <c r="GO166" i="1"/>
  <c r="GP166" i="1"/>
  <c r="GV166" i="1"/>
  <c r="HC166" i="1"/>
  <c r="R167" i="1"/>
  <c r="Y167" i="1"/>
  <c r="AC167" i="1"/>
  <c r="AD167" i="1"/>
  <c r="AE167" i="1"/>
  <c r="Q167" i="1" s="1"/>
  <c r="AF167" i="1"/>
  <c r="S167" i="1" s="1"/>
  <c r="AG167" i="1"/>
  <c r="AH167" i="1"/>
  <c r="CV167" i="1" s="1"/>
  <c r="U167" i="1" s="1"/>
  <c r="AI167" i="1"/>
  <c r="CW167" i="1" s="1"/>
  <c r="V167" i="1" s="1"/>
  <c r="AJ167" i="1"/>
  <c r="CX167" i="1" s="1"/>
  <c r="W167" i="1" s="1"/>
  <c r="CR167" i="1"/>
  <c r="CS167" i="1"/>
  <c r="CT167" i="1"/>
  <c r="CU167" i="1"/>
  <c r="T167" i="1" s="1"/>
  <c r="GL167" i="1"/>
  <c r="GN167" i="1"/>
  <c r="GO167" i="1"/>
  <c r="GP167" i="1"/>
  <c r="GV167" i="1"/>
  <c r="HC167" i="1" s="1"/>
  <c r="GX167" i="1" s="1"/>
  <c r="P168" i="1"/>
  <c r="R168" i="1"/>
  <c r="U168" i="1"/>
  <c r="W168" i="1"/>
  <c r="AC168" i="1"/>
  <c r="AE168" i="1"/>
  <c r="CR168" i="1" s="1"/>
  <c r="AF168" i="1"/>
  <c r="AG168" i="1"/>
  <c r="AH168" i="1"/>
  <c r="AI168" i="1"/>
  <c r="AJ168" i="1"/>
  <c r="CX168" i="1" s="1"/>
  <c r="CQ168" i="1"/>
  <c r="CU168" i="1"/>
  <c r="T168" i="1" s="1"/>
  <c r="CV168" i="1"/>
  <c r="CW168" i="1"/>
  <c r="V168" i="1" s="1"/>
  <c r="FR168" i="1"/>
  <c r="GL168" i="1"/>
  <c r="GN168" i="1"/>
  <c r="GO168" i="1"/>
  <c r="GP168" i="1"/>
  <c r="GV168" i="1"/>
  <c r="HC168" i="1"/>
  <c r="GX168" i="1" s="1"/>
  <c r="C169" i="1"/>
  <c r="D169" i="1"/>
  <c r="Q169" i="1"/>
  <c r="AC169" i="1"/>
  <c r="AB169" i="1" s="1"/>
  <c r="AD169" i="1"/>
  <c r="AE169" i="1"/>
  <c r="AF169" i="1"/>
  <c r="S169" i="1" s="1"/>
  <c r="AG169" i="1"/>
  <c r="AH169" i="1"/>
  <c r="AI169" i="1"/>
  <c r="AJ169" i="1"/>
  <c r="CX169" i="1" s="1"/>
  <c r="W169" i="1" s="1"/>
  <c r="CT169" i="1"/>
  <c r="CU169" i="1"/>
  <c r="T169" i="1" s="1"/>
  <c r="CV169" i="1"/>
  <c r="U169" i="1" s="1"/>
  <c r="CW169" i="1"/>
  <c r="V169" i="1" s="1"/>
  <c r="GL169" i="1"/>
  <c r="GO169" i="1"/>
  <c r="GP169" i="1"/>
  <c r="GV169" i="1"/>
  <c r="HC169" i="1" s="1"/>
  <c r="GX169" i="1" s="1"/>
  <c r="C170" i="1"/>
  <c r="D170" i="1"/>
  <c r="R170" i="1"/>
  <c r="S170" i="1"/>
  <c r="V170" i="1"/>
  <c r="X170" i="1"/>
  <c r="AC170" i="1"/>
  <c r="AE170" i="1"/>
  <c r="CS170" i="1" s="1"/>
  <c r="AF170" i="1"/>
  <c r="CT170" i="1" s="1"/>
  <c r="AG170" i="1"/>
  <c r="CU170" i="1" s="1"/>
  <c r="T170" i="1" s="1"/>
  <c r="AH170" i="1"/>
  <c r="AI170" i="1"/>
  <c r="AJ170" i="1"/>
  <c r="CX170" i="1" s="1"/>
  <c r="W170" i="1" s="1"/>
  <c r="CQ170" i="1"/>
  <c r="CR170" i="1"/>
  <c r="CV170" i="1"/>
  <c r="U170" i="1" s="1"/>
  <c r="CW170" i="1"/>
  <c r="GL170" i="1"/>
  <c r="GO170" i="1"/>
  <c r="GP170" i="1"/>
  <c r="GV170" i="1"/>
  <c r="HC170" i="1" s="1"/>
  <c r="GX170" i="1" s="1"/>
  <c r="I171" i="1"/>
  <c r="Q171" i="1" s="1"/>
  <c r="R171" i="1"/>
  <c r="T171" i="1"/>
  <c r="AC171" i="1"/>
  <c r="AE171" i="1"/>
  <c r="AD171" i="1" s="1"/>
  <c r="AB171" i="1" s="1"/>
  <c r="AF171" i="1"/>
  <c r="S171" i="1" s="1"/>
  <c r="AG171" i="1"/>
  <c r="CU171" i="1" s="1"/>
  <c r="AH171" i="1"/>
  <c r="CV171" i="1" s="1"/>
  <c r="U171" i="1" s="1"/>
  <c r="AI171" i="1"/>
  <c r="AJ171" i="1"/>
  <c r="CR171" i="1"/>
  <c r="CS171" i="1"/>
  <c r="CW171" i="1"/>
  <c r="V171" i="1" s="1"/>
  <c r="CX171" i="1"/>
  <c r="W171" i="1" s="1"/>
  <c r="GL171" i="1"/>
  <c r="GO171" i="1"/>
  <c r="GP171" i="1"/>
  <c r="GV171" i="1"/>
  <c r="HC171" i="1" s="1"/>
  <c r="GX171" i="1" s="1"/>
  <c r="I172" i="1"/>
  <c r="Q172" i="1"/>
  <c r="AC172" i="1"/>
  <c r="CQ172" i="1" s="1"/>
  <c r="AD172" i="1"/>
  <c r="AB172" i="1" s="1"/>
  <c r="AE172" i="1"/>
  <c r="CR172" i="1" s="1"/>
  <c r="AF172" i="1"/>
  <c r="AG172" i="1"/>
  <c r="AH172" i="1"/>
  <c r="AI172" i="1"/>
  <c r="CW172" i="1" s="1"/>
  <c r="V172" i="1" s="1"/>
  <c r="AJ172" i="1"/>
  <c r="CX172" i="1" s="1"/>
  <c r="CT172" i="1"/>
  <c r="CU172" i="1"/>
  <c r="CV172" i="1"/>
  <c r="GL172" i="1"/>
  <c r="GO172" i="1"/>
  <c r="GP172" i="1"/>
  <c r="GV172" i="1"/>
  <c r="HC172" i="1" s="1"/>
  <c r="GX172" i="1" s="1"/>
  <c r="I173" i="1"/>
  <c r="R173" i="1"/>
  <c r="AC173" i="1"/>
  <c r="AE173" i="1"/>
  <c r="CS173" i="1" s="1"/>
  <c r="AF173" i="1"/>
  <c r="CT173" i="1" s="1"/>
  <c r="AG173" i="1"/>
  <c r="CU173" i="1" s="1"/>
  <c r="T173" i="1" s="1"/>
  <c r="AH173" i="1"/>
  <c r="AI173" i="1"/>
  <c r="AJ173" i="1"/>
  <c r="CX173" i="1" s="1"/>
  <c r="W173" i="1" s="1"/>
  <c r="CQ173" i="1"/>
  <c r="CR173" i="1"/>
  <c r="CV173" i="1"/>
  <c r="U173" i="1" s="1"/>
  <c r="CW173" i="1"/>
  <c r="V173" i="1" s="1"/>
  <c r="GL173" i="1"/>
  <c r="GN173" i="1"/>
  <c r="GO173" i="1"/>
  <c r="GP173" i="1"/>
  <c r="GV173" i="1"/>
  <c r="HC173" i="1"/>
  <c r="GX173" i="1" s="1"/>
  <c r="I174" i="1"/>
  <c r="P174" i="1" s="1"/>
  <c r="Q174" i="1"/>
  <c r="AB174" i="1"/>
  <c r="AC174" i="1"/>
  <c r="AE174" i="1"/>
  <c r="AD174" i="1" s="1"/>
  <c r="AF174" i="1"/>
  <c r="CT174" i="1" s="1"/>
  <c r="AG174" i="1"/>
  <c r="CU174" i="1" s="1"/>
  <c r="T174" i="1" s="1"/>
  <c r="AH174" i="1"/>
  <c r="AI174" i="1"/>
  <c r="AJ174" i="1"/>
  <c r="CQ174" i="1"/>
  <c r="CV174" i="1"/>
  <c r="U174" i="1" s="1"/>
  <c r="CW174" i="1"/>
  <c r="V174" i="1" s="1"/>
  <c r="CX174" i="1"/>
  <c r="GL174" i="1"/>
  <c r="GN174" i="1"/>
  <c r="GO174" i="1"/>
  <c r="GP174" i="1"/>
  <c r="GV174" i="1"/>
  <c r="GX174" i="1"/>
  <c r="HC174" i="1"/>
  <c r="C175" i="1"/>
  <c r="D175" i="1"/>
  <c r="I175" i="1"/>
  <c r="K175" i="1"/>
  <c r="P175" i="1"/>
  <c r="Q175" i="1"/>
  <c r="R175" i="1"/>
  <c r="W175" i="1"/>
  <c r="AC175" i="1"/>
  <c r="AE175" i="1"/>
  <c r="AF175" i="1"/>
  <c r="AG175" i="1"/>
  <c r="AH175" i="1"/>
  <c r="AI175" i="1"/>
  <c r="CW175" i="1" s="1"/>
  <c r="V175" i="1" s="1"/>
  <c r="AJ175" i="1"/>
  <c r="CX175" i="1" s="1"/>
  <c r="CQ175" i="1"/>
  <c r="CU175" i="1"/>
  <c r="T175" i="1" s="1"/>
  <c r="CV175" i="1"/>
  <c r="U175" i="1" s="1"/>
  <c r="GL175" i="1"/>
  <c r="GO175" i="1"/>
  <c r="GP175" i="1"/>
  <c r="GV175" i="1"/>
  <c r="HC175" i="1"/>
  <c r="GX175" i="1" s="1"/>
  <c r="C176" i="1"/>
  <c r="D176" i="1"/>
  <c r="I176" i="1"/>
  <c r="K176" i="1"/>
  <c r="Q176" i="1"/>
  <c r="S176" i="1"/>
  <c r="CY176" i="1" s="1"/>
  <c r="AC176" i="1"/>
  <c r="CQ176" i="1" s="1"/>
  <c r="AD176" i="1"/>
  <c r="AE176" i="1"/>
  <c r="CR176" i="1" s="1"/>
  <c r="AF176" i="1"/>
  <c r="AG176" i="1"/>
  <c r="AH176" i="1"/>
  <c r="AI176" i="1"/>
  <c r="CW176" i="1" s="1"/>
  <c r="V176" i="1" s="1"/>
  <c r="AJ176" i="1"/>
  <c r="CX176" i="1" s="1"/>
  <c r="W176" i="1" s="1"/>
  <c r="CT176" i="1"/>
  <c r="CU176" i="1"/>
  <c r="T176" i="1" s="1"/>
  <c r="CV176" i="1"/>
  <c r="U176" i="1" s="1"/>
  <c r="GL176" i="1"/>
  <c r="GO176" i="1"/>
  <c r="GP176" i="1"/>
  <c r="GV176" i="1"/>
  <c r="HC176" i="1"/>
  <c r="GX176" i="1" s="1"/>
  <c r="I177" i="1"/>
  <c r="R177" i="1"/>
  <c r="S177" i="1"/>
  <c r="X177" i="1" s="1"/>
  <c r="V177" i="1"/>
  <c r="AC177" i="1"/>
  <c r="AE177" i="1"/>
  <c r="CS177" i="1" s="1"/>
  <c r="AF177" i="1"/>
  <c r="CT177" i="1" s="1"/>
  <c r="AG177" i="1"/>
  <c r="CU177" i="1" s="1"/>
  <c r="T177" i="1" s="1"/>
  <c r="AH177" i="1"/>
  <c r="AI177" i="1"/>
  <c r="AJ177" i="1"/>
  <c r="CQ177" i="1"/>
  <c r="CR177" i="1"/>
  <c r="CV177" i="1"/>
  <c r="U177" i="1" s="1"/>
  <c r="CW177" i="1"/>
  <c r="CX177" i="1"/>
  <c r="W177" i="1" s="1"/>
  <c r="GL177" i="1"/>
  <c r="GO177" i="1"/>
  <c r="GP177" i="1"/>
  <c r="GV177" i="1"/>
  <c r="HC177" i="1" s="1"/>
  <c r="GX177" i="1" s="1"/>
  <c r="I178" i="1"/>
  <c r="Q178" i="1" s="1"/>
  <c r="R178" i="1"/>
  <c r="U178" i="1"/>
  <c r="AC178" i="1"/>
  <c r="AE178" i="1"/>
  <c r="AD178" i="1" s="1"/>
  <c r="AF178" i="1"/>
  <c r="S178" i="1" s="1"/>
  <c r="AG178" i="1"/>
  <c r="CU178" i="1" s="1"/>
  <c r="T178" i="1" s="1"/>
  <c r="AH178" i="1"/>
  <c r="CV178" i="1" s="1"/>
  <c r="AI178" i="1"/>
  <c r="AJ178" i="1"/>
  <c r="CR178" i="1"/>
  <c r="CS178" i="1"/>
  <c r="CW178" i="1"/>
  <c r="V178" i="1" s="1"/>
  <c r="CX178" i="1"/>
  <c r="W178" i="1" s="1"/>
  <c r="GL178" i="1"/>
  <c r="GO178" i="1"/>
  <c r="GP178" i="1"/>
  <c r="GV178" i="1"/>
  <c r="HC178" i="1" s="1"/>
  <c r="GX178" i="1" s="1"/>
  <c r="B180" i="1"/>
  <c r="B95" i="1" s="1"/>
  <c r="C180" i="1"/>
  <c r="C95" i="1" s="1"/>
  <c r="D180" i="1"/>
  <c r="D95" i="1" s="1"/>
  <c r="F180" i="1"/>
  <c r="F95" i="1" s="1"/>
  <c r="G180" i="1"/>
  <c r="G95" i="1" s="1"/>
  <c r="AO180" i="1"/>
  <c r="AO95" i="1" s="1"/>
  <c r="BX180" i="1"/>
  <c r="BX95" i="1" s="1"/>
  <c r="BZ180" i="1"/>
  <c r="CK180" i="1"/>
  <c r="CL180" i="1"/>
  <c r="CM180" i="1"/>
  <c r="CM95" i="1" s="1"/>
  <c r="EV180" i="1"/>
  <c r="FP180" i="1"/>
  <c r="FR180" i="1"/>
  <c r="GC180" i="1"/>
  <c r="GD180" i="1"/>
  <c r="GE180" i="1"/>
  <c r="GE95" i="1" s="1"/>
  <c r="F184" i="1"/>
  <c r="D210" i="1"/>
  <c r="E212" i="1"/>
  <c r="Z212" i="1"/>
  <c r="AA212" i="1"/>
  <c r="AM212" i="1"/>
  <c r="AN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CN212" i="1"/>
  <c r="CO212" i="1"/>
  <c r="CP212" i="1"/>
  <c r="CQ212" i="1"/>
  <c r="CR212" i="1"/>
  <c r="CS212" i="1"/>
  <c r="CT212" i="1"/>
  <c r="CU212" i="1"/>
  <c r="CV212" i="1"/>
  <c r="CW212" i="1"/>
  <c r="CX212" i="1"/>
  <c r="CY212" i="1"/>
  <c r="CZ212" i="1"/>
  <c r="DA212" i="1"/>
  <c r="DB212" i="1"/>
  <c r="DC212" i="1"/>
  <c r="DD212" i="1"/>
  <c r="DE212" i="1"/>
  <c r="DF212" i="1"/>
  <c r="DR212" i="1"/>
  <c r="DS212" i="1"/>
  <c r="EE212" i="1"/>
  <c r="EF212" i="1"/>
  <c r="EW212" i="1"/>
  <c r="EX212" i="1"/>
  <c r="EY212" i="1"/>
  <c r="EZ212" i="1"/>
  <c r="FA212" i="1"/>
  <c r="FB212" i="1"/>
  <c r="FC212" i="1"/>
  <c r="FD212" i="1"/>
  <c r="FE212" i="1"/>
  <c r="FF212" i="1"/>
  <c r="FG212" i="1"/>
  <c r="FH212" i="1"/>
  <c r="FI212" i="1"/>
  <c r="FJ212" i="1"/>
  <c r="FK212" i="1"/>
  <c r="FL212" i="1"/>
  <c r="FM212" i="1"/>
  <c r="FN212" i="1"/>
  <c r="FO212" i="1"/>
  <c r="GF212" i="1"/>
  <c r="GG212" i="1"/>
  <c r="GH212" i="1"/>
  <c r="GI212" i="1"/>
  <c r="GJ212" i="1"/>
  <c r="GK212" i="1"/>
  <c r="GL212" i="1"/>
  <c r="GM212" i="1"/>
  <c r="GN212" i="1"/>
  <c r="GO212" i="1"/>
  <c r="GP212" i="1"/>
  <c r="GQ212" i="1"/>
  <c r="GR212" i="1"/>
  <c r="GS212" i="1"/>
  <c r="GT212" i="1"/>
  <c r="GU212" i="1"/>
  <c r="GV212" i="1"/>
  <c r="GW212" i="1"/>
  <c r="GX212" i="1"/>
  <c r="C214" i="1"/>
  <c r="D214" i="1"/>
  <c r="I214" i="1"/>
  <c r="Q214" i="1" s="1"/>
  <c r="K214" i="1"/>
  <c r="T214" i="1"/>
  <c r="AC214" i="1"/>
  <c r="AE214" i="1"/>
  <c r="AD214" i="1" s="1"/>
  <c r="AF214" i="1"/>
  <c r="CT214" i="1" s="1"/>
  <c r="AG214" i="1"/>
  <c r="CU214" i="1" s="1"/>
  <c r="AH214" i="1"/>
  <c r="AI214" i="1"/>
  <c r="AJ214" i="1"/>
  <c r="CX214" i="1" s="1"/>
  <c r="W214" i="1" s="1"/>
  <c r="CQ214" i="1"/>
  <c r="CS214" i="1"/>
  <c r="CV214" i="1"/>
  <c r="CW214" i="1"/>
  <c r="V214" i="1" s="1"/>
  <c r="GL214" i="1"/>
  <c r="GN214" i="1"/>
  <c r="GP214" i="1"/>
  <c r="GV214" i="1"/>
  <c r="HC214" i="1"/>
  <c r="GX214" i="1" s="1"/>
  <c r="C215" i="1"/>
  <c r="D215" i="1"/>
  <c r="I215" i="1"/>
  <c r="Q215" i="1" s="1"/>
  <c r="K215" i="1"/>
  <c r="R215" i="1"/>
  <c r="S215" i="1"/>
  <c r="X215" i="1" s="1"/>
  <c r="Y215" i="1"/>
  <c r="AC215" i="1"/>
  <c r="AE215" i="1"/>
  <c r="CR215" i="1" s="1"/>
  <c r="AF215" i="1"/>
  <c r="AG215" i="1"/>
  <c r="CU215" i="1" s="1"/>
  <c r="T215" i="1" s="1"/>
  <c r="AH215" i="1"/>
  <c r="AI215" i="1"/>
  <c r="AJ215" i="1"/>
  <c r="CX215" i="1" s="1"/>
  <c r="W215" i="1" s="1"/>
  <c r="CQ215" i="1"/>
  <c r="CT215" i="1"/>
  <c r="CV215" i="1"/>
  <c r="U215" i="1" s="1"/>
  <c r="CW215" i="1"/>
  <c r="GL215" i="1"/>
  <c r="GN215" i="1"/>
  <c r="GP215" i="1"/>
  <c r="GV215" i="1"/>
  <c r="HC215" i="1" s="1"/>
  <c r="GX215" i="1" s="1"/>
  <c r="AC216" i="1"/>
  <c r="AE216" i="1"/>
  <c r="AD216" i="1" s="1"/>
  <c r="AF216" i="1"/>
  <c r="AG216" i="1"/>
  <c r="CU216" i="1" s="1"/>
  <c r="AH216" i="1"/>
  <c r="CV216" i="1" s="1"/>
  <c r="AI216" i="1"/>
  <c r="CW216" i="1" s="1"/>
  <c r="AJ216" i="1"/>
  <c r="CR216" i="1"/>
  <c r="CS216" i="1"/>
  <c r="CT216" i="1"/>
  <c r="CX216" i="1"/>
  <c r="GL216" i="1"/>
  <c r="GN216" i="1"/>
  <c r="GP216" i="1"/>
  <c r="GV216" i="1"/>
  <c r="HC216" i="1" s="1"/>
  <c r="I217" i="1"/>
  <c r="R217" i="1" s="1"/>
  <c r="Q217" i="1"/>
  <c r="S217" i="1"/>
  <c r="AB217" i="1"/>
  <c r="AC217" i="1"/>
  <c r="CQ217" i="1" s="1"/>
  <c r="AD217" i="1"/>
  <c r="AE217" i="1"/>
  <c r="CR217" i="1" s="1"/>
  <c r="AF217" i="1"/>
  <c r="AG217" i="1"/>
  <c r="AH217" i="1"/>
  <c r="AI217" i="1"/>
  <c r="CW217" i="1" s="1"/>
  <c r="V217" i="1" s="1"/>
  <c r="AJ217" i="1"/>
  <c r="CT217" i="1"/>
  <c r="CU217" i="1"/>
  <c r="T217" i="1" s="1"/>
  <c r="CV217" i="1"/>
  <c r="CX217" i="1"/>
  <c r="W217" i="1" s="1"/>
  <c r="GL217" i="1"/>
  <c r="GN217" i="1"/>
  <c r="GP217" i="1"/>
  <c r="GV217" i="1"/>
  <c r="HC217" i="1" s="1"/>
  <c r="GX217" i="1" s="1"/>
  <c r="AC218" i="1"/>
  <c r="AE218" i="1"/>
  <c r="AF218" i="1"/>
  <c r="AG218" i="1"/>
  <c r="CU218" i="1" s="1"/>
  <c r="AH218" i="1"/>
  <c r="AI218" i="1"/>
  <c r="AJ218" i="1"/>
  <c r="CT218" i="1"/>
  <c r="CV218" i="1"/>
  <c r="CW218" i="1"/>
  <c r="CX218" i="1"/>
  <c r="GL218" i="1"/>
  <c r="GN218" i="1"/>
  <c r="GP218" i="1"/>
  <c r="GV218" i="1"/>
  <c r="HC218" i="1" s="1"/>
  <c r="I219" i="1"/>
  <c r="Q219" i="1" s="1"/>
  <c r="S219" i="1"/>
  <c r="X219" i="1" s="1"/>
  <c r="T219" i="1"/>
  <c r="AB219" i="1"/>
  <c r="AC219" i="1"/>
  <c r="AE219" i="1"/>
  <c r="AD219" i="1" s="1"/>
  <c r="AF219" i="1"/>
  <c r="AG219" i="1"/>
  <c r="CU219" i="1" s="1"/>
  <c r="AH219" i="1"/>
  <c r="CV219" i="1" s="1"/>
  <c r="U219" i="1" s="1"/>
  <c r="AI219" i="1"/>
  <c r="AJ219" i="1"/>
  <c r="CR219" i="1"/>
  <c r="CS219" i="1"/>
  <c r="CT219" i="1"/>
  <c r="CW219" i="1"/>
  <c r="V219" i="1" s="1"/>
  <c r="CX219" i="1"/>
  <c r="W219" i="1" s="1"/>
  <c r="GL219" i="1"/>
  <c r="GN219" i="1"/>
  <c r="GP219" i="1"/>
  <c r="GV219" i="1"/>
  <c r="HC219" i="1" s="1"/>
  <c r="AC220" i="1"/>
  <c r="AD220" i="1"/>
  <c r="AE220" i="1"/>
  <c r="CR220" i="1" s="1"/>
  <c r="AF220" i="1"/>
  <c r="AG220" i="1"/>
  <c r="CU220" i="1" s="1"/>
  <c r="AH220" i="1"/>
  <c r="AI220" i="1"/>
  <c r="CW220" i="1" s="1"/>
  <c r="AJ220" i="1"/>
  <c r="CS220" i="1"/>
  <c r="CT220" i="1"/>
  <c r="CV220" i="1"/>
  <c r="CX220" i="1"/>
  <c r="GL220" i="1"/>
  <c r="GN220" i="1"/>
  <c r="GP220" i="1"/>
  <c r="GV220" i="1"/>
  <c r="HC220" i="1" s="1"/>
  <c r="AC221" i="1"/>
  <c r="AE221" i="1"/>
  <c r="CR221" i="1" s="1"/>
  <c r="AF221" i="1"/>
  <c r="AG221" i="1"/>
  <c r="CU221" i="1" s="1"/>
  <c r="AH221" i="1"/>
  <c r="AI221" i="1"/>
  <c r="AJ221" i="1"/>
  <c r="CX221" i="1" s="1"/>
  <c r="CQ221" i="1"/>
  <c r="CT221" i="1"/>
  <c r="CV221" i="1"/>
  <c r="CW221" i="1"/>
  <c r="GL221" i="1"/>
  <c r="GN221" i="1"/>
  <c r="GP221" i="1"/>
  <c r="GV221" i="1"/>
  <c r="HC221" i="1" s="1"/>
  <c r="C222" i="1"/>
  <c r="D222" i="1"/>
  <c r="I222" i="1"/>
  <c r="K222" i="1"/>
  <c r="P222" i="1"/>
  <c r="V222" i="1"/>
  <c r="W222" i="1"/>
  <c r="AC222" i="1"/>
  <c r="AE222" i="1"/>
  <c r="AF222" i="1"/>
  <c r="S222" i="1" s="1"/>
  <c r="AG222" i="1"/>
  <c r="AH222" i="1"/>
  <c r="CV222" i="1" s="1"/>
  <c r="U222" i="1" s="1"/>
  <c r="AI222" i="1"/>
  <c r="AJ222" i="1"/>
  <c r="CX222" i="1" s="1"/>
  <c r="CQ222" i="1"/>
  <c r="CT222" i="1"/>
  <c r="CU222" i="1"/>
  <c r="T222" i="1" s="1"/>
  <c r="CW222" i="1"/>
  <c r="GL222" i="1"/>
  <c r="GN222" i="1"/>
  <c r="GP222" i="1"/>
  <c r="GV222" i="1"/>
  <c r="HC222" i="1"/>
  <c r="GX222" i="1" s="1"/>
  <c r="C223" i="1"/>
  <c r="D223" i="1"/>
  <c r="I223" i="1"/>
  <c r="K223" i="1"/>
  <c r="T223" i="1"/>
  <c r="AC223" i="1"/>
  <c r="AE223" i="1"/>
  <c r="CS223" i="1" s="1"/>
  <c r="AF223" i="1"/>
  <c r="AG223" i="1"/>
  <c r="AH223" i="1"/>
  <c r="CV223" i="1" s="1"/>
  <c r="U223" i="1" s="1"/>
  <c r="AI223" i="1"/>
  <c r="CW223" i="1" s="1"/>
  <c r="V223" i="1" s="1"/>
  <c r="AJ223" i="1"/>
  <c r="CR223" i="1"/>
  <c r="CT223" i="1"/>
  <c r="CU223" i="1"/>
  <c r="CX223" i="1"/>
  <c r="W223" i="1" s="1"/>
  <c r="GL223" i="1"/>
  <c r="GN223" i="1"/>
  <c r="GP223" i="1"/>
  <c r="GV223" i="1"/>
  <c r="HC223" i="1" s="1"/>
  <c r="GX223" i="1" s="1"/>
  <c r="I224" i="1"/>
  <c r="P224" i="1"/>
  <c r="T224" i="1"/>
  <c r="AC224" i="1"/>
  <c r="AE224" i="1"/>
  <c r="CS224" i="1" s="1"/>
  <c r="AF224" i="1"/>
  <c r="S224" i="1" s="1"/>
  <c r="AG224" i="1"/>
  <c r="AH224" i="1"/>
  <c r="CV224" i="1" s="1"/>
  <c r="U224" i="1" s="1"/>
  <c r="AI224" i="1"/>
  <c r="AJ224" i="1"/>
  <c r="CR224" i="1"/>
  <c r="CU224" i="1"/>
  <c r="CW224" i="1"/>
  <c r="V224" i="1" s="1"/>
  <c r="CX224" i="1"/>
  <c r="W224" i="1" s="1"/>
  <c r="GL224" i="1"/>
  <c r="GN224" i="1"/>
  <c r="GP224" i="1"/>
  <c r="GV224" i="1"/>
  <c r="HC224" i="1" s="1"/>
  <c r="GX224" i="1" s="1"/>
  <c r="I225" i="1"/>
  <c r="AC225" i="1"/>
  <c r="P225" i="1" s="1"/>
  <c r="AE225" i="1"/>
  <c r="CS225" i="1" s="1"/>
  <c r="AF225" i="1"/>
  <c r="AG225" i="1"/>
  <c r="AH225" i="1"/>
  <c r="AI225" i="1"/>
  <c r="CW225" i="1" s="1"/>
  <c r="AJ225" i="1"/>
  <c r="CQ225" i="1"/>
  <c r="CT225" i="1"/>
  <c r="CU225" i="1"/>
  <c r="T225" i="1" s="1"/>
  <c r="CV225" i="1"/>
  <c r="U225" i="1" s="1"/>
  <c r="CX225" i="1"/>
  <c r="GL225" i="1"/>
  <c r="GN225" i="1"/>
  <c r="GP225" i="1"/>
  <c r="GV225" i="1"/>
  <c r="HC225" i="1"/>
  <c r="GX225" i="1" s="1"/>
  <c r="I226" i="1"/>
  <c r="Q226" i="1"/>
  <c r="S226" i="1"/>
  <c r="CY226" i="1" s="1"/>
  <c r="V226" i="1"/>
  <c r="W226" i="1"/>
  <c r="AC226" i="1"/>
  <c r="AD226" i="1"/>
  <c r="AE226" i="1"/>
  <c r="AF226" i="1"/>
  <c r="AG226" i="1"/>
  <c r="AH226" i="1"/>
  <c r="AI226" i="1"/>
  <c r="CW226" i="1" s="1"/>
  <c r="AJ226" i="1"/>
  <c r="CQ226" i="1"/>
  <c r="CR226" i="1"/>
  <c r="CT226" i="1"/>
  <c r="CU226" i="1"/>
  <c r="T226" i="1" s="1"/>
  <c r="CV226" i="1"/>
  <c r="U226" i="1" s="1"/>
  <c r="CX226" i="1"/>
  <c r="GL226" i="1"/>
  <c r="GN226" i="1"/>
  <c r="GP226" i="1"/>
  <c r="GV226" i="1"/>
  <c r="HC226" i="1"/>
  <c r="GX226" i="1" s="1"/>
  <c r="AC227" i="1"/>
  <c r="AE227" i="1"/>
  <c r="CS227" i="1" s="1"/>
  <c r="AF227" i="1"/>
  <c r="AG227" i="1"/>
  <c r="CU227" i="1" s="1"/>
  <c r="AH227" i="1"/>
  <c r="AI227" i="1"/>
  <c r="AJ227" i="1"/>
  <c r="CQ227" i="1"/>
  <c r="CR227" i="1"/>
  <c r="CT227" i="1"/>
  <c r="CV227" i="1"/>
  <c r="CW227" i="1"/>
  <c r="CX227" i="1"/>
  <c r="GL227" i="1"/>
  <c r="GN227" i="1"/>
  <c r="GP227" i="1"/>
  <c r="GV227" i="1"/>
  <c r="HC227" i="1"/>
  <c r="I228" i="1"/>
  <c r="AC228" i="1"/>
  <c r="AD228" i="1"/>
  <c r="AB228" i="1" s="1"/>
  <c r="AE228" i="1"/>
  <c r="AF228" i="1"/>
  <c r="AG228" i="1"/>
  <c r="AH228" i="1"/>
  <c r="AI228" i="1"/>
  <c r="CW228" i="1" s="1"/>
  <c r="V228" i="1" s="1"/>
  <c r="AJ228" i="1"/>
  <c r="CX228" i="1" s="1"/>
  <c r="CQ228" i="1"/>
  <c r="CR228" i="1"/>
  <c r="CS228" i="1"/>
  <c r="CU228" i="1"/>
  <c r="CV228" i="1"/>
  <c r="GL228" i="1"/>
  <c r="GN228" i="1"/>
  <c r="GP228" i="1"/>
  <c r="GV228" i="1"/>
  <c r="HC228" i="1"/>
  <c r="I229" i="1"/>
  <c r="Q229" i="1" s="1"/>
  <c r="R229" i="1"/>
  <c r="AC229" i="1"/>
  <c r="P229" i="1" s="1"/>
  <c r="AE229" i="1"/>
  <c r="CS229" i="1" s="1"/>
  <c r="AF229" i="1"/>
  <c r="AG229" i="1"/>
  <c r="CU229" i="1" s="1"/>
  <c r="T229" i="1" s="1"/>
  <c r="AH229" i="1"/>
  <c r="AI229" i="1"/>
  <c r="AJ229" i="1"/>
  <c r="CX229" i="1" s="1"/>
  <c r="CQ229" i="1"/>
  <c r="CV229" i="1"/>
  <c r="U229" i="1" s="1"/>
  <c r="CW229" i="1"/>
  <c r="V229" i="1" s="1"/>
  <c r="GL229" i="1"/>
  <c r="FR267" i="1" s="1"/>
  <c r="GN229" i="1"/>
  <c r="GP229" i="1"/>
  <c r="GV229" i="1"/>
  <c r="HC229" i="1"/>
  <c r="I230" i="1"/>
  <c r="K230" i="1"/>
  <c r="P230" i="1"/>
  <c r="S230" i="1"/>
  <c r="X230" i="1" s="1"/>
  <c r="U230" i="1"/>
  <c r="Y230" i="1"/>
  <c r="AC230" i="1"/>
  <c r="AE230" i="1"/>
  <c r="CS230" i="1" s="1"/>
  <c r="AF230" i="1"/>
  <c r="AG230" i="1"/>
  <c r="AH230" i="1"/>
  <c r="AI230" i="1"/>
  <c r="CW230" i="1" s="1"/>
  <c r="V230" i="1" s="1"/>
  <c r="AJ230" i="1"/>
  <c r="CQ230" i="1"/>
  <c r="CT230" i="1"/>
  <c r="CU230" i="1"/>
  <c r="T230" i="1" s="1"/>
  <c r="CV230" i="1"/>
  <c r="CX230" i="1"/>
  <c r="W230" i="1" s="1"/>
  <c r="CZ230" i="1"/>
  <c r="GL230" i="1"/>
  <c r="GN230" i="1"/>
  <c r="GP230" i="1"/>
  <c r="GV230" i="1"/>
  <c r="HC230" i="1"/>
  <c r="GX230" i="1" s="1"/>
  <c r="I231" i="1"/>
  <c r="R231" i="1" s="1"/>
  <c r="K231" i="1"/>
  <c r="S231" i="1"/>
  <c r="X231" i="1" s="1"/>
  <c r="AC231" i="1"/>
  <c r="P231" i="1" s="1"/>
  <c r="AD231" i="1"/>
  <c r="AE231" i="1"/>
  <c r="CR231" i="1" s="1"/>
  <c r="AF231" i="1"/>
  <c r="AG231" i="1"/>
  <c r="AH231" i="1"/>
  <c r="CV231" i="1" s="1"/>
  <c r="U231" i="1" s="1"/>
  <c r="AI231" i="1"/>
  <c r="CW231" i="1" s="1"/>
  <c r="V231" i="1" s="1"/>
  <c r="AJ231" i="1"/>
  <c r="CS231" i="1"/>
  <c r="CT231" i="1"/>
  <c r="CU231" i="1"/>
  <c r="T231" i="1" s="1"/>
  <c r="CX231" i="1"/>
  <c r="W231" i="1" s="1"/>
  <c r="CY231" i="1"/>
  <c r="GL231" i="1"/>
  <c r="GN231" i="1"/>
  <c r="FT267" i="1" s="1"/>
  <c r="GP231" i="1"/>
  <c r="GV231" i="1"/>
  <c r="HC231" i="1" s="1"/>
  <c r="GX231" i="1"/>
  <c r="I232" i="1"/>
  <c r="K232" i="1"/>
  <c r="R232" i="1"/>
  <c r="S232" i="1"/>
  <c r="U232" i="1"/>
  <c r="AB232" i="1"/>
  <c r="AC232" i="1"/>
  <c r="AD232" i="1"/>
  <c r="AE232" i="1"/>
  <c r="CR232" i="1" s="1"/>
  <c r="AF232" i="1"/>
  <c r="AG232" i="1"/>
  <c r="CU232" i="1" s="1"/>
  <c r="T232" i="1" s="1"/>
  <c r="AH232" i="1"/>
  <c r="AI232" i="1"/>
  <c r="CW232" i="1" s="1"/>
  <c r="V232" i="1" s="1"/>
  <c r="AJ232" i="1"/>
  <c r="CX232" i="1" s="1"/>
  <c r="W232" i="1" s="1"/>
  <c r="CS232" i="1"/>
  <c r="CT232" i="1"/>
  <c r="CV232" i="1"/>
  <c r="CZ232" i="1"/>
  <c r="GL232" i="1"/>
  <c r="GN232" i="1"/>
  <c r="GP232" i="1"/>
  <c r="GV232" i="1"/>
  <c r="HC232" i="1" s="1"/>
  <c r="GX232" i="1" s="1"/>
  <c r="I233" i="1"/>
  <c r="P233" i="1" s="1"/>
  <c r="K233" i="1"/>
  <c r="Q233" i="1"/>
  <c r="R233" i="1"/>
  <c r="AC233" i="1"/>
  <c r="AE233" i="1"/>
  <c r="CR233" i="1" s="1"/>
  <c r="AF233" i="1"/>
  <c r="CT233" i="1" s="1"/>
  <c r="AG233" i="1"/>
  <c r="CU233" i="1" s="1"/>
  <c r="T233" i="1" s="1"/>
  <c r="AH233" i="1"/>
  <c r="AI233" i="1"/>
  <c r="CW233" i="1" s="1"/>
  <c r="V233" i="1" s="1"/>
  <c r="AJ233" i="1"/>
  <c r="CQ233" i="1"/>
  <c r="CV233" i="1"/>
  <c r="U233" i="1" s="1"/>
  <c r="CX233" i="1"/>
  <c r="W233" i="1" s="1"/>
  <c r="GL233" i="1"/>
  <c r="GN233" i="1"/>
  <c r="GP233" i="1"/>
  <c r="GV233" i="1"/>
  <c r="HC233" i="1"/>
  <c r="GX233" i="1" s="1"/>
  <c r="C234" i="1"/>
  <c r="D234" i="1"/>
  <c r="I234" i="1"/>
  <c r="K234" i="1"/>
  <c r="R234" i="1"/>
  <c r="U234" i="1"/>
  <c r="V234" i="1"/>
  <c r="AC234" i="1"/>
  <c r="CQ234" i="1" s="1"/>
  <c r="AD234" i="1"/>
  <c r="AE234" i="1"/>
  <c r="CR234" i="1" s="1"/>
  <c r="AF234" i="1"/>
  <c r="S234" i="1" s="1"/>
  <c r="AG234" i="1"/>
  <c r="AH234" i="1"/>
  <c r="AI234" i="1"/>
  <c r="AJ234" i="1"/>
  <c r="CS234" i="1"/>
  <c r="CU234" i="1"/>
  <c r="T234" i="1" s="1"/>
  <c r="CV234" i="1"/>
  <c r="CW234" i="1"/>
  <c r="CX234" i="1"/>
  <c r="W234" i="1" s="1"/>
  <c r="GL234" i="1"/>
  <c r="BZ267" i="1" s="1"/>
  <c r="GN234" i="1"/>
  <c r="GP234" i="1"/>
  <c r="GV234" i="1"/>
  <c r="HC234" i="1" s="1"/>
  <c r="GX234" i="1"/>
  <c r="C235" i="1"/>
  <c r="D235" i="1"/>
  <c r="I235" i="1"/>
  <c r="K235" i="1"/>
  <c r="Q235" i="1"/>
  <c r="S235" i="1"/>
  <c r="Y235" i="1" s="1"/>
  <c r="AC235" i="1"/>
  <c r="CQ235" i="1" s="1"/>
  <c r="AE235" i="1"/>
  <c r="AF235" i="1"/>
  <c r="AG235" i="1"/>
  <c r="AH235" i="1"/>
  <c r="CV235" i="1" s="1"/>
  <c r="U235" i="1" s="1"/>
  <c r="AI235" i="1"/>
  <c r="CW235" i="1" s="1"/>
  <c r="V235" i="1" s="1"/>
  <c r="AJ235" i="1"/>
  <c r="CT235" i="1"/>
  <c r="CU235" i="1"/>
  <c r="T235" i="1" s="1"/>
  <c r="CX235" i="1"/>
  <c r="W235" i="1" s="1"/>
  <c r="CY235" i="1"/>
  <c r="GL235" i="1"/>
  <c r="GN235" i="1"/>
  <c r="GP235" i="1"/>
  <c r="GV235" i="1"/>
  <c r="GX235" i="1"/>
  <c r="HC235" i="1"/>
  <c r="I236" i="1"/>
  <c r="P236" i="1"/>
  <c r="T236" i="1"/>
  <c r="AC236" i="1"/>
  <c r="AE236" i="1"/>
  <c r="Q236" i="1" s="1"/>
  <c r="AF236" i="1"/>
  <c r="CT236" i="1" s="1"/>
  <c r="AG236" i="1"/>
  <c r="CU236" i="1" s="1"/>
  <c r="AH236" i="1"/>
  <c r="CV236" i="1" s="1"/>
  <c r="U236" i="1" s="1"/>
  <c r="AI236" i="1"/>
  <c r="AJ236" i="1"/>
  <c r="CX236" i="1" s="1"/>
  <c r="W236" i="1" s="1"/>
  <c r="CW236" i="1"/>
  <c r="V236" i="1" s="1"/>
  <c r="GL236" i="1"/>
  <c r="GN236" i="1"/>
  <c r="GP236" i="1"/>
  <c r="GV236" i="1"/>
  <c r="HC236" i="1" s="1"/>
  <c r="GX236" i="1" s="1"/>
  <c r="I237" i="1"/>
  <c r="Q237" i="1" s="1"/>
  <c r="P237" i="1"/>
  <c r="R237" i="1"/>
  <c r="S237" i="1"/>
  <c r="CP237" i="1" s="1"/>
  <c r="O237" i="1" s="1"/>
  <c r="U237" i="1"/>
  <c r="W237" i="1"/>
  <c r="Y237" i="1"/>
  <c r="AC237" i="1"/>
  <c r="CQ237" i="1" s="1"/>
  <c r="AD237" i="1"/>
  <c r="AE237" i="1"/>
  <c r="AF237" i="1"/>
  <c r="CT237" i="1" s="1"/>
  <c r="AG237" i="1"/>
  <c r="CU237" i="1" s="1"/>
  <c r="T237" i="1" s="1"/>
  <c r="AH237" i="1"/>
  <c r="CV237" i="1" s="1"/>
  <c r="AI237" i="1"/>
  <c r="AJ237" i="1"/>
  <c r="CR237" i="1"/>
  <c r="CS237" i="1"/>
  <c r="CW237" i="1"/>
  <c r="V237" i="1" s="1"/>
  <c r="CX237" i="1"/>
  <c r="CZ237" i="1"/>
  <c r="GL237" i="1"/>
  <c r="GN237" i="1"/>
  <c r="GP237" i="1"/>
  <c r="GV237" i="1"/>
  <c r="HC237" i="1" s="1"/>
  <c r="GX237" i="1"/>
  <c r="I238" i="1"/>
  <c r="P238" i="1"/>
  <c r="S238" i="1"/>
  <c r="U238" i="1"/>
  <c r="V238" i="1"/>
  <c r="AC238" i="1"/>
  <c r="CQ238" i="1" s="1"/>
  <c r="AE238" i="1"/>
  <c r="CR238" i="1" s="1"/>
  <c r="AF238" i="1"/>
  <c r="AG238" i="1"/>
  <c r="CU238" i="1" s="1"/>
  <c r="T238" i="1" s="1"/>
  <c r="AH238" i="1"/>
  <c r="CV238" i="1" s="1"/>
  <c r="AI238" i="1"/>
  <c r="CW238" i="1" s="1"/>
  <c r="AJ238" i="1"/>
  <c r="CX238" i="1" s="1"/>
  <c r="W238" i="1" s="1"/>
  <c r="CT238" i="1"/>
  <c r="GL238" i="1"/>
  <c r="GN238" i="1"/>
  <c r="GP238" i="1"/>
  <c r="GV238" i="1"/>
  <c r="HC238" i="1" s="1"/>
  <c r="GX238" i="1" s="1"/>
  <c r="I239" i="1"/>
  <c r="P239" i="1"/>
  <c r="Q239" i="1"/>
  <c r="R239" i="1"/>
  <c r="V239" i="1"/>
  <c r="AC239" i="1"/>
  <c r="AD239" i="1"/>
  <c r="AE239" i="1"/>
  <c r="CS239" i="1" s="1"/>
  <c r="AF239" i="1"/>
  <c r="CT239" i="1" s="1"/>
  <c r="AG239" i="1"/>
  <c r="CU239" i="1" s="1"/>
  <c r="T239" i="1" s="1"/>
  <c r="AH239" i="1"/>
  <c r="CV239" i="1" s="1"/>
  <c r="U239" i="1" s="1"/>
  <c r="AI239" i="1"/>
  <c r="AJ239" i="1"/>
  <c r="CQ239" i="1"/>
  <c r="CR239" i="1"/>
  <c r="CW239" i="1"/>
  <c r="CX239" i="1"/>
  <c r="W239" i="1" s="1"/>
  <c r="GL239" i="1"/>
  <c r="GN239" i="1"/>
  <c r="GP239" i="1"/>
  <c r="GV239" i="1"/>
  <c r="HC239" i="1" s="1"/>
  <c r="GX239" i="1" s="1"/>
  <c r="C240" i="1"/>
  <c r="D240" i="1"/>
  <c r="I240" i="1"/>
  <c r="Q240" i="1" s="1"/>
  <c r="K240" i="1"/>
  <c r="R240" i="1"/>
  <c r="AC240" i="1"/>
  <c r="P240" i="1" s="1"/>
  <c r="AE240" i="1"/>
  <c r="CR240" i="1" s="1"/>
  <c r="AF240" i="1"/>
  <c r="AG240" i="1"/>
  <c r="AH240" i="1"/>
  <c r="CV240" i="1" s="1"/>
  <c r="U240" i="1" s="1"/>
  <c r="AI240" i="1"/>
  <c r="AJ240" i="1"/>
  <c r="CT240" i="1"/>
  <c r="CU240" i="1"/>
  <c r="CW240" i="1"/>
  <c r="CX240" i="1"/>
  <c r="W240" i="1" s="1"/>
  <c r="GL240" i="1"/>
  <c r="GN240" i="1"/>
  <c r="GP240" i="1"/>
  <c r="GV240" i="1"/>
  <c r="HC240" i="1" s="1"/>
  <c r="GX240" i="1" s="1"/>
  <c r="C241" i="1"/>
  <c r="D241" i="1"/>
  <c r="I241" i="1"/>
  <c r="K241" i="1"/>
  <c r="AC241" i="1"/>
  <c r="AD241" i="1"/>
  <c r="AB241" i="1" s="1"/>
  <c r="AE241" i="1"/>
  <c r="AF241" i="1"/>
  <c r="CT241" i="1" s="1"/>
  <c r="AG241" i="1"/>
  <c r="AH241" i="1"/>
  <c r="CV241" i="1" s="1"/>
  <c r="AI241" i="1"/>
  <c r="CW241" i="1" s="1"/>
  <c r="AJ241" i="1"/>
  <c r="CX241" i="1" s="1"/>
  <c r="CQ241" i="1"/>
  <c r="CR241" i="1"/>
  <c r="CS241" i="1"/>
  <c r="CU241" i="1"/>
  <c r="GL241" i="1"/>
  <c r="GN241" i="1"/>
  <c r="GP241" i="1"/>
  <c r="GV241" i="1"/>
  <c r="HC241" i="1" s="1"/>
  <c r="AC242" i="1"/>
  <c r="AD242" i="1"/>
  <c r="AB242" i="1" s="1"/>
  <c r="AE242" i="1"/>
  <c r="CR242" i="1" s="1"/>
  <c r="AF242" i="1"/>
  <c r="CT242" i="1" s="1"/>
  <c r="AG242" i="1"/>
  <c r="AH242" i="1"/>
  <c r="AI242" i="1"/>
  <c r="CW242" i="1" s="1"/>
  <c r="AJ242" i="1"/>
  <c r="CQ242" i="1"/>
  <c r="CU242" i="1"/>
  <c r="CV242" i="1"/>
  <c r="CX242" i="1"/>
  <c r="GL242" i="1"/>
  <c r="GN242" i="1"/>
  <c r="GP242" i="1"/>
  <c r="GV242" i="1"/>
  <c r="HC242" i="1"/>
  <c r="AC243" i="1"/>
  <c r="AE243" i="1"/>
  <c r="AF243" i="1"/>
  <c r="AG243" i="1"/>
  <c r="AH243" i="1"/>
  <c r="AI243" i="1"/>
  <c r="AJ243" i="1"/>
  <c r="CX243" i="1" s="1"/>
  <c r="CQ243" i="1"/>
  <c r="CT243" i="1"/>
  <c r="CU243" i="1"/>
  <c r="CV243" i="1"/>
  <c r="CW243" i="1"/>
  <c r="GL243" i="1"/>
  <c r="GN243" i="1"/>
  <c r="GP243" i="1"/>
  <c r="GV243" i="1"/>
  <c r="HC243" i="1"/>
  <c r="C244" i="1"/>
  <c r="D244" i="1"/>
  <c r="I244" i="1"/>
  <c r="R244" i="1" s="1"/>
  <c r="K244" i="1"/>
  <c r="V244" i="1"/>
  <c r="AC244" i="1"/>
  <c r="CQ244" i="1" s="1"/>
  <c r="AE244" i="1"/>
  <c r="CR244" i="1" s="1"/>
  <c r="AF244" i="1"/>
  <c r="CT244" i="1" s="1"/>
  <c r="AG244" i="1"/>
  <c r="CU244" i="1" s="1"/>
  <c r="T244" i="1" s="1"/>
  <c r="AH244" i="1"/>
  <c r="AI244" i="1"/>
  <c r="AJ244" i="1"/>
  <c r="CX244" i="1" s="1"/>
  <c r="W244" i="1" s="1"/>
  <c r="CV244" i="1"/>
  <c r="U244" i="1" s="1"/>
  <c r="CW244" i="1"/>
  <c r="GL244" i="1"/>
  <c r="GN244" i="1"/>
  <c r="GP244" i="1"/>
  <c r="GV244" i="1"/>
  <c r="HC244" i="1"/>
  <c r="GX244" i="1" s="1"/>
  <c r="C245" i="1"/>
  <c r="D245" i="1"/>
  <c r="I245" i="1"/>
  <c r="K245" i="1"/>
  <c r="R245" i="1"/>
  <c r="V245" i="1"/>
  <c r="AC245" i="1"/>
  <c r="AD245" i="1"/>
  <c r="AE245" i="1"/>
  <c r="AF245" i="1"/>
  <c r="S245" i="1" s="1"/>
  <c r="AG245" i="1"/>
  <c r="AH245" i="1"/>
  <c r="CV245" i="1" s="1"/>
  <c r="U245" i="1" s="1"/>
  <c r="AI245" i="1"/>
  <c r="AJ245" i="1"/>
  <c r="CX245" i="1" s="1"/>
  <c r="W245" i="1" s="1"/>
  <c r="CR245" i="1"/>
  <c r="CS245" i="1"/>
  <c r="CT245" i="1"/>
  <c r="CU245" i="1"/>
  <c r="T245" i="1" s="1"/>
  <c r="CW245" i="1"/>
  <c r="GL245" i="1"/>
  <c r="GN245" i="1"/>
  <c r="GP245" i="1"/>
  <c r="GV245" i="1"/>
  <c r="HC245" i="1" s="1"/>
  <c r="GX245" i="1" s="1"/>
  <c r="I246" i="1"/>
  <c r="R246" i="1" s="1"/>
  <c r="K246" i="1"/>
  <c r="V246" i="1"/>
  <c r="AC246" i="1"/>
  <c r="CQ246" i="1" s="1"/>
  <c r="AE246" i="1"/>
  <c r="CR246" i="1" s="1"/>
  <c r="AF246" i="1"/>
  <c r="CT246" i="1" s="1"/>
  <c r="AG246" i="1"/>
  <c r="CU246" i="1" s="1"/>
  <c r="T246" i="1" s="1"/>
  <c r="AH246" i="1"/>
  <c r="AI246" i="1"/>
  <c r="AJ246" i="1"/>
  <c r="CX246" i="1" s="1"/>
  <c r="W246" i="1" s="1"/>
  <c r="CV246" i="1"/>
  <c r="U246" i="1" s="1"/>
  <c r="CW246" i="1"/>
  <c r="GL246" i="1"/>
  <c r="GN246" i="1"/>
  <c r="GP246" i="1"/>
  <c r="GV246" i="1"/>
  <c r="HC246" i="1"/>
  <c r="GX246" i="1" s="1"/>
  <c r="I247" i="1"/>
  <c r="K247" i="1"/>
  <c r="T247" i="1"/>
  <c r="AC247" i="1"/>
  <c r="AE247" i="1"/>
  <c r="Q247" i="1" s="1"/>
  <c r="AF247" i="1"/>
  <c r="S247" i="1" s="1"/>
  <c r="AG247" i="1"/>
  <c r="AH247" i="1"/>
  <c r="AI247" i="1"/>
  <c r="AJ247" i="1"/>
  <c r="CX247" i="1" s="1"/>
  <c r="W247" i="1" s="1"/>
  <c r="CQ247" i="1"/>
  <c r="CT247" i="1"/>
  <c r="CU247" i="1"/>
  <c r="CV247" i="1"/>
  <c r="U247" i="1" s="1"/>
  <c r="CW247" i="1"/>
  <c r="V247" i="1" s="1"/>
  <c r="GL247" i="1"/>
  <c r="GN247" i="1"/>
  <c r="GP247" i="1"/>
  <c r="GV247" i="1"/>
  <c r="HC247" i="1"/>
  <c r="GX247" i="1" s="1"/>
  <c r="I248" i="1"/>
  <c r="Q248" i="1" s="1"/>
  <c r="K248" i="1"/>
  <c r="S248" i="1"/>
  <c r="Y248" i="1" s="1"/>
  <c r="X248" i="1"/>
  <c r="AC248" i="1"/>
  <c r="AE248" i="1"/>
  <c r="CS248" i="1" s="1"/>
  <c r="AF248" i="1"/>
  <c r="AG248" i="1"/>
  <c r="CU248" i="1" s="1"/>
  <c r="T248" i="1" s="1"/>
  <c r="AH248" i="1"/>
  <c r="CV248" i="1" s="1"/>
  <c r="U248" i="1" s="1"/>
  <c r="AI248" i="1"/>
  <c r="CW248" i="1" s="1"/>
  <c r="V248" i="1" s="1"/>
  <c r="AJ248" i="1"/>
  <c r="CQ248" i="1"/>
  <c r="CR248" i="1"/>
  <c r="CT248" i="1"/>
  <c r="CX248" i="1"/>
  <c r="W248" i="1" s="1"/>
  <c r="GL248" i="1"/>
  <c r="GN248" i="1"/>
  <c r="GP248" i="1"/>
  <c r="GV248" i="1"/>
  <c r="HC248" i="1" s="1"/>
  <c r="GX248" i="1" s="1"/>
  <c r="I249" i="1"/>
  <c r="K249" i="1"/>
  <c r="P249" i="1"/>
  <c r="S249" i="1"/>
  <c r="V249" i="1"/>
  <c r="AC249" i="1"/>
  <c r="CQ249" i="1" s="1"/>
  <c r="AE249" i="1"/>
  <c r="CR249" i="1" s="1"/>
  <c r="AF249" i="1"/>
  <c r="AG249" i="1"/>
  <c r="CU249" i="1" s="1"/>
  <c r="T249" i="1" s="1"/>
  <c r="AH249" i="1"/>
  <c r="AI249" i="1"/>
  <c r="AJ249" i="1"/>
  <c r="CS249" i="1"/>
  <c r="CT249" i="1"/>
  <c r="CV249" i="1"/>
  <c r="U249" i="1" s="1"/>
  <c r="CW249" i="1"/>
  <c r="CX249" i="1"/>
  <c r="W249" i="1" s="1"/>
  <c r="GL249" i="1"/>
  <c r="GN249" i="1"/>
  <c r="GP249" i="1"/>
  <c r="GV249" i="1"/>
  <c r="HC249" i="1"/>
  <c r="GX249" i="1" s="1"/>
  <c r="I250" i="1"/>
  <c r="R250" i="1" s="1"/>
  <c r="K250" i="1"/>
  <c r="U250" i="1"/>
  <c r="AB250" i="1"/>
  <c r="AC250" i="1"/>
  <c r="P250" i="1" s="1"/>
  <c r="AE250" i="1"/>
  <c r="AD250" i="1" s="1"/>
  <c r="AF250" i="1"/>
  <c r="AG250" i="1"/>
  <c r="CU250" i="1" s="1"/>
  <c r="T250" i="1" s="1"/>
  <c r="AH250" i="1"/>
  <c r="AI250" i="1"/>
  <c r="CW250" i="1" s="1"/>
  <c r="V250" i="1" s="1"/>
  <c r="AJ250" i="1"/>
  <c r="CX250" i="1" s="1"/>
  <c r="W250" i="1" s="1"/>
  <c r="CQ250" i="1"/>
  <c r="CS250" i="1"/>
  <c r="CT250" i="1"/>
  <c r="CV250" i="1"/>
  <c r="GL250" i="1"/>
  <c r="GN250" i="1"/>
  <c r="GP250" i="1"/>
  <c r="GV250" i="1"/>
  <c r="HC250" i="1"/>
  <c r="GX250" i="1" s="1"/>
  <c r="I251" i="1"/>
  <c r="K251" i="1"/>
  <c r="P251" i="1"/>
  <c r="S251" i="1"/>
  <c r="Y251" i="1" s="1"/>
  <c r="U251" i="1"/>
  <c r="X251" i="1"/>
  <c r="AC251" i="1"/>
  <c r="AD251" i="1"/>
  <c r="AB251" i="1" s="1"/>
  <c r="AE251" i="1"/>
  <c r="CR251" i="1" s="1"/>
  <c r="AF251" i="1"/>
  <c r="CT251" i="1" s="1"/>
  <c r="AG251" i="1"/>
  <c r="AH251" i="1"/>
  <c r="AI251" i="1"/>
  <c r="CW251" i="1" s="1"/>
  <c r="V251" i="1" s="1"/>
  <c r="AJ251" i="1"/>
  <c r="CQ251" i="1"/>
  <c r="CU251" i="1"/>
  <c r="T251" i="1" s="1"/>
  <c r="CV251" i="1"/>
  <c r="CX251" i="1"/>
  <c r="W251" i="1" s="1"/>
  <c r="CZ251" i="1"/>
  <c r="GL251" i="1"/>
  <c r="GN251" i="1"/>
  <c r="GP251" i="1"/>
  <c r="GV251" i="1"/>
  <c r="GX251" i="1"/>
  <c r="HC251" i="1"/>
  <c r="C252" i="1"/>
  <c r="D252" i="1"/>
  <c r="I252" i="1"/>
  <c r="K252" i="1"/>
  <c r="U252" i="1"/>
  <c r="AB252" i="1"/>
  <c r="AC252" i="1"/>
  <c r="P252" i="1" s="1"/>
  <c r="AE252" i="1"/>
  <c r="AD252" i="1" s="1"/>
  <c r="AF252" i="1"/>
  <c r="AG252" i="1"/>
  <c r="CU252" i="1" s="1"/>
  <c r="T252" i="1" s="1"/>
  <c r="AH252" i="1"/>
  <c r="AI252" i="1"/>
  <c r="CW252" i="1" s="1"/>
  <c r="V252" i="1" s="1"/>
  <c r="AJ252" i="1"/>
  <c r="CX252" i="1" s="1"/>
  <c r="W252" i="1" s="1"/>
  <c r="CQ252" i="1"/>
  <c r="CS252" i="1"/>
  <c r="CT252" i="1"/>
  <c r="CV252" i="1"/>
  <c r="GL252" i="1"/>
  <c r="GN252" i="1"/>
  <c r="GP252" i="1"/>
  <c r="GV252" i="1"/>
  <c r="HC252" i="1"/>
  <c r="GX252" i="1" s="1"/>
  <c r="C253" i="1"/>
  <c r="D253" i="1"/>
  <c r="I253" i="1"/>
  <c r="K253" i="1"/>
  <c r="S253" i="1"/>
  <c r="V253" i="1"/>
  <c r="AC253" i="1"/>
  <c r="CQ253" i="1" s="1"/>
  <c r="AE253" i="1"/>
  <c r="CR253" i="1" s="1"/>
  <c r="AF253" i="1"/>
  <c r="AG253" i="1"/>
  <c r="CU253" i="1" s="1"/>
  <c r="T253" i="1" s="1"/>
  <c r="AH253" i="1"/>
  <c r="AI253" i="1"/>
  <c r="AJ253" i="1"/>
  <c r="CS253" i="1"/>
  <c r="CT253" i="1"/>
  <c r="CV253" i="1"/>
  <c r="U253" i="1" s="1"/>
  <c r="CW253" i="1"/>
  <c r="CX253" i="1"/>
  <c r="W253" i="1" s="1"/>
  <c r="GL253" i="1"/>
  <c r="GN253" i="1"/>
  <c r="GP253" i="1"/>
  <c r="GV253" i="1"/>
  <c r="HC253" i="1"/>
  <c r="GX253" i="1" s="1"/>
  <c r="I254" i="1"/>
  <c r="R254" i="1" s="1"/>
  <c r="K254" i="1"/>
  <c r="U254" i="1"/>
  <c r="AB254" i="1"/>
  <c r="AC254" i="1"/>
  <c r="P254" i="1" s="1"/>
  <c r="AE254" i="1"/>
  <c r="AD254" i="1" s="1"/>
  <c r="AF254" i="1"/>
  <c r="AG254" i="1"/>
  <c r="CU254" i="1" s="1"/>
  <c r="T254" i="1" s="1"/>
  <c r="AH254" i="1"/>
  <c r="AI254" i="1"/>
  <c r="CW254" i="1" s="1"/>
  <c r="V254" i="1" s="1"/>
  <c r="AJ254" i="1"/>
  <c r="CX254" i="1" s="1"/>
  <c r="W254" i="1" s="1"/>
  <c r="CQ254" i="1"/>
  <c r="CS254" i="1"/>
  <c r="CT254" i="1"/>
  <c r="CV254" i="1"/>
  <c r="GL254" i="1"/>
  <c r="GN254" i="1"/>
  <c r="GP254" i="1"/>
  <c r="GV254" i="1"/>
  <c r="HC254" i="1"/>
  <c r="GX254" i="1" s="1"/>
  <c r="I255" i="1"/>
  <c r="K255" i="1"/>
  <c r="P255" i="1"/>
  <c r="S255" i="1"/>
  <c r="Y255" i="1" s="1"/>
  <c r="U255" i="1"/>
  <c r="X255" i="1"/>
  <c r="AC255" i="1"/>
  <c r="AD255" i="1"/>
  <c r="AB255" i="1" s="1"/>
  <c r="AE255" i="1"/>
  <c r="CR255" i="1" s="1"/>
  <c r="AF255" i="1"/>
  <c r="CT255" i="1" s="1"/>
  <c r="AG255" i="1"/>
  <c r="AH255" i="1"/>
  <c r="AI255" i="1"/>
  <c r="CW255" i="1" s="1"/>
  <c r="V255" i="1" s="1"/>
  <c r="AJ255" i="1"/>
  <c r="CQ255" i="1"/>
  <c r="CU255" i="1"/>
  <c r="T255" i="1" s="1"/>
  <c r="CV255" i="1"/>
  <c r="CX255" i="1"/>
  <c r="W255" i="1" s="1"/>
  <c r="CZ255" i="1"/>
  <c r="GL255" i="1"/>
  <c r="GN255" i="1"/>
  <c r="GP255" i="1"/>
  <c r="GV255" i="1"/>
  <c r="GX255" i="1"/>
  <c r="HC255" i="1"/>
  <c r="C256" i="1"/>
  <c r="D256" i="1"/>
  <c r="I256" i="1"/>
  <c r="K256" i="1"/>
  <c r="U256" i="1"/>
  <c r="AB256" i="1"/>
  <c r="AC256" i="1"/>
  <c r="P256" i="1" s="1"/>
  <c r="AE256" i="1"/>
  <c r="AD256" i="1" s="1"/>
  <c r="AF256" i="1"/>
  <c r="AG256" i="1"/>
  <c r="CU256" i="1" s="1"/>
  <c r="T256" i="1" s="1"/>
  <c r="AH256" i="1"/>
  <c r="AI256" i="1"/>
  <c r="CW256" i="1" s="1"/>
  <c r="V256" i="1" s="1"/>
  <c r="AJ256" i="1"/>
  <c r="CX256" i="1" s="1"/>
  <c r="W256" i="1" s="1"/>
  <c r="CQ256" i="1"/>
  <c r="CS256" i="1"/>
  <c r="CT256" i="1"/>
  <c r="CV256" i="1"/>
  <c r="GL256" i="1"/>
  <c r="GN256" i="1"/>
  <c r="GP256" i="1"/>
  <c r="GV256" i="1"/>
  <c r="HC256" i="1"/>
  <c r="GX256" i="1" s="1"/>
  <c r="C257" i="1"/>
  <c r="D257" i="1"/>
  <c r="I257" i="1"/>
  <c r="K257" i="1"/>
  <c r="S257" i="1"/>
  <c r="V257" i="1"/>
  <c r="AC257" i="1"/>
  <c r="CQ257" i="1" s="1"/>
  <c r="AE257" i="1"/>
  <c r="CR257" i="1" s="1"/>
  <c r="AF257" i="1"/>
  <c r="AG257" i="1"/>
  <c r="CU257" i="1" s="1"/>
  <c r="T257" i="1" s="1"/>
  <c r="AH257" i="1"/>
  <c r="AI257" i="1"/>
  <c r="AJ257" i="1"/>
  <c r="CS257" i="1"/>
  <c r="CT257" i="1"/>
  <c r="CV257" i="1"/>
  <c r="U257" i="1" s="1"/>
  <c r="CW257" i="1"/>
  <c r="CX257" i="1"/>
  <c r="W257" i="1" s="1"/>
  <c r="GL257" i="1"/>
  <c r="GN257" i="1"/>
  <c r="GP257" i="1"/>
  <c r="GV257" i="1"/>
  <c r="HC257" i="1"/>
  <c r="GX257" i="1" s="1"/>
  <c r="I258" i="1"/>
  <c r="Q258" i="1" s="1"/>
  <c r="R258" i="1"/>
  <c r="AC258" i="1"/>
  <c r="AD258" i="1"/>
  <c r="AE258" i="1"/>
  <c r="AF258" i="1"/>
  <c r="S258" i="1" s="1"/>
  <c r="AG258" i="1"/>
  <c r="AH258" i="1"/>
  <c r="CV258" i="1" s="1"/>
  <c r="U258" i="1" s="1"/>
  <c r="AI258" i="1"/>
  <c r="AJ258" i="1"/>
  <c r="CX258" i="1" s="1"/>
  <c r="W258" i="1" s="1"/>
  <c r="CR258" i="1"/>
  <c r="CS258" i="1"/>
  <c r="CT258" i="1"/>
  <c r="CU258" i="1"/>
  <c r="T258" i="1" s="1"/>
  <c r="CW258" i="1"/>
  <c r="V258" i="1" s="1"/>
  <c r="GL258" i="1"/>
  <c r="GN258" i="1"/>
  <c r="GP258" i="1"/>
  <c r="GV258" i="1"/>
  <c r="HC258" i="1" s="1"/>
  <c r="GX258" i="1" s="1"/>
  <c r="I259" i="1"/>
  <c r="R259" i="1" s="1"/>
  <c r="W259" i="1"/>
  <c r="AC259" i="1"/>
  <c r="AD259" i="1"/>
  <c r="AE259" i="1"/>
  <c r="AF259" i="1"/>
  <c r="AB259" i="1" s="1"/>
  <c r="AG259" i="1"/>
  <c r="CU259" i="1" s="1"/>
  <c r="T259" i="1" s="1"/>
  <c r="AH259" i="1"/>
  <c r="CV259" i="1" s="1"/>
  <c r="U259" i="1" s="1"/>
  <c r="AI259" i="1"/>
  <c r="AJ259" i="1"/>
  <c r="CQ259" i="1"/>
  <c r="CR259" i="1"/>
  <c r="CS259" i="1"/>
  <c r="CW259" i="1"/>
  <c r="V259" i="1" s="1"/>
  <c r="CX259" i="1"/>
  <c r="GL259" i="1"/>
  <c r="GN259" i="1"/>
  <c r="GP259" i="1"/>
  <c r="GV259" i="1"/>
  <c r="HC259" i="1" s="1"/>
  <c r="GX259" i="1" s="1"/>
  <c r="C260" i="1"/>
  <c r="D260" i="1"/>
  <c r="I260" i="1"/>
  <c r="K260" i="1"/>
  <c r="P260" i="1"/>
  <c r="S260" i="1"/>
  <c r="CY260" i="1" s="1"/>
  <c r="AC260" i="1"/>
  <c r="AD260" i="1"/>
  <c r="AB260" i="1" s="1"/>
  <c r="AE260" i="1"/>
  <c r="Q260" i="1" s="1"/>
  <c r="AF260" i="1"/>
  <c r="AG260" i="1"/>
  <c r="AH260" i="1"/>
  <c r="AI260" i="1"/>
  <c r="CW260" i="1" s="1"/>
  <c r="V260" i="1" s="1"/>
  <c r="AJ260" i="1"/>
  <c r="CQ260" i="1"/>
  <c r="CS260" i="1"/>
  <c r="CT260" i="1"/>
  <c r="CU260" i="1"/>
  <c r="T260" i="1" s="1"/>
  <c r="CV260" i="1"/>
  <c r="U260" i="1" s="1"/>
  <c r="CX260" i="1"/>
  <c r="W260" i="1" s="1"/>
  <c r="GL260" i="1"/>
  <c r="GN260" i="1"/>
  <c r="GP260" i="1"/>
  <c r="GV260" i="1"/>
  <c r="GX260" i="1"/>
  <c r="HC260" i="1"/>
  <c r="C261" i="1"/>
  <c r="D261" i="1"/>
  <c r="I261" i="1"/>
  <c r="K261" i="1"/>
  <c r="P261" i="1"/>
  <c r="S261" i="1"/>
  <c r="Y261" i="1" s="1"/>
  <c r="U261" i="1"/>
  <c r="X261" i="1"/>
  <c r="AC261" i="1"/>
  <c r="AD261" i="1"/>
  <c r="AB261" i="1" s="1"/>
  <c r="AE261" i="1"/>
  <c r="CR261" i="1" s="1"/>
  <c r="AF261" i="1"/>
  <c r="CT261" i="1" s="1"/>
  <c r="AG261" i="1"/>
  <c r="AH261" i="1"/>
  <c r="AI261" i="1"/>
  <c r="CW261" i="1" s="1"/>
  <c r="V261" i="1" s="1"/>
  <c r="AJ261" i="1"/>
  <c r="CQ261" i="1"/>
  <c r="CU261" i="1"/>
  <c r="T261" i="1" s="1"/>
  <c r="CV261" i="1"/>
  <c r="CX261" i="1"/>
  <c r="W261" i="1" s="1"/>
  <c r="CZ261" i="1"/>
  <c r="GL261" i="1"/>
  <c r="GN261" i="1"/>
  <c r="GP261" i="1"/>
  <c r="GV261" i="1"/>
  <c r="GX261" i="1"/>
  <c r="HC261" i="1"/>
  <c r="I262" i="1"/>
  <c r="R262" i="1" s="1"/>
  <c r="K262" i="1"/>
  <c r="P262" i="1"/>
  <c r="S262" i="1"/>
  <c r="AC262" i="1"/>
  <c r="AD262" i="1"/>
  <c r="AB262" i="1" s="1"/>
  <c r="AE262" i="1"/>
  <c r="Q262" i="1" s="1"/>
  <c r="AF262" i="1"/>
  <c r="AG262" i="1"/>
  <c r="AH262" i="1"/>
  <c r="AI262" i="1"/>
  <c r="CW262" i="1" s="1"/>
  <c r="V262" i="1" s="1"/>
  <c r="AJ262" i="1"/>
  <c r="CQ262" i="1"/>
  <c r="CS262" i="1"/>
  <c r="CT262" i="1"/>
  <c r="CU262" i="1"/>
  <c r="T262" i="1" s="1"/>
  <c r="CV262" i="1"/>
  <c r="U262" i="1" s="1"/>
  <c r="CX262" i="1"/>
  <c r="W262" i="1" s="1"/>
  <c r="GL262" i="1"/>
  <c r="GN262" i="1"/>
  <c r="GP262" i="1"/>
  <c r="GV262" i="1"/>
  <c r="GX262" i="1"/>
  <c r="HC262" i="1"/>
  <c r="I263" i="1"/>
  <c r="Q263" i="1" s="1"/>
  <c r="K263" i="1"/>
  <c r="P263" i="1"/>
  <c r="R263" i="1"/>
  <c r="W263" i="1"/>
  <c r="AB263" i="1"/>
  <c r="AC263" i="1"/>
  <c r="AD263" i="1"/>
  <c r="AE263" i="1"/>
  <c r="AF263" i="1"/>
  <c r="CT263" i="1" s="1"/>
  <c r="AG263" i="1"/>
  <c r="CU263" i="1" s="1"/>
  <c r="T263" i="1" s="1"/>
  <c r="AH263" i="1"/>
  <c r="CV263" i="1" s="1"/>
  <c r="U263" i="1" s="1"/>
  <c r="AI263" i="1"/>
  <c r="AJ263" i="1"/>
  <c r="CQ263" i="1"/>
  <c r="CR263" i="1"/>
  <c r="CS263" i="1"/>
  <c r="CW263" i="1"/>
  <c r="V263" i="1" s="1"/>
  <c r="CX263" i="1"/>
  <c r="GL263" i="1"/>
  <c r="GN263" i="1"/>
  <c r="GP263" i="1"/>
  <c r="GV263" i="1"/>
  <c r="HC263" i="1" s="1"/>
  <c r="GX263" i="1" s="1"/>
  <c r="R264" i="1"/>
  <c r="T264" i="1"/>
  <c r="W264" i="1"/>
  <c r="AC264" i="1"/>
  <c r="CQ264" i="1" s="1"/>
  <c r="AD264" i="1"/>
  <c r="AE264" i="1"/>
  <c r="CR264" i="1" s="1"/>
  <c r="AF264" i="1"/>
  <c r="S264" i="1" s="1"/>
  <c r="AG264" i="1"/>
  <c r="AH264" i="1"/>
  <c r="CV264" i="1" s="1"/>
  <c r="U264" i="1" s="1"/>
  <c r="AI264" i="1"/>
  <c r="AJ264" i="1"/>
  <c r="CT264" i="1"/>
  <c r="CU264" i="1"/>
  <c r="CW264" i="1"/>
  <c r="V264" i="1" s="1"/>
  <c r="CX264" i="1"/>
  <c r="CY264" i="1"/>
  <c r="GL264" i="1"/>
  <c r="GN264" i="1"/>
  <c r="GP264" i="1"/>
  <c r="GV264" i="1"/>
  <c r="HC264" i="1" s="1"/>
  <c r="GX264" i="1" s="1"/>
  <c r="Q265" i="1"/>
  <c r="T265" i="1"/>
  <c r="AC265" i="1"/>
  <c r="AE265" i="1"/>
  <c r="AF265" i="1"/>
  <c r="S265" i="1" s="1"/>
  <c r="AG265" i="1"/>
  <c r="AH265" i="1"/>
  <c r="AI265" i="1"/>
  <c r="AJ265" i="1"/>
  <c r="CX265" i="1" s="1"/>
  <c r="W265" i="1" s="1"/>
  <c r="CQ265" i="1"/>
  <c r="CT265" i="1"/>
  <c r="CU265" i="1"/>
  <c r="CV265" i="1"/>
  <c r="U265" i="1" s="1"/>
  <c r="CW265" i="1"/>
  <c r="V265" i="1" s="1"/>
  <c r="GL265" i="1"/>
  <c r="GN265" i="1"/>
  <c r="GP265" i="1"/>
  <c r="GV265" i="1"/>
  <c r="HC265" i="1"/>
  <c r="GX265" i="1" s="1"/>
  <c r="B267" i="1"/>
  <c r="B212" i="1" s="1"/>
  <c r="C267" i="1"/>
  <c r="C212" i="1" s="1"/>
  <c r="D267" i="1"/>
  <c r="D212" i="1" s="1"/>
  <c r="F267" i="1"/>
  <c r="F212" i="1" s="1"/>
  <c r="G267" i="1"/>
  <c r="G212" i="1" s="1"/>
  <c r="BD267" i="1"/>
  <c r="BD212" i="1" s="1"/>
  <c r="BX267" i="1"/>
  <c r="BX212" i="1" s="1"/>
  <c r="BY267" i="1"/>
  <c r="BY212" i="1" s="1"/>
  <c r="CB267" i="1"/>
  <c r="CK267" i="1"/>
  <c r="CK212" i="1" s="1"/>
  <c r="CL267" i="1"/>
  <c r="CL212" i="1" s="1"/>
  <c r="CM267" i="1"/>
  <c r="CM212" i="1" s="1"/>
  <c r="EG267" i="1"/>
  <c r="EG212" i="1" s="1"/>
  <c r="EI267" i="1"/>
  <c r="EU267" i="1"/>
  <c r="EV267" i="1"/>
  <c r="EV212" i="1" s="1"/>
  <c r="FP267" i="1"/>
  <c r="FP212" i="1" s="1"/>
  <c r="FQ267" i="1"/>
  <c r="GC267" i="1"/>
  <c r="GD267" i="1"/>
  <c r="GD212" i="1" s="1"/>
  <c r="GE267" i="1"/>
  <c r="GE212" i="1" s="1"/>
  <c r="D297" i="1"/>
  <c r="C299" i="1"/>
  <c r="D299" i="1"/>
  <c r="E299" i="1"/>
  <c r="F299" i="1"/>
  <c r="Z299" i="1"/>
  <c r="AA299" i="1"/>
  <c r="AM299" i="1"/>
  <c r="AN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CK299" i="1"/>
  <c r="CN299" i="1"/>
  <c r="CO299" i="1"/>
  <c r="CP299" i="1"/>
  <c r="CQ299" i="1"/>
  <c r="CR299" i="1"/>
  <c r="CS299" i="1"/>
  <c r="CT299" i="1"/>
  <c r="CU299" i="1"/>
  <c r="CV299" i="1"/>
  <c r="CW299" i="1"/>
  <c r="CX299" i="1"/>
  <c r="CY299" i="1"/>
  <c r="CZ299" i="1"/>
  <c r="DA299" i="1"/>
  <c r="DB299" i="1"/>
  <c r="DC299" i="1"/>
  <c r="DD299" i="1"/>
  <c r="DE299" i="1"/>
  <c r="DF299" i="1"/>
  <c r="DR299" i="1"/>
  <c r="DS299" i="1"/>
  <c r="DV299" i="1"/>
  <c r="EE299" i="1"/>
  <c r="EF299" i="1"/>
  <c r="ET299" i="1"/>
  <c r="EV299" i="1"/>
  <c r="EW299" i="1"/>
  <c r="EX299" i="1"/>
  <c r="EY299" i="1"/>
  <c r="EZ299" i="1"/>
  <c r="FA299" i="1"/>
  <c r="FB299" i="1"/>
  <c r="FC299" i="1"/>
  <c r="FD299" i="1"/>
  <c r="FE299" i="1"/>
  <c r="FF299" i="1"/>
  <c r="FG299" i="1"/>
  <c r="FH299" i="1"/>
  <c r="FI299" i="1"/>
  <c r="FJ299" i="1"/>
  <c r="FK299" i="1"/>
  <c r="FL299" i="1"/>
  <c r="FM299" i="1"/>
  <c r="FN299" i="1"/>
  <c r="FO299" i="1"/>
  <c r="FP299" i="1"/>
  <c r="GC299" i="1"/>
  <c r="GD299" i="1"/>
  <c r="GF299" i="1"/>
  <c r="GG299" i="1"/>
  <c r="GH299" i="1"/>
  <c r="GI299" i="1"/>
  <c r="GJ299" i="1"/>
  <c r="GK299" i="1"/>
  <c r="GL299" i="1"/>
  <c r="GM299" i="1"/>
  <c r="GN299" i="1"/>
  <c r="GO299" i="1"/>
  <c r="GP299" i="1"/>
  <c r="GQ299" i="1"/>
  <c r="GR299" i="1"/>
  <c r="GS299" i="1"/>
  <c r="GT299" i="1"/>
  <c r="GU299" i="1"/>
  <c r="GV299" i="1"/>
  <c r="GW299" i="1"/>
  <c r="GX299" i="1"/>
  <c r="R301" i="1"/>
  <c r="T301" i="1"/>
  <c r="W301" i="1"/>
  <c r="AJ304" i="1" s="1"/>
  <c r="AC301" i="1"/>
  <c r="AD301" i="1"/>
  <c r="AE301" i="1"/>
  <c r="CR301" i="1" s="1"/>
  <c r="AF301" i="1"/>
  <c r="S301" i="1" s="1"/>
  <c r="AG301" i="1"/>
  <c r="AH301" i="1"/>
  <c r="CV301" i="1" s="1"/>
  <c r="U301" i="1" s="1"/>
  <c r="AH304" i="1" s="1"/>
  <c r="AI301" i="1"/>
  <c r="AJ301" i="1"/>
  <c r="CU301" i="1"/>
  <c r="CW301" i="1"/>
  <c r="V301" i="1" s="1"/>
  <c r="AI304" i="1" s="1"/>
  <c r="AI299" i="1" s="1"/>
  <c r="CX301" i="1"/>
  <c r="CY301" i="1"/>
  <c r="GL301" i="1"/>
  <c r="GN301" i="1"/>
  <c r="CB304" i="1" s="1"/>
  <c r="CB299" i="1" s="1"/>
  <c r="GO301" i="1"/>
  <c r="GP301" i="1"/>
  <c r="CD304" i="1" s="1"/>
  <c r="CD299" i="1" s="1"/>
  <c r="GV301" i="1"/>
  <c r="HC301" i="1"/>
  <c r="GX301" i="1" s="1"/>
  <c r="P302" i="1"/>
  <c r="S302" i="1"/>
  <c r="W302" i="1"/>
  <c r="EB304" i="1" s="1"/>
  <c r="EB299" i="1" s="1"/>
  <c r="AC302" i="1"/>
  <c r="AD302" i="1"/>
  <c r="AB302" i="1" s="1"/>
  <c r="AE302" i="1"/>
  <c r="Q302" i="1" s="1"/>
  <c r="AF302" i="1"/>
  <c r="AG302" i="1"/>
  <c r="CU302" i="1" s="1"/>
  <c r="T302" i="1" s="1"/>
  <c r="DY304" i="1" s="1"/>
  <c r="AH302" i="1"/>
  <c r="AI302" i="1"/>
  <c r="CW302" i="1" s="1"/>
  <c r="V302" i="1" s="1"/>
  <c r="EA304" i="1" s="1"/>
  <c r="AJ302" i="1"/>
  <c r="CQ302" i="1"/>
  <c r="CS302" i="1"/>
  <c r="CT302" i="1"/>
  <c r="CV302" i="1"/>
  <c r="U302" i="1" s="1"/>
  <c r="CX302" i="1"/>
  <c r="GL302" i="1"/>
  <c r="FR304" i="1" s="1"/>
  <c r="GN302" i="1"/>
  <c r="GO302" i="1"/>
  <c r="FU304" i="1" s="1"/>
  <c r="GP302" i="1"/>
  <c r="GV302" i="1"/>
  <c r="HC302" i="1" s="1"/>
  <c r="GX302" i="1" s="1"/>
  <c r="GB304" i="1" s="1"/>
  <c r="GB299" i="1" s="1"/>
  <c r="B304" i="1"/>
  <c r="B299" i="1" s="1"/>
  <c r="C304" i="1"/>
  <c r="D304" i="1"/>
  <c r="F304" i="1"/>
  <c r="G304" i="1"/>
  <c r="G299" i="1" s="1"/>
  <c r="V304" i="1"/>
  <c r="AE304" i="1"/>
  <c r="AG304" i="1"/>
  <c r="AS304" i="1"/>
  <c r="AU304" i="1"/>
  <c r="F323" i="1" s="1"/>
  <c r="BB304" i="1"/>
  <c r="BX304" i="1"/>
  <c r="BZ304" i="1"/>
  <c r="BZ299" i="1" s="1"/>
  <c r="CC304" i="1"/>
  <c r="CJ304" i="1"/>
  <c r="CK304" i="1"/>
  <c r="CL304" i="1"/>
  <c r="CL299" i="1" s="1"/>
  <c r="CM304" i="1"/>
  <c r="BD304" i="1" s="1"/>
  <c r="F329" i="1" s="1"/>
  <c r="DV304" i="1"/>
  <c r="DI304" i="1" s="1"/>
  <c r="DZ304" i="1"/>
  <c r="DZ299" i="1" s="1"/>
  <c r="EG304" i="1"/>
  <c r="ES304" i="1"/>
  <c r="ET304" i="1"/>
  <c r="EU304" i="1"/>
  <c r="EU299" i="1" s="1"/>
  <c r="EV304" i="1"/>
  <c r="EV334" i="1" s="1"/>
  <c r="FP304" i="1"/>
  <c r="FT304" i="1"/>
  <c r="EK304" i="1" s="1"/>
  <c r="EK299" i="1" s="1"/>
  <c r="FV304" i="1"/>
  <c r="GC304" i="1"/>
  <c r="GD304" i="1"/>
  <c r="GE304" i="1"/>
  <c r="GE299" i="1" s="1"/>
  <c r="P317" i="1"/>
  <c r="P320" i="1"/>
  <c r="P329" i="1"/>
  <c r="B334" i="1"/>
  <c r="B22" i="1" s="1"/>
  <c r="C334" i="1"/>
  <c r="C22" i="1" s="1"/>
  <c r="D334" i="1"/>
  <c r="D22" i="1" s="1"/>
  <c r="F334" i="1"/>
  <c r="F22" i="1" s="1"/>
  <c r="G334" i="1"/>
  <c r="G22" i="1" s="1"/>
  <c r="B364" i="1"/>
  <c r="B18" i="1" s="1"/>
  <c r="C364" i="1"/>
  <c r="C18" i="1" s="1"/>
  <c r="D364" i="1"/>
  <c r="D18" i="1" s="1"/>
  <c r="F364" i="1"/>
  <c r="F18" i="1" s="1"/>
  <c r="G364" i="1"/>
  <c r="G18" i="1" s="1"/>
  <c r="F12" i="6"/>
  <c r="G12" i="6"/>
  <c r="H241" i="7" l="1"/>
  <c r="J223" i="7"/>
  <c r="O271" i="7"/>
  <c r="J201" i="7"/>
  <c r="P108" i="7"/>
  <c r="P120" i="7"/>
  <c r="H425" i="7"/>
  <c r="O165" i="7"/>
  <c r="O223" i="7"/>
  <c r="J153" i="7"/>
  <c r="P190" i="7"/>
  <c r="O367" i="7"/>
  <c r="H79" i="7"/>
  <c r="P58" i="7"/>
  <c r="J97" i="7"/>
  <c r="O155" i="7"/>
  <c r="P203" i="7"/>
  <c r="P352" i="7"/>
  <c r="J439" i="7"/>
  <c r="J350" i="7"/>
  <c r="P48" i="7"/>
  <c r="H565" i="7"/>
  <c r="O323" i="7"/>
  <c r="J239" i="7"/>
  <c r="P596" i="7"/>
  <c r="J492" i="7"/>
  <c r="O585" i="7"/>
  <c r="J165" i="7"/>
  <c r="J221" i="7"/>
  <c r="J281" i="7"/>
  <c r="O336" i="7"/>
  <c r="H365" i="7"/>
  <c r="J542" i="7"/>
  <c r="J99" i="7"/>
  <c r="H439" i="7"/>
  <c r="J529" i="7"/>
  <c r="H585" i="7"/>
  <c r="O596" i="7"/>
  <c r="H271" i="7"/>
  <c r="J382" i="7"/>
  <c r="O256" i="7"/>
  <c r="P79" i="7"/>
  <c r="J129" i="7"/>
  <c r="P142" i="7"/>
  <c r="P223" i="7"/>
  <c r="P283" i="7"/>
  <c r="H323" i="7"/>
  <c r="P382" i="7"/>
  <c r="P414" i="7"/>
  <c r="P439" i="7"/>
  <c r="P542" i="7"/>
  <c r="P323" i="7"/>
  <c r="P470" i="7"/>
  <c r="H490" i="7"/>
  <c r="J567" i="7"/>
  <c r="J334" i="7"/>
  <c r="H513" i="7"/>
  <c r="O515" i="7"/>
  <c r="O48" i="7"/>
  <c r="O90" i="7"/>
  <c r="H254" i="7"/>
  <c r="J256" i="7"/>
  <c r="O456" i="7"/>
  <c r="H515" i="7"/>
  <c r="O68" i="7"/>
  <c r="H97" i="7"/>
  <c r="O108" i="7"/>
  <c r="P155" i="7"/>
  <c r="O213" i="7"/>
  <c r="P425" i="7"/>
  <c r="P567" i="7"/>
  <c r="J46" i="7"/>
  <c r="P90" i="7"/>
  <c r="O283" i="7"/>
  <c r="O352" i="7"/>
  <c r="H437" i="7"/>
  <c r="P456" i="7"/>
  <c r="P515" i="7"/>
  <c r="O542" i="7"/>
  <c r="H596" i="7"/>
  <c r="H594" i="7"/>
  <c r="P68" i="7"/>
  <c r="O178" i="7"/>
  <c r="J213" i="7"/>
  <c r="H310" i="7"/>
  <c r="J108" i="7"/>
  <c r="P271" i="7"/>
  <c r="J367" i="7"/>
  <c r="H529" i="7"/>
  <c r="H527" i="7"/>
  <c r="P178" i="7"/>
  <c r="O190" i="7"/>
  <c r="H213" i="7"/>
  <c r="P310" i="7"/>
  <c r="H77" i="7"/>
  <c r="O131" i="7"/>
  <c r="O142" i="7"/>
  <c r="H221" i="7"/>
  <c r="P241" i="7"/>
  <c r="J336" i="7"/>
  <c r="O382" i="7"/>
  <c r="O414" i="7"/>
  <c r="J515" i="7"/>
  <c r="O492" i="7"/>
  <c r="O529" i="7"/>
  <c r="P585" i="7"/>
  <c r="H129" i="7"/>
  <c r="H468" i="7"/>
  <c r="O58" i="7"/>
  <c r="O99" i="7"/>
  <c r="H106" i="7"/>
  <c r="O120" i="7"/>
  <c r="O203" i="7"/>
  <c r="P256" i="7"/>
  <c r="J490" i="7"/>
  <c r="P529" i="7"/>
  <c r="J131" i="7"/>
  <c r="J163" i="7"/>
  <c r="J211" i="7"/>
  <c r="J254" i="7"/>
  <c r="O310" i="7"/>
  <c r="J380" i="7"/>
  <c r="J48" i="7"/>
  <c r="J56" i="7"/>
  <c r="O79" i="7"/>
  <c r="J88" i="7"/>
  <c r="P99" i="7"/>
  <c r="H108" i="7"/>
  <c r="P131" i="7"/>
  <c r="J140" i="7"/>
  <c r="J176" i="7"/>
  <c r="J188" i="7"/>
  <c r="O241" i="7"/>
  <c r="J283" i="7"/>
  <c r="J321" i="7"/>
  <c r="H334" i="7"/>
  <c r="P367" i="7"/>
  <c r="O439" i="7"/>
  <c r="H470" i="7"/>
  <c r="P492" i="7"/>
  <c r="H540" i="7"/>
  <c r="H567" i="7"/>
  <c r="J603" i="7"/>
  <c r="O470" i="7"/>
  <c r="H46" i="7"/>
  <c r="J58" i="7"/>
  <c r="J66" i="7"/>
  <c r="J90" i="7"/>
  <c r="J118" i="7"/>
  <c r="J142" i="7"/>
  <c r="P165" i="7"/>
  <c r="J178" i="7"/>
  <c r="J190" i="7"/>
  <c r="P213" i="7"/>
  <c r="J269" i="7"/>
  <c r="H281" i="7"/>
  <c r="J289" i="7"/>
  <c r="J295" i="7"/>
  <c r="J313" i="7"/>
  <c r="J323" i="7"/>
  <c r="H336" i="7"/>
  <c r="J412" i="7"/>
  <c r="J423" i="7"/>
  <c r="H542" i="7"/>
  <c r="J612" i="7"/>
  <c r="H99" i="7"/>
  <c r="H131" i="7"/>
  <c r="J155" i="7"/>
  <c r="H163" i="7"/>
  <c r="J203" i="7"/>
  <c r="H211" i="7"/>
  <c r="H223" i="7"/>
  <c r="H367" i="7"/>
  <c r="H380" i="7"/>
  <c r="J454" i="7"/>
  <c r="H492" i="7"/>
  <c r="J500" i="7"/>
  <c r="O567" i="7"/>
  <c r="H48" i="7"/>
  <c r="H56" i="7"/>
  <c r="J68" i="7"/>
  <c r="H88" i="7"/>
  <c r="J120" i="7"/>
  <c r="H140" i="7"/>
  <c r="H176" i="7"/>
  <c r="H188" i="7"/>
  <c r="J271" i="7"/>
  <c r="H283" i="7"/>
  <c r="H289" i="7"/>
  <c r="H295" i="7"/>
  <c r="J308" i="7"/>
  <c r="H313" i="7"/>
  <c r="H321" i="7"/>
  <c r="J414" i="7"/>
  <c r="J425" i="7"/>
  <c r="J513" i="7"/>
  <c r="J583" i="7"/>
  <c r="H612" i="7"/>
  <c r="J77" i="7"/>
  <c r="H153" i="7"/>
  <c r="H165" i="7"/>
  <c r="H201" i="7"/>
  <c r="H244" i="7"/>
  <c r="H256" i="7"/>
  <c r="J352" i="7"/>
  <c r="H382" i="7"/>
  <c r="H388" i="7"/>
  <c r="J437" i="7"/>
  <c r="J456" i="7"/>
  <c r="H500" i="7"/>
  <c r="H58" i="7"/>
  <c r="H66" i="7"/>
  <c r="H90" i="7"/>
  <c r="J106" i="7"/>
  <c r="H118" i="7"/>
  <c r="H142" i="7"/>
  <c r="H178" i="7"/>
  <c r="H190" i="7"/>
  <c r="H269" i="7"/>
  <c r="J310" i="7"/>
  <c r="H412" i="7"/>
  <c r="H423" i="7"/>
  <c r="J468" i="7"/>
  <c r="J565" i="7"/>
  <c r="J585" i="7"/>
  <c r="J79" i="7"/>
  <c r="H155" i="7"/>
  <c r="H203" i="7"/>
  <c r="J241" i="7"/>
  <c r="H350" i="7"/>
  <c r="H454" i="7"/>
  <c r="J527" i="7"/>
  <c r="J546" i="7"/>
  <c r="H571" i="7"/>
  <c r="J594" i="7"/>
  <c r="H68" i="7"/>
  <c r="H120" i="7"/>
  <c r="H308" i="7"/>
  <c r="H414" i="7"/>
  <c r="J470" i="7"/>
  <c r="J496" i="7"/>
  <c r="J540" i="7"/>
  <c r="H583" i="7"/>
  <c r="J259" i="7"/>
  <c r="H352" i="7"/>
  <c r="H370" i="7"/>
  <c r="J385" i="7"/>
  <c r="J391" i="7"/>
  <c r="J397" i="7"/>
  <c r="H456" i="7"/>
  <c r="J596" i="7"/>
  <c r="EV22" i="1"/>
  <c r="EV364" i="1"/>
  <c r="P359" i="1"/>
  <c r="DN304" i="1"/>
  <c r="EA299" i="1"/>
  <c r="DY299" i="1"/>
  <c r="DL304" i="1"/>
  <c r="AJ299" i="1"/>
  <c r="W304" i="1"/>
  <c r="CG304" i="1"/>
  <c r="P258" i="1"/>
  <c r="CP258" i="1" s="1"/>
  <c r="O258" i="1" s="1"/>
  <c r="CQ258" i="1"/>
  <c r="AB258" i="1"/>
  <c r="P321" i="1"/>
  <c r="P316" i="1"/>
  <c r="DI299" i="1"/>
  <c r="CC299" i="1"/>
  <c r="AT304" i="1"/>
  <c r="AE299" i="1"/>
  <c r="R304" i="1"/>
  <c r="FU299" i="1"/>
  <c r="EL304" i="1"/>
  <c r="AH299" i="1"/>
  <c r="U304" i="1"/>
  <c r="Q228" i="1"/>
  <c r="P228" i="1"/>
  <c r="R228" i="1"/>
  <c r="U228" i="1"/>
  <c r="GX228" i="1"/>
  <c r="CY262" i="1"/>
  <c r="CZ262" i="1"/>
  <c r="X262" i="1"/>
  <c r="Y262" i="1"/>
  <c r="CX299" i="3"/>
  <c r="CX300" i="3"/>
  <c r="CU293" i="3"/>
  <c r="CX302" i="3"/>
  <c r="CW295" i="3"/>
  <c r="CX303" i="3"/>
  <c r="CX296" i="3"/>
  <c r="CX293" i="3"/>
  <c r="P241" i="1"/>
  <c r="Q241" i="1"/>
  <c r="R241" i="1"/>
  <c r="T241" i="1"/>
  <c r="I243" i="1"/>
  <c r="S243" i="1" s="1"/>
  <c r="BZ212" i="1"/>
  <c r="AQ267" i="1"/>
  <c r="CI267" i="1"/>
  <c r="AO304" i="1"/>
  <c r="BX299" i="1"/>
  <c r="V299" i="1"/>
  <c r="F327" i="1"/>
  <c r="GC212" i="1"/>
  <c r="ET267" i="1"/>
  <c r="R265" i="1"/>
  <c r="CR265" i="1"/>
  <c r="CS265" i="1"/>
  <c r="AD265" i="1"/>
  <c r="CP262" i="1"/>
  <c r="O262" i="1" s="1"/>
  <c r="P245" i="1"/>
  <c r="CQ245" i="1"/>
  <c r="AB245" i="1"/>
  <c r="CZ265" i="1"/>
  <c r="X265" i="1"/>
  <c r="Y265" i="1"/>
  <c r="DO304" i="1"/>
  <c r="FY304" i="1"/>
  <c r="EI304" i="1"/>
  <c r="CZ301" i="1"/>
  <c r="X301" i="1"/>
  <c r="AK304" i="1" s="1"/>
  <c r="Y301" i="1"/>
  <c r="AL304" i="1" s="1"/>
  <c r="AF304" i="1"/>
  <c r="ES299" i="1"/>
  <c r="P324" i="1"/>
  <c r="DM304" i="1"/>
  <c r="BC304" i="1"/>
  <c r="CY265" i="1"/>
  <c r="AB265" i="1"/>
  <c r="CY253" i="1"/>
  <c r="CZ253" i="1"/>
  <c r="X253" i="1"/>
  <c r="Y253" i="1"/>
  <c r="W243" i="1"/>
  <c r="W241" i="1"/>
  <c r="F317" i="1"/>
  <c r="BB299" i="1"/>
  <c r="GA267" i="1"/>
  <c r="FQ212" i="1"/>
  <c r="EH267" i="1"/>
  <c r="V241" i="1"/>
  <c r="FR212" i="1"/>
  <c r="FY267" i="1"/>
  <c r="FV267" i="1"/>
  <c r="GX243" i="1"/>
  <c r="U241" i="1"/>
  <c r="BD299" i="1"/>
  <c r="GX241" i="1"/>
  <c r="CD267" i="1"/>
  <c r="FT212" i="1"/>
  <c r="EK267" i="1"/>
  <c r="CB212" i="1"/>
  <c r="AS267" i="1"/>
  <c r="T242" i="1"/>
  <c r="CQ301" i="1"/>
  <c r="AB301" i="1"/>
  <c r="P301" i="1"/>
  <c r="EU212" i="1"/>
  <c r="P283" i="1"/>
  <c r="FV299" i="1"/>
  <c r="EM304" i="1"/>
  <c r="P308" i="1"/>
  <c r="EG299" i="1"/>
  <c r="AQ304" i="1"/>
  <c r="CY302" i="1"/>
  <c r="CZ302" i="1"/>
  <c r="DX304" i="1"/>
  <c r="X302" i="1"/>
  <c r="EC304" i="1" s="1"/>
  <c r="Y302" i="1"/>
  <c r="ED304" i="1" s="1"/>
  <c r="CT301" i="1"/>
  <c r="AU299" i="1"/>
  <c r="CY258" i="1"/>
  <c r="CZ258" i="1"/>
  <c r="X258" i="1"/>
  <c r="Y258" i="1"/>
  <c r="CR243" i="1"/>
  <c r="CS243" i="1"/>
  <c r="AD243" i="1"/>
  <c r="AB243" i="1" s="1"/>
  <c r="CP260" i="1"/>
  <c r="O260" i="1" s="1"/>
  <c r="DU304" i="1"/>
  <c r="FR302" i="1"/>
  <c r="FQ304" i="1" s="1"/>
  <c r="FT299" i="1"/>
  <c r="EI212" i="1"/>
  <c r="P277" i="1"/>
  <c r="CZ264" i="1"/>
  <c r="X264" i="1"/>
  <c r="Y264" i="1"/>
  <c r="CY257" i="1"/>
  <c r="CZ257" i="1"/>
  <c r="X257" i="1"/>
  <c r="Y257" i="1"/>
  <c r="CY249" i="1"/>
  <c r="CZ249" i="1"/>
  <c r="X249" i="1"/>
  <c r="Y249" i="1"/>
  <c r="AS299" i="1"/>
  <c r="F321" i="1"/>
  <c r="BA304" i="1"/>
  <c r="CJ299" i="1"/>
  <c r="CP302" i="1"/>
  <c r="O302" i="1" s="1"/>
  <c r="FR299" i="1"/>
  <c r="CY247" i="1"/>
  <c r="CZ247" i="1"/>
  <c r="X247" i="1"/>
  <c r="Y247" i="1"/>
  <c r="V243" i="1"/>
  <c r="AG299" i="1"/>
  <c r="T304" i="1"/>
  <c r="R247" i="1"/>
  <c r="CR247" i="1"/>
  <c r="CS247" i="1"/>
  <c r="AD247" i="1"/>
  <c r="AB247" i="1" s="1"/>
  <c r="CY245" i="1"/>
  <c r="CZ245" i="1"/>
  <c r="X245" i="1"/>
  <c r="Y245" i="1"/>
  <c r="CY234" i="1"/>
  <c r="Y234" i="1"/>
  <c r="X234" i="1"/>
  <c r="CZ234" i="1"/>
  <c r="X45" i="1"/>
  <c r="Y45" i="1"/>
  <c r="CY45" i="1"/>
  <c r="CZ45" i="1"/>
  <c r="EB63" i="1"/>
  <c r="CM299" i="1"/>
  <c r="P271" i="1"/>
  <c r="P265" i="1"/>
  <c r="CP265" i="1" s="1"/>
  <c r="O265" i="1" s="1"/>
  <c r="CY261" i="1"/>
  <c r="R257" i="1"/>
  <c r="CR256" i="1"/>
  <c r="CX344" i="3"/>
  <c r="CX346" i="3"/>
  <c r="CU339" i="3"/>
  <c r="CV339" i="3"/>
  <c r="CX339" i="3"/>
  <c r="CX340" i="3"/>
  <c r="CW341" i="3"/>
  <c r="CX341" i="3"/>
  <c r="CY255" i="1"/>
  <c r="CR254" i="1"/>
  <c r="R253" i="1"/>
  <c r="CR252" i="1"/>
  <c r="CU323" i="3"/>
  <c r="CX329" i="3"/>
  <c r="CX330" i="3"/>
  <c r="CX324" i="3"/>
  <c r="CX328" i="3"/>
  <c r="CX326" i="3"/>
  <c r="CY251" i="1"/>
  <c r="CR250" i="1"/>
  <c r="R249" i="1"/>
  <c r="P247" i="1"/>
  <c r="CP247" i="1" s="1"/>
  <c r="O247" i="1" s="1"/>
  <c r="GM247" i="1" s="1"/>
  <c r="GO247" i="1" s="1"/>
  <c r="P243" i="1"/>
  <c r="S236" i="1"/>
  <c r="CZ235" i="1"/>
  <c r="P235" i="1"/>
  <c r="CP235" i="1" s="1"/>
  <c r="O235" i="1" s="1"/>
  <c r="P234" i="1"/>
  <c r="FP95" i="1"/>
  <c r="FY180" i="1"/>
  <c r="EG180" i="1"/>
  <c r="Q257" i="1"/>
  <c r="Q253" i="1"/>
  <c r="Q249" i="1"/>
  <c r="CP249" i="1" s="1"/>
  <c r="O249" i="1" s="1"/>
  <c r="GM249" i="1" s="1"/>
  <c r="GO249" i="1" s="1"/>
  <c r="CW316" i="3"/>
  <c r="CX321" i="3"/>
  <c r="CX322" i="3"/>
  <c r="CU314" i="3"/>
  <c r="CX320" i="3"/>
  <c r="CV314" i="3"/>
  <c r="CX318" i="3"/>
  <c r="CX314" i="3"/>
  <c r="CX316" i="3"/>
  <c r="S240" i="1"/>
  <c r="CP240" i="1" s="1"/>
  <c r="O240" i="1" s="1"/>
  <c r="S239" i="1"/>
  <c r="Y238" i="1"/>
  <c r="CR230" i="1"/>
  <c r="CT228" i="1"/>
  <c r="S228" i="1"/>
  <c r="CR225" i="1"/>
  <c r="AH180" i="1"/>
  <c r="CR302" i="1"/>
  <c r="Q301" i="1"/>
  <c r="AD304" i="1" s="1"/>
  <c r="Q264" i="1"/>
  <c r="CR262" i="1"/>
  <c r="R261" i="1"/>
  <c r="CR260" i="1"/>
  <c r="Y260" i="1"/>
  <c r="CU355" i="3"/>
  <c r="CV355" i="3"/>
  <c r="CX355" i="3"/>
  <c r="AD257" i="1"/>
  <c r="AB257" i="1" s="1"/>
  <c r="P257" i="1"/>
  <c r="R255" i="1"/>
  <c r="AD253" i="1"/>
  <c r="AB253" i="1" s="1"/>
  <c r="P253" i="1"/>
  <c r="CP253" i="1" s="1"/>
  <c r="O253" i="1" s="1"/>
  <c r="GM253" i="1" s="1"/>
  <c r="GO253" i="1" s="1"/>
  <c r="R251" i="1"/>
  <c r="AD249" i="1"/>
  <c r="AB249" i="1" s="1"/>
  <c r="CZ248" i="1"/>
  <c r="S246" i="1"/>
  <c r="S244" i="1"/>
  <c r="CZ238" i="1"/>
  <c r="Q238" i="1"/>
  <c r="CP238" i="1" s="1"/>
  <c r="O238" i="1" s="1"/>
  <c r="CY237" i="1"/>
  <c r="CR235" i="1"/>
  <c r="R235" i="1"/>
  <c r="CY230" i="1"/>
  <c r="R225" i="1"/>
  <c r="Q225" i="1"/>
  <c r="S225" i="1"/>
  <c r="AJ180" i="1"/>
  <c r="P264" i="1"/>
  <c r="S263" i="1"/>
  <c r="Q261" i="1"/>
  <c r="CP261" i="1" s="1"/>
  <c r="O261" i="1" s="1"/>
  <c r="GM261" i="1" s="1"/>
  <c r="GO261" i="1" s="1"/>
  <c r="X260" i="1"/>
  <c r="S259" i="1"/>
  <c r="Q255" i="1"/>
  <c r="CP255" i="1" s="1"/>
  <c r="O255" i="1" s="1"/>
  <c r="GM255" i="1" s="1"/>
  <c r="GO255" i="1" s="1"/>
  <c r="Q251" i="1"/>
  <c r="CP251" i="1" s="1"/>
  <c r="O251" i="1" s="1"/>
  <c r="GM251" i="1" s="1"/>
  <c r="GO251" i="1" s="1"/>
  <c r="CY248" i="1"/>
  <c r="AD240" i="1"/>
  <c r="AB240" i="1" s="1"/>
  <c r="CY238" i="1"/>
  <c r="AD235" i="1"/>
  <c r="AD233" i="1"/>
  <c r="AB233" i="1" s="1"/>
  <c r="CY232" i="1"/>
  <c r="X232" i="1"/>
  <c r="Y232" i="1"/>
  <c r="Q230" i="1"/>
  <c r="CR222" i="1"/>
  <c r="CS222" i="1"/>
  <c r="Q222" i="1"/>
  <c r="R222" i="1"/>
  <c r="X222" i="1"/>
  <c r="AD222" i="1"/>
  <c r="CX291" i="3"/>
  <c r="CW282" i="3"/>
  <c r="CX292" i="3"/>
  <c r="CW283" i="3"/>
  <c r="CX285" i="3"/>
  <c r="CX286" i="3"/>
  <c r="CX289" i="3"/>
  <c r="CX283" i="3"/>
  <c r="CX288" i="3"/>
  <c r="CU281" i="3"/>
  <c r="CS236" i="1"/>
  <c r="R236" i="1"/>
  <c r="CP230" i="1"/>
  <c r="O230" i="1" s="1"/>
  <c r="GM230" i="1" s="1"/>
  <c r="GO230" i="1" s="1"/>
  <c r="CY224" i="1"/>
  <c r="CZ224" i="1"/>
  <c r="T220" i="1"/>
  <c r="CL95" i="1"/>
  <c r="BC180" i="1"/>
  <c r="X178" i="1"/>
  <c r="Y178" i="1"/>
  <c r="CY178" i="1"/>
  <c r="CZ178" i="1"/>
  <c r="Q246" i="1"/>
  <c r="Q244" i="1"/>
  <c r="CS301" i="1"/>
  <c r="BC267" i="1"/>
  <c r="CS264" i="1"/>
  <c r="AB264" i="1"/>
  <c r="Q259" i="1"/>
  <c r="CX352" i="3"/>
  <c r="CX354" i="3"/>
  <c r="CU347" i="3"/>
  <c r="CV347" i="3"/>
  <c r="CX347" i="3"/>
  <c r="CX348" i="3"/>
  <c r="CW349" i="3"/>
  <c r="CX349" i="3"/>
  <c r="CX336" i="3"/>
  <c r="CX338" i="3"/>
  <c r="CU331" i="3"/>
  <c r="CV331" i="3"/>
  <c r="CX331" i="3"/>
  <c r="CX332" i="3"/>
  <c r="CW333" i="3"/>
  <c r="CX333" i="3"/>
  <c r="R248" i="1"/>
  <c r="AD246" i="1"/>
  <c r="P246" i="1"/>
  <c r="AD244" i="1"/>
  <c r="P244" i="1"/>
  <c r="CP244" i="1" s="1"/>
  <c r="O244" i="1" s="1"/>
  <c r="S241" i="1"/>
  <c r="CS240" i="1"/>
  <c r="AD238" i="1"/>
  <c r="R238" i="1"/>
  <c r="AD236" i="1"/>
  <c r="AB235" i="1"/>
  <c r="CT234" i="1"/>
  <c r="AB234" i="1"/>
  <c r="AB231" i="1"/>
  <c r="W229" i="1"/>
  <c r="T228" i="1"/>
  <c r="CY222" i="1"/>
  <c r="CZ171" i="1"/>
  <c r="X171" i="1"/>
  <c r="Y171" i="1"/>
  <c r="CY171" i="1"/>
  <c r="U166" i="1"/>
  <c r="DZ180" i="1" s="1"/>
  <c r="P292" i="1"/>
  <c r="CG267" i="1"/>
  <c r="BB267" i="1"/>
  <c r="AP267" i="1"/>
  <c r="CS261" i="1"/>
  <c r="CZ260" i="1"/>
  <c r="P259" i="1"/>
  <c r="S256" i="1"/>
  <c r="CS255" i="1"/>
  <c r="S254" i="1"/>
  <c r="S252" i="1"/>
  <c r="CS251" i="1"/>
  <c r="S250" i="1"/>
  <c r="CS242" i="1"/>
  <c r="I242" i="1"/>
  <c r="W242" i="1" s="1"/>
  <c r="AB236" i="1"/>
  <c r="CS235" i="1"/>
  <c r="X235" i="1"/>
  <c r="CS233" i="1"/>
  <c r="R230" i="1"/>
  <c r="F292" i="1"/>
  <c r="AO267" i="1"/>
  <c r="CU356" i="3"/>
  <c r="CV356" i="3"/>
  <c r="CX356" i="3"/>
  <c r="CT259" i="1"/>
  <c r="R256" i="1"/>
  <c r="R252" i="1"/>
  <c r="AD248" i="1"/>
  <c r="AB248" i="1" s="1"/>
  <c r="P248" i="1"/>
  <c r="CP248" i="1" s="1"/>
  <c r="O248" i="1" s="1"/>
  <c r="GM248" i="1" s="1"/>
  <c r="GO248" i="1" s="1"/>
  <c r="CS246" i="1"/>
  <c r="AB246" i="1"/>
  <c r="CS244" i="1"/>
  <c r="AB244" i="1"/>
  <c r="CQ240" i="1"/>
  <c r="AB239" i="1"/>
  <c r="AB238" i="1"/>
  <c r="AB237" i="1"/>
  <c r="CQ231" i="1"/>
  <c r="GX229" i="1"/>
  <c r="AD227" i="1"/>
  <c r="AB227" i="1" s="1"/>
  <c r="Y224" i="1"/>
  <c r="CP222" i="1"/>
  <c r="O222" i="1" s="1"/>
  <c r="Q256" i="1"/>
  <c r="CP256" i="1" s="1"/>
  <c r="O256" i="1" s="1"/>
  <c r="Q252" i="1"/>
  <c r="CP252" i="1" s="1"/>
  <c r="O252" i="1" s="1"/>
  <c r="Q250" i="1"/>
  <c r="CP250" i="1" s="1"/>
  <c r="O250" i="1" s="1"/>
  <c r="CX308" i="3"/>
  <c r="CX310" i="3"/>
  <c r="CU305" i="3"/>
  <c r="CV305" i="3"/>
  <c r="CX311" i="3"/>
  <c r="CW306" i="3"/>
  <c r="CX312" i="3"/>
  <c r="CX306" i="3"/>
  <c r="V240" i="1"/>
  <c r="CS238" i="1"/>
  <c r="X238" i="1"/>
  <c r="CR236" i="1"/>
  <c r="X224" i="1"/>
  <c r="CQ220" i="1"/>
  <c r="AB220" i="1"/>
  <c r="S216" i="1"/>
  <c r="CD95" i="1"/>
  <c r="AU180" i="1"/>
  <c r="CY153" i="1"/>
  <c r="CZ153" i="1"/>
  <c r="X153" i="1"/>
  <c r="Y153" i="1"/>
  <c r="Q254" i="1"/>
  <c r="CP254" i="1" s="1"/>
  <c r="O254" i="1" s="1"/>
  <c r="R302" i="1"/>
  <c r="DW304" i="1" s="1"/>
  <c r="R260" i="1"/>
  <c r="Q245" i="1"/>
  <c r="X237" i="1"/>
  <c r="GM237" i="1" s="1"/>
  <c r="GO237" i="1" s="1"/>
  <c r="CQ236" i="1"/>
  <c r="S233" i="1"/>
  <c r="CP233" i="1" s="1"/>
  <c r="O233" i="1" s="1"/>
  <c r="Y231" i="1"/>
  <c r="CZ231" i="1"/>
  <c r="AD230" i="1"/>
  <c r="AB230" i="1" s="1"/>
  <c r="CT229" i="1"/>
  <c r="S229" i="1"/>
  <c r="CP229" i="1" s="1"/>
  <c r="O229" i="1" s="1"/>
  <c r="W228" i="1"/>
  <c r="AB226" i="1"/>
  <c r="P226" i="1"/>
  <c r="W225" i="1"/>
  <c r="AD225" i="1"/>
  <c r="AB225" i="1" s="1"/>
  <c r="T240" i="1"/>
  <c r="CQ232" i="1"/>
  <c r="P232" i="1"/>
  <c r="CR229" i="1"/>
  <c r="AD229" i="1"/>
  <c r="AB229" i="1" s="1"/>
  <c r="CP225" i="1"/>
  <c r="O225" i="1" s="1"/>
  <c r="CT224" i="1"/>
  <c r="Y219" i="1"/>
  <c r="S214" i="1"/>
  <c r="EV95" i="1"/>
  <c r="P205" i="1"/>
  <c r="CK95" i="1"/>
  <c r="BB180" i="1"/>
  <c r="CT175" i="1"/>
  <c r="S175" i="1"/>
  <c r="R172" i="1"/>
  <c r="S172" i="1"/>
  <c r="P169" i="1"/>
  <c r="CP169" i="1" s="1"/>
  <c r="O169" i="1" s="1"/>
  <c r="GM169" i="1" s="1"/>
  <c r="GN169" i="1" s="1"/>
  <c r="CT161" i="1"/>
  <c r="S161" i="1"/>
  <c r="R153" i="1"/>
  <c r="CR153" i="1"/>
  <c r="CS153" i="1"/>
  <c r="AD153" i="1"/>
  <c r="FR135" i="1"/>
  <c r="CT131" i="1"/>
  <c r="S131" i="1"/>
  <c r="CR121" i="1"/>
  <c r="CS121" i="1"/>
  <c r="R121" i="1"/>
  <c r="AD121" i="1"/>
  <c r="AB121" i="1" s="1"/>
  <c r="Q121" i="1"/>
  <c r="Q234" i="1"/>
  <c r="Q232" i="1"/>
  <c r="Y226" i="1"/>
  <c r="AD224" i="1"/>
  <c r="AD223" i="1"/>
  <c r="CU271" i="3"/>
  <c r="CV271" i="3"/>
  <c r="CX271" i="3"/>
  <c r="CX272" i="3"/>
  <c r="R223" i="1"/>
  <c r="I227" i="1"/>
  <c r="T227" i="1" s="1"/>
  <c r="S223" i="1"/>
  <c r="AB222" i="1"/>
  <c r="I220" i="1"/>
  <c r="U220" i="1" s="1"/>
  <c r="T218" i="1"/>
  <c r="CS217" i="1"/>
  <c r="I216" i="1"/>
  <c r="P216" i="1" s="1"/>
  <c r="R214" i="1"/>
  <c r="P176" i="1"/>
  <c r="CP176" i="1" s="1"/>
  <c r="O176" i="1" s="1"/>
  <c r="CR175" i="1"/>
  <c r="CS175" i="1"/>
  <c r="AD175" i="1"/>
  <c r="AB175" i="1" s="1"/>
  <c r="CS174" i="1"/>
  <c r="CQ169" i="1"/>
  <c r="CQ153" i="1"/>
  <c r="AB153" i="1"/>
  <c r="P153" i="1"/>
  <c r="X119" i="1"/>
  <c r="Y119" i="1"/>
  <c r="CY119" i="1"/>
  <c r="CZ119" i="1"/>
  <c r="CQ111" i="1"/>
  <c r="P111" i="1"/>
  <c r="X226" i="1"/>
  <c r="AB224" i="1"/>
  <c r="AB223" i="1"/>
  <c r="GX219" i="1"/>
  <c r="U217" i="1"/>
  <c r="V215" i="1"/>
  <c r="GD95" i="1"/>
  <c r="EU180" i="1"/>
  <c r="CQ178" i="1"/>
  <c r="P178" i="1"/>
  <c r="CP178" i="1" s="1"/>
  <c r="O178" i="1" s="1"/>
  <c r="GM178" i="1" s="1"/>
  <c r="GN178" i="1" s="1"/>
  <c r="CR174" i="1"/>
  <c r="S174" i="1"/>
  <c r="CP174" i="1" s="1"/>
  <c r="O174" i="1" s="1"/>
  <c r="AB173" i="1"/>
  <c r="S157" i="1"/>
  <c r="CT157" i="1"/>
  <c r="Q153" i="1"/>
  <c r="X149" i="1"/>
  <c r="Y149" i="1"/>
  <c r="CY149" i="1"/>
  <c r="CZ149" i="1"/>
  <c r="CS218" i="1"/>
  <c r="AD218" i="1"/>
  <c r="CY217" i="1"/>
  <c r="X217" i="1"/>
  <c r="Y217" i="1"/>
  <c r="CY215" i="1"/>
  <c r="CZ215" i="1"/>
  <c r="GC95" i="1"/>
  <c r="ET180" i="1"/>
  <c r="AB178" i="1"/>
  <c r="R174" i="1"/>
  <c r="FR149" i="1"/>
  <c r="CR133" i="1"/>
  <c r="CS133" i="1"/>
  <c r="Q133" i="1"/>
  <c r="R133" i="1"/>
  <c r="AD133" i="1"/>
  <c r="AB133" i="1" s="1"/>
  <c r="CJ180" i="1"/>
  <c r="AB218" i="1"/>
  <c r="CQ216" i="1"/>
  <c r="CX246" i="3"/>
  <c r="CX250" i="3"/>
  <c r="CX251" i="3"/>
  <c r="CU245" i="3"/>
  <c r="CX253" i="3"/>
  <c r="CV245" i="3"/>
  <c r="CX254" i="3"/>
  <c r="CX245" i="3"/>
  <c r="CW246" i="3"/>
  <c r="I218" i="1"/>
  <c r="W218" i="1" s="1"/>
  <c r="P214" i="1"/>
  <c r="CP214" i="1" s="1"/>
  <c r="O214" i="1" s="1"/>
  <c r="Y165" i="1"/>
  <c r="CR165" i="1"/>
  <c r="CS165" i="1"/>
  <c r="AD165" i="1"/>
  <c r="R165" i="1"/>
  <c r="CZ165" i="1"/>
  <c r="GM149" i="1"/>
  <c r="CZ139" i="1"/>
  <c r="X139" i="1"/>
  <c r="Y139" i="1"/>
  <c r="CY139" i="1"/>
  <c r="CY122" i="1"/>
  <c r="CZ122" i="1"/>
  <c r="Y122" i="1"/>
  <c r="X122" i="1"/>
  <c r="CT113" i="1"/>
  <c r="S113" i="1"/>
  <c r="CU275" i="3"/>
  <c r="CV275" i="3"/>
  <c r="CX275" i="3"/>
  <c r="CX276" i="3"/>
  <c r="CX277" i="3"/>
  <c r="CQ224" i="1"/>
  <c r="CQ223" i="1"/>
  <c r="R219" i="1"/>
  <c r="U218" i="1"/>
  <c r="P217" i="1"/>
  <c r="CP217" i="1" s="1"/>
  <c r="O217" i="1" s="1"/>
  <c r="AB216" i="1"/>
  <c r="CT178" i="1"/>
  <c r="Y177" i="1"/>
  <c r="FR174" i="1"/>
  <c r="U172" i="1"/>
  <c r="CQ171" i="1"/>
  <c r="P171" i="1"/>
  <c r="CP171" i="1" s="1"/>
  <c r="O171" i="1" s="1"/>
  <c r="GM171" i="1" s="1"/>
  <c r="GN171" i="1" s="1"/>
  <c r="AB157" i="1"/>
  <c r="FR147" i="1"/>
  <c r="CP147" i="1"/>
  <c r="O147" i="1" s="1"/>
  <c r="GM147" i="1" s="1"/>
  <c r="CP131" i="1"/>
  <c r="O131" i="1" s="1"/>
  <c r="FR131" i="1"/>
  <c r="CP126" i="1"/>
  <c r="O126" i="1" s="1"/>
  <c r="GM126" i="1" s="1"/>
  <c r="GO126" i="1" s="1"/>
  <c r="Q231" i="1"/>
  <c r="CP231" i="1" s="1"/>
  <c r="O231" i="1" s="1"/>
  <c r="GM231" i="1" s="1"/>
  <c r="GO231" i="1" s="1"/>
  <c r="BZ95" i="1"/>
  <c r="AQ180" i="1"/>
  <c r="T172" i="1"/>
  <c r="CY169" i="1"/>
  <c r="CZ169" i="1"/>
  <c r="Y169" i="1"/>
  <c r="CR159" i="1"/>
  <c r="CS159" i="1"/>
  <c r="AD159" i="1"/>
  <c r="AB159" i="1" s="1"/>
  <c r="R159" i="1"/>
  <c r="P158" i="1"/>
  <c r="S144" i="1"/>
  <c r="CT144" i="1"/>
  <c r="V225" i="1"/>
  <c r="T221" i="1"/>
  <c r="CR218" i="1"/>
  <c r="AB214" i="1"/>
  <c r="S173" i="1"/>
  <c r="W172" i="1"/>
  <c r="R169" i="1"/>
  <c r="CR169" i="1"/>
  <c r="CS169" i="1"/>
  <c r="CY167" i="1"/>
  <c r="CZ167" i="1"/>
  <c r="X167" i="1"/>
  <c r="S166" i="1"/>
  <c r="CT166" i="1"/>
  <c r="CY165" i="1"/>
  <c r="FV180" i="1"/>
  <c r="CZ226" i="1"/>
  <c r="CZ219" i="1"/>
  <c r="CQ218" i="1"/>
  <c r="CZ217" i="1"/>
  <c r="GX216" i="1"/>
  <c r="CV256" i="3"/>
  <c r="CW257" i="3"/>
  <c r="CX257" i="3"/>
  <c r="CX258" i="3"/>
  <c r="CX259" i="3"/>
  <c r="CX261" i="3"/>
  <c r="CX262" i="3"/>
  <c r="CU256" i="3"/>
  <c r="CX264" i="3"/>
  <c r="I221" i="1"/>
  <c r="W221" i="1" s="1"/>
  <c r="U214" i="1"/>
  <c r="AB176" i="1"/>
  <c r="CS172" i="1"/>
  <c r="CT171" i="1"/>
  <c r="X165" i="1"/>
  <c r="X163" i="1"/>
  <c r="Y163" i="1"/>
  <c r="CY163" i="1"/>
  <c r="AB160" i="1"/>
  <c r="CY159" i="1"/>
  <c r="CZ159" i="1"/>
  <c r="X159" i="1"/>
  <c r="GM159" i="1" s="1"/>
  <c r="GO159" i="1" s="1"/>
  <c r="Y159" i="1"/>
  <c r="CY155" i="1"/>
  <c r="CZ155" i="1"/>
  <c r="X155" i="1"/>
  <c r="Y155" i="1"/>
  <c r="FR143" i="1"/>
  <c r="GM129" i="1"/>
  <c r="GO129" i="1" s="1"/>
  <c r="R224" i="1"/>
  <c r="Q223" i="1"/>
  <c r="CS221" i="1"/>
  <c r="AD221" i="1"/>
  <c r="CY219" i="1"/>
  <c r="CS215" i="1"/>
  <c r="AD215" i="1"/>
  <c r="FR95" i="1"/>
  <c r="EI180" i="1"/>
  <c r="CY177" i="1"/>
  <c r="CZ177" i="1"/>
  <c r="CT168" i="1"/>
  <c r="S168" i="1"/>
  <c r="W166" i="1"/>
  <c r="EB180" i="1" s="1"/>
  <c r="Q165" i="1"/>
  <c r="Q158" i="1"/>
  <c r="R158" i="1"/>
  <c r="S158" i="1"/>
  <c r="R155" i="1"/>
  <c r="CR155" i="1"/>
  <c r="CS155" i="1"/>
  <c r="AD155" i="1"/>
  <c r="AB155" i="1" s="1"/>
  <c r="AD148" i="1"/>
  <c r="AB148" i="1" s="1"/>
  <c r="Q148" i="1"/>
  <c r="R148" i="1"/>
  <c r="CR148" i="1"/>
  <c r="CS148" i="1"/>
  <c r="CP138" i="1"/>
  <c r="O138" i="1" s="1"/>
  <c r="AI180" i="1"/>
  <c r="CU278" i="3"/>
  <c r="CX280" i="3"/>
  <c r="P227" i="1"/>
  <c r="CS226" i="1"/>
  <c r="R226" i="1"/>
  <c r="Q224" i="1"/>
  <c r="CP224" i="1" s="1"/>
  <c r="O224" i="1" s="1"/>
  <c r="GM224" i="1" s="1"/>
  <c r="GO224" i="1" s="1"/>
  <c r="P223" i="1"/>
  <c r="CZ222" i="1"/>
  <c r="Y222" i="1"/>
  <c r="AB221" i="1"/>
  <c r="P221" i="1"/>
  <c r="CQ219" i="1"/>
  <c r="P219" i="1"/>
  <c r="CP219" i="1" s="1"/>
  <c r="O219" i="1" s="1"/>
  <c r="GM219" i="1" s="1"/>
  <c r="GO219" i="1" s="1"/>
  <c r="AB215" i="1"/>
  <c r="P215" i="1"/>
  <c r="CP215" i="1" s="1"/>
  <c r="O215" i="1" s="1"/>
  <c r="GM215" i="1" s="1"/>
  <c r="GO215" i="1" s="1"/>
  <c r="CR214" i="1"/>
  <c r="CS176" i="1"/>
  <c r="W174" i="1"/>
  <c r="P172" i="1"/>
  <c r="CP172" i="1" s="1"/>
  <c r="O172" i="1" s="1"/>
  <c r="Y170" i="1"/>
  <c r="CY170" i="1"/>
  <c r="CZ170" i="1"/>
  <c r="X169" i="1"/>
  <c r="P167" i="1"/>
  <c r="CQ167" i="1"/>
  <c r="AB167" i="1"/>
  <c r="AB166" i="1"/>
  <c r="CP165" i="1"/>
  <c r="O165" i="1" s="1"/>
  <c r="CP163" i="1"/>
  <c r="O163" i="1" s="1"/>
  <c r="GM163" i="1" s="1"/>
  <c r="GN163" i="1" s="1"/>
  <c r="Q162" i="1"/>
  <c r="CP162" i="1" s="1"/>
  <c r="O162" i="1" s="1"/>
  <c r="R162" i="1"/>
  <c r="S162" i="1"/>
  <c r="CQ155" i="1"/>
  <c r="P155" i="1"/>
  <c r="CP155" i="1" s="1"/>
  <c r="O155" i="1" s="1"/>
  <c r="GM155" i="1" s="1"/>
  <c r="GN155" i="1" s="1"/>
  <c r="X152" i="1"/>
  <c r="Y152" i="1"/>
  <c r="CY152" i="1"/>
  <c r="CT135" i="1"/>
  <c r="S135" i="1"/>
  <c r="CX215" i="3"/>
  <c r="CX218" i="3"/>
  <c r="CX219" i="3"/>
  <c r="CX216" i="3"/>
  <c r="CW215" i="3"/>
  <c r="CU214" i="3"/>
  <c r="CW217" i="3"/>
  <c r="Q157" i="1"/>
  <c r="CP157" i="1" s="1"/>
  <c r="O157" i="1" s="1"/>
  <c r="X143" i="1"/>
  <c r="Y143" i="1"/>
  <c r="CR122" i="1"/>
  <c r="CS122" i="1"/>
  <c r="AD122" i="1"/>
  <c r="AB122" i="1" s="1"/>
  <c r="CQ117" i="1"/>
  <c r="AB117" i="1"/>
  <c r="EA26" i="1"/>
  <c r="DN63" i="1"/>
  <c r="CY46" i="1"/>
  <c r="CZ46" i="1"/>
  <c r="X46" i="1"/>
  <c r="Y46" i="1"/>
  <c r="Y176" i="1"/>
  <c r="CX239" i="3"/>
  <c r="CX242" i="3"/>
  <c r="CX243" i="3"/>
  <c r="CU239" i="3"/>
  <c r="CV239" i="3"/>
  <c r="CZ160" i="1"/>
  <c r="S156" i="1"/>
  <c r="S150" i="1"/>
  <c r="CR146" i="1"/>
  <c r="R146" i="1"/>
  <c r="FR144" i="1"/>
  <c r="CR144" i="1"/>
  <c r="CS144" i="1"/>
  <c r="CX180" i="3"/>
  <c r="CU179" i="3"/>
  <c r="CX182" i="3"/>
  <c r="CW180" i="3"/>
  <c r="X136" i="1"/>
  <c r="Y136" i="1"/>
  <c r="CY134" i="1"/>
  <c r="X134" i="1"/>
  <c r="GM134" i="1" s="1"/>
  <c r="GO134" i="1" s="1"/>
  <c r="Y134" i="1"/>
  <c r="CR131" i="1"/>
  <c r="CS131" i="1"/>
  <c r="CS129" i="1"/>
  <c r="Y118" i="1"/>
  <c r="CU267" i="3"/>
  <c r="CV267" i="3"/>
  <c r="CX267" i="3"/>
  <c r="CX268" i="3"/>
  <c r="CX269" i="3"/>
  <c r="X176" i="1"/>
  <c r="I166" i="1"/>
  <c r="T166" i="1" s="1"/>
  <c r="DY180" i="1" s="1"/>
  <c r="Q163" i="1"/>
  <c r="P161" i="1"/>
  <c r="CP161" i="1" s="1"/>
  <c r="O161" i="1" s="1"/>
  <c r="CY160" i="1"/>
  <c r="CU187" i="3"/>
  <c r="CW188" i="3"/>
  <c r="CW190" i="3"/>
  <c r="CX190" i="3"/>
  <c r="CX191" i="3"/>
  <c r="CX188" i="3"/>
  <c r="CV187" i="3"/>
  <c r="CX192" i="3"/>
  <c r="Q152" i="1"/>
  <c r="S151" i="1"/>
  <c r="R150" i="1"/>
  <c r="R147" i="1"/>
  <c r="CY146" i="1"/>
  <c r="AD146" i="1"/>
  <c r="AB146" i="1" s="1"/>
  <c r="AD144" i="1"/>
  <c r="S142" i="1"/>
  <c r="CP136" i="1"/>
  <c r="O136" i="1" s="1"/>
  <c r="GM136" i="1" s="1"/>
  <c r="S132" i="1"/>
  <c r="AD131" i="1"/>
  <c r="CR129" i="1"/>
  <c r="CZ129" i="1"/>
  <c r="X129" i="1"/>
  <c r="CR126" i="1"/>
  <c r="AD126" i="1"/>
  <c r="AB126" i="1" s="1"/>
  <c r="CS126" i="1"/>
  <c r="Q126" i="1"/>
  <c r="CT124" i="1"/>
  <c r="S124" i="1"/>
  <c r="P123" i="1"/>
  <c r="AB123" i="1"/>
  <c r="CQ123" i="1"/>
  <c r="EV26" i="1"/>
  <c r="P88" i="1"/>
  <c r="Q156" i="1"/>
  <c r="CP156" i="1" s="1"/>
  <c r="O156" i="1" s="1"/>
  <c r="AB144" i="1"/>
  <c r="CY141" i="1"/>
  <c r="AB131" i="1"/>
  <c r="R129" i="1"/>
  <c r="CR124" i="1"/>
  <c r="CS124" i="1"/>
  <c r="R124" i="1"/>
  <c r="AD124" i="1"/>
  <c r="AB124" i="1" s="1"/>
  <c r="R122" i="1"/>
  <c r="CQ119" i="1"/>
  <c r="P119" i="1"/>
  <c r="AB119" i="1"/>
  <c r="P117" i="1"/>
  <c r="CP107" i="1"/>
  <c r="O107" i="1" s="1"/>
  <c r="GM107" i="1" s="1"/>
  <c r="FR107" i="1"/>
  <c r="ET26" i="1"/>
  <c r="P76" i="1"/>
  <c r="Q168" i="1"/>
  <c r="CP168" i="1" s="1"/>
  <c r="O168" i="1" s="1"/>
  <c r="AB161" i="1"/>
  <c r="R160" i="1"/>
  <c r="CU203" i="3"/>
  <c r="CX204" i="3"/>
  <c r="CX203" i="3"/>
  <c r="AD156" i="1"/>
  <c r="AB156" i="1" s="1"/>
  <c r="CP141" i="1"/>
  <c r="O141" i="1" s="1"/>
  <c r="CZ130" i="1"/>
  <c r="CQ125" i="1"/>
  <c r="AB125" i="1"/>
  <c r="Q122" i="1"/>
  <c r="CP122" i="1" s="1"/>
  <c r="O122" i="1" s="1"/>
  <c r="CZ118" i="1"/>
  <c r="CY118" i="1"/>
  <c r="X109" i="1"/>
  <c r="Y109" i="1"/>
  <c r="CY109" i="1"/>
  <c r="CZ109" i="1"/>
  <c r="Q177" i="1"/>
  <c r="CZ176" i="1"/>
  <c r="Q173" i="1"/>
  <c r="Q170" i="1"/>
  <c r="AD168" i="1"/>
  <c r="AB168" i="1" s="1"/>
  <c r="S164" i="1"/>
  <c r="AB163" i="1"/>
  <c r="AB152" i="1"/>
  <c r="AB149" i="1"/>
  <c r="CZ143" i="1"/>
  <c r="V141" i="1"/>
  <c r="FR139" i="1"/>
  <c r="CP139" i="1"/>
  <c r="O139" i="1" s="1"/>
  <c r="AB134" i="1"/>
  <c r="CY130" i="1"/>
  <c r="FR127" i="1"/>
  <c r="CP127" i="1"/>
  <c r="O127" i="1" s="1"/>
  <c r="BD180" i="1"/>
  <c r="AD177" i="1"/>
  <c r="AB177" i="1" s="1"/>
  <c r="P177" i="1"/>
  <c r="AD173" i="1"/>
  <c r="P173" i="1"/>
  <c r="AD170" i="1"/>
  <c r="AB170" i="1" s="1"/>
  <c r="P170" i="1"/>
  <c r="CP170" i="1" s="1"/>
  <c r="O170" i="1" s="1"/>
  <c r="AB165" i="1"/>
  <c r="R164" i="1"/>
  <c r="CX208" i="3"/>
  <c r="CX211" i="3"/>
  <c r="CX212" i="3"/>
  <c r="CX213" i="3"/>
  <c r="CW208" i="3"/>
  <c r="CU207" i="3"/>
  <c r="CX209" i="3"/>
  <c r="AD160" i="1"/>
  <c r="P160" i="1"/>
  <c r="CP160" i="1" s="1"/>
  <c r="O160" i="1" s="1"/>
  <c r="GM160" i="1" s="1"/>
  <c r="GO160" i="1" s="1"/>
  <c r="CS156" i="1"/>
  <c r="AD150" i="1"/>
  <c r="AB150" i="1" s="1"/>
  <c r="CY147" i="1"/>
  <c r="CZ147" i="1"/>
  <c r="CQ144" i="1"/>
  <c r="CY143" i="1"/>
  <c r="CU183" i="3"/>
  <c r="CW184" i="3"/>
  <c r="CX184" i="3"/>
  <c r="CX185" i="3"/>
  <c r="P142" i="1"/>
  <c r="CP142" i="1" s="1"/>
  <c r="O142" i="1" s="1"/>
  <c r="Y141" i="1"/>
  <c r="P140" i="1"/>
  <c r="X138" i="1"/>
  <c r="Y138" i="1"/>
  <c r="FR136" i="1"/>
  <c r="AB130" i="1"/>
  <c r="Y126" i="1"/>
  <c r="X126" i="1"/>
  <c r="CZ126" i="1"/>
  <c r="CQ114" i="1"/>
  <c r="P114" i="1"/>
  <c r="AB114" i="1"/>
  <c r="CT110" i="1"/>
  <c r="S110" i="1"/>
  <c r="CT102" i="1"/>
  <c r="S102" i="1"/>
  <c r="CS168" i="1"/>
  <c r="Q164" i="1"/>
  <c r="CP164" i="1" s="1"/>
  <c r="O164" i="1" s="1"/>
  <c r="CX201" i="3"/>
  <c r="CV195" i="3"/>
  <c r="CX195" i="3"/>
  <c r="CX196" i="3"/>
  <c r="CW198" i="3"/>
  <c r="CX198" i="3"/>
  <c r="CW196" i="3"/>
  <c r="CX202" i="3"/>
  <c r="CX199" i="3"/>
  <c r="CU195" i="3"/>
  <c r="CZ145" i="1"/>
  <c r="CS141" i="1"/>
  <c r="X141" i="1"/>
  <c r="CR138" i="1"/>
  <c r="CS138" i="1"/>
  <c r="R138" i="1"/>
  <c r="Y130" i="1"/>
  <c r="Q124" i="1"/>
  <c r="CG180" i="1"/>
  <c r="R176" i="1"/>
  <c r="CU233" i="3"/>
  <c r="CX234" i="3"/>
  <c r="CX238" i="3"/>
  <c r="CX237" i="3"/>
  <c r="CW234" i="3"/>
  <c r="CX236" i="3"/>
  <c r="CP152" i="1"/>
  <c r="O152" i="1" s="1"/>
  <c r="GM152" i="1" s="1"/>
  <c r="AB151" i="1"/>
  <c r="CR149" i="1"/>
  <c r="S148" i="1"/>
  <c r="CP148" i="1" s="1"/>
  <c r="O148" i="1" s="1"/>
  <c r="AD147" i="1"/>
  <c r="AB147" i="1" s="1"/>
  <c r="X146" i="1"/>
  <c r="GM146" i="1" s="1"/>
  <c r="Y146" i="1"/>
  <c r="Q144" i="1"/>
  <c r="CP144" i="1" s="1"/>
  <c r="O144" i="1" s="1"/>
  <c r="CS142" i="1"/>
  <c r="AD142" i="1"/>
  <c r="CR141" i="1"/>
  <c r="CS139" i="1"/>
  <c r="CZ138" i="1"/>
  <c r="AD138" i="1"/>
  <c r="CY136" i="1"/>
  <c r="R131" i="1"/>
  <c r="CP128" i="1"/>
  <c r="O128" i="1" s="1"/>
  <c r="GM128" i="1" s="1"/>
  <c r="Y128" i="1"/>
  <c r="CZ128" i="1"/>
  <c r="X127" i="1"/>
  <c r="Y127" i="1"/>
  <c r="CY127" i="1"/>
  <c r="CZ127" i="1"/>
  <c r="P125" i="1"/>
  <c r="CP125" i="1" s="1"/>
  <c r="O125" i="1" s="1"/>
  <c r="CP124" i="1"/>
  <c r="O124" i="1" s="1"/>
  <c r="R120" i="1"/>
  <c r="Y120" i="1"/>
  <c r="CR120" i="1"/>
  <c r="AD120" i="1"/>
  <c r="AB120" i="1" s="1"/>
  <c r="Q120" i="1"/>
  <c r="X120" i="1"/>
  <c r="CS120" i="1"/>
  <c r="CU205" i="3"/>
  <c r="CX206" i="3"/>
  <c r="AB142" i="1"/>
  <c r="CQ138" i="1"/>
  <c r="AB138" i="1"/>
  <c r="CP137" i="1"/>
  <c r="O137" i="1" s="1"/>
  <c r="GM137" i="1" s="1"/>
  <c r="GO137" i="1" s="1"/>
  <c r="CT133" i="1"/>
  <c r="S133" i="1"/>
  <c r="FR132" i="1"/>
  <c r="CP132" i="1"/>
  <c r="O132" i="1" s="1"/>
  <c r="CT121" i="1"/>
  <c r="S121" i="1"/>
  <c r="P120" i="1"/>
  <c r="CQ120" i="1"/>
  <c r="CQ116" i="1"/>
  <c r="P116" i="1"/>
  <c r="AB116" i="1"/>
  <c r="R111" i="1"/>
  <c r="CY111" i="1"/>
  <c r="X111" i="1"/>
  <c r="Y111" i="1"/>
  <c r="CR111" i="1"/>
  <c r="CS111" i="1"/>
  <c r="AD111" i="1"/>
  <c r="AB111" i="1" s="1"/>
  <c r="Q111" i="1"/>
  <c r="BZ26" i="1"/>
  <c r="CI63" i="1"/>
  <c r="AQ63" i="1"/>
  <c r="R143" i="1"/>
  <c r="R136" i="1"/>
  <c r="CX176" i="3"/>
  <c r="CU171" i="3"/>
  <c r="CW172" i="3"/>
  <c r="CX174" i="3"/>
  <c r="CX172" i="3"/>
  <c r="CQ127" i="1"/>
  <c r="X116" i="1"/>
  <c r="Y116" i="1"/>
  <c r="AB115" i="1"/>
  <c r="P109" i="1"/>
  <c r="CQ109" i="1"/>
  <c r="Q107" i="1"/>
  <c r="R107" i="1"/>
  <c r="X100" i="1"/>
  <c r="Y100" i="1"/>
  <c r="FR26" i="1"/>
  <c r="EI63" i="1"/>
  <c r="FY63" i="1"/>
  <c r="GA63" i="1"/>
  <c r="Q143" i="1"/>
  <c r="CP143" i="1" s="1"/>
  <c r="O143" i="1" s="1"/>
  <c r="GM143" i="1" s="1"/>
  <c r="Q136" i="1"/>
  <c r="R117" i="1"/>
  <c r="Y117" i="1"/>
  <c r="CR117" i="1"/>
  <c r="R114" i="1"/>
  <c r="X114" i="1"/>
  <c r="Y114" i="1"/>
  <c r="CR114" i="1"/>
  <c r="CY112" i="1"/>
  <c r="CZ112" i="1"/>
  <c r="CZ111" i="1"/>
  <c r="CR108" i="1"/>
  <c r="CS108" i="1"/>
  <c r="R108" i="1"/>
  <c r="P97" i="1"/>
  <c r="CQ97" i="1"/>
  <c r="AB97" i="1"/>
  <c r="CY107" i="1"/>
  <c r="X107" i="1"/>
  <c r="Y107" i="1"/>
  <c r="AB103" i="1"/>
  <c r="CM26" i="1"/>
  <c r="BD63" i="1"/>
  <c r="Q145" i="1"/>
  <c r="CP145" i="1" s="1"/>
  <c r="O145" i="1" s="1"/>
  <c r="GM145" i="1" s="1"/>
  <c r="Q135" i="1"/>
  <c r="CP135" i="1" s="1"/>
  <c r="O135" i="1" s="1"/>
  <c r="R130" i="1"/>
  <c r="Q128" i="1"/>
  <c r="CR125" i="1"/>
  <c r="Y125" i="1"/>
  <c r="CT122" i="1"/>
  <c r="CS117" i="1"/>
  <c r="X117" i="1"/>
  <c r="S115" i="1"/>
  <c r="CU149" i="3"/>
  <c r="CV149" i="3"/>
  <c r="CX149" i="3"/>
  <c r="CX150" i="3"/>
  <c r="CX152" i="3"/>
  <c r="CX153" i="3"/>
  <c r="CX154" i="3"/>
  <c r="Q110" i="1"/>
  <c r="CZ107" i="1"/>
  <c r="AB106" i="1"/>
  <c r="S104" i="1"/>
  <c r="CT104" i="1"/>
  <c r="FR99" i="1"/>
  <c r="CP99" i="1"/>
  <c r="O99" i="1" s="1"/>
  <c r="GM99" i="1" s="1"/>
  <c r="R140" i="1"/>
  <c r="R137" i="1"/>
  <c r="Q130" i="1"/>
  <c r="CP130" i="1" s="1"/>
  <c r="O130" i="1" s="1"/>
  <c r="GM130" i="1" s="1"/>
  <c r="GO130" i="1" s="1"/>
  <c r="CT119" i="1"/>
  <c r="CZ116" i="1"/>
  <c r="CS114" i="1"/>
  <c r="CQ113" i="1"/>
  <c r="P113" i="1"/>
  <c r="U110" i="1"/>
  <c r="AD104" i="1"/>
  <c r="CR104" i="1"/>
  <c r="CS104" i="1"/>
  <c r="S103" i="1"/>
  <c r="R134" i="1"/>
  <c r="CX169" i="3"/>
  <c r="CU165" i="3"/>
  <c r="CV165" i="3"/>
  <c r="CX165" i="3"/>
  <c r="CW167" i="3"/>
  <c r="CY116" i="1"/>
  <c r="CY114" i="1"/>
  <c r="AB113" i="1"/>
  <c r="CU143" i="3"/>
  <c r="CW145" i="3"/>
  <c r="CX145" i="3"/>
  <c r="CX146" i="3"/>
  <c r="CX147" i="3"/>
  <c r="Q109" i="1"/>
  <c r="R109" i="1"/>
  <c r="T107" i="1"/>
  <c r="AG180" i="1" s="1"/>
  <c r="AB107" i="1"/>
  <c r="CY106" i="1"/>
  <c r="CY125" i="1"/>
  <c r="CZ125" i="1"/>
  <c r="CZ106" i="1"/>
  <c r="X106" i="1"/>
  <c r="Q106" i="1"/>
  <c r="CP102" i="1"/>
  <c r="O102" i="1" s="1"/>
  <c r="CY101" i="1"/>
  <c r="P100" i="1"/>
  <c r="CS97" i="1"/>
  <c r="BX26" i="1"/>
  <c r="AO63" i="1"/>
  <c r="DY63" i="1"/>
  <c r="Q119" i="1"/>
  <c r="Q116" i="1"/>
  <c r="Q113" i="1"/>
  <c r="P110" i="1"/>
  <c r="S108" i="1"/>
  <c r="CP108" i="1" s="1"/>
  <c r="O108" i="1" s="1"/>
  <c r="P106" i="1"/>
  <c r="CP106" i="1" s="1"/>
  <c r="O106" i="1" s="1"/>
  <c r="AB104" i="1"/>
  <c r="AD102" i="1"/>
  <c r="AB102" i="1" s="1"/>
  <c r="CR97" i="1"/>
  <c r="Y97" i="1"/>
  <c r="CP55" i="1"/>
  <c r="O55" i="1" s="1"/>
  <c r="AI63" i="1"/>
  <c r="CQ101" i="1"/>
  <c r="P101" i="1"/>
  <c r="CP101" i="1" s="1"/>
  <c r="O101" i="1" s="1"/>
  <c r="AD100" i="1"/>
  <c r="AD99" i="1"/>
  <c r="X97" i="1"/>
  <c r="BC63" i="1"/>
  <c r="CP56" i="1"/>
  <c r="O56" i="1" s="1"/>
  <c r="GM56" i="1" s="1"/>
  <c r="GN56" i="1" s="1"/>
  <c r="GM41" i="1"/>
  <c r="GO41" i="1" s="1"/>
  <c r="Y38" i="1"/>
  <c r="CY38" i="1"/>
  <c r="CZ38" i="1"/>
  <c r="X38" i="1"/>
  <c r="S105" i="1"/>
  <c r="AB99" i="1"/>
  <c r="BB26" i="1"/>
  <c r="F76" i="1"/>
  <c r="CY60" i="1"/>
  <c r="CZ60" i="1"/>
  <c r="X60" i="1"/>
  <c r="Y60" i="1"/>
  <c r="CY58" i="1"/>
  <c r="CZ58" i="1"/>
  <c r="X58" i="1"/>
  <c r="Y58" i="1"/>
  <c r="CP49" i="1"/>
  <c r="O49" i="1" s="1"/>
  <c r="GM49" i="1" s="1"/>
  <c r="GN49" i="1" s="1"/>
  <c r="CZ47" i="1"/>
  <c r="X47" i="1"/>
  <c r="Y47" i="1"/>
  <c r="CY47" i="1"/>
  <c r="Y101" i="1"/>
  <c r="AB100" i="1"/>
  <c r="Y99" i="1"/>
  <c r="FV26" i="1"/>
  <c r="EM63" i="1"/>
  <c r="R60" i="1"/>
  <c r="CR60" i="1"/>
  <c r="CS60" i="1"/>
  <c r="AD60" i="1"/>
  <c r="CP51" i="1"/>
  <c r="O51" i="1" s="1"/>
  <c r="CZ120" i="1"/>
  <c r="CZ117" i="1"/>
  <c r="CZ114" i="1"/>
  <c r="Q105" i="1"/>
  <c r="CP104" i="1"/>
  <c r="O104" i="1" s="1"/>
  <c r="CS101" i="1"/>
  <c r="CR100" i="1"/>
  <c r="CR99" i="1"/>
  <c r="CY97" i="1"/>
  <c r="CG63" i="1"/>
  <c r="AB60" i="1"/>
  <c r="R123" i="1"/>
  <c r="P118" i="1"/>
  <c r="P115" i="1"/>
  <c r="P112" i="1"/>
  <c r="P105" i="1"/>
  <c r="CP103" i="1"/>
  <c r="O103" i="1" s="1"/>
  <c r="CR101" i="1"/>
  <c r="CQ99" i="1"/>
  <c r="Q97" i="1"/>
  <c r="AH63" i="1"/>
  <c r="Q123" i="1"/>
  <c r="CZ97" i="1"/>
  <c r="EH63" i="1"/>
  <c r="AU26" i="1"/>
  <c r="F82" i="1"/>
  <c r="Q60" i="1"/>
  <c r="CZ98" i="1"/>
  <c r="GB63" i="1"/>
  <c r="CY49" i="1"/>
  <c r="CZ49" i="1"/>
  <c r="X49" i="1"/>
  <c r="Y49" i="1"/>
  <c r="AB44" i="1"/>
  <c r="CX71" i="3"/>
  <c r="CX72" i="3"/>
  <c r="CU67" i="3"/>
  <c r="CX73" i="3"/>
  <c r="CX68" i="3"/>
  <c r="CU51" i="3"/>
  <c r="CW52" i="3"/>
  <c r="CX52" i="3"/>
  <c r="CX54" i="3"/>
  <c r="CX55" i="3"/>
  <c r="CX56" i="3"/>
  <c r="R40" i="1"/>
  <c r="CR40" i="1"/>
  <c r="GM39" i="1"/>
  <c r="GO39" i="1" s="1"/>
  <c r="CV323" i="3"/>
  <c r="CX284" i="3"/>
  <c r="CX273" i="3"/>
  <c r="CV1" i="3"/>
  <c r="CX1" i="3"/>
  <c r="Q98" i="1"/>
  <c r="P60" i="1"/>
  <c r="CP60" i="1" s="1"/>
  <c r="O60" i="1" s="1"/>
  <c r="R58" i="1"/>
  <c r="CR57" i="1"/>
  <c r="Y57" i="1"/>
  <c r="CW109" i="3"/>
  <c r="CX110" i="3"/>
  <c r="CU108" i="3"/>
  <c r="CW110" i="3"/>
  <c r="CX109" i="3"/>
  <c r="CY56" i="1"/>
  <c r="CY54" i="1"/>
  <c r="CR53" i="1"/>
  <c r="Y53" i="1"/>
  <c r="CW90" i="3"/>
  <c r="CX91" i="3"/>
  <c r="CU89" i="3"/>
  <c r="CW91" i="3"/>
  <c r="CX90" i="3"/>
  <c r="CX94" i="3"/>
  <c r="CY52" i="1"/>
  <c r="Q49" i="1"/>
  <c r="AB46" i="1"/>
  <c r="AD40" i="1"/>
  <c r="AB40" i="1" s="1"/>
  <c r="CY37" i="1"/>
  <c r="Q34" i="1"/>
  <c r="CP34" i="1" s="1"/>
  <c r="O34" i="1" s="1"/>
  <c r="CY33" i="1"/>
  <c r="CS32" i="1"/>
  <c r="R32" i="1"/>
  <c r="CY31" i="1"/>
  <c r="X31" i="1"/>
  <c r="Y31" i="1"/>
  <c r="CX353" i="3"/>
  <c r="CW348" i="3"/>
  <c r="CT60" i="1"/>
  <c r="CQ57" i="1"/>
  <c r="CS55" i="1"/>
  <c r="CQ53" i="1"/>
  <c r="CS51" i="1"/>
  <c r="R47" i="1"/>
  <c r="CX61" i="3"/>
  <c r="CX62" i="3"/>
  <c r="CU59" i="3"/>
  <c r="CV59" i="3"/>
  <c r="S42" i="1"/>
  <c r="P42" i="1"/>
  <c r="CP42" i="1" s="1"/>
  <c r="O42" i="1" s="1"/>
  <c r="CS36" i="1"/>
  <c r="R36" i="1"/>
  <c r="CY35" i="1"/>
  <c r="X35" i="1"/>
  <c r="Y35" i="1"/>
  <c r="W34" i="1"/>
  <c r="AJ63" i="1" s="1"/>
  <c r="AD31" i="1"/>
  <c r="CR31" i="1"/>
  <c r="CS31" i="1"/>
  <c r="CX343" i="3"/>
  <c r="S61" i="1"/>
  <c r="CZ59" i="1"/>
  <c r="P58" i="1"/>
  <c r="CP58" i="1" s="1"/>
  <c r="O58" i="1" s="1"/>
  <c r="CR55" i="1"/>
  <c r="Y55" i="1"/>
  <c r="R54" i="1"/>
  <c r="CR51" i="1"/>
  <c r="Y51" i="1"/>
  <c r="CU82" i="3"/>
  <c r="CX82" i="3"/>
  <c r="CV82" i="3"/>
  <c r="CT49" i="1"/>
  <c r="CQ46" i="1"/>
  <c r="P45" i="1"/>
  <c r="CP45" i="1" s="1"/>
  <c r="O45" i="1" s="1"/>
  <c r="GM45" i="1" s="1"/>
  <c r="GO45" i="1" s="1"/>
  <c r="CZ41" i="1"/>
  <c r="AD36" i="1"/>
  <c r="AB36" i="1" s="1"/>
  <c r="AD35" i="1"/>
  <c r="CR35" i="1"/>
  <c r="CS35" i="1"/>
  <c r="P31" i="1"/>
  <c r="CQ31" i="1"/>
  <c r="AB31" i="1"/>
  <c r="CQ30" i="1"/>
  <c r="P30" i="1"/>
  <c r="R61" i="1"/>
  <c r="CU115" i="3"/>
  <c r="CV115" i="3"/>
  <c r="CX116" i="3"/>
  <c r="CX115" i="3"/>
  <c r="CY59" i="1"/>
  <c r="Q56" i="1"/>
  <c r="X55" i="1"/>
  <c r="Q54" i="1"/>
  <c r="CP54" i="1" s="1"/>
  <c r="O54" i="1" s="1"/>
  <c r="GM54" i="1" s="1"/>
  <c r="GN54" i="1" s="1"/>
  <c r="Q52" i="1"/>
  <c r="CP52" i="1" s="1"/>
  <c r="O52" i="1" s="1"/>
  <c r="GM52" i="1" s="1"/>
  <c r="GN52" i="1" s="1"/>
  <c r="X51" i="1"/>
  <c r="S50" i="1"/>
  <c r="AB49" i="1"/>
  <c r="P47" i="1"/>
  <c r="CP47" i="1" s="1"/>
  <c r="O47" i="1" s="1"/>
  <c r="GM47" i="1" s="1"/>
  <c r="GO47" i="1" s="1"/>
  <c r="S44" i="1"/>
  <c r="CZ37" i="1"/>
  <c r="Y37" i="1"/>
  <c r="GM37" i="1" s="1"/>
  <c r="GO37" i="1" s="1"/>
  <c r="P35" i="1"/>
  <c r="CP35" i="1" s="1"/>
  <c r="O35" i="1" s="1"/>
  <c r="GM35" i="1" s="1"/>
  <c r="GO35" i="1" s="1"/>
  <c r="CQ35" i="1"/>
  <c r="AB35" i="1"/>
  <c r="CU23" i="3"/>
  <c r="CX25" i="3"/>
  <c r="R34" i="1"/>
  <c r="S34" i="1"/>
  <c r="CZ33" i="1"/>
  <c r="Y33" i="1"/>
  <c r="GM33" i="1" s="1"/>
  <c r="GO33" i="1" s="1"/>
  <c r="EU63" i="1"/>
  <c r="Q61" i="1"/>
  <c r="CP61" i="1" s="1"/>
  <c r="O61" i="1" s="1"/>
  <c r="CV74" i="3"/>
  <c r="CX74" i="3"/>
  <c r="CX75" i="3"/>
  <c r="CX80" i="3"/>
  <c r="CX79" i="3"/>
  <c r="CW75" i="3"/>
  <c r="CX78" i="3"/>
  <c r="CU74" i="3"/>
  <c r="U43" i="1"/>
  <c r="DZ63" i="1" s="1"/>
  <c r="CU45" i="3"/>
  <c r="CV45" i="3"/>
  <c r="CX45" i="3"/>
  <c r="CW47" i="3"/>
  <c r="CX47" i="3"/>
  <c r="CX48" i="3"/>
  <c r="CX49" i="3"/>
  <c r="CS40" i="1"/>
  <c r="AD39" i="1"/>
  <c r="AB39" i="1" s="1"/>
  <c r="R39" i="1"/>
  <c r="CX351" i="3"/>
  <c r="CX334" i="3"/>
  <c r="CX319" i="3"/>
  <c r="CX305" i="3"/>
  <c r="AD61" i="1"/>
  <c r="AB61" i="1" s="1"/>
  <c r="R59" i="1"/>
  <c r="CU113" i="3"/>
  <c r="CX113" i="3"/>
  <c r="CY57" i="1"/>
  <c r="Q50" i="1"/>
  <c r="CP50" i="1" s="1"/>
  <c r="O50" i="1" s="1"/>
  <c r="S48" i="1"/>
  <c r="AB47" i="1"/>
  <c r="AB45" i="1"/>
  <c r="AB42" i="1"/>
  <c r="CZ39" i="1"/>
  <c r="S28" i="1"/>
  <c r="CT28" i="1"/>
  <c r="Q59" i="1"/>
  <c r="CS56" i="1"/>
  <c r="CZ55" i="1"/>
  <c r="CS54" i="1"/>
  <c r="AB54" i="1"/>
  <c r="CS52" i="1"/>
  <c r="AB52" i="1"/>
  <c r="CZ51" i="1"/>
  <c r="AD50" i="1"/>
  <c r="AB50" i="1" s="1"/>
  <c r="R48" i="1"/>
  <c r="CU63" i="3"/>
  <c r="CW64" i="3"/>
  <c r="CX64" i="3"/>
  <c r="P44" i="1"/>
  <c r="CP44" i="1" s="1"/>
  <c r="O44" i="1" s="1"/>
  <c r="S43" i="1"/>
  <c r="AB41" i="1"/>
  <c r="Q31" i="1"/>
  <c r="CX337" i="3"/>
  <c r="CW332" i="3"/>
  <c r="CX327" i="3"/>
  <c r="CS61" i="1"/>
  <c r="AD59" i="1"/>
  <c r="AB59" i="1" s="1"/>
  <c r="P59" i="1"/>
  <c r="CP59" i="1" s="1"/>
  <c r="O59" i="1" s="1"/>
  <c r="GM59" i="1" s="1"/>
  <c r="GN59" i="1" s="1"/>
  <c r="R57" i="1"/>
  <c r="CX103" i="3"/>
  <c r="CW105" i="3"/>
  <c r="CX105" i="3"/>
  <c r="CX107" i="3"/>
  <c r="CU103" i="3"/>
  <c r="CV103" i="3"/>
  <c r="CX106" i="3"/>
  <c r="R53" i="1"/>
  <c r="CU83" i="3"/>
  <c r="CW86" i="3"/>
  <c r="CX86" i="3"/>
  <c r="CX88" i="3"/>
  <c r="CX87" i="3"/>
  <c r="CX83" i="3"/>
  <c r="Q48" i="1"/>
  <c r="AD44" i="1"/>
  <c r="R43" i="1"/>
  <c r="Y41" i="1"/>
  <c r="Q40" i="1"/>
  <c r="CY36" i="1"/>
  <c r="AD34" i="1"/>
  <c r="AB34" i="1" s="1"/>
  <c r="CX342" i="3"/>
  <c r="CW315" i="3"/>
  <c r="CX297" i="3"/>
  <c r="CV117" i="3"/>
  <c r="CU117" i="3"/>
  <c r="Q57" i="1"/>
  <c r="CP57" i="1" s="1"/>
  <c r="O57" i="1" s="1"/>
  <c r="GM57" i="1" s="1"/>
  <c r="GN57" i="1" s="1"/>
  <c r="Q53" i="1"/>
  <c r="CP53" i="1" s="1"/>
  <c r="O53" i="1" s="1"/>
  <c r="GM53" i="1" s="1"/>
  <c r="GN53" i="1" s="1"/>
  <c r="CS50" i="1"/>
  <c r="GX48" i="1"/>
  <c r="CJ63" i="1" s="1"/>
  <c r="P48" i="1"/>
  <c r="Q43" i="1"/>
  <c r="W42" i="1"/>
  <c r="X41" i="1"/>
  <c r="CP40" i="1"/>
  <c r="O40" i="1" s="1"/>
  <c r="CS39" i="1"/>
  <c r="GM32" i="1"/>
  <c r="GO32" i="1" s="1"/>
  <c r="CW325" i="3"/>
  <c r="R55" i="1"/>
  <c r="R51" i="1"/>
  <c r="CV81" i="3"/>
  <c r="CU81" i="3"/>
  <c r="Q46" i="1"/>
  <c r="CP46" i="1" s="1"/>
  <c r="O46" i="1" s="1"/>
  <c r="GM46" i="1" s="1"/>
  <c r="GO46" i="1" s="1"/>
  <c r="P43" i="1"/>
  <c r="CQ41" i="1"/>
  <c r="CR39" i="1"/>
  <c r="CP38" i="1"/>
  <c r="O38" i="1" s="1"/>
  <c r="GM38" i="1" s="1"/>
  <c r="GO38" i="1" s="1"/>
  <c r="CP36" i="1"/>
  <c r="O36" i="1" s="1"/>
  <c r="GM36" i="1" s="1"/>
  <c r="GO36" i="1" s="1"/>
  <c r="T34" i="1"/>
  <c r="AG63" i="1" s="1"/>
  <c r="CZ29" i="1"/>
  <c r="X29" i="1"/>
  <c r="CX345" i="3"/>
  <c r="CW340" i="3"/>
  <c r="CX313" i="3"/>
  <c r="T42" i="1"/>
  <c r="CY39" i="1"/>
  <c r="X39" i="1"/>
  <c r="R37" i="1"/>
  <c r="CR37" i="1"/>
  <c r="CS37" i="1"/>
  <c r="AD37" i="1"/>
  <c r="AB37" i="1" s="1"/>
  <c r="R33" i="1"/>
  <c r="CR33" i="1"/>
  <c r="CS33" i="1"/>
  <c r="AD33" i="1"/>
  <c r="AB33" i="1" s="1"/>
  <c r="CX350" i="3"/>
  <c r="CX335" i="3"/>
  <c r="CX266" i="3"/>
  <c r="CZ36" i="1"/>
  <c r="CZ32" i="1"/>
  <c r="Q28" i="1"/>
  <c r="CP28" i="1" s="1"/>
  <c r="O28" i="1" s="1"/>
  <c r="CV293" i="3"/>
  <c r="CV278" i="3"/>
  <c r="CX278" i="3"/>
  <c r="CX252" i="3"/>
  <c r="CW210" i="3"/>
  <c r="CX33" i="3"/>
  <c r="CX34" i="3"/>
  <c r="CU29" i="3"/>
  <c r="CW30" i="3"/>
  <c r="CX30" i="3"/>
  <c r="R30" i="1"/>
  <c r="AE63" i="1" s="1"/>
  <c r="AD28" i="1"/>
  <c r="AB28" i="1" s="1"/>
  <c r="CX290" i="3"/>
  <c r="CX287" i="3"/>
  <c r="CV281" i="3"/>
  <c r="CX281" i="3"/>
  <c r="CW247" i="3"/>
  <c r="CW235" i="3"/>
  <c r="CX235" i="3"/>
  <c r="Q30" i="1"/>
  <c r="CW307" i="3"/>
  <c r="CX307" i="3"/>
  <c r="CW240" i="3"/>
  <c r="CV179" i="3"/>
  <c r="AD30" i="1"/>
  <c r="AB30" i="1" s="1"/>
  <c r="CX282" i="3"/>
  <c r="CX260" i="3"/>
  <c r="CV233" i="3"/>
  <c r="CX317" i="3"/>
  <c r="CX315" i="3"/>
  <c r="CW294" i="3"/>
  <c r="CX294" i="3"/>
  <c r="CX270" i="3"/>
  <c r="CX255" i="3"/>
  <c r="DF162" i="3"/>
  <c r="DJ162" i="3" s="1"/>
  <c r="DG162" i="3"/>
  <c r="DH162" i="3"/>
  <c r="DI162" i="3"/>
  <c r="CX325" i="3"/>
  <c r="CX323" i="3"/>
  <c r="CX309" i="3"/>
  <c r="CX279" i="3"/>
  <c r="CX265" i="3"/>
  <c r="CW258" i="3"/>
  <c r="CX248" i="3"/>
  <c r="S40" i="1"/>
  <c r="Y30" i="1"/>
  <c r="R29" i="1"/>
  <c r="CW324" i="3"/>
  <c r="CX304" i="3"/>
  <c r="CW241" i="3"/>
  <c r="CX220" i="3"/>
  <c r="Q29" i="1"/>
  <c r="DV63" i="1" s="1"/>
  <c r="CX301" i="3"/>
  <c r="CX263" i="3"/>
  <c r="CX298" i="3"/>
  <c r="CX295" i="3"/>
  <c r="CW216" i="3"/>
  <c r="DF141" i="3"/>
  <c r="DJ141" i="3" s="1"/>
  <c r="DG141" i="3"/>
  <c r="DH141" i="3"/>
  <c r="DI141" i="3"/>
  <c r="DF139" i="3"/>
  <c r="DJ139" i="3" s="1"/>
  <c r="DG139" i="3"/>
  <c r="DH139" i="3"/>
  <c r="DI139" i="3"/>
  <c r="CX274" i="3"/>
  <c r="CX249" i="3"/>
  <c r="CX244" i="3"/>
  <c r="DF232" i="3"/>
  <c r="DJ232" i="3" s="1"/>
  <c r="DG232" i="3"/>
  <c r="DI232" i="3"/>
  <c r="DH232" i="3"/>
  <c r="CX256" i="3"/>
  <c r="CW228" i="3"/>
  <c r="CX228" i="3"/>
  <c r="CV221" i="3"/>
  <c r="CX221" i="3"/>
  <c r="CV205" i="3"/>
  <c r="CX205" i="3"/>
  <c r="CW189" i="3"/>
  <c r="CX189" i="3"/>
  <c r="CX186" i="3"/>
  <c r="CV183" i="3"/>
  <c r="CX183" i="3"/>
  <c r="DF157" i="3"/>
  <c r="DH157" i="3"/>
  <c r="DI157" i="3"/>
  <c r="DJ157" i="3" s="1"/>
  <c r="DI125" i="3"/>
  <c r="DF125" i="3"/>
  <c r="DG125" i="3"/>
  <c r="DJ125" i="3" s="1"/>
  <c r="DH125" i="3"/>
  <c r="DF100" i="3"/>
  <c r="DG100" i="3"/>
  <c r="DJ100" i="3" s="1"/>
  <c r="DH100" i="3"/>
  <c r="DI100" i="3"/>
  <c r="CW84" i="3"/>
  <c r="CX217" i="3"/>
  <c r="CX175" i="3"/>
  <c r="CW31" i="3"/>
  <c r="DG223" i="3"/>
  <c r="DJ223" i="3" s="1"/>
  <c r="DH223" i="3"/>
  <c r="CW209" i="3"/>
  <c r="CW166" i="3"/>
  <c r="CX166" i="3"/>
  <c r="CX93" i="3"/>
  <c r="DH230" i="3"/>
  <c r="DI230" i="3"/>
  <c r="DI227" i="3"/>
  <c r="DJ227" i="3" s="1"/>
  <c r="CX193" i="3"/>
  <c r="CV163" i="3"/>
  <c r="CX163" i="3"/>
  <c r="CX89" i="3"/>
  <c r="CV89" i="3"/>
  <c r="DG231" i="3"/>
  <c r="DH231" i="3"/>
  <c r="DF224" i="3"/>
  <c r="DJ224" i="3" s="1"/>
  <c r="DG224" i="3"/>
  <c r="DI224" i="3"/>
  <c r="CV214" i="3"/>
  <c r="CX210" i="3"/>
  <c r="DH229" i="3"/>
  <c r="DF227" i="3"/>
  <c r="DH222" i="3"/>
  <c r="CX170" i="3"/>
  <c r="CW150" i="3"/>
  <c r="DF140" i="3"/>
  <c r="DJ140" i="3" s="1"/>
  <c r="DG140" i="3"/>
  <c r="DH140" i="3"/>
  <c r="DI140" i="3"/>
  <c r="CX112" i="3"/>
  <c r="CX50" i="3"/>
  <c r="DF10" i="3"/>
  <c r="DJ10" i="3" s="1"/>
  <c r="DG10" i="3"/>
  <c r="DH10" i="3"/>
  <c r="DI10" i="3"/>
  <c r="CX241" i="3"/>
  <c r="DG229" i="3"/>
  <c r="DJ229" i="3" s="1"/>
  <c r="DG222" i="3"/>
  <c r="DJ222" i="3" s="1"/>
  <c r="CX200" i="3"/>
  <c r="CX187" i="3"/>
  <c r="CX181" i="3"/>
  <c r="CW173" i="3"/>
  <c r="CX173" i="3"/>
  <c r="CX167" i="3"/>
  <c r="CX148" i="3"/>
  <c r="CV143" i="3"/>
  <c r="CX108" i="3"/>
  <c r="CV108" i="3"/>
  <c r="DF229" i="3"/>
  <c r="DI223" i="3"/>
  <c r="DF222" i="3"/>
  <c r="CV207" i="3"/>
  <c r="CV203" i="3"/>
  <c r="CW197" i="3"/>
  <c r="CW69" i="3"/>
  <c r="CX247" i="3"/>
  <c r="CX240" i="3"/>
  <c r="CX233" i="3"/>
  <c r="DF225" i="3"/>
  <c r="DJ225" i="3" s="1"/>
  <c r="DH225" i="3"/>
  <c r="DI225" i="3"/>
  <c r="DF223" i="3"/>
  <c r="DF160" i="3"/>
  <c r="DG160" i="3"/>
  <c r="DH160" i="3"/>
  <c r="DI160" i="3"/>
  <c r="DJ160" i="3" s="1"/>
  <c r="DI231" i="3"/>
  <c r="DF230" i="3"/>
  <c r="DJ230" i="3" s="1"/>
  <c r="CX194" i="3"/>
  <c r="CV171" i="3"/>
  <c r="CW151" i="3"/>
  <c r="CX28" i="3"/>
  <c r="DF231" i="3"/>
  <c r="DJ231" i="3" s="1"/>
  <c r="DG226" i="3"/>
  <c r="DH226" i="3"/>
  <c r="DH224" i="3"/>
  <c r="DF177" i="3"/>
  <c r="DH177" i="3"/>
  <c r="DI177" i="3"/>
  <c r="DJ177" i="3" s="1"/>
  <c r="CX168" i="3"/>
  <c r="DH156" i="3"/>
  <c r="DI156" i="3"/>
  <c r="DJ156" i="3" s="1"/>
  <c r="DF156" i="3"/>
  <c r="CW144" i="3"/>
  <c r="CV51" i="3"/>
  <c r="CX51" i="3"/>
  <c r="DH142" i="3"/>
  <c r="DH132" i="3"/>
  <c r="DH123" i="3"/>
  <c r="CX117" i="3"/>
  <c r="CX81" i="3"/>
  <c r="CV67" i="3"/>
  <c r="CV43" i="3"/>
  <c r="CX43" i="3"/>
  <c r="DG41" i="3"/>
  <c r="DF41" i="3"/>
  <c r="DJ41" i="3" s="1"/>
  <c r="DH41" i="3"/>
  <c r="DI41" i="3"/>
  <c r="CX171" i="3"/>
  <c r="DG142" i="3"/>
  <c r="DG132" i="3"/>
  <c r="DF120" i="3"/>
  <c r="DG120" i="3"/>
  <c r="DI120" i="3"/>
  <c r="DJ120" i="3" s="1"/>
  <c r="CX118" i="3"/>
  <c r="CX26" i="3"/>
  <c r="CX197" i="3"/>
  <c r="CX164" i="3"/>
  <c r="DI129" i="3"/>
  <c r="DF129" i="3"/>
  <c r="DJ129" i="3" s="1"/>
  <c r="DH126" i="3"/>
  <c r="DF126" i="3"/>
  <c r="DJ126" i="3" s="1"/>
  <c r="CW101" i="3"/>
  <c r="CX101" i="3"/>
  <c r="CX70" i="3"/>
  <c r="CX65" i="3"/>
  <c r="CX31" i="3"/>
  <c r="CV23" i="3"/>
  <c r="CX23" i="3"/>
  <c r="DG21" i="3"/>
  <c r="DF21" i="3"/>
  <c r="DJ21" i="3" s="1"/>
  <c r="DH21" i="3"/>
  <c r="DI21" i="3"/>
  <c r="DI19" i="3"/>
  <c r="DF19" i="3"/>
  <c r="DJ19" i="3" s="1"/>
  <c r="DG19" i="3"/>
  <c r="DH19" i="3"/>
  <c r="DF17" i="3"/>
  <c r="DJ17" i="3" s="1"/>
  <c r="DG17" i="3"/>
  <c r="DH17" i="3"/>
  <c r="DI17" i="3"/>
  <c r="DG13" i="3"/>
  <c r="DF13" i="3"/>
  <c r="DJ13" i="3" s="1"/>
  <c r="DH13" i="3"/>
  <c r="DI13" i="3"/>
  <c r="DI178" i="3"/>
  <c r="DJ178" i="3" s="1"/>
  <c r="CX151" i="3"/>
  <c r="CX144" i="3"/>
  <c r="DI138" i="3"/>
  <c r="CX135" i="3"/>
  <c r="CX121" i="3"/>
  <c r="CV113" i="3"/>
  <c r="CX59" i="3"/>
  <c r="DF122" i="3"/>
  <c r="DG122" i="3"/>
  <c r="CV29" i="3"/>
  <c r="DI11" i="3"/>
  <c r="DF11" i="3"/>
  <c r="DJ11" i="3" s="1"/>
  <c r="DG11" i="3"/>
  <c r="DH11" i="3"/>
  <c r="CX143" i="3"/>
  <c r="DI97" i="3"/>
  <c r="DF97" i="3"/>
  <c r="CV63" i="3"/>
  <c r="CW24" i="3"/>
  <c r="DH4" i="3"/>
  <c r="DF4" i="3"/>
  <c r="DG4" i="3"/>
  <c r="DI4" i="3"/>
  <c r="DJ4" i="3" s="1"/>
  <c r="DG159" i="3"/>
  <c r="DH158" i="3"/>
  <c r="DG137" i="3"/>
  <c r="DH136" i="3"/>
  <c r="DG127" i="3"/>
  <c r="DF127" i="3"/>
  <c r="DJ127" i="3" s="1"/>
  <c r="CX114" i="3"/>
  <c r="CV114" i="3"/>
  <c r="CW76" i="3"/>
  <c r="CW68" i="3"/>
  <c r="CW53" i="3"/>
  <c r="DF42" i="3"/>
  <c r="DJ42" i="3" s="1"/>
  <c r="DG42" i="3"/>
  <c r="DH42" i="3"/>
  <c r="DI42" i="3"/>
  <c r="CX27" i="3"/>
  <c r="DH120" i="3"/>
  <c r="CX111" i="3"/>
  <c r="DH98" i="3"/>
  <c r="DF98" i="3"/>
  <c r="DJ98" i="3" s="1"/>
  <c r="CW92" i="3"/>
  <c r="CX92" i="3"/>
  <c r="CX84" i="3"/>
  <c r="CX66" i="3"/>
  <c r="CW60" i="3"/>
  <c r="CX60" i="3"/>
  <c r="CV133" i="3"/>
  <c r="CX133" i="3"/>
  <c r="DG123" i="3"/>
  <c r="DI123" i="3"/>
  <c r="DJ123" i="3" s="1"/>
  <c r="DH40" i="3"/>
  <c r="DF40" i="3"/>
  <c r="DG40" i="3"/>
  <c r="DI40" i="3"/>
  <c r="DJ40" i="3" s="1"/>
  <c r="DF22" i="3"/>
  <c r="DJ22" i="3" s="1"/>
  <c r="DG22" i="3"/>
  <c r="DH22" i="3"/>
  <c r="DI22" i="3"/>
  <c r="DH20" i="3"/>
  <c r="DF20" i="3"/>
  <c r="DJ20" i="3" s="1"/>
  <c r="DG20" i="3"/>
  <c r="DI20" i="3"/>
  <c r="DF18" i="3"/>
  <c r="DJ18" i="3" s="1"/>
  <c r="DG18" i="3"/>
  <c r="DH18" i="3"/>
  <c r="DI18" i="3"/>
  <c r="CX214" i="3"/>
  <c r="CX207" i="3"/>
  <c r="CX179" i="3"/>
  <c r="CX155" i="3"/>
  <c r="DH134" i="3"/>
  <c r="DG129" i="3"/>
  <c r="DG126" i="3"/>
  <c r="DH12" i="3"/>
  <c r="DF12" i="3"/>
  <c r="DJ12" i="3" s="1"/>
  <c r="DG12" i="3"/>
  <c r="DI12" i="3"/>
  <c r="DF128" i="3"/>
  <c r="DJ128" i="3" s="1"/>
  <c r="DG128" i="3"/>
  <c r="DI122" i="3"/>
  <c r="DJ122" i="3" s="1"/>
  <c r="CW104" i="3"/>
  <c r="CX104" i="3"/>
  <c r="DG99" i="3"/>
  <c r="DH99" i="3"/>
  <c r="DI99" i="3"/>
  <c r="DJ99" i="3" s="1"/>
  <c r="DH97" i="3"/>
  <c r="CW85" i="3"/>
  <c r="CX85" i="3"/>
  <c r="CX77" i="3"/>
  <c r="CX69" i="3"/>
  <c r="DF58" i="3"/>
  <c r="DG58" i="3"/>
  <c r="DH58" i="3"/>
  <c r="DI58" i="3"/>
  <c r="DJ58" i="3" s="1"/>
  <c r="DF57" i="3"/>
  <c r="DG57" i="3"/>
  <c r="DH57" i="3"/>
  <c r="DI57" i="3"/>
  <c r="DJ57" i="3" s="1"/>
  <c r="CW46" i="3"/>
  <c r="DF5" i="3"/>
  <c r="DG5" i="3"/>
  <c r="DH5" i="3"/>
  <c r="DI5" i="3"/>
  <c r="DJ5" i="3" s="1"/>
  <c r="DG6" i="3"/>
  <c r="DJ6" i="3" s="1"/>
  <c r="CW77" i="3"/>
  <c r="CX76" i="3"/>
  <c r="CX67" i="3"/>
  <c r="CX46" i="3"/>
  <c r="CX37" i="3"/>
  <c r="CX29" i="3"/>
  <c r="CX14" i="3"/>
  <c r="DI16" i="3"/>
  <c r="CX3" i="3"/>
  <c r="CX2" i="3"/>
  <c r="DH96" i="3"/>
  <c r="DI95" i="3"/>
  <c r="DJ95" i="3" s="1"/>
  <c r="CX53" i="3"/>
  <c r="CV44" i="3"/>
  <c r="DG39" i="3"/>
  <c r="DH38" i="3"/>
  <c r="CW25" i="3"/>
  <c r="CX24" i="3"/>
  <c r="DG15" i="3"/>
  <c r="DJ15" i="3" s="1"/>
  <c r="CX7" i="3"/>
  <c r="DH95" i="3"/>
  <c r="CV83" i="3"/>
  <c r="CX63" i="3"/>
  <c r="CX124" i="3"/>
  <c r="DI102" i="3"/>
  <c r="DI44" i="3"/>
  <c r="DJ44" i="3" s="1"/>
  <c r="DH36" i="3"/>
  <c r="DH9" i="3"/>
  <c r="CW70" i="3"/>
  <c r="DI35" i="3"/>
  <c r="DJ35" i="3" s="1"/>
  <c r="CX32" i="3"/>
  <c r="J623" i="7" l="1"/>
  <c r="J226" i="7"/>
  <c r="H473" i="7"/>
  <c r="J473" i="7"/>
  <c r="J606" i="7"/>
  <c r="H606" i="7"/>
  <c r="H226" i="7"/>
  <c r="H619" i="7"/>
  <c r="H623" i="7"/>
  <c r="J619" i="7"/>
  <c r="CJ26" i="1"/>
  <c r="BA63" i="1"/>
  <c r="DY95" i="1"/>
  <c r="DL180" i="1"/>
  <c r="CY243" i="1"/>
  <c r="CZ243" i="1"/>
  <c r="X243" i="1"/>
  <c r="Y243" i="1"/>
  <c r="EB95" i="1"/>
  <c r="DO180" i="1"/>
  <c r="AG26" i="1"/>
  <c r="T63" i="1"/>
  <c r="DZ95" i="1"/>
  <c r="DM180" i="1"/>
  <c r="CZ110" i="1"/>
  <c r="X110" i="1"/>
  <c r="Y110" i="1"/>
  <c r="CY110" i="1"/>
  <c r="DG117" i="3"/>
  <c r="DI117" i="3"/>
  <c r="DJ117" i="3" s="1"/>
  <c r="DF117" i="3"/>
  <c r="DH117" i="3"/>
  <c r="DH116" i="3"/>
  <c r="DF116" i="3"/>
  <c r="DJ116" i="3" s="1"/>
  <c r="DG116" i="3"/>
  <c r="DI116" i="3"/>
  <c r="DG76" i="3"/>
  <c r="DJ76" i="3" s="1"/>
  <c r="DH76" i="3"/>
  <c r="DF76" i="3"/>
  <c r="DI76" i="3"/>
  <c r="DG104" i="3"/>
  <c r="DJ104" i="3" s="1"/>
  <c r="DH104" i="3"/>
  <c r="DI104" i="3"/>
  <c r="DF104" i="3"/>
  <c r="DF155" i="3"/>
  <c r="DG155" i="3"/>
  <c r="DH155" i="3"/>
  <c r="DI155" i="3"/>
  <c r="DJ155" i="3" s="1"/>
  <c r="DF60" i="3"/>
  <c r="DG60" i="3"/>
  <c r="DJ60" i="3" s="1"/>
  <c r="DH60" i="3"/>
  <c r="DI60" i="3"/>
  <c r="DF151" i="3"/>
  <c r="DG151" i="3"/>
  <c r="DJ151" i="3" s="1"/>
  <c r="DH151" i="3"/>
  <c r="DI151" i="3"/>
  <c r="DH181" i="3"/>
  <c r="DI181" i="3"/>
  <c r="DF181" i="3"/>
  <c r="DJ181" i="3" s="1"/>
  <c r="DG181" i="3"/>
  <c r="DH93" i="3"/>
  <c r="DI93" i="3"/>
  <c r="DF93" i="3"/>
  <c r="DJ93" i="3" s="1"/>
  <c r="DG93" i="3"/>
  <c r="DF189" i="3"/>
  <c r="DH189" i="3"/>
  <c r="DI189" i="3"/>
  <c r="DG189" i="3"/>
  <c r="DJ189" i="3" s="1"/>
  <c r="Y40" i="1"/>
  <c r="X40" i="1"/>
  <c r="CY40" i="1"/>
  <c r="CZ40" i="1"/>
  <c r="DF255" i="3"/>
  <c r="DJ255" i="3" s="1"/>
  <c r="DG255" i="3"/>
  <c r="DH255" i="3"/>
  <c r="DI255" i="3"/>
  <c r="DH307" i="3"/>
  <c r="DF307" i="3"/>
  <c r="DG307" i="3"/>
  <c r="DJ307" i="3" s="1"/>
  <c r="DI307" i="3"/>
  <c r="DF30" i="3"/>
  <c r="DG30" i="3"/>
  <c r="DJ30" i="3" s="1"/>
  <c r="DH30" i="3"/>
  <c r="DI30" i="3"/>
  <c r="DF342" i="3"/>
  <c r="DJ342" i="3" s="1"/>
  <c r="DG342" i="3"/>
  <c r="DH342" i="3"/>
  <c r="DI342" i="3"/>
  <c r="CY28" i="1"/>
  <c r="X28" i="1"/>
  <c r="Y28" i="1"/>
  <c r="CZ28" i="1"/>
  <c r="AF63" i="1"/>
  <c r="DF305" i="3"/>
  <c r="DG305" i="3"/>
  <c r="DI305" i="3"/>
  <c r="DJ305" i="3" s="1"/>
  <c r="DH305" i="3"/>
  <c r="EU26" i="1"/>
  <c r="P79" i="1"/>
  <c r="EU334" i="1"/>
  <c r="Y44" i="1"/>
  <c r="CY44" i="1"/>
  <c r="CZ44" i="1"/>
  <c r="X44" i="1"/>
  <c r="GM58" i="1"/>
  <c r="GN58" i="1" s="1"/>
  <c r="DF1" i="3"/>
  <c r="DG1" i="3"/>
  <c r="DH1" i="3"/>
  <c r="DI1" i="3"/>
  <c r="DJ1" i="3" s="1"/>
  <c r="GB26" i="1"/>
  <c r="ES63" i="1"/>
  <c r="CY105" i="1"/>
  <c r="CZ105" i="1"/>
  <c r="X105" i="1"/>
  <c r="Y105" i="1"/>
  <c r="GM101" i="1"/>
  <c r="GO101" i="1" s="1"/>
  <c r="GA26" i="1"/>
  <c r="ER63" i="1"/>
  <c r="FR120" i="1"/>
  <c r="CP120" i="1"/>
  <c r="O120" i="1" s="1"/>
  <c r="GM120" i="1" s="1"/>
  <c r="DF206" i="3"/>
  <c r="DJ206" i="3" s="1"/>
  <c r="DI206" i="3"/>
  <c r="DG206" i="3"/>
  <c r="DH206" i="3"/>
  <c r="DI237" i="3"/>
  <c r="DF237" i="3"/>
  <c r="DJ237" i="3" s="1"/>
  <c r="DG237" i="3"/>
  <c r="DH237" i="3"/>
  <c r="DF201" i="3"/>
  <c r="DJ201" i="3" s="1"/>
  <c r="DG201" i="3"/>
  <c r="DH201" i="3"/>
  <c r="DI201" i="3"/>
  <c r="CZ132" i="1"/>
  <c r="CY132" i="1"/>
  <c r="Y132" i="1"/>
  <c r="X132" i="1"/>
  <c r="DG269" i="3"/>
  <c r="DH269" i="3"/>
  <c r="DI269" i="3"/>
  <c r="DF269" i="3"/>
  <c r="DJ269" i="3" s="1"/>
  <c r="X156" i="1"/>
  <c r="Y156" i="1"/>
  <c r="CZ156" i="1"/>
  <c r="CY156" i="1"/>
  <c r="CY158" i="1"/>
  <c r="CZ158" i="1"/>
  <c r="Y158" i="1"/>
  <c r="X158" i="1"/>
  <c r="DG250" i="3"/>
  <c r="DH250" i="3"/>
  <c r="DI250" i="3"/>
  <c r="DF250" i="3"/>
  <c r="DJ250" i="3" s="1"/>
  <c r="EU95" i="1"/>
  <c r="P196" i="1"/>
  <c r="DF271" i="3"/>
  <c r="DG271" i="3"/>
  <c r="DI271" i="3"/>
  <c r="DJ271" i="3" s="1"/>
  <c r="DH271" i="3"/>
  <c r="DG311" i="3"/>
  <c r="DH311" i="3"/>
  <c r="DF311" i="3"/>
  <c r="DJ311" i="3" s="1"/>
  <c r="DI311" i="3"/>
  <c r="U221" i="1"/>
  <c r="CY241" i="1"/>
  <c r="CZ241" i="1"/>
  <c r="X241" i="1"/>
  <c r="Y241" i="1"/>
  <c r="DH338" i="3"/>
  <c r="DI338" i="3"/>
  <c r="DF338" i="3"/>
  <c r="DJ338" i="3" s="1"/>
  <c r="DG338" i="3"/>
  <c r="DF286" i="3"/>
  <c r="DJ286" i="3" s="1"/>
  <c r="DG286" i="3"/>
  <c r="DH286" i="3"/>
  <c r="DI286" i="3"/>
  <c r="GM238" i="1"/>
  <c r="GO238" i="1" s="1"/>
  <c r="DF355" i="3"/>
  <c r="DG355" i="3"/>
  <c r="DH355" i="3"/>
  <c r="DI355" i="3"/>
  <c r="DJ355" i="3" s="1"/>
  <c r="V218" i="1"/>
  <c r="DF320" i="3"/>
  <c r="DJ320" i="3" s="1"/>
  <c r="DI320" i="3"/>
  <c r="DH320" i="3"/>
  <c r="DG320" i="3"/>
  <c r="DH326" i="3"/>
  <c r="DF326" i="3"/>
  <c r="DJ326" i="3" s="1"/>
  <c r="DG326" i="3"/>
  <c r="DI326" i="3"/>
  <c r="DF340" i="3"/>
  <c r="DG340" i="3"/>
  <c r="DJ340" i="3" s="1"/>
  <c r="DH340" i="3"/>
  <c r="DI340" i="3"/>
  <c r="U243" i="1"/>
  <c r="V242" i="1"/>
  <c r="BA299" i="1"/>
  <c r="F324" i="1"/>
  <c r="GA212" i="1"/>
  <c r="ER267" i="1"/>
  <c r="P328" i="1"/>
  <c r="DO299" i="1"/>
  <c r="GM258" i="1"/>
  <c r="GO258" i="1" s="1"/>
  <c r="DF170" i="3"/>
  <c r="DJ170" i="3" s="1"/>
  <c r="DG170" i="3"/>
  <c r="DI170" i="3"/>
  <c r="DH170" i="3"/>
  <c r="DI309" i="3"/>
  <c r="DF309" i="3"/>
  <c r="DJ309" i="3" s="1"/>
  <c r="DH309" i="3"/>
  <c r="DG309" i="3"/>
  <c r="DG25" i="3"/>
  <c r="DJ25" i="3" s="1"/>
  <c r="DH25" i="3"/>
  <c r="DI25" i="3"/>
  <c r="DF25" i="3"/>
  <c r="DI180" i="3"/>
  <c r="DF180" i="3"/>
  <c r="DG180" i="3"/>
  <c r="DJ180" i="3" s="1"/>
  <c r="DH180" i="3"/>
  <c r="DF43" i="3"/>
  <c r="DG43" i="3"/>
  <c r="DH43" i="3"/>
  <c r="DI43" i="3"/>
  <c r="DJ43" i="3" s="1"/>
  <c r="DF67" i="3"/>
  <c r="DG67" i="3"/>
  <c r="DH67" i="3"/>
  <c r="DI67" i="3"/>
  <c r="DJ67" i="3" s="1"/>
  <c r="DH101" i="3"/>
  <c r="DI101" i="3"/>
  <c r="DF101" i="3"/>
  <c r="DG101" i="3"/>
  <c r="DJ101" i="3" s="1"/>
  <c r="DF112" i="3"/>
  <c r="DJ112" i="3" s="1"/>
  <c r="DG112" i="3"/>
  <c r="DH112" i="3"/>
  <c r="DI112" i="3"/>
  <c r="GM40" i="1"/>
  <c r="GO40" i="1" s="1"/>
  <c r="CY115" i="1"/>
  <c r="CZ115" i="1"/>
  <c r="X115" i="1"/>
  <c r="Y115" i="1"/>
  <c r="FY26" i="1"/>
  <c r="EP63" i="1"/>
  <c r="X121" i="1"/>
  <c r="Y121" i="1"/>
  <c r="CY121" i="1"/>
  <c r="CZ121" i="1"/>
  <c r="DF238" i="3"/>
  <c r="DJ238" i="3" s="1"/>
  <c r="DG238" i="3"/>
  <c r="DH238" i="3"/>
  <c r="DI238" i="3"/>
  <c r="DF213" i="3"/>
  <c r="DJ213" i="3" s="1"/>
  <c r="DI213" i="3"/>
  <c r="DG213" i="3"/>
  <c r="DH213" i="3"/>
  <c r="BD95" i="1"/>
  <c r="F205" i="1"/>
  <c r="FR123" i="1"/>
  <c r="CP123" i="1"/>
  <c r="O123" i="1" s="1"/>
  <c r="GM123" i="1" s="1"/>
  <c r="DG188" i="3"/>
  <c r="DJ188" i="3" s="1"/>
  <c r="DH188" i="3"/>
  <c r="DF188" i="3"/>
  <c r="DI188" i="3"/>
  <c r="DG268" i="3"/>
  <c r="DH268" i="3"/>
  <c r="DI268" i="3"/>
  <c r="DF268" i="3"/>
  <c r="DJ268" i="3" s="1"/>
  <c r="CP167" i="1"/>
  <c r="O167" i="1" s="1"/>
  <c r="GM167" i="1" s="1"/>
  <c r="FR167" i="1"/>
  <c r="AI95" i="1"/>
  <c r="V180" i="1"/>
  <c r="DF246" i="3"/>
  <c r="DG246" i="3"/>
  <c r="DJ246" i="3" s="1"/>
  <c r="DH246" i="3"/>
  <c r="DI246" i="3"/>
  <c r="GM176" i="1"/>
  <c r="GN176" i="1" s="1"/>
  <c r="CP226" i="1"/>
  <c r="O226" i="1" s="1"/>
  <c r="GM226" i="1" s="1"/>
  <c r="GO226" i="1" s="1"/>
  <c r="AP212" i="1"/>
  <c r="F276" i="1"/>
  <c r="DF336" i="3"/>
  <c r="DJ336" i="3" s="1"/>
  <c r="DG336" i="3"/>
  <c r="DH336" i="3"/>
  <c r="DI336" i="3"/>
  <c r="BC212" i="1"/>
  <c r="F283" i="1"/>
  <c r="DF285" i="3"/>
  <c r="DJ285" i="3" s="1"/>
  <c r="DG285" i="3"/>
  <c r="DH285" i="3"/>
  <c r="DI285" i="3"/>
  <c r="GX221" i="1"/>
  <c r="DF328" i="3"/>
  <c r="DJ328" i="3" s="1"/>
  <c r="DI328" i="3"/>
  <c r="DH328" i="3"/>
  <c r="DG328" i="3"/>
  <c r="DF339" i="3"/>
  <c r="DG339" i="3"/>
  <c r="DH339" i="3"/>
  <c r="DI339" i="3"/>
  <c r="DJ339" i="3" s="1"/>
  <c r="EB26" i="1"/>
  <c r="DO63" i="1"/>
  <c r="AQ299" i="1"/>
  <c r="F314" i="1"/>
  <c r="ET212" i="1"/>
  <c r="P280" i="1"/>
  <c r="EL299" i="1"/>
  <c r="P322" i="1"/>
  <c r="CG299" i="1"/>
  <c r="AX304" i="1"/>
  <c r="DF32" i="3"/>
  <c r="DJ32" i="3" s="1"/>
  <c r="DG32" i="3"/>
  <c r="DH32" i="3"/>
  <c r="DI32" i="3"/>
  <c r="DG53" i="3"/>
  <c r="DJ53" i="3" s="1"/>
  <c r="DI53" i="3"/>
  <c r="DF53" i="3"/>
  <c r="DH53" i="3"/>
  <c r="DF179" i="3"/>
  <c r="DG179" i="3"/>
  <c r="DH179" i="3"/>
  <c r="DI179" i="3"/>
  <c r="DJ179" i="3" s="1"/>
  <c r="DF166" i="3"/>
  <c r="DG166" i="3"/>
  <c r="DJ166" i="3" s="1"/>
  <c r="DH166" i="3"/>
  <c r="DI166" i="3"/>
  <c r="DF244" i="3"/>
  <c r="DJ244" i="3" s="1"/>
  <c r="DG244" i="3"/>
  <c r="DH244" i="3"/>
  <c r="DI244" i="3"/>
  <c r="DF270" i="3"/>
  <c r="DJ270" i="3" s="1"/>
  <c r="DG270" i="3"/>
  <c r="DH270" i="3"/>
  <c r="DI270" i="3"/>
  <c r="DG319" i="3"/>
  <c r="DF319" i="3"/>
  <c r="DJ319" i="3" s="1"/>
  <c r="DH319" i="3"/>
  <c r="DI319" i="3"/>
  <c r="DF171" i="3"/>
  <c r="DG171" i="3"/>
  <c r="DI171" i="3"/>
  <c r="DJ171" i="3" s="1"/>
  <c r="DH171" i="3"/>
  <c r="DF200" i="3"/>
  <c r="DJ200" i="3" s="1"/>
  <c r="DG200" i="3"/>
  <c r="DH200" i="3"/>
  <c r="DI200" i="3"/>
  <c r="DF205" i="3"/>
  <c r="DG205" i="3"/>
  <c r="DH205" i="3"/>
  <c r="DI205" i="3"/>
  <c r="DJ205" i="3" s="1"/>
  <c r="DH249" i="3"/>
  <c r="DI249" i="3"/>
  <c r="DF249" i="3"/>
  <c r="DJ249" i="3" s="1"/>
  <c r="DG249" i="3"/>
  <c r="DF298" i="3"/>
  <c r="DJ298" i="3" s="1"/>
  <c r="DG298" i="3"/>
  <c r="DH298" i="3"/>
  <c r="DI298" i="3"/>
  <c r="DF294" i="3"/>
  <c r="DG294" i="3"/>
  <c r="DJ294" i="3" s="1"/>
  <c r="DH294" i="3"/>
  <c r="DI294" i="3"/>
  <c r="DF335" i="3"/>
  <c r="DJ335" i="3" s="1"/>
  <c r="DG335" i="3"/>
  <c r="DH335" i="3"/>
  <c r="DI335" i="3"/>
  <c r="CP43" i="1"/>
  <c r="O43" i="1" s="1"/>
  <c r="DF334" i="3"/>
  <c r="DJ334" i="3" s="1"/>
  <c r="DG334" i="3"/>
  <c r="DH334" i="3"/>
  <c r="DI334" i="3"/>
  <c r="DZ26" i="1"/>
  <c r="DM63" i="1"/>
  <c r="X61" i="1"/>
  <c r="GM61" i="1" s="1"/>
  <c r="GN61" i="1" s="1"/>
  <c r="FT63" i="1" s="1"/>
  <c r="Y61" i="1"/>
  <c r="CY61" i="1"/>
  <c r="CZ61" i="1"/>
  <c r="CZ42" i="1"/>
  <c r="X42" i="1"/>
  <c r="GM42" i="1" s="1"/>
  <c r="GO42" i="1" s="1"/>
  <c r="Y42" i="1"/>
  <c r="CY42" i="1"/>
  <c r="DI353" i="3"/>
  <c r="DF353" i="3"/>
  <c r="DJ353" i="3" s="1"/>
  <c r="DG353" i="3"/>
  <c r="DH353" i="3"/>
  <c r="DF109" i="3"/>
  <c r="DG109" i="3"/>
  <c r="DJ109" i="3" s="1"/>
  <c r="DH109" i="3"/>
  <c r="DI109" i="3"/>
  <c r="DG273" i="3"/>
  <c r="DH273" i="3"/>
  <c r="DI273" i="3"/>
  <c r="DF273" i="3"/>
  <c r="DJ273" i="3" s="1"/>
  <c r="DF68" i="3"/>
  <c r="DG68" i="3"/>
  <c r="DJ68" i="3" s="1"/>
  <c r="DH68" i="3"/>
  <c r="DI68" i="3"/>
  <c r="EM26" i="1"/>
  <c r="P82" i="1"/>
  <c r="AI26" i="1"/>
  <c r="V63" i="1"/>
  <c r="DY26" i="1"/>
  <c r="DL63" i="1"/>
  <c r="CY104" i="1"/>
  <c r="CZ104" i="1"/>
  <c r="X104" i="1"/>
  <c r="Y104" i="1"/>
  <c r="EI26" i="1"/>
  <c r="P73" i="1"/>
  <c r="EI334" i="1"/>
  <c r="DG172" i="3"/>
  <c r="DJ172" i="3" s="1"/>
  <c r="DH172" i="3"/>
  <c r="DI172" i="3"/>
  <c r="DF172" i="3"/>
  <c r="DH234" i="3"/>
  <c r="DF234" i="3"/>
  <c r="DG234" i="3"/>
  <c r="DJ234" i="3" s="1"/>
  <c r="DI234" i="3"/>
  <c r="DF212" i="3"/>
  <c r="DJ212" i="3" s="1"/>
  <c r="DG212" i="3"/>
  <c r="DH212" i="3"/>
  <c r="DI212" i="3"/>
  <c r="GM127" i="1"/>
  <c r="CY164" i="1"/>
  <c r="Y164" i="1"/>
  <c r="X164" i="1"/>
  <c r="GM164" i="1" s="1"/>
  <c r="GN164" i="1" s="1"/>
  <c r="CZ164" i="1"/>
  <c r="GM122" i="1"/>
  <c r="GO122" i="1" s="1"/>
  <c r="X124" i="1"/>
  <c r="Y124" i="1"/>
  <c r="CY124" i="1"/>
  <c r="CZ124" i="1"/>
  <c r="CY142" i="1"/>
  <c r="CZ142" i="1"/>
  <c r="X142" i="1"/>
  <c r="Y142" i="1"/>
  <c r="DF191" i="3"/>
  <c r="DJ191" i="3" s="1"/>
  <c r="DH191" i="3"/>
  <c r="DI191" i="3"/>
  <c r="DG191" i="3"/>
  <c r="DH267" i="3"/>
  <c r="DI267" i="3"/>
  <c r="DJ267" i="3" s="1"/>
  <c r="DF267" i="3"/>
  <c r="DG267" i="3"/>
  <c r="DN26" i="1"/>
  <c r="P86" i="1"/>
  <c r="GM138" i="1"/>
  <c r="GO138" i="1" s="1"/>
  <c r="AQ95" i="1"/>
  <c r="F190" i="1"/>
  <c r="DG277" i="3"/>
  <c r="DH277" i="3"/>
  <c r="DI277" i="3"/>
  <c r="DF277" i="3"/>
  <c r="DJ277" i="3" s="1"/>
  <c r="Y131" i="1"/>
  <c r="CY131" i="1"/>
  <c r="X131" i="1"/>
  <c r="CZ131" i="1"/>
  <c r="CY172" i="1"/>
  <c r="CZ172" i="1"/>
  <c r="X172" i="1"/>
  <c r="Y172" i="1"/>
  <c r="GX242" i="1"/>
  <c r="P242" i="1"/>
  <c r="AC267" i="1" s="1"/>
  <c r="Q242" i="1"/>
  <c r="R242" i="1"/>
  <c r="S242" i="1"/>
  <c r="U242" i="1"/>
  <c r="BB212" i="1"/>
  <c r="F280" i="1"/>
  <c r="AG267" i="1"/>
  <c r="DF349" i="3"/>
  <c r="DG349" i="3"/>
  <c r="DJ349" i="3" s="1"/>
  <c r="DH349" i="3"/>
  <c r="DI349" i="3"/>
  <c r="X263" i="1"/>
  <c r="Y263" i="1"/>
  <c r="CY263" i="1"/>
  <c r="CZ263" i="1"/>
  <c r="X244" i="1"/>
  <c r="Y244" i="1"/>
  <c r="GM244" i="1" s="1"/>
  <c r="GO244" i="1" s="1"/>
  <c r="CY244" i="1"/>
  <c r="CZ244" i="1"/>
  <c r="CY228" i="1"/>
  <c r="X228" i="1"/>
  <c r="Y228" i="1"/>
  <c r="CZ228" i="1"/>
  <c r="AF267" i="1"/>
  <c r="DG322" i="3"/>
  <c r="DF322" i="3"/>
  <c r="DJ322" i="3" s="1"/>
  <c r="DH322" i="3"/>
  <c r="DI322" i="3"/>
  <c r="GX227" i="1"/>
  <c r="GB267" i="1" s="1"/>
  <c r="DG324" i="3"/>
  <c r="DJ324" i="3" s="1"/>
  <c r="DH324" i="3"/>
  <c r="DI324" i="3"/>
  <c r="DF324" i="3"/>
  <c r="AS212" i="1"/>
  <c r="F284" i="1"/>
  <c r="BC299" i="1"/>
  <c r="F320" i="1"/>
  <c r="F328" i="1"/>
  <c r="W299" i="1"/>
  <c r="CY48" i="1"/>
  <c r="CZ48" i="1"/>
  <c r="X48" i="1"/>
  <c r="Y48" i="1"/>
  <c r="DI82" i="3"/>
  <c r="DJ82" i="3" s="1"/>
  <c r="DF82" i="3"/>
  <c r="DG82" i="3"/>
  <c r="DH82" i="3"/>
  <c r="DI72" i="3"/>
  <c r="DF72" i="3"/>
  <c r="DJ72" i="3" s="1"/>
  <c r="DG72" i="3"/>
  <c r="DH72" i="3"/>
  <c r="Y133" i="1"/>
  <c r="CY133" i="1"/>
  <c r="X133" i="1"/>
  <c r="CZ133" i="1"/>
  <c r="CP140" i="1"/>
  <c r="O140" i="1" s="1"/>
  <c r="GM140" i="1" s="1"/>
  <c r="FR140" i="1"/>
  <c r="DG242" i="3"/>
  <c r="DH242" i="3"/>
  <c r="DI242" i="3"/>
  <c r="DF242" i="3"/>
  <c r="DJ242" i="3" s="1"/>
  <c r="DF264" i="3"/>
  <c r="DJ264" i="3" s="1"/>
  <c r="DG264" i="3"/>
  <c r="DH264" i="3"/>
  <c r="DI264" i="3"/>
  <c r="DF26" i="3"/>
  <c r="DJ26" i="3" s="1"/>
  <c r="DG26" i="3"/>
  <c r="DH26" i="3"/>
  <c r="DI26" i="3"/>
  <c r="AE26" i="1"/>
  <c r="R63" i="1"/>
  <c r="DI45" i="3"/>
  <c r="DJ45" i="3" s="1"/>
  <c r="DF45" i="3"/>
  <c r="DG45" i="3"/>
  <c r="DH45" i="3"/>
  <c r="DI187" i="3"/>
  <c r="DJ187" i="3" s="1"/>
  <c r="DF187" i="3"/>
  <c r="DG187" i="3"/>
  <c r="DH187" i="3"/>
  <c r="DF295" i="3"/>
  <c r="DG295" i="3"/>
  <c r="DJ295" i="3" s="1"/>
  <c r="DI295" i="3"/>
  <c r="DH295" i="3"/>
  <c r="DF266" i="3"/>
  <c r="DJ266" i="3" s="1"/>
  <c r="DG266" i="3"/>
  <c r="DH266" i="3"/>
  <c r="DI266" i="3"/>
  <c r="DF124" i="3"/>
  <c r="DH124" i="3"/>
  <c r="DG124" i="3"/>
  <c r="DJ124" i="3" s="1"/>
  <c r="DI124" i="3"/>
  <c r="DF207" i="3"/>
  <c r="DG207" i="3"/>
  <c r="DH207" i="3"/>
  <c r="DI207" i="3"/>
  <c r="DJ207" i="3" s="1"/>
  <c r="DH66" i="3"/>
  <c r="DF66" i="3"/>
  <c r="DJ66" i="3" s="1"/>
  <c r="DG66" i="3"/>
  <c r="DI66" i="3"/>
  <c r="DH63" i="3"/>
  <c r="DI63" i="3"/>
  <c r="DJ63" i="3" s="1"/>
  <c r="DF63" i="3"/>
  <c r="DG63" i="3"/>
  <c r="DF214" i="3"/>
  <c r="DG214" i="3"/>
  <c r="DH214" i="3"/>
  <c r="DI214" i="3"/>
  <c r="DJ214" i="3" s="1"/>
  <c r="DI84" i="3"/>
  <c r="DF84" i="3"/>
  <c r="DH84" i="3"/>
  <c r="DG84" i="3"/>
  <c r="DJ84" i="3" s="1"/>
  <c r="DF51" i="3"/>
  <c r="DG51" i="3"/>
  <c r="DH51" i="3"/>
  <c r="DI51" i="3"/>
  <c r="DJ51" i="3" s="1"/>
  <c r="DF274" i="3"/>
  <c r="DJ274" i="3" s="1"/>
  <c r="DG274" i="3"/>
  <c r="DH274" i="3"/>
  <c r="DI274" i="3"/>
  <c r="DF263" i="3"/>
  <c r="DJ263" i="3" s="1"/>
  <c r="DG263" i="3"/>
  <c r="DH263" i="3"/>
  <c r="DI263" i="3"/>
  <c r="DF265" i="3"/>
  <c r="DJ265" i="3" s="1"/>
  <c r="DG265" i="3"/>
  <c r="DH265" i="3"/>
  <c r="DI265" i="3"/>
  <c r="DF235" i="3"/>
  <c r="DG235" i="3"/>
  <c r="DJ235" i="3" s="1"/>
  <c r="DH235" i="3"/>
  <c r="DI235" i="3"/>
  <c r="DF34" i="3"/>
  <c r="DJ34" i="3" s="1"/>
  <c r="DG34" i="3"/>
  <c r="DH34" i="3"/>
  <c r="DI34" i="3"/>
  <c r="DF350" i="3"/>
  <c r="DJ350" i="3" s="1"/>
  <c r="DG350" i="3"/>
  <c r="DH350" i="3"/>
  <c r="DI350" i="3"/>
  <c r="CP48" i="1"/>
  <c r="O48" i="1" s="1"/>
  <c r="GM48" i="1" s="1"/>
  <c r="GN48" i="1" s="1"/>
  <c r="DF106" i="3"/>
  <c r="DJ106" i="3" s="1"/>
  <c r="DG106" i="3"/>
  <c r="DH106" i="3"/>
  <c r="DI106" i="3"/>
  <c r="DG327" i="3"/>
  <c r="DF327" i="3"/>
  <c r="DJ327" i="3" s="1"/>
  <c r="DH327" i="3"/>
  <c r="DI327" i="3"/>
  <c r="DF351" i="3"/>
  <c r="DJ351" i="3" s="1"/>
  <c r="DG351" i="3"/>
  <c r="DH351" i="3"/>
  <c r="DI351" i="3"/>
  <c r="CY34" i="1"/>
  <c r="CZ34" i="1"/>
  <c r="X34" i="1"/>
  <c r="GM34" i="1" s="1"/>
  <c r="GO34" i="1" s="1"/>
  <c r="Y34" i="1"/>
  <c r="X50" i="1"/>
  <c r="Y50" i="1"/>
  <c r="CY50" i="1"/>
  <c r="CZ50" i="1"/>
  <c r="AC63" i="1"/>
  <c r="CP30" i="1"/>
  <c r="O30" i="1" s="1"/>
  <c r="GM30" i="1" s="1"/>
  <c r="GO30" i="1" s="1"/>
  <c r="DF343" i="3"/>
  <c r="DJ343" i="3" s="1"/>
  <c r="DG343" i="3"/>
  <c r="DH343" i="3"/>
  <c r="DI343" i="3"/>
  <c r="DF284" i="3"/>
  <c r="DJ284" i="3" s="1"/>
  <c r="DG284" i="3"/>
  <c r="DH284" i="3"/>
  <c r="DI284" i="3"/>
  <c r="DH73" i="3"/>
  <c r="DF73" i="3"/>
  <c r="DJ73" i="3" s="1"/>
  <c r="DG73" i="3"/>
  <c r="DI73" i="3"/>
  <c r="CP105" i="1"/>
  <c r="O105" i="1" s="1"/>
  <c r="GM104" i="1"/>
  <c r="GM55" i="1"/>
  <c r="GN55" i="1" s="1"/>
  <c r="FR113" i="1"/>
  <c r="CP113" i="1"/>
  <c r="O113" i="1" s="1"/>
  <c r="DF174" i="3"/>
  <c r="DJ174" i="3" s="1"/>
  <c r="DG174" i="3"/>
  <c r="DH174" i="3"/>
  <c r="DI174" i="3"/>
  <c r="GM132" i="1"/>
  <c r="X102" i="1"/>
  <c r="Y102" i="1"/>
  <c r="CY102" i="1"/>
  <c r="CZ102" i="1"/>
  <c r="DX180" i="1"/>
  <c r="DG211" i="3"/>
  <c r="DH211" i="3"/>
  <c r="DF211" i="3"/>
  <c r="DJ211" i="3" s="1"/>
  <c r="DI211" i="3"/>
  <c r="DF190" i="3"/>
  <c r="DG190" i="3"/>
  <c r="DJ190" i="3" s="1"/>
  <c r="DI190" i="3"/>
  <c r="DH190" i="3"/>
  <c r="DG182" i="3"/>
  <c r="DH182" i="3"/>
  <c r="DF182" i="3"/>
  <c r="DJ182" i="3" s="1"/>
  <c r="DI182" i="3"/>
  <c r="CY144" i="1"/>
  <c r="CZ144" i="1"/>
  <c r="Y144" i="1"/>
  <c r="GM144" i="1" s="1"/>
  <c r="X144" i="1"/>
  <c r="DH276" i="3"/>
  <c r="DI276" i="3"/>
  <c r="DG276" i="3"/>
  <c r="DF276" i="3"/>
  <c r="DJ276" i="3" s="1"/>
  <c r="ET95" i="1"/>
  <c r="P193" i="1"/>
  <c r="ET334" i="1"/>
  <c r="Q216" i="1"/>
  <c r="CP216" i="1" s="1"/>
  <c r="O216" i="1" s="1"/>
  <c r="GM216" i="1" s="1"/>
  <c r="GO216" i="1" s="1"/>
  <c r="T216" i="1"/>
  <c r="R216" i="1"/>
  <c r="U227" i="1"/>
  <c r="DZ267" i="1" s="1"/>
  <c r="DJ304" i="1"/>
  <c r="DW299" i="1"/>
  <c r="DH310" i="3"/>
  <c r="DI310" i="3"/>
  <c r="DF310" i="3"/>
  <c r="DJ310" i="3" s="1"/>
  <c r="DG310" i="3"/>
  <c r="DF356" i="3"/>
  <c r="DG356" i="3"/>
  <c r="DH356" i="3"/>
  <c r="DI356" i="3"/>
  <c r="DJ356" i="3" s="1"/>
  <c r="CG212" i="1"/>
  <c r="AX267" i="1"/>
  <c r="CP246" i="1"/>
  <c r="O246" i="1" s="1"/>
  <c r="DF292" i="3"/>
  <c r="DJ292" i="3" s="1"/>
  <c r="DG292" i="3"/>
  <c r="DH292" i="3"/>
  <c r="DI292" i="3"/>
  <c r="CP264" i="1"/>
  <c r="O264" i="1" s="1"/>
  <c r="GM264" i="1" s="1"/>
  <c r="GO264" i="1" s="1"/>
  <c r="X246" i="1"/>
  <c r="Y246" i="1"/>
  <c r="CY246" i="1"/>
  <c r="CZ246" i="1"/>
  <c r="DH321" i="3"/>
  <c r="DI321" i="3"/>
  <c r="DF321" i="3"/>
  <c r="DJ321" i="3" s="1"/>
  <c r="DG321" i="3"/>
  <c r="CP234" i="1"/>
  <c r="O234" i="1" s="1"/>
  <c r="GM234" i="1" s="1"/>
  <c r="GO234" i="1" s="1"/>
  <c r="DH330" i="3"/>
  <c r="DI330" i="3"/>
  <c r="DF330" i="3"/>
  <c r="DJ330" i="3" s="1"/>
  <c r="DG330" i="3"/>
  <c r="FV212" i="1"/>
  <c r="EM267" i="1"/>
  <c r="DM299" i="1"/>
  <c r="P326" i="1"/>
  <c r="CP241" i="1"/>
  <c r="O241" i="1" s="1"/>
  <c r="R299" i="1"/>
  <c r="F318" i="1"/>
  <c r="DG89" i="3"/>
  <c r="DH89" i="3"/>
  <c r="DI89" i="3"/>
  <c r="DJ89" i="3" s="1"/>
  <c r="DF89" i="3"/>
  <c r="DF144" i="3"/>
  <c r="DG144" i="3"/>
  <c r="DJ144" i="3" s="1"/>
  <c r="DH144" i="3"/>
  <c r="DI144" i="3"/>
  <c r="DF186" i="3"/>
  <c r="DJ186" i="3" s="1"/>
  <c r="DG186" i="3"/>
  <c r="DH186" i="3"/>
  <c r="DI186" i="3"/>
  <c r="DI248" i="3"/>
  <c r="DF248" i="3"/>
  <c r="DJ248" i="3" s="1"/>
  <c r="DG248" i="3"/>
  <c r="DH248" i="3"/>
  <c r="DG2" i="3"/>
  <c r="DH2" i="3"/>
  <c r="DI2" i="3"/>
  <c r="DJ2" i="3" s="1"/>
  <c r="DF2" i="3"/>
  <c r="DF69" i="3"/>
  <c r="DG69" i="3"/>
  <c r="DJ69" i="3" s="1"/>
  <c r="DH69" i="3"/>
  <c r="DI69" i="3"/>
  <c r="DF92" i="3"/>
  <c r="DI92" i="3"/>
  <c r="DG92" i="3"/>
  <c r="DJ92" i="3" s="1"/>
  <c r="DH92" i="3"/>
  <c r="DF221" i="3"/>
  <c r="DG221" i="3"/>
  <c r="DH221" i="3"/>
  <c r="DI221" i="3"/>
  <c r="DJ221" i="3" s="1"/>
  <c r="DI301" i="3"/>
  <c r="DF301" i="3"/>
  <c r="DJ301" i="3" s="1"/>
  <c r="DG301" i="3"/>
  <c r="DH301" i="3"/>
  <c r="DF279" i="3"/>
  <c r="DJ279" i="3" s="1"/>
  <c r="DG279" i="3"/>
  <c r="DI279" i="3"/>
  <c r="DH279" i="3"/>
  <c r="DF315" i="3"/>
  <c r="DG315" i="3"/>
  <c r="DJ315" i="3" s="1"/>
  <c r="DH315" i="3"/>
  <c r="DI315" i="3"/>
  <c r="DF33" i="3"/>
  <c r="DJ33" i="3" s="1"/>
  <c r="DG33" i="3"/>
  <c r="DH33" i="3"/>
  <c r="DI33" i="3"/>
  <c r="CP29" i="1"/>
  <c r="O29" i="1" s="1"/>
  <c r="DF313" i="3"/>
  <c r="DJ313" i="3" s="1"/>
  <c r="DH313" i="3"/>
  <c r="DI313" i="3"/>
  <c r="DG313" i="3"/>
  <c r="DF78" i="3"/>
  <c r="DJ78" i="3" s="1"/>
  <c r="DH78" i="3"/>
  <c r="DI78" i="3"/>
  <c r="DG78" i="3"/>
  <c r="DH94" i="3"/>
  <c r="DI94" i="3"/>
  <c r="DF94" i="3"/>
  <c r="DJ94" i="3" s="1"/>
  <c r="DG94" i="3"/>
  <c r="FR112" i="1"/>
  <c r="CP112" i="1"/>
  <c r="O112" i="1" s="1"/>
  <c r="GM112" i="1" s="1"/>
  <c r="AO26" i="1"/>
  <c r="F67" i="1"/>
  <c r="AO334" i="1"/>
  <c r="DG199" i="3"/>
  <c r="DH199" i="3"/>
  <c r="DI199" i="3"/>
  <c r="DF199" i="3"/>
  <c r="DJ199" i="3" s="1"/>
  <c r="DI208" i="3"/>
  <c r="DF208" i="3"/>
  <c r="DG208" i="3"/>
  <c r="DJ208" i="3" s="1"/>
  <c r="DH208" i="3"/>
  <c r="DF243" i="3"/>
  <c r="DJ243" i="3" s="1"/>
  <c r="DG243" i="3"/>
  <c r="DH243" i="3"/>
  <c r="DI243" i="3"/>
  <c r="DG216" i="3"/>
  <c r="DJ216" i="3" s="1"/>
  <c r="DH216" i="3"/>
  <c r="DF216" i="3"/>
  <c r="DI216" i="3"/>
  <c r="CY162" i="1"/>
  <c r="CZ162" i="1"/>
  <c r="X162" i="1"/>
  <c r="GM162" i="1" s="1"/>
  <c r="GO162" i="1" s="1"/>
  <c r="Y162" i="1"/>
  <c r="Q221" i="1"/>
  <c r="CP221" i="1" s="1"/>
  <c r="O221" i="1" s="1"/>
  <c r="S221" i="1"/>
  <c r="V221" i="1"/>
  <c r="R221" i="1"/>
  <c r="CP158" i="1"/>
  <c r="O158" i="1" s="1"/>
  <c r="GM158" i="1" s="1"/>
  <c r="GN158" i="1" s="1"/>
  <c r="DI275" i="3"/>
  <c r="DJ275" i="3" s="1"/>
  <c r="DF275" i="3"/>
  <c r="DG275" i="3"/>
  <c r="DH275" i="3"/>
  <c r="R218" i="1"/>
  <c r="S218" i="1"/>
  <c r="Q218" i="1"/>
  <c r="P218" i="1"/>
  <c r="Y175" i="1"/>
  <c r="CY175" i="1"/>
  <c r="CP175" i="1"/>
  <c r="O175" i="1" s="1"/>
  <c r="X175" i="1"/>
  <c r="CZ175" i="1"/>
  <c r="AJ267" i="1"/>
  <c r="V227" i="1"/>
  <c r="EA267" i="1" s="1"/>
  <c r="DG308" i="3"/>
  <c r="DF308" i="3"/>
  <c r="DJ308" i="3" s="1"/>
  <c r="DH308" i="3"/>
  <c r="DI308" i="3"/>
  <c r="CY250" i="1"/>
  <c r="CZ250" i="1"/>
  <c r="X250" i="1"/>
  <c r="GM250" i="1" s="1"/>
  <c r="GO250" i="1" s="1"/>
  <c r="Y250" i="1"/>
  <c r="DF348" i="3"/>
  <c r="DG348" i="3"/>
  <c r="DJ348" i="3" s="1"/>
  <c r="DH348" i="3"/>
  <c r="DI348" i="3"/>
  <c r="AJ95" i="1"/>
  <c r="W180" i="1"/>
  <c r="GM235" i="1"/>
  <c r="GO235" i="1" s="1"/>
  <c r="DH329" i="3"/>
  <c r="DI329" i="3"/>
  <c r="DF329" i="3"/>
  <c r="DJ329" i="3" s="1"/>
  <c r="DG329" i="3"/>
  <c r="DH346" i="3"/>
  <c r="DI346" i="3"/>
  <c r="DF346" i="3"/>
  <c r="DJ346" i="3" s="1"/>
  <c r="DG346" i="3"/>
  <c r="EM299" i="1"/>
  <c r="P323" i="1"/>
  <c r="FY212" i="1"/>
  <c r="EP267" i="1"/>
  <c r="DG293" i="3"/>
  <c r="DH293" i="3"/>
  <c r="DI293" i="3"/>
  <c r="DJ293" i="3" s="1"/>
  <c r="DF293" i="3"/>
  <c r="P325" i="1"/>
  <c r="DL299" i="1"/>
  <c r="AG95" i="1"/>
  <c r="T180" i="1"/>
  <c r="DF291" i="3"/>
  <c r="DJ291" i="3" s="1"/>
  <c r="DG291" i="3"/>
  <c r="DH291" i="3"/>
  <c r="DI291" i="3"/>
  <c r="CY225" i="1"/>
  <c r="CZ225" i="1"/>
  <c r="X225" i="1"/>
  <c r="GM225" i="1" s="1"/>
  <c r="GO225" i="1" s="1"/>
  <c r="Y225" i="1"/>
  <c r="DF344" i="3"/>
  <c r="DJ344" i="3" s="1"/>
  <c r="DG344" i="3"/>
  <c r="DH344" i="3"/>
  <c r="DI344" i="3"/>
  <c r="EK212" i="1"/>
  <c r="P284" i="1"/>
  <c r="DF296" i="3"/>
  <c r="DJ296" i="3" s="1"/>
  <c r="DH296" i="3"/>
  <c r="DI296" i="3"/>
  <c r="DG296" i="3"/>
  <c r="CJ267" i="1"/>
  <c r="AT299" i="1"/>
  <c r="F322" i="1"/>
  <c r="DG164" i="3"/>
  <c r="DH164" i="3"/>
  <c r="DI164" i="3"/>
  <c r="DJ164" i="3" s="1"/>
  <c r="DF164" i="3"/>
  <c r="DH241" i="3"/>
  <c r="DI241" i="3"/>
  <c r="DF241" i="3"/>
  <c r="DG241" i="3"/>
  <c r="DJ241" i="3" s="1"/>
  <c r="DI317" i="3"/>
  <c r="DF317" i="3"/>
  <c r="DJ317" i="3" s="1"/>
  <c r="DG317" i="3"/>
  <c r="DH317" i="3"/>
  <c r="DH110" i="3"/>
  <c r="DF110" i="3"/>
  <c r="DG110" i="3"/>
  <c r="DJ110" i="3" s="1"/>
  <c r="DI110" i="3"/>
  <c r="Y229" i="1"/>
  <c r="CY229" i="1"/>
  <c r="X229" i="1"/>
  <c r="GM229" i="1" s="1"/>
  <c r="GO229" i="1" s="1"/>
  <c r="CZ229" i="1"/>
  <c r="DF347" i="3"/>
  <c r="DG347" i="3"/>
  <c r="DH347" i="3"/>
  <c r="DI347" i="3"/>
  <c r="DJ347" i="3" s="1"/>
  <c r="DH7" i="3"/>
  <c r="DI7" i="3"/>
  <c r="DF7" i="3"/>
  <c r="DG7" i="3"/>
  <c r="DJ7" i="3" s="1"/>
  <c r="DG85" i="3"/>
  <c r="DJ85" i="3" s="1"/>
  <c r="DH85" i="3"/>
  <c r="DI85" i="3"/>
  <c r="DF85" i="3"/>
  <c r="DG59" i="3"/>
  <c r="DF59" i="3"/>
  <c r="DH59" i="3"/>
  <c r="DI59" i="3"/>
  <c r="DJ59" i="3" s="1"/>
  <c r="DF23" i="3"/>
  <c r="DG23" i="3"/>
  <c r="DH23" i="3"/>
  <c r="DI23" i="3"/>
  <c r="DJ23" i="3" s="1"/>
  <c r="DG197" i="3"/>
  <c r="DJ197" i="3" s="1"/>
  <c r="DH197" i="3"/>
  <c r="DF197" i="3"/>
  <c r="DI197" i="3"/>
  <c r="DG108" i="3"/>
  <c r="DH108" i="3"/>
  <c r="DI108" i="3"/>
  <c r="DJ108" i="3" s="1"/>
  <c r="DF108" i="3"/>
  <c r="DG163" i="3"/>
  <c r="DH163" i="3"/>
  <c r="DF163" i="3"/>
  <c r="DI163" i="3"/>
  <c r="DJ163" i="3" s="1"/>
  <c r="DF228" i="3"/>
  <c r="DG228" i="3"/>
  <c r="DJ228" i="3" s="1"/>
  <c r="DH228" i="3"/>
  <c r="DI228" i="3"/>
  <c r="DF220" i="3"/>
  <c r="DJ220" i="3" s="1"/>
  <c r="DI220" i="3"/>
  <c r="DG220" i="3"/>
  <c r="DH220" i="3"/>
  <c r="DH323" i="3"/>
  <c r="DI323" i="3"/>
  <c r="DJ323" i="3" s="1"/>
  <c r="DF323" i="3"/>
  <c r="DG323" i="3"/>
  <c r="DF281" i="3"/>
  <c r="DG281" i="3"/>
  <c r="DH281" i="3"/>
  <c r="DI281" i="3"/>
  <c r="DJ281" i="3" s="1"/>
  <c r="DF252" i="3"/>
  <c r="DJ252" i="3" s="1"/>
  <c r="DG252" i="3"/>
  <c r="DH252" i="3"/>
  <c r="DI252" i="3"/>
  <c r="DI345" i="3"/>
  <c r="DF345" i="3"/>
  <c r="DJ345" i="3" s="1"/>
  <c r="DG345" i="3"/>
  <c r="DH345" i="3"/>
  <c r="DF107" i="3"/>
  <c r="DJ107" i="3" s="1"/>
  <c r="DI107" i="3"/>
  <c r="DG107" i="3"/>
  <c r="DH107" i="3"/>
  <c r="GM50" i="1"/>
  <c r="GO50" i="1" s="1"/>
  <c r="DI79" i="3"/>
  <c r="DF79" i="3"/>
  <c r="DJ79" i="3" s="1"/>
  <c r="DH79" i="3"/>
  <c r="DG79" i="3"/>
  <c r="DF61" i="3"/>
  <c r="DJ61" i="3" s="1"/>
  <c r="DG61" i="3"/>
  <c r="DH61" i="3"/>
  <c r="DI61" i="3"/>
  <c r="DF71" i="3"/>
  <c r="DJ71" i="3" s="1"/>
  <c r="DG71" i="3"/>
  <c r="DI71" i="3"/>
  <c r="DH71" i="3"/>
  <c r="EH26" i="1"/>
  <c r="P72" i="1"/>
  <c r="FR118" i="1"/>
  <c r="CP118" i="1"/>
  <c r="O118" i="1" s="1"/>
  <c r="GM118" i="1" s="1"/>
  <c r="DF154" i="3"/>
  <c r="DJ154" i="3" s="1"/>
  <c r="DG154" i="3"/>
  <c r="DH154" i="3"/>
  <c r="DI154" i="3"/>
  <c r="AE180" i="1"/>
  <c r="DH176" i="3"/>
  <c r="DI176" i="3"/>
  <c r="DF176" i="3"/>
  <c r="DJ176" i="3" s="1"/>
  <c r="DG176" i="3"/>
  <c r="X148" i="1"/>
  <c r="GM148" i="1" s="1"/>
  <c r="Y148" i="1"/>
  <c r="CY148" i="1"/>
  <c r="CZ148" i="1"/>
  <c r="GM141" i="1"/>
  <c r="GO141" i="1" s="1"/>
  <c r="CP117" i="1"/>
  <c r="O117" i="1" s="1"/>
  <c r="GM117" i="1" s="1"/>
  <c r="FR117" i="1"/>
  <c r="DF239" i="3"/>
  <c r="DG239" i="3"/>
  <c r="DH239" i="3"/>
  <c r="DI239" i="3"/>
  <c r="DJ239" i="3" s="1"/>
  <c r="DG218" i="3"/>
  <c r="DH218" i="3"/>
  <c r="DF218" i="3"/>
  <c r="DJ218" i="3" s="1"/>
  <c r="DI218" i="3"/>
  <c r="GM172" i="1"/>
  <c r="GN172" i="1" s="1"/>
  <c r="CP223" i="1"/>
  <c r="O223" i="1" s="1"/>
  <c r="DU267" i="1"/>
  <c r="X168" i="1"/>
  <c r="GM168" i="1" s="1"/>
  <c r="Y168" i="1"/>
  <c r="CY168" i="1"/>
  <c r="CZ168" i="1"/>
  <c r="DF245" i="3"/>
  <c r="DG245" i="3"/>
  <c r="DH245" i="3"/>
  <c r="DI245" i="3"/>
  <c r="DJ245" i="3" s="1"/>
  <c r="CJ95" i="1"/>
  <c r="BA180" i="1"/>
  <c r="CY157" i="1"/>
  <c r="CZ157" i="1"/>
  <c r="X157" i="1"/>
  <c r="GM157" i="1" s="1"/>
  <c r="GN157" i="1" s="1"/>
  <c r="Y157" i="1"/>
  <c r="R220" i="1"/>
  <c r="Q220" i="1"/>
  <c r="S220" i="1"/>
  <c r="V220" i="1"/>
  <c r="BB95" i="1"/>
  <c r="F193" i="1"/>
  <c r="BB334" i="1"/>
  <c r="CP232" i="1"/>
  <c r="O232" i="1" s="1"/>
  <c r="GM232" i="1" s="1"/>
  <c r="GO232" i="1" s="1"/>
  <c r="AO212" i="1"/>
  <c r="F271" i="1"/>
  <c r="CY252" i="1"/>
  <c r="CZ252" i="1"/>
  <c r="X252" i="1"/>
  <c r="GM252" i="1" s="1"/>
  <c r="GO252" i="1" s="1"/>
  <c r="Y252" i="1"/>
  <c r="DF333" i="3"/>
  <c r="DG333" i="3"/>
  <c r="DJ333" i="3" s="1"/>
  <c r="DH333" i="3"/>
  <c r="DI333" i="3"/>
  <c r="CZ239" i="1"/>
  <c r="X239" i="1"/>
  <c r="Y239" i="1"/>
  <c r="CY239" i="1"/>
  <c r="CP239" i="1"/>
  <c r="O239" i="1" s="1"/>
  <c r="CZ236" i="1"/>
  <c r="X236" i="1"/>
  <c r="Y236" i="1"/>
  <c r="CY236" i="1"/>
  <c r="AF299" i="1"/>
  <c r="S304" i="1"/>
  <c r="AO299" i="1"/>
  <c r="F308" i="1"/>
  <c r="DG303" i="3"/>
  <c r="DH303" i="3"/>
  <c r="DI303" i="3"/>
  <c r="DF303" i="3"/>
  <c r="DJ303" i="3" s="1"/>
  <c r="AH267" i="1"/>
  <c r="DV26" i="1"/>
  <c r="DI63" i="1"/>
  <c r="CP115" i="1"/>
  <c r="O115" i="1" s="1"/>
  <c r="GM115" i="1" s="1"/>
  <c r="FR115" i="1"/>
  <c r="DF165" i="3"/>
  <c r="DG165" i="3"/>
  <c r="DH165" i="3"/>
  <c r="DI165" i="3"/>
  <c r="DJ165" i="3" s="1"/>
  <c r="CG95" i="1"/>
  <c r="AX180" i="1"/>
  <c r="DF114" i="3"/>
  <c r="DH114" i="3"/>
  <c r="DI114" i="3"/>
  <c r="DJ114" i="3" s="1"/>
  <c r="DG114" i="3"/>
  <c r="DF233" i="3"/>
  <c r="DG233" i="3"/>
  <c r="DH233" i="3"/>
  <c r="DI233" i="3"/>
  <c r="DJ233" i="3" s="1"/>
  <c r="DF105" i="3"/>
  <c r="DG105" i="3"/>
  <c r="DJ105" i="3" s="1"/>
  <c r="DH105" i="3"/>
  <c r="DI105" i="3"/>
  <c r="DF153" i="3"/>
  <c r="DJ153" i="3" s="1"/>
  <c r="DG153" i="3"/>
  <c r="DH153" i="3"/>
  <c r="DI153" i="3"/>
  <c r="CP97" i="1"/>
  <c r="O97" i="1" s="1"/>
  <c r="AC180" i="1"/>
  <c r="DF198" i="3"/>
  <c r="DH198" i="3"/>
  <c r="DI198" i="3"/>
  <c r="DG198" i="3"/>
  <c r="DJ198" i="3" s="1"/>
  <c r="GM142" i="1"/>
  <c r="GO142" i="1" s="1"/>
  <c r="GM170" i="1"/>
  <c r="GN170" i="1" s="1"/>
  <c r="GM139" i="1"/>
  <c r="DI215" i="3"/>
  <c r="DF215" i="3"/>
  <c r="DG215" i="3"/>
  <c r="DJ215" i="3" s="1"/>
  <c r="DH215" i="3"/>
  <c r="DF262" i="3"/>
  <c r="DJ262" i="3" s="1"/>
  <c r="DG262" i="3"/>
  <c r="DH262" i="3"/>
  <c r="DI262" i="3"/>
  <c r="FV95" i="1"/>
  <c r="EM180" i="1"/>
  <c r="CY173" i="1"/>
  <c r="CZ173" i="1"/>
  <c r="X173" i="1"/>
  <c r="Y173" i="1"/>
  <c r="GM131" i="1"/>
  <c r="DF254" i="3"/>
  <c r="DJ254" i="3" s="1"/>
  <c r="DG254" i="3"/>
  <c r="DH254" i="3"/>
  <c r="DI254" i="3"/>
  <c r="CY254" i="1"/>
  <c r="CZ254" i="1"/>
  <c r="X254" i="1"/>
  <c r="GM254" i="1" s="1"/>
  <c r="GO254" i="1" s="1"/>
  <c r="Y254" i="1"/>
  <c r="CZ240" i="1"/>
  <c r="X240" i="1"/>
  <c r="GM240" i="1" s="1"/>
  <c r="GO240" i="1" s="1"/>
  <c r="Y240" i="1"/>
  <c r="CY240" i="1"/>
  <c r="EH304" i="1"/>
  <c r="FQ299" i="1"/>
  <c r="GA304" i="1"/>
  <c r="CD212" i="1"/>
  <c r="AU267" i="1"/>
  <c r="AL299" i="1"/>
  <c r="Y304" i="1"/>
  <c r="CP245" i="1"/>
  <c r="O245" i="1" s="1"/>
  <c r="GM245" i="1" s="1"/>
  <c r="GO245" i="1" s="1"/>
  <c r="DN299" i="1"/>
  <c r="P327" i="1"/>
  <c r="DH28" i="3"/>
  <c r="DF28" i="3"/>
  <c r="DJ28" i="3" s="1"/>
  <c r="DG28" i="3"/>
  <c r="DI28" i="3"/>
  <c r="DI337" i="3"/>
  <c r="DF337" i="3"/>
  <c r="DJ337" i="3" s="1"/>
  <c r="DG337" i="3"/>
  <c r="DH337" i="3"/>
  <c r="DF90" i="3"/>
  <c r="DG90" i="3"/>
  <c r="DJ90" i="3" s="1"/>
  <c r="DH90" i="3"/>
  <c r="DI90" i="3"/>
  <c r="DF260" i="3"/>
  <c r="DJ260" i="3" s="1"/>
  <c r="DG260" i="3"/>
  <c r="DH260" i="3"/>
  <c r="DI260" i="3"/>
  <c r="DF278" i="3"/>
  <c r="DG278" i="3"/>
  <c r="DH278" i="3"/>
  <c r="DI278" i="3"/>
  <c r="DJ278" i="3" s="1"/>
  <c r="DF49" i="3"/>
  <c r="DJ49" i="3" s="1"/>
  <c r="DG49" i="3"/>
  <c r="DH49" i="3"/>
  <c r="DI49" i="3"/>
  <c r="FR100" i="1"/>
  <c r="CP100" i="1"/>
  <c r="O100" i="1" s="1"/>
  <c r="GM100" i="1" s="1"/>
  <c r="DH24" i="3"/>
  <c r="DI24" i="3"/>
  <c r="DF24" i="3"/>
  <c r="DG24" i="3"/>
  <c r="DJ24" i="3" s="1"/>
  <c r="DF29" i="3"/>
  <c r="DG29" i="3"/>
  <c r="DH29" i="3"/>
  <c r="DI29" i="3"/>
  <c r="DJ29" i="3" s="1"/>
  <c r="DG111" i="3"/>
  <c r="DF111" i="3"/>
  <c r="DJ111" i="3" s="1"/>
  <c r="DH111" i="3"/>
  <c r="DI111" i="3"/>
  <c r="DG121" i="3"/>
  <c r="DH121" i="3"/>
  <c r="DI121" i="3"/>
  <c r="DJ121" i="3" s="1"/>
  <c r="DF121" i="3"/>
  <c r="DF31" i="3"/>
  <c r="DG31" i="3"/>
  <c r="DJ31" i="3" s="1"/>
  <c r="DH31" i="3"/>
  <c r="DI31" i="3"/>
  <c r="DG118" i="3"/>
  <c r="DI118" i="3"/>
  <c r="DF118" i="3"/>
  <c r="DJ118" i="3" s="1"/>
  <c r="DH118" i="3"/>
  <c r="DF194" i="3"/>
  <c r="DJ194" i="3" s="1"/>
  <c r="DG194" i="3"/>
  <c r="DH194" i="3"/>
  <c r="DI194" i="3"/>
  <c r="DF240" i="3"/>
  <c r="DG240" i="3"/>
  <c r="DJ240" i="3" s="1"/>
  <c r="DH240" i="3"/>
  <c r="DI240" i="3"/>
  <c r="DF148" i="3"/>
  <c r="DJ148" i="3" s="1"/>
  <c r="DG148" i="3"/>
  <c r="DH148" i="3"/>
  <c r="DI148" i="3"/>
  <c r="DF193" i="3"/>
  <c r="DJ193" i="3" s="1"/>
  <c r="DG193" i="3"/>
  <c r="DH193" i="3"/>
  <c r="DI193" i="3"/>
  <c r="DF217" i="3"/>
  <c r="DH217" i="3"/>
  <c r="DI217" i="3"/>
  <c r="DG217" i="3"/>
  <c r="DJ217" i="3" s="1"/>
  <c r="DF256" i="3"/>
  <c r="DG256" i="3"/>
  <c r="DH256" i="3"/>
  <c r="DI256" i="3"/>
  <c r="DJ256" i="3" s="1"/>
  <c r="DF304" i="3"/>
  <c r="DJ304" i="3" s="1"/>
  <c r="DG304" i="3"/>
  <c r="DH304" i="3"/>
  <c r="DI304" i="3"/>
  <c r="DI282" i="3"/>
  <c r="DF282" i="3"/>
  <c r="DG282" i="3"/>
  <c r="DJ282" i="3" s="1"/>
  <c r="DH282" i="3"/>
  <c r="DF287" i="3"/>
  <c r="DJ287" i="3" s="1"/>
  <c r="DG287" i="3"/>
  <c r="DI287" i="3"/>
  <c r="DH287" i="3"/>
  <c r="DG83" i="3"/>
  <c r="DH83" i="3"/>
  <c r="DF83" i="3"/>
  <c r="DI83" i="3"/>
  <c r="DJ83" i="3" s="1"/>
  <c r="X43" i="1"/>
  <c r="EC63" i="1" s="1"/>
  <c r="CY43" i="1"/>
  <c r="CZ43" i="1"/>
  <c r="Y43" i="1"/>
  <c r="ED63" i="1" s="1"/>
  <c r="DX63" i="1"/>
  <c r="DG113" i="3"/>
  <c r="DH113" i="3"/>
  <c r="DF113" i="3"/>
  <c r="DI113" i="3"/>
  <c r="DJ113" i="3" s="1"/>
  <c r="DF48" i="3"/>
  <c r="DJ48" i="3" s="1"/>
  <c r="DG48" i="3"/>
  <c r="DH48" i="3"/>
  <c r="DI48" i="3"/>
  <c r="DF75" i="3"/>
  <c r="DG75" i="3"/>
  <c r="DJ75" i="3" s="1"/>
  <c r="DI75" i="3"/>
  <c r="DH75" i="3"/>
  <c r="DH91" i="3"/>
  <c r="DF91" i="3"/>
  <c r="DG91" i="3"/>
  <c r="DJ91" i="3" s="1"/>
  <c r="DI91" i="3"/>
  <c r="DH56" i="3"/>
  <c r="DI56" i="3"/>
  <c r="DF56" i="3"/>
  <c r="DJ56" i="3" s="1"/>
  <c r="DG56" i="3"/>
  <c r="GM51" i="1"/>
  <c r="GO51" i="1" s="1"/>
  <c r="BC26" i="1"/>
  <c r="F79" i="1"/>
  <c r="BC334" i="1"/>
  <c r="GM106" i="1"/>
  <c r="GO106" i="1" s="1"/>
  <c r="DF147" i="3"/>
  <c r="DJ147" i="3" s="1"/>
  <c r="DG147" i="3"/>
  <c r="DH147" i="3"/>
  <c r="DI147" i="3"/>
  <c r="DG169" i="3"/>
  <c r="DH169" i="3"/>
  <c r="DF169" i="3"/>
  <c r="DJ169" i="3" s="1"/>
  <c r="DI169" i="3"/>
  <c r="DF152" i="3"/>
  <c r="DJ152" i="3" s="1"/>
  <c r="DG152" i="3"/>
  <c r="DH152" i="3"/>
  <c r="DI152" i="3"/>
  <c r="CP114" i="1"/>
  <c r="O114" i="1" s="1"/>
  <c r="GM114" i="1" s="1"/>
  <c r="FR114" i="1"/>
  <c r="DG185" i="3"/>
  <c r="DH185" i="3"/>
  <c r="DI185" i="3"/>
  <c r="DF185" i="3"/>
  <c r="DJ185" i="3" s="1"/>
  <c r="DG203" i="3"/>
  <c r="DH203" i="3"/>
  <c r="DF203" i="3"/>
  <c r="DI203" i="3"/>
  <c r="DJ203" i="3" s="1"/>
  <c r="FR119" i="1"/>
  <c r="CP119" i="1"/>
  <c r="O119" i="1" s="1"/>
  <c r="GM119" i="1" s="1"/>
  <c r="GM156" i="1"/>
  <c r="GN156" i="1" s="1"/>
  <c r="CZ135" i="1"/>
  <c r="X135" i="1"/>
  <c r="GM135" i="1" s="1"/>
  <c r="Y135" i="1"/>
  <c r="CY135" i="1"/>
  <c r="GM165" i="1"/>
  <c r="GN165" i="1" s="1"/>
  <c r="DF261" i="3"/>
  <c r="DJ261" i="3" s="1"/>
  <c r="DG261" i="3"/>
  <c r="DH261" i="3"/>
  <c r="DI261" i="3"/>
  <c r="X113" i="1"/>
  <c r="Y113" i="1"/>
  <c r="CY113" i="1"/>
  <c r="CZ113" i="1"/>
  <c r="CZ174" i="1"/>
  <c r="X174" i="1"/>
  <c r="GM174" i="1" s="1"/>
  <c r="CY174" i="1"/>
  <c r="Y174" i="1"/>
  <c r="CZ223" i="1"/>
  <c r="Y223" i="1"/>
  <c r="X223" i="1"/>
  <c r="CY223" i="1"/>
  <c r="AI267" i="1"/>
  <c r="GX218" i="1"/>
  <c r="U216" i="1"/>
  <c r="DF332" i="3"/>
  <c r="DG332" i="3"/>
  <c r="DJ332" i="3" s="1"/>
  <c r="DH332" i="3"/>
  <c r="DI332" i="3"/>
  <c r="DH354" i="3"/>
  <c r="DI354" i="3"/>
  <c r="DF354" i="3"/>
  <c r="DJ354" i="3" s="1"/>
  <c r="DG354" i="3"/>
  <c r="AE267" i="1"/>
  <c r="AD299" i="1"/>
  <c r="Q304" i="1"/>
  <c r="DF316" i="3"/>
  <c r="DG316" i="3"/>
  <c r="DJ316" i="3" s="1"/>
  <c r="DH316" i="3"/>
  <c r="DI316" i="3"/>
  <c r="EG95" i="1"/>
  <c r="P184" i="1"/>
  <c r="EG334" i="1"/>
  <c r="FZ304" i="1"/>
  <c r="DU299" i="1"/>
  <c r="FW304" i="1"/>
  <c r="FX304" i="1"/>
  <c r="DH304" i="1"/>
  <c r="ED299" i="1"/>
  <c r="DQ304" i="1"/>
  <c r="X304" i="1"/>
  <c r="AK299" i="1"/>
  <c r="GM262" i="1"/>
  <c r="GO262" i="1" s="1"/>
  <c r="CI212" i="1"/>
  <c r="AZ267" i="1"/>
  <c r="DH302" i="3"/>
  <c r="DI302" i="3"/>
  <c r="DF302" i="3"/>
  <c r="DJ302" i="3" s="1"/>
  <c r="DG302" i="3"/>
  <c r="CP228" i="1"/>
  <c r="O228" i="1" s="1"/>
  <c r="GM228" i="1" s="1"/>
  <c r="GO228" i="1" s="1"/>
  <c r="CP263" i="1"/>
  <c r="O263" i="1" s="1"/>
  <c r="GM263" i="1" s="1"/>
  <c r="GO263" i="1" s="1"/>
  <c r="DF77" i="3"/>
  <c r="DG77" i="3"/>
  <c r="DJ77" i="3" s="1"/>
  <c r="DI77" i="3"/>
  <c r="DH77" i="3"/>
  <c r="AJ26" i="1"/>
  <c r="W63" i="1"/>
  <c r="DF37" i="3"/>
  <c r="DG37" i="3"/>
  <c r="DH37" i="3"/>
  <c r="DI37" i="3"/>
  <c r="DJ37" i="3" s="1"/>
  <c r="DF135" i="3"/>
  <c r="DG135" i="3"/>
  <c r="DJ135" i="3" s="1"/>
  <c r="DH135" i="3"/>
  <c r="DI135" i="3"/>
  <c r="DI65" i="3"/>
  <c r="DF65" i="3"/>
  <c r="DJ65" i="3" s="1"/>
  <c r="DG65" i="3"/>
  <c r="DH65" i="3"/>
  <c r="DH168" i="3"/>
  <c r="DI168" i="3"/>
  <c r="DF168" i="3"/>
  <c r="DJ168" i="3" s="1"/>
  <c r="DG168" i="3"/>
  <c r="DF247" i="3"/>
  <c r="DG247" i="3"/>
  <c r="DJ247" i="3" s="1"/>
  <c r="DH247" i="3"/>
  <c r="DI247" i="3"/>
  <c r="DI167" i="3"/>
  <c r="DF167" i="3"/>
  <c r="DG167" i="3"/>
  <c r="DJ167" i="3" s="1"/>
  <c r="DH167" i="3"/>
  <c r="DF210" i="3"/>
  <c r="DH210" i="3"/>
  <c r="DI210" i="3"/>
  <c r="DG210" i="3"/>
  <c r="DJ210" i="3" s="1"/>
  <c r="DG183" i="3"/>
  <c r="DH183" i="3"/>
  <c r="DF183" i="3"/>
  <c r="DI183" i="3"/>
  <c r="DJ183" i="3" s="1"/>
  <c r="DF290" i="3"/>
  <c r="DJ290" i="3" s="1"/>
  <c r="DG290" i="3"/>
  <c r="DH290" i="3"/>
  <c r="DI290" i="3"/>
  <c r="DF87" i="3"/>
  <c r="DJ87" i="3" s="1"/>
  <c r="DG87" i="3"/>
  <c r="DH87" i="3"/>
  <c r="DI87" i="3"/>
  <c r="DI103" i="3"/>
  <c r="DJ103" i="3" s="1"/>
  <c r="DF103" i="3"/>
  <c r="DH103" i="3"/>
  <c r="DG103" i="3"/>
  <c r="GM44" i="1"/>
  <c r="GO44" i="1" s="1"/>
  <c r="DF47" i="3"/>
  <c r="DG47" i="3"/>
  <c r="DJ47" i="3" s="1"/>
  <c r="DH47" i="3"/>
  <c r="DI47" i="3"/>
  <c r="DH74" i="3"/>
  <c r="DI74" i="3"/>
  <c r="DJ74" i="3" s="1"/>
  <c r="DF74" i="3"/>
  <c r="DG74" i="3"/>
  <c r="DH55" i="3"/>
  <c r="DI55" i="3"/>
  <c r="DF55" i="3"/>
  <c r="DJ55" i="3" s="1"/>
  <c r="DG55" i="3"/>
  <c r="X108" i="1"/>
  <c r="GM108" i="1" s="1"/>
  <c r="Y108" i="1"/>
  <c r="ED180" i="1" s="1"/>
  <c r="CY108" i="1"/>
  <c r="CZ108" i="1"/>
  <c r="GM102" i="1"/>
  <c r="GO102" i="1" s="1"/>
  <c r="DF146" i="3"/>
  <c r="DJ146" i="3" s="1"/>
  <c r="DG146" i="3"/>
  <c r="DH146" i="3"/>
  <c r="DI146" i="3"/>
  <c r="DG150" i="3"/>
  <c r="DJ150" i="3" s="1"/>
  <c r="DH150" i="3"/>
  <c r="DI150" i="3"/>
  <c r="DF150" i="3"/>
  <c r="CP109" i="1"/>
  <c r="O109" i="1" s="1"/>
  <c r="GM109" i="1" s="1"/>
  <c r="GO109" i="1" s="1"/>
  <c r="AQ26" i="1"/>
  <c r="F73" i="1"/>
  <c r="AQ334" i="1"/>
  <c r="FR116" i="1"/>
  <c r="CP116" i="1"/>
  <c r="O116" i="1" s="1"/>
  <c r="GM116" i="1" s="1"/>
  <c r="GM124" i="1"/>
  <c r="DF196" i="3"/>
  <c r="DG196" i="3"/>
  <c r="DJ196" i="3" s="1"/>
  <c r="DI196" i="3"/>
  <c r="DH196" i="3"/>
  <c r="DF184" i="3"/>
  <c r="DH184" i="3"/>
  <c r="DI184" i="3"/>
  <c r="DG184" i="3"/>
  <c r="DJ184" i="3" s="1"/>
  <c r="CP173" i="1"/>
  <c r="O173" i="1" s="1"/>
  <c r="GM173" i="1" s="1"/>
  <c r="FR173" i="1"/>
  <c r="DF204" i="3"/>
  <c r="DJ204" i="3" s="1"/>
  <c r="DG204" i="3"/>
  <c r="DI204" i="3"/>
  <c r="DH204" i="3"/>
  <c r="Y151" i="1"/>
  <c r="CY151" i="1"/>
  <c r="CZ151" i="1"/>
  <c r="X151" i="1"/>
  <c r="AK180" i="1" s="1"/>
  <c r="CP151" i="1"/>
  <c r="O151" i="1" s="1"/>
  <c r="DF259" i="3"/>
  <c r="DJ259" i="3" s="1"/>
  <c r="DG259" i="3"/>
  <c r="DH259" i="3"/>
  <c r="DI259" i="3"/>
  <c r="GM217" i="1"/>
  <c r="GO217" i="1" s="1"/>
  <c r="DF253" i="3"/>
  <c r="DJ253" i="3" s="1"/>
  <c r="DG253" i="3"/>
  <c r="DH253" i="3"/>
  <c r="DI253" i="3"/>
  <c r="CP133" i="1"/>
  <c r="O133" i="1" s="1"/>
  <c r="GM133" i="1" s="1"/>
  <c r="GO133" i="1" s="1"/>
  <c r="FR111" i="1"/>
  <c r="BY180" i="1" s="1"/>
  <c r="CP111" i="1"/>
  <c r="O111" i="1" s="1"/>
  <c r="GM111" i="1" s="1"/>
  <c r="Q227" i="1"/>
  <c r="DV267" i="1" s="1"/>
  <c r="R227" i="1"/>
  <c r="DW267" i="1" s="1"/>
  <c r="W227" i="1"/>
  <c r="EB267" i="1" s="1"/>
  <c r="S227" i="1"/>
  <c r="CP227" i="1" s="1"/>
  <c r="O227" i="1" s="1"/>
  <c r="P220" i="1"/>
  <c r="CP220" i="1" s="1"/>
  <c r="O220" i="1" s="1"/>
  <c r="AU95" i="1"/>
  <c r="F199" i="1"/>
  <c r="AU334" i="1"/>
  <c r="DG306" i="3"/>
  <c r="DJ306" i="3" s="1"/>
  <c r="DF306" i="3"/>
  <c r="DH306" i="3"/>
  <c r="DI306" i="3"/>
  <c r="GM222" i="1"/>
  <c r="CZ256" i="1"/>
  <c r="CY256" i="1"/>
  <c r="X256" i="1"/>
  <c r="GM256" i="1" s="1"/>
  <c r="GO256" i="1" s="1"/>
  <c r="Y256" i="1"/>
  <c r="DF331" i="3"/>
  <c r="DG331" i="3"/>
  <c r="DH331" i="3"/>
  <c r="DI331" i="3"/>
  <c r="DJ331" i="3" s="1"/>
  <c r="DF352" i="3"/>
  <c r="DJ352" i="3" s="1"/>
  <c r="DG352" i="3"/>
  <c r="DH352" i="3"/>
  <c r="DI352" i="3"/>
  <c r="DF288" i="3"/>
  <c r="DJ288" i="3" s="1"/>
  <c r="DH288" i="3"/>
  <c r="DI288" i="3"/>
  <c r="DG288" i="3"/>
  <c r="AD267" i="1"/>
  <c r="DF314" i="3"/>
  <c r="DG314" i="3"/>
  <c r="DH314" i="3"/>
  <c r="DI314" i="3"/>
  <c r="DJ314" i="3" s="1"/>
  <c r="FY95" i="1"/>
  <c r="EP180" i="1"/>
  <c r="GM265" i="1"/>
  <c r="GO265" i="1" s="1"/>
  <c r="GM260" i="1"/>
  <c r="GO260" i="1" s="1"/>
  <c r="EC299" i="1"/>
  <c r="DP304" i="1"/>
  <c r="FR301" i="1"/>
  <c r="BY304" i="1" s="1"/>
  <c r="AC304" i="1"/>
  <c r="CP301" i="1"/>
  <c r="O301" i="1" s="1"/>
  <c r="AQ212" i="1"/>
  <c r="F277" i="1"/>
  <c r="DF3" i="3"/>
  <c r="DG3" i="3"/>
  <c r="DH3" i="3"/>
  <c r="DI3" i="3"/>
  <c r="DJ3" i="3" s="1"/>
  <c r="DF62" i="3"/>
  <c r="DJ62" i="3" s="1"/>
  <c r="DG62" i="3"/>
  <c r="DH62" i="3"/>
  <c r="DI62" i="3"/>
  <c r="DF219" i="3"/>
  <c r="DJ219" i="3" s="1"/>
  <c r="DG219" i="3"/>
  <c r="DH219" i="3"/>
  <c r="DI219" i="3"/>
  <c r="FR153" i="1"/>
  <c r="CP153" i="1"/>
  <c r="O153" i="1" s="1"/>
  <c r="GM153" i="1" s="1"/>
  <c r="DF14" i="3"/>
  <c r="DG14" i="3"/>
  <c r="DH14" i="3"/>
  <c r="DI14" i="3"/>
  <c r="DJ14" i="3" s="1"/>
  <c r="DI175" i="3"/>
  <c r="DF175" i="3"/>
  <c r="DJ175" i="3" s="1"/>
  <c r="DG175" i="3"/>
  <c r="DH175" i="3"/>
  <c r="DI325" i="3"/>
  <c r="DF325" i="3"/>
  <c r="DG325" i="3"/>
  <c r="DJ325" i="3" s="1"/>
  <c r="DH325" i="3"/>
  <c r="DH80" i="3"/>
  <c r="DF80" i="3"/>
  <c r="DJ80" i="3" s="1"/>
  <c r="DI80" i="3"/>
  <c r="DG80" i="3"/>
  <c r="CP31" i="1"/>
  <c r="O31" i="1" s="1"/>
  <c r="GM31" i="1" s="1"/>
  <c r="GO31" i="1" s="1"/>
  <c r="DU63" i="1"/>
  <c r="DG46" i="3"/>
  <c r="DJ46" i="3" s="1"/>
  <c r="DF46" i="3"/>
  <c r="DH46" i="3"/>
  <c r="DI46" i="3"/>
  <c r="DI133" i="3"/>
  <c r="DJ133" i="3" s="1"/>
  <c r="DF133" i="3"/>
  <c r="DG133" i="3"/>
  <c r="DH133" i="3"/>
  <c r="DI27" i="3"/>
  <c r="DF27" i="3"/>
  <c r="DJ27" i="3" s="1"/>
  <c r="DG27" i="3"/>
  <c r="DH27" i="3"/>
  <c r="DG143" i="3"/>
  <c r="DH143" i="3"/>
  <c r="DI143" i="3"/>
  <c r="DJ143" i="3" s="1"/>
  <c r="DF143" i="3"/>
  <c r="DF70" i="3"/>
  <c r="DG70" i="3"/>
  <c r="DJ70" i="3" s="1"/>
  <c r="DH70" i="3"/>
  <c r="DI70" i="3"/>
  <c r="DF81" i="3"/>
  <c r="DG81" i="3"/>
  <c r="DH81" i="3"/>
  <c r="DI81" i="3"/>
  <c r="DJ81" i="3" s="1"/>
  <c r="DF173" i="3"/>
  <c r="DG173" i="3"/>
  <c r="DJ173" i="3" s="1"/>
  <c r="DH173" i="3"/>
  <c r="DI173" i="3"/>
  <c r="DF50" i="3"/>
  <c r="DJ50" i="3" s="1"/>
  <c r="DG50" i="3"/>
  <c r="DH50" i="3"/>
  <c r="DI50" i="3"/>
  <c r="DW63" i="1"/>
  <c r="AD63" i="1"/>
  <c r="DG297" i="3"/>
  <c r="DH297" i="3"/>
  <c r="DI297" i="3"/>
  <c r="DF297" i="3"/>
  <c r="DJ297" i="3" s="1"/>
  <c r="DF88" i="3"/>
  <c r="DJ88" i="3" s="1"/>
  <c r="DI88" i="3"/>
  <c r="DG88" i="3"/>
  <c r="DH88" i="3"/>
  <c r="DF64" i="3"/>
  <c r="DG64" i="3"/>
  <c r="DJ64" i="3" s="1"/>
  <c r="DH64" i="3"/>
  <c r="DI64" i="3"/>
  <c r="DI115" i="3"/>
  <c r="DJ115" i="3" s="1"/>
  <c r="DF115" i="3"/>
  <c r="DG115" i="3"/>
  <c r="DH115" i="3"/>
  <c r="GM60" i="1"/>
  <c r="GN60" i="1" s="1"/>
  <c r="DF54" i="3"/>
  <c r="DJ54" i="3" s="1"/>
  <c r="DI54" i="3"/>
  <c r="DG54" i="3"/>
  <c r="DH54" i="3"/>
  <c r="AH26" i="1"/>
  <c r="U63" i="1"/>
  <c r="CG26" i="1"/>
  <c r="AX63" i="1"/>
  <c r="CP110" i="1"/>
  <c r="O110" i="1" s="1"/>
  <c r="GM110" i="1" s="1"/>
  <c r="GO110" i="1" s="1"/>
  <c r="DF145" i="3"/>
  <c r="DG145" i="3"/>
  <c r="DJ145" i="3" s="1"/>
  <c r="DH145" i="3"/>
  <c r="DI145" i="3"/>
  <c r="CY103" i="1"/>
  <c r="X103" i="1"/>
  <c r="GM103" i="1" s="1"/>
  <c r="Y103" i="1"/>
  <c r="AL180" i="1" s="1"/>
  <c r="CZ103" i="1"/>
  <c r="AF180" i="1"/>
  <c r="DI149" i="3"/>
  <c r="DJ149" i="3" s="1"/>
  <c r="DF149" i="3"/>
  <c r="DG149" i="3"/>
  <c r="DH149" i="3"/>
  <c r="CI26" i="1"/>
  <c r="AZ63" i="1"/>
  <c r="GM125" i="1"/>
  <c r="GO125" i="1" s="1"/>
  <c r="DF236" i="3"/>
  <c r="DJ236" i="3" s="1"/>
  <c r="DG236" i="3"/>
  <c r="DH236" i="3"/>
  <c r="DI236" i="3"/>
  <c r="DH195" i="3"/>
  <c r="DI195" i="3"/>
  <c r="DJ195" i="3" s="1"/>
  <c r="DF195" i="3"/>
  <c r="DG195" i="3"/>
  <c r="DG209" i="3"/>
  <c r="DJ209" i="3" s="1"/>
  <c r="DH209" i="3"/>
  <c r="DF209" i="3"/>
  <c r="DI209" i="3"/>
  <c r="CP121" i="1"/>
  <c r="O121" i="1" s="1"/>
  <c r="GM121" i="1" s="1"/>
  <c r="GO121" i="1" s="1"/>
  <c r="Q166" i="1"/>
  <c r="GX166" i="1"/>
  <c r="GB180" i="1" s="1"/>
  <c r="P166" i="1"/>
  <c r="CP166" i="1" s="1"/>
  <c r="O166" i="1" s="1"/>
  <c r="R166" i="1"/>
  <c r="DW180" i="1" s="1"/>
  <c r="V166" i="1"/>
  <c r="EA180" i="1" s="1"/>
  <c r="EI95" i="1"/>
  <c r="P190" i="1"/>
  <c r="DG258" i="3"/>
  <c r="DJ258" i="3" s="1"/>
  <c r="DH258" i="3"/>
  <c r="DI258" i="3"/>
  <c r="DF258" i="3"/>
  <c r="CZ161" i="1"/>
  <c r="X161" i="1"/>
  <c r="GM161" i="1" s="1"/>
  <c r="GO161" i="1" s="1"/>
  <c r="Y161" i="1"/>
  <c r="CY161" i="1"/>
  <c r="CZ214" i="1"/>
  <c r="X214" i="1"/>
  <c r="GM214" i="1" s="1"/>
  <c r="GO214" i="1" s="1"/>
  <c r="Y214" i="1"/>
  <c r="CY214" i="1"/>
  <c r="W220" i="1"/>
  <c r="CY233" i="1"/>
  <c r="X233" i="1"/>
  <c r="GM233" i="1" s="1"/>
  <c r="GO233" i="1" s="1"/>
  <c r="Y233" i="1"/>
  <c r="CZ233" i="1"/>
  <c r="DF312" i="3"/>
  <c r="DJ312" i="3" s="1"/>
  <c r="DG312" i="3"/>
  <c r="DI312" i="3"/>
  <c r="DH312" i="3"/>
  <c r="CP259" i="1"/>
  <c r="O259" i="1" s="1"/>
  <c r="V216" i="1"/>
  <c r="DG283" i="3"/>
  <c r="DJ283" i="3" s="1"/>
  <c r="DH283" i="3"/>
  <c r="DI283" i="3"/>
  <c r="DF283" i="3"/>
  <c r="CP257" i="1"/>
  <c r="O257" i="1" s="1"/>
  <c r="GM257" i="1" s="1"/>
  <c r="GO257" i="1" s="1"/>
  <c r="AH95" i="1"/>
  <c r="U180" i="1"/>
  <c r="DH318" i="3"/>
  <c r="DF318" i="3"/>
  <c r="DJ318" i="3" s="1"/>
  <c r="DG318" i="3"/>
  <c r="DI318" i="3"/>
  <c r="DF341" i="3"/>
  <c r="DG341" i="3"/>
  <c r="DJ341" i="3" s="1"/>
  <c r="DH341" i="3"/>
  <c r="DI341" i="3"/>
  <c r="F325" i="1"/>
  <c r="T299" i="1"/>
  <c r="DT304" i="1"/>
  <c r="GM302" i="1"/>
  <c r="FS304" i="1" s="1"/>
  <c r="DK304" i="1"/>
  <c r="DX299" i="1"/>
  <c r="CP236" i="1"/>
  <c r="O236" i="1" s="1"/>
  <c r="GM236" i="1" s="1"/>
  <c r="GO236" i="1" s="1"/>
  <c r="EH212" i="1"/>
  <c r="P276" i="1"/>
  <c r="P314" i="1"/>
  <c r="EI299" i="1"/>
  <c r="DF300" i="3"/>
  <c r="DJ300" i="3" s="1"/>
  <c r="DG300" i="3"/>
  <c r="DH300" i="3"/>
  <c r="DI300" i="3"/>
  <c r="EV18" i="1"/>
  <c r="P389" i="1"/>
  <c r="DF202" i="3"/>
  <c r="DJ202" i="3" s="1"/>
  <c r="DG202" i="3"/>
  <c r="DH202" i="3"/>
  <c r="DI202" i="3"/>
  <c r="DF86" i="3"/>
  <c r="DG86" i="3"/>
  <c r="DJ86" i="3" s="1"/>
  <c r="DH86" i="3"/>
  <c r="DI86" i="3"/>
  <c r="CP98" i="1"/>
  <c r="O98" i="1" s="1"/>
  <c r="DV180" i="1"/>
  <c r="DI52" i="3"/>
  <c r="DF52" i="3"/>
  <c r="DG52" i="3"/>
  <c r="DJ52" i="3" s="1"/>
  <c r="DH52" i="3"/>
  <c r="AD180" i="1"/>
  <c r="BD26" i="1"/>
  <c r="F88" i="1"/>
  <c r="BD334" i="1"/>
  <c r="CP177" i="1"/>
  <c r="O177" i="1" s="1"/>
  <c r="GM177" i="1" s="1"/>
  <c r="GN177" i="1" s="1"/>
  <c r="DG192" i="3"/>
  <c r="DH192" i="3"/>
  <c r="DI192" i="3"/>
  <c r="DF192" i="3"/>
  <c r="DJ192" i="3" s="1"/>
  <c r="CY150" i="1"/>
  <c r="X150" i="1"/>
  <c r="Y150" i="1"/>
  <c r="CZ150" i="1"/>
  <c r="CP150" i="1"/>
  <c r="O150" i="1" s="1"/>
  <c r="DF280" i="3"/>
  <c r="DJ280" i="3" s="1"/>
  <c r="DH280" i="3"/>
  <c r="DI280" i="3"/>
  <c r="DG280" i="3"/>
  <c r="DI257" i="3"/>
  <c r="DF257" i="3"/>
  <c r="DG257" i="3"/>
  <c r="DJ257" i="3" s="1"/>
  <c r="DH257" i="3"/>
  <c r="CY166" i="1"/>
  <c r="CZ166" i="1"/>
  <c r="X166" i="1"/>
  <c r="EC180" i="1" s="1"/>
  <c r="Y166" i="1"/>
  <c r="DF251" i="3"/>
  <c r="DJ251" i="3" s="1"/>
  <c r="DG251" i="3"/>
  <c r="DH251" i="3"/>
  <c r="DI251" i="3"/>
  <c r="DF272" i="3"/>
  <c r="DJ272" i="3" s="1"/>
  <c r="DH272" i="3"/>
  <c r="DI272" i="3"/>
  <c r="DG272" i="3"/>
  <c r="X216" i="1"/>
  <c r="Y216" i="1"/>
  <c r="CY216" i="1"/>
  <c r="CZ216" i="1"/>
  <c r="GX220" i="1"/>
  <c r="BC95" i="1"/>
  <c r="F196" i="1"/>
  <c r="DG289" i="3"/>
  <c r="DH289" i="3"/>
  <c r="DI289" i="3"/>
  <c r="DF289" i="3"/>
  <c r="DJ289" i="3" s="1"/>
  <c r="X259" i="1"/>
  <c r="Y259" i="1"/>
  <c r="CY259" i="1"/>
  <c r="CZ259" i="1"/>
  <c r="W216" i="1"/>
  <c r="FY299" i="1"/>
  <c r="EP304" i="1"/>
  <c r="R243" i="1"/>
  <c r="T243" i="1"/>
  <c r="DY267" i="1" s="1"/>
  <c r="Q243" i="1"/>
  <c r="CP243" i="1" s="1"/>
  <c r="O243" i="1" s="1"/>
  <c r="GM243" i="1" s="1"/>
  <c r="GO243" i="1" s="1"/>
  <c r="DF299" i="3"/>
  <c r="DJ299" i="3" s="1"/>
  <c r="DG299" i="3"/>
  <c r="DH299" i="3"/>
  <c r="DI299" i="3"/>
  <c r="U299" i="1"/>
  <c r="F326" i="1"/>
  <c r="DY212" i="1" l="1"/>
  <c r="DL267" i="1"/>
  <c r="EK63" i="1"/>
  <c r="FT26" i="1"/>
  <c r="GM227" i="1"/>
  <c r="GO227" i="1" s="1"/>
  <c r="EB212" i="1"/>
  <c r="DO267" i="1"/>
  <c r="ED26" i="1"/>
  <c r="DQ63" i="1"/>
  <c r="EA212" i="1"/>
  <c r="DN267" i="1"/>
  <c r="AC212" i="1"/>
  <c r="CF267" i="1"/>
  <c r="P267" i="1"/>
  <c r="CH267" i="1"/>
  <c r="CE267" i="1"/>
  <c r="BY95" i="1"/>
  <c r="AP180" i="1"/>
  <c r="CI180" i="1"/>
  <c r="DW95" i="1"/>
  <c r="DJ180" i="1"/>
  <c r="DW212" i="1"/>
  <c r="DJ267" i="1"/>
  <c r="AK95" i="1"/>
  <c r="X180" i="1"/>
  <c r="DV212" i="1"/>
  <c r="DI267" i="1"/>
  <c r="EC95" i="1"/>
  <c r="DP180" i="1"/>
  <c r="AL95" i="1"/>
  <c r="Y180" i="1"/>
  <c r="EC26" i="1"/>
  <c r="DP63" i="1"/>
  <c r="ED95" i="1"/>
  <c r="DQ180" i="1"/>
  <c r="AZ212" i="1"/>
  <c r="F278" i="1"/>
  <c r="GM150" i="1"/>
  <c r="ET22" i="1"/>
  <c r="ET364" i="1"/>
  <c r="P347" i="1"/>
  <c r="DX95" i="1"/>
  <c r="DK180" i="1"/>
  <c r="GM301" i="1"/>
  <c r="CA304" i="1" s="1"/>
  <c r="AB304" i="1"/>
  <c r="AU22" i="1"/>
  <c r="AU364" i="1"/>
  <c r="F353" i="1"/>
  <c r="Y299" i="1"/>
  <c r="F331" i="1"/>
  <c r="AH212" i="1"/>
  <c r="U267" i="1"/>
  <c r="U334" i="1" s="1"/>
  <c r="AE95" i="1"/>
  <c r="R180" i="1"/>
  <c r="EP212" i="1"/>
  <c r="P274" i="1"/>
  <c r="CY218" i="1"/>
  <c r="CZ218" i="1"/>
  <c r="X218" i="1"/>
  <c r="Y218" i="1"/>
  <c r="CB63" i="1"/>
  <c r="V26" i="1"/>
  <c r="F86" i="1"/>
  <c r="V334" i="1"/>
  <c r="GM43" i="1"/>
  <c r="GO43" i="1" s="1"/>
  <c r="ER212" i="1"/>
  <c r="P278" i="1"/>
  <c r="AF26" i="1"/>
  <c r="S63" i="1"/>
  <c r="EP299" i="1"/>
  <c r="P311" i="1"/>
  <c r="GM259" i="1"/>
  <c r="GO259" i="1" s="1"/>
  <c r="DU26" i="1"/>
  <c r="FW63" i="1"/>
  <c r="FZ63" i="1"/>
  <c r="FX63" i="1"/>
  <c r="DH63" i="1"/>
  <c r="CE304" i="1"/>
  <c r="CF304" i="1"/>
  <c r="AC299" i="1"/>
  <c r="P304" i="1"/>
  <c r="CH304" i="1"/>
  <c r="AD212" i="1"/>
  <c r="Q267" i="1"/>
  <c r="X299" i="1"/>
  <c r="F330" i="1"/>
  <c r="GM239" i="1"/>
  <c r="GO239" i="1" s="1"/>
  <c r="W95" i="1"/>
  <c r="F204" i="1"/>
  <c r="GM105" i="1"/>
  <c r="GO105" i="1" s="1"/>
  <c r="AG212" i="1"/>
  <c r="T267" i="1"/>
  <c r="V95" i="1"/>
  <c r="F203" i="1"/>
  <c r="DL95" i="1"/>
  <c r="P201" i="1"/>
  <c r="BD22" i="1"/>
  <c r="BD364" i="1"/>
  <c r="F359" i="1"/>
  <c r="AD95" i="1"/>
  <c r="Q180" i="1"/>
  <c r="AX26" i="1"/>
  <c r="F70" i="1"/>
  <c r="AX334" i="1"/>
  <c r="BY299" i="1"/>
  <c r="CI304" i="1"/>
  <c r="AP304" i="1"/>
  <c r="DQ299" i="1"/>
  <c r="P331" i="1"/>
  <c r="AU212" i="1"/>
  <c r="F286" i="1"/>
  <c r="EM95" i="1"/>
  <c r="P199" i="1"/>
  <c r="AX95" i="1"/>
  <c r="F187" i="1"/>
  <c r="DU212" i="1"/>
  <c r="DH267" i="1"/>
  <c r="FW267" i="1"/>
  <c r="FX267" i="1"/>
  <c r="FZ267" i="1"/>
  <c r="EM334" i="1"/>
  <c r="AL63" i="1"/>
  <c r="AB63" i="1"/>
  <c r="DO95" i="1"/>
  <c r="P204" i="1"/>
  <c r="AD26" i="1"/>
  <c r="Q63" i="1"/>
  <c r="DP299" i="1"/>
  <c r="P330" i="1"/>
  <c r="GM223" i="1"/>
  <c r="DT267" i="1"/>
  <c r="GM29" i="1"/>
  <c r="DT63" i="1"/>
  <c r="AC26" i="1"/>
  <c r="P63" i="1"/>
  <c r="CF63" i="1"/>
  <c r="CE63" i="1"/>
  <c r="CH63" i="1"/>
  <c r="GB212" i="1"/>
  <c r="ES267" i="1"/>
  <c r="EI22" i="1"/>
  <c r="EI364" i="1"/>
  <c r="P344" i="1"/>
  <c r="AK63" i="1"/>
  <c r="GM28" i="1"/>
  <c r="DK299" i="1"/>
  <c r="P319" i="1"/>
  <c r="AF95" i="1"/>
  <c r="S180" i="1"/>
  <c r="U26" i="1"/>
  <c r="F85" i="1"/>
  <c r="DW26" i="1"/>
  <c r="DJ63" i="1"/>
  <c r="CZ227" i="1"/>
  <c r="Y227" i="1"/>
  <c r="X227" i="1"/>
  <c r="CY227" i="1"/>
  <c r="DH299" i="1"/>
  <c r="P307" i="1"/>
  <c r="F316" i="1"/>
  <c r="Q299" i="1"/>
  <c r="ER304" i="1"/>
  <c r="GA299" i="1"/>
  <c r="BA95" i="1"/>
  <c r="F200" i="1"/>
  <c r="T95" i="1"/>
  <c r="F201" i="1"/>
  <c r="AJ212" i="1"/>
  <c r="W267" i="1"/>
  <c r="EA95" i="1"/>
  <c r="DN180" i="1"/>
  <c r="FS299" i="1"/>
  <c r="EJ304" i="1"/>
  <c r="U95" i="1"/>
  <c r="F202" i="1"/>
  <c r="GM166" i="1"/>
  <c r="GN166" i="1" s="1"/>
  <c r="FT180" i="1" s="1"/>
  <c r="FX299" i="1"/>
  <c r="EO304" i="1"/>
  <c r="AI212" i="1"/>
  <c r="V267" i="1"/>
  <c r="DU180" i="1"/>
  <c r="BB22" i="1"/>
  <c r="F347" i="1"/>
  <c r="BB364" i="1"/>
  <c r="GM246" i="1"/>
  <c r="GO246" i="1" s="1"/>
  <c r="P318" i="1"/>
  <c r="DJ299" i="1"/>
  <c r="X242" i="1"/>
  <c r="AK267" i="1" s="1"/>
  <c r="Y242" i="1"/>
  <c r="AL267" i="1" s="1"/>
  <c r="CY242" i="1"/>
  <c r="CZ242" i="1"/>
  <c r="EU22" i="1"/>
  <c r="EU364" i="1"/>
  <c r="P350" i="1"/>
  <c r="GB95" i="1"/>
  <c r="ES180" i="1"/>
  <c r="AQ22" i="1"/>
  <c r="AQ364" i="1"/>
  <c r="F344" i="1"/>
  <c r="FW299" i="1"/>
  <c r="EN304" i="1"/>
  <c r="AE212" i="1"/>
  <c r="R267" i="1"/>
  <c r="DX267" i="1"/>
  <c r="P313" i="1"/>
  <c r="EH299" i="1"/>
  <c r="GM241" i="1"/>
  <c r="GO241" i="1" s="1"/>
  <c r="AX212" i="1"/>
  <c r="F274" i="1"/>
  <c r="DM267" i="1"/>
  <c r="DZ212" i="1"/>
  <c r="DM26" i="1"/>
  <c r="P85" i="1"/>
  <c r="DO26" i="1"/>
  <c r="P87" i="1"/>
  <c r="DO334" i="1"/>
  <c r="EP26" i="1"/>
  <c r="P70" i="1"/>
  <c r="EP334" i="1"/>
  <c r="ES26" i="1"/>
  <c r="P83" i="1"/>
  <c r="ES334" i="1"/>
  <c r="BA26" i="1"/>
  <c r="F83" i="1"/>
  <c r="DV95" i="1"/>
  <c r="DI180" i="1"/>
  <c r="DG304" i="1"/>
  <c r="DT299" i="1"/>
  <c r="GM98" i="1"/>
  <c r="DT180" i="1"/>
  <c r="EP95" i="1"/>
  <c r="P187" i="1"/>
  <c r="GO222" i="1"/>
  <c r="FQ180" i="1"/>
  <c r="AC95" i="1"/>
  <c r="P180" i="1"/>
  <c r="CE180" i="1"/>
  <c r="CF180" i="1"/>
  <c r="CH180" i="1"/>
  <c r="S299" i="1"/>
  <c r="F319" i="1"/>
  <c r="GM175" i="1"/>
  <c r="GN175" i="1" s="1"/>
  <c r="GM151" i="1"/>
  <c r="FZ299" i="1"/>
  <c r="EQ304" i="1"/>
  <c r="EC267" i="1"/>
  <c r="BC22" i="1"/>
  <c r="BC364" i="1"/>
  <c r="F350" i="1"/>
  <c r="DX26" i="1"/>
  <c r="DK63" i="1"/>
  <c r="GM97" i="1"/>
  <c r="AB180" i="1"/>
  <c r="AF212" i="1"/>
  <c r="S267" i="1"/>
  <c r="CP242" i="1"/>
  <c r="O242" i="1" s="1"/>
  <c r="T26" i="1"/>
  <c r="F84" i="1"/>
  <c r="T334" i="1"/>
  <c r="W26" i="1"/>
  <c r="F87" i="1"/>
  <c r="W334" i="1"/>
  <c r="EG22" i="1"/>
  <c r="EG364" i="1"/>
  <c r="P338" i="1"/>
  <c r="CY220" i="1"/>
  <c r="X220" i="1"/>
  <c r="GM220" i="1" s="1"/>
  <c r="GO220" i="1" s="1"/>
  <c r="Y220" i="1"/>
  <c r="CZ220" i="1"/>
  <c r="CJ212" i="1"/>
  <c r="BA267" i="1"/>
  <c r="CY221" i="1"/>
  <c r="CZ221" i="1"/>
  <c r="X221" i="1"/>
  <c r="GM221" i="1" s="1"/>
  <c r="GO221" i="1" s="1"/>
  <c r="Y221" i="1"/>
  <c r="AO22" i="1"/>
  <c r="F338" i="1"/>
  <c r="AO364" i="1"/>
  <c r="EM212" i="1"/>
  <c r="P286" i="1"/>
  <c r="GM113" i="1"/>
  <c r="R26" i="1"/>
  <c r="F77" i="1"/>
  <c r="ED267" i="1"/>
  <c r="AZ26" i="1"/>
  <c r="F74" i="1"/>
  <c r="DI26" i="1"/>
  <c r="P75" i="1"/>
  <c r="DI334" i="1"/>
  <c r="CP218" i="1"/>
  <c r="O218" i="1" s="1"/>
  <c r="DL26" i="1"/>
  <c r="P84" i="1"/>
  <c r="AX299" i="1"/>
  <c r="F311" i="1"/>
  <c r="ER26" i="1"/>
  <c r="P74" i="1"/>
  <c r="DM95" i="1"/>
  <c r="P202" i="1"/>
  <c r="FT95" i="1" l="1"/>
  <c r="EK180" i="1"/>
  <c r="AL212" i="1"/>
  <c r="Y267" i="1"/>
  <c r="U22" i="1"/>
  <c r="F356" i="1"/>
  <c r="U364" i="1"/>
  <c r="DT212" i="1"/>
  <c r="DG267" i="1"/>
  <c r="AU18" i="1"/>
  <c r="F383" i="1"/>
  <c r="DN212" i="1"/>
  <c r="P290" i="1"/>
  <c r="ES22" i="1"/>
  <c r="P354" i="1"/>
  <c r="ES364" i="1"/>
  <c r="GO223" i="1"/>
  <c r="FU267" i="1" s="1"/>
  <c r="FS267" i="1"/>
  <c r="DI22" i="1"/>
  <c r="DI364" i="1"/>
  <c r="P346" i="1"/>
  <c r="DM212" i="1"/>
  <c r="P289" i="1"/>
  <c r="AQ18" i="1"/>
  <c r="F374" i="1"/>
  <c r="DH212" i="1"/>
  <c r="P270" i="1"/>
  <c r="P299" i="1"/>
  <c r="F307" i="1"/>
  <c r="S26" i="1"/>
  <c r="F78" i="1"/>
  <c r="S334" i="1"/>
  <c r="AB299" i="1"/>
  <c r="O304" i="1"/>
  <c r="DP26" i="1"/>
  <c r="P89" i="1"/>
  <c r="DJ95" i="1"/>
  <c r="P194" i="1"/>
  <c r="DQ26" i="1"/>
  <c r="P90" i="1"/>
  <c r="AO18" i="1"/>
  <c r="F368" i="1"/>
  <c r="ES212" i="1"/>
  <c r="P287" i="1"/>
  <c r="AX22" i="1"/>
  <c r="F341" i="1"/>
  <c r="AX364" i="1"/>
  <c r="T212" i="1"/>
  <c r="F288" i="1"/>
  <c r="AR304" i="1"/>
  <c r="CA299" i="1"/>
  <c r="P312" i="1"/>
  <c r="EQ299" i="1"/>
  <c r="DJ26" i="1"/>
  <c r="P77" i="1"/>
  <c r="DJ334" i="1"/>
  <c r="EI18" i="1"/>
  <c r="P374" i="1"/>
  <c r="FW212" i="1"/>
  <c r="EN267" i="1"/>
  <c r="AY304" i="1"/>
  <c r="CH299" i="1"/>
  <c r="S212" i="1"/>
  <c r="F282" i="1"/>
  <c r="AB95" i="1"/>
  <c r="O180" i="1"/>
  <c r="DT95" i="1"/>
  <c r="DG180" i="1"/>
  <c r="EP22" i="1"/>
  <c r="EP364" i="1"/>
  <c r="P341" i="1"/>
  <c r="ES95" i="1"/>
  <c r="P200" i="1"/>
  <c r="ER299" i="1"/>
  <c r="P315" i="1"/>
  <c r="Q26" i="1"/>
  <c r="F75" i="1"/>
  <c r="Q334" i="1"/>
  <c r="AW304" i="1"/>
  <c r="CF299" i="1"/>
  <c r="DK95" i="1"/>
  <c r="P195" i="1"/>
  <c r="Y95" i="1"/>
  <c r="F207" i="1"/>
  <c r="CI95" i="1"/>
  <c r="AZ180" i="1"/>
  <c r="DO212" i="1"/>
  <c r="P291" i="1"/>
  <c r="DL212" i="1"/>
  <c r="P288" i="1"/>
  <c r="DK26" i="1"/>
  <c r="P78" i="1"/>
  <c r="DK334" i="1"/>
  <c r="CH95" i="1"/>
  <c r="AY180" i="1"/>
  <c r="S95" i="1"/>
  <c r="F195" i="1"/>
  <c r="CE26" i="1"/>
  <c r="AV63" i="1"/>
  <c r="Q95" i="1"/>
  <c r="F192" i="1"/>
  <c r="DH26" i="1"/>
  <c r="P66" i="1"/>
  <c r="DH334" i="1"/>
  <c r="DP95" i="1"/>
  <c r="P206" i="1"/>
  <c r="CB180" i="1"/>
  <c r="DQ95" i="1"/>
  <c r="P207" i="1"/>
  <c r="GM218" i="1"/>
  <c r="GO218" i="1" s="1"/>
  <c r="EG18" i="1"/>
  <c r="P368" i="1"/>
  <c r="BB18" i="1"/>
  <c r="F377" i="1"/>
  <c r="CH26" i="1"/>
  <c r="AY63" i="1"/>
  <c r="AV304" i="1"/>
  <c r="CE299" i="1"/>
  <c r="CE212" i="1"/>
  <c r="AV267" i="1"/>
  <c r="DX212" i="1"/>
  <c r="DK267" i="1"/>
  <c r="EU18" i="1"/>
  <c r="P380" i="1"/>
  <c r="DU95" i="1"/>
  <c r="FZ180" i="1"/>
  <c r="DH180" i="1"/>
  <c r="FW180" i="1"/>
  <c r="FX180" i="1"/>
  <c r="P26" i="1"/>
  <c r="F66" i="1"/>
  <c r="P334" i="1"/>
  <c r="AB26" i="1"/>
  <c r="O63" i="1"/>
  <c r="FZ26" i="1"/>
  <c r="EQ63" i="1"/>
  <c r="DI212" i="1"/>
  <c r="P279" i="1"/>
  <c r="AY267" i="1"/>
  <c r="CH212" i="1"/>
  <c r="EO299" i="1"/>
  <c r="P310" i="1"/>
  <c r="FX212" i="1"/>
  <c r="EO267" i="1"/>
  <c r="DJ212" i="1"/>
  <c r="P281" i="1"/>
  <c r="GM242" i="1"/>
  <c r="AB267" i="1"/>
  <c r="GO98" i="1"/>
  <c r="FU180" i="1" s="1"/>
  <c r="FS180" i="1"/>
  <c r="R95" i="1"/>
  <c r="F194" i="1"/>
  <c r="DO22" i="1"/>
  <c r="DO364" i="1"/>
  <c r="P358" i="1"/>
  <c r="CF26" i="1"/>
  <c r="AW63" i="1"/>
  <c r="V22" i="1"/>
  <c r="F357" i="1"/>
  <c r="V364" i="1"/>
  <c r="U212" i="1"/>
  <c r="F289" i="1"/>
  <c r="ET18" i="1"/>
  <c r="P377" i="1"/>
  <c r="DI95" i="1"/>
  <c r="P192" i="1"/>
  <c r="R334" i="1"/>
  <c r="BC18" i="1"/>
  <c r="F380" i="1"/>
  <c r="P95" i="1"/>
  <c r="F183" i="1"/>
  <c r="R212" i="1"/>
  <c r="F281" i="1"/>
  <c r="W212" i="1"/>
  <c r="F291" i="1"/>
  <c r="AL26" i="1"/>
  <c r="Y63" i="1"/>
  <c r="BD18" i="1"/>
  <c r="F389" i="1"/>
  <c r="FW26" i="1"/>
  <c r="EN63" i="1"/>
  <c r="P212" i="1"/>
  <c r="F270" i="1"/>
  <c r="AK212" i="1"/>
  <c r="X267" i="1"/>
  <c r="GO97" i="1"/>
  <c r="CC180" i="1" s="1"/>
  <c r="CA180" i="1"/>
  <c r="P332" i="1"/>
  <c r="EJ299" i="1"/>
  <c r="P306" i="1"/>
  <c r="DG299" i="1"/>
  <c r="FX26" i="1"/>
  <c r="EO63" i="1"/>
  <c r="ED212" i="1"/>
  <c r="DQ267" i="1"/>
  <c r="CE95" i="1"/>
  <c r="AV180" i="1"/>
  <c r="DL334" i="1"/>
  <c r="BA212" i="1"/>
  <c r="F287" i="1"/>
  <c r="T22" i="1"/>
  <c r="T364" i="1"/>
  <c r="F355" i="1"/>
  <c r="BA334" i="1"/>
  <c r="DM334" i="1"/>
  <c r="V212" i="1"/>
  <c r="F290" i="1"/>
  <c r="GO28" i="1"/>
  <c r="CC63" i="1" s="1"/>
  <c r="CA63" i="1"/>
  <c r="DT26" i="1"/>
  <c r="DG63" i="1"/>
  <c r="EM22" i="1"/>
  <c r="EM364" i="1"/>
  <c r="P353" i="1"/>
  <c r="W16" i="2" s="1"/>
  <c r="CB26" i="1"/>
  <c r="AS63" i="1"/>
  <c r="X95" i="1"/>
  <c r="F206" i="1"/>
  <c r="CF212" i="1"/>
  <c r="AW267" i="1"/>
  <c r="EK26" i="1"/>
  <c r="P80" i="1"/>
  <c r="EK334" i="1"/>
  <c r="AP95" i="1"/>
  <c r="F189" i="1"/>
  <c r="AP334" i="1"/>
  <c r="W22" i="1"/>
  <c r="F358" i="1"/>
  <c r="W364" i="1"/>
  <c r="CF95" i="1"/>
  <c r="AW180" i="1"/>
  <c r="DN95" i="1"/>
  <c r="P203" i="1"/>
  <c r="DN334" i="1"/>
  <c r="EC212" i="1"/>
  <c r="DP267" i="1"/>
  <c r="FQ95" i="1"/>
  <c r="EH180" i="1"/>
  <c r="GA180" i="1"/>
  <c r="EN299" i="1"/>
  <c r="P309" i="1"/>
  <c r="AK26" i="1"/>
  <c r="X63" i="1"/>
  <c r="GO29" i="1"/>
  <c r="FU63" i="1" s="1"/>
  <c r="FS63" i="1"/>
  <c r="FZ212" i="1"/>
  <c r="EQ267" i="1"/>
  <c r="Q212" i="1"/>
  <c r="F279" i="1"/>
  <c r="AP299" i="1"/>
  <c r="F313" i="1"/>
  <c r="AZ304" i="1"/>
  <c r="CI299" i="1"/>
  <c r="DH22" i="1" l="1"/>
  <c r="P337" i="1"/>
  <c r="DH364" i="1"/>
  <c r="CA95" i="1"/>
  <c r="AR180" i="1"/>
  <c r="AY212" i="1"/>
  <c r="F275" i="1"/>
  <c r="DH95" i="1"/>
  <c r="P183" i="1"/>
  <c r="F310" i="1"/>
  <c r="AW299" i="1"/>
  <c r="O299" i="1"/>
  <c r="F306" i="1"/>
  <c r="DJ22" i="1"/>
  <c r="P348" i="1"/>
  <c r="DJ364" i="1"/>
  <c r="FS95" i="1"/>
  <c r="EJ180" i="1"/>
  <c r="FZ95" i="1"/>
  <c r="EQ180" i="1"/>
  <c r="Q22" i="1"/>
  <c r="Q364" i="1"/>
  <c r="F346" i="1"/>
  <c r="O95" i="1"/>
  <c r="F182" i="1"/>
  <c r="DG212" i="1"/>
  <c r="P269" i="1"/>
  <c r="DG95" i="1"/>
  <c r="P182" i="1"/>
  <c r="CA26" i="1"/>
  <c r="AR63" i="1"/>
  <c r="S22" i="1"/>
  <c r="S364" i="1"/>
  <c r="F349" i="1"/>
  <c r="DI18" i="1"/>
  <c r="P376" i="1"/>
  <c r="CC95" i="1"/>
  <c r="AT180" i="1"/>
  <c r="V18" i="1"/>
  <c r="F387" i="1"/>
  <c r="AB212" i="1"/>
  <c r="O267" i="1"/>
  <c r="EQ26" i="1"/>
  <c r="P71" i="1"/>
  <c r="EQ334" i="1"/>
  <c r="U18" i="1"/>
  <c r="F386" i="1"/>
  <c r="EK22" i="1"/>
  <c r="EK364" i="1"/>
  <c r="P351" i="1"/>
  <c r="T16" i="2" s="1"/>
  <c r="AV95" i="1"/>
  <c r="F185" i="1"/>
  <c r="AW212" i="1"/>
  <c r="F273" i="1"/>
  <c r="DQ212" i="1"/>
  <c r="P294" i="1"/>
  <c r="GO242" i="1"/>
  <c r="CC267" i="1" s="1"/>
  <c r="CA267" i="1"/>
  <c r="AV26" i="1"/>
  <c r="F68" i="1"/>
  <c r="AV334" i="1"/>
  <c r="DQ334" i="1"/>
  <c r="FS212" i="1"/>
  <c r="EJ267" i="1"/>
  <c r="EM18" i="1"/>
  <c r="P383" i="1"/>
  <c r="FW95" i="1"/>
  <c r="EN180" i="1"/>
  <c r="FU26" i="1"/>
  <c r="EL63" i="1"/>
  <c r="AW95" i="1"/>
  <c r="F186" i="1"/>
  <c r="O26" i="1"/>
  <c r="F65" i="1"/>
  <c r="DK212" i="1"/>
  <c r="P282" i="1"/>
  <c r="AZ95" i="1"/>
  <c r="F191" i="1"/>
  <c r="AZ334" i="1"/>
  <c r="FU212" i="1"/>
  <c r="EL267" i="1"/>
  <c r="Y26" i="1"/>
  <c r="F90" i="1"/>
  <c r="Y334" i="1"/>
  <c r="DP212" i="1"/>
  <c r="P293" i="1"/>
  <c r="FS26" i="1"/>
  <c r="EJ63" i="1"/>
  <c r="X26" i="1"/>
  <c r="F89" i="1"/>
  <c r="X334" i="1"/>
  <c r="DM22" i="1"/>
  <c r="P356" i="1"/>
  <c r="DM364" i="1"/>
  <c r="EO26" i="1"/>
  <c r="P69" i="1"/>
  <c r="EN26" i="1"/>
  <c r="P68" i="1"/>
  <c r="AW26" i="1"/>
  <c r="F69" i="1"/>
  <c r="AW334" i="1"/>
  <c r="AY299" i="1"/>
  <c r="F312" i="1"/>
  <c r="AR299" i="1"/>
  <c r="F332" i="1"/>
  <c r="ES18" i="1"/>
  <c r="P384" i="1"/>
  <c r="Y212" i="1"/>
  <c r="F294" i="1"/>
  <c r="FX95" i="1"/>
  <c r="EO180" i="1"/>
  <c r="CC26" i="1"/>
  <c r="AT63" i="1"/>
  <c r="F315" i="1"/>
  <c r="AZ299" i="1"/>
  <c r="W18" i="1"/>
  <c r="F388" i="1"/>
  <c r="AS26" i="1"/>
  <c r="F80" i="1"/>
  <c r="BA22" i="1"/>
  <c r="F354" i="1"/>
  <c r="H16" i="2" s="1"/>
  <c r="BA364" i="1"/>
  <c r="EO212" i="1"/>
  <c r="P273" i="1"/>
  <c r="P22" i="1"/>
  <c r="P364" i="1"/>
  <c r="F337" i="1"/>
  <c r="AV212" i="1"/>
  <c r="F272" i="1"/>
  <c r="EN212" i="1"/>
  <c r="P272" i="1"/>
  <c r="F309" i="1"/>
  <c r="AV299" i="1"/>
  <c r="FU95" i="1"/>
  <c r="EL180" i="1"/>
  <c r="R22" i="1"/>
  <c r="F348" i="1"/>
  <c r="R364" i="1"/>
  <c r="CB95" i="1"/>
  <c r="AS180" i="1"/>
  <c r="AY95" i="1"/>
  <c r="F188" i="1"/>
  <c r="EK95" i="1"/>
  <c r="P197" i="1"/>
  <c r="DK22" i="1"/>
  <c r="P349" i="1"/>
  <c r="Y16" i="2" s="1"/>
  <c r="DK364" i="1"/>
  <c r="AY26" i="1"/>
  <c r="F71" i="1"/>
  <c r="AY334" i="1"/>
  <c r="EQ212" i="1"/>
  <c r="P275" i="1"/>
  <c r="DG26" i="1"/>
  <c r="P65" i="1"/>
  <c r="DG334" i="1"/>
  <c r="DN22" i="1"/>
  <c r="DN364" i="1"/>
  <c r="P357" i="1"/>
  <c r="DL22" i="1"/>
  <c r="P355" i="1"/>
  <c r="DL364" i="1"/>
  <c r="X212" i="1"/>
  <c r="F293" i="1"/>
  <c r="GA95" i="1"/>
  <c r="ER180" i="1"/>
  <c r="EH95" i="1"/>
  <c r="P189" i="1"/>
  <c r="EH334" i="1"/>
  <c r="AP22" i="1"/>
  <c r="F343" i="1"/>
  <c r="G16" i="2" s="1"/>
  <c r="AP364" i="1"/>
  <c r="T18" i="1"/>
  <c r="F385" i="1"/>
  <c r="DO18" i="1"/>
  <c r="P388" i="1"/>
  <c r="EP18" i="1"/>
  <c r="P371" i="1"/>
  <c r="AX18" i="1"/>
  <c r="F371" i="1"/>
  <c r="DP334" i="1"/>
  <c r="DM18" i="1" l="1"/>
  <c r="P386" i="1"/>
  <c r="CA212" i="1"/>
  <c r="AR267" i="1"/>
  <c r="J16" i="2"/>
  <c r="Q18" i="1"/>
  <c r="F376" i="1"/>
  <c r="CC212" i="1"/>
  <c r="AT267" i="1"/>
  <c r="EQ22" i="1"/>
  <c r="P342" i="1"/>
  <c r="EQ364" i="1"/>
  <c r="S18" i="1"/>
  <c r="F379" i="1"/>
  <c r="AZ22" i="1"/>
  <c r="AZ364" i="1"/>
  <c r="F345" i="1"/>
  <c r="EN95" i="1"/>
  <c r="P185" i="1"/>
  <c r="EQ95" i="1"/>
  <c r="P188" i="1"/>
  <c r="AS95" i="1"/>
  <c r="F197" i="1"/>
  <c r="EL26" i="1"/>
  <c r="P81" i="1"/>
  <c r="EL334" i="1"/>
  <c r="AT26" i="1"/>
  <c r="F81" i="1"/>
  <c r="BA18" i="1"/>
  <c r="F384" i="1"/>
  <c r="EO95" i="1"/>
  <c r="P186" i="1"/>
  <c r="O212" i="1"/>
  <c r="F269" i="1"/>
  <c r="EJ95" i="1"/>
  <c r="P208" i="1"/>
  <c r="X22" i="1"/>
  <c r="F360" i="1"/>
  <c r="X364" i="1"/>
  <c r="EL95" i="1"/>
  <c r="P198" i="1"/>
  <c r="AR26" i="1"/>
  <c r="F91" i="1"/>
  <c r="AR334" i="1"/>
  <c r="DN18" i="1"/>
  <c r="P387" i="1"/>
  <c r="EN334" i="1"/>
  <c r="EJ26" i="1"/>
  <c r="P91" i="1"/>
  <c r="EJ334" i="1"/>
  <c r="AR95" i="1"/>
  <c r="F208" i="1"/>
  <c r="EL212" i="1"/>
  <c r="P285" i="1"/>
  <c r="DK18" i="1"/>
  <c r="P379" i="1"/>
  <c r="DP22" i="1"/>
  <c r="P360" i="1"/>
  <c r="DP364" i="1"/>
  <c r="EH22" i="1"/>
  <c r="P343" i="1"/>
  <c r="V16" i="2" s="1"/>
  <c r="EH364" i="1"/>
  <c r="EJ212" i="1"/>
  <c r="P295" i="1"/>
  <c r="DJ18" i="1"/>
  <c r="P378" i="1"/>
  <c r="P18" i="1"/>
  <c r="F367" i="1"/>
  <c r="AW22" i="1"/>
  <c r="F340" i="1"/>
  <c r="AW364" i="1"/>
  <c r="DG22" i="1"/>
  <c r="P336" i="1"/>
  <c r="DG364" i="1"/>
  <c r="AS334" i="1"/>
  <c r="O334" i="1"/>
  <c r="DH18" i="1"/>
  <c r="P367" i="1"/>
  <c r="AY22" i="1"/>
  <c r="F342" i="1"/>
  <c r="AY364" i="1"/>
  <c r="DL18" i="1"/>
  <c r="P385" i="1"/>
  <c r="AP18" i="1"/>
  <c r="F373" i="1"/>
  <c r="EO334" i="1"/>
  <c r="DQ22" i="1"/>
  <c r="DQ364" i="1"/>
  <c r="P361" i="1"/>
  <c r="AT95" i="1"/>
  <c r="F198" i="1"/>
  <c r="R18" i="1"/>
  <c r="F378" i="1"/>
  <c r="ER95" i="1"/>
  <c r="P191" i="1"/>
  <c r="ER334" i="1"/>
  <c r="Y22" i="1"/>
  <c r="F361" i="1"/>
  <c r="Y364" i="1"/>
  <c r="AV22" i="1"/>
  <c r="AV364" i="1"/>
  <c r="F339" i="1"/>
  <c r="EK18" i="1"/>
  <c r="P381" i="1"/>
  <c r="AW18" i="1" l="1"/>
  <c r="F370" i="1"/>
  <c r="EN22" i="1"/>
  <c r="EN364" i="1"/>
  <c r="P339" i="1"/>
  <c r="AY18" i="1"/>
  <c r="F372" i="1"/>
  <c r="DP18" i="1"/>
  <c r="P390" i="1"/>
  <c r="AR22" i="1"/>
  <c r="AR364" i="1"/>
  <c r="F362" i="1"/>
  <c r="AV18" i="1"/>
  <c r="F369" i="1"/>
  <c r="AT212" i="1"/>
  <c r="F285" i="1"/>
  <c r="AR212" i="1"/>
  <c r="F295" i="1"/>
  <c r="EO22" i="1"/>
  <c r="P340" i="1"/>
  <c r="EO364" i="1"/>
  <c r="DG18" i="1"/>
  <c r="P366" i="1"/>
  <c r="EH18" i="1"/>
  <c r="P373" i="1"/>
  <c r="EJ22" i="1"/>
  <c r="EJ364" i="1"/>
  <c r="P362" i="1"/>
  <c r="EQ18" i="1"/>
  <c r="P372" i="1"/>
  <c r="Y18" i="1"/>
  <c r="F391" i="1"/>
  <c r="DQ18" i="1"/>
  <c r="P391" i="1"/>
  <c r="O22" i="1"/>
  <c r="F336" i="1"/>
  <c r="O364" i="1"/>
  <c r="AT334" i="1"/>
  <c r="AS22" i="1"/>
  <c r="F351" i="1"/>
  <c r="E16" i="2" s="1"/>
  <c r="AS364" i="1"/>
  <c r="X18" i="1"/>
  <c r="F390" i="1"/>
  <c r="AZ18" i="1"/>
  <c r="F375" i="1"/>
  <c r="ER22" i="1"/>
  <c r="ER364" i="1"/>
  <c r="P345" i="1"/>
  <c r="EL22" i="1"/>
  <c r="P352" i="1"/>
  <c r="U16" i="2" s="1"/>
  <c r="X16" i="2" s="1"/>
  <c r="AC16" i="2" s="1"/>
  <c r="EL364" i="1"/>
  <c r="AR18" i="1" l="1"/>
  <c r="F392" i="1"/>
  <c r="EN18" i="1"/>
  <c r="P369" i="1"/>
  <c r="ER18" i="1"/>
  <c r="P375" i="1"/>
  <c r="EO18" i="1"/>
  <c r="P370" i="1"/>
  <c r="AS18" i="1"/>
  <c r="F381" i="1"/>
  <c r="EL18" i="1"/>
  <c r="P382" i="1"/>
  <c r="EJ18" i="1"/>
  <c r="P392" i="1"/>
  <c r="AT22" i="1"/>
  <c r="AT364" i="1"/>
  <c r="F352" i="1"/>
  <c r="F16" i="2" s="1"/>
  <c r="I16" i="2" s="1"/>
  <c r="N16" i="2" s="1"/>
  <c r="O18" i="1"/>
  <c r="F366" i="1"/>
  <c r="AT18" i="1" l="1"/>
  <c r="F382" i="1"/>
</calcChain>
</file>

<file path=xl/sharedStrings.xml><?xml version="1.0" encoding="utf-8"?>
<sst xmlns="http://schemas.openxmlformats.org/spreadsheetml/2006/main" count="19310" uniqueCount="887">
  <si>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</si>
  <si>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</si>
  <si>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</si>
  <si>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</si>
  <si>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</si>
  <si>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02-01-19</t>
  </si>
  <si>
    <t>02-01-19 АУГП</t>
  </si>
  <si>
    <t>2024-00375-01-0-ИОС5.12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</si>
  <si>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</si>
  <si>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</si>
  <si>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</si>
  <si>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</si>
  <si>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</si>
  <si>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</si>
  <si>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</si>
  <si>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</si>
  <si>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Автоматическая установка газового пожаротушения</t>
  </si>
  <si>
    <t>Новый раздел</t>
  </si>
  <si>
    <t>Демонтажные работы</t>
  </si>
  <si>
    <t>1</t>
  </si>
  <si>
    <t>4.10-80-5</t>
  </si>
  <si>
    <t>Аппараты приемные, приборы ПС приемно-контрольные, пусковые, прибор ПС на 1 луч / демонтаж модуля автоматики пожаротушения</t>
  </si>
  <si>
    <t>1  ШТ.</t>
  </si>
  <si>
    <t>ТСН-2001.4. Доп. 1-42. Сб. 10, т. 80, поз. 5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</si>
  <si>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</si>
  <si>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</si>
  <si>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</si>
  <si>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</si>
  <si>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</si>
  <si>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</si>
  <si>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</si>
  <si>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4.10-80-2</t>
  </si>
  <si>
    <t>Аппараты приемные, приборы ПС приемно-контрольные, пусковые, концентратор, блок базовый на 20 лучей / демонтаж прибора приемно-контрольного и управления охранно-пожарного</t>
  </si>
  <si>
    <t>ТСН-2001.4 Доп. 68, Сб. 10, т. 80, поз. 2</t>
  </si>
  <si>
    <t>3</t>
  </si>
  <si>
    <t>4.10-163-2</t>
  </si>
  <si>
    <t>Монтаж охранно-пожарного пульта (ОПП) в диспетчерской / демонтаж пульта дистанционного управления</t>
  </si>
  <si>
    <t>1 устройство</t>
  </si>
  <si>
    <t>ТСН-2001.4 Доп. 70, Сб. 10, т. 163, поз. 2</t>
  </si>
  <si>
    <t>4</t>
  </si>
  <si>
    <t>4.10-167-1</t>
  </si>
  <si>
    <t>Монтаж блока питания сети (БПС) в диспетчерской / демонтаж блоков электропитания</t>
  </si>
  <si>
    <t>ТСН-2001.4 Доп. 69, Сб. 10, т. 167, поз. 1</t>
  </si>
  <si>
    <t>5</t>
  </si>
  <si>
    <t>4.10-81-2</t>
  </si>
  <si>
    <t>Извещатели ПС автоматические, дымовой, фотоэлектрический, радиоизотопный, световой в нормальном исполнении / демонтаж извещателей</t>
  </si>
  <si>
    <t>ТСН-2001.4. Доп. 1-42. Сб. 10, т. 81, поз. 2</t>
  </si>
  <si>
    <t>6</t>
  </si>
  <si>
    <t>4.10-76-10</t>
  </si>
  <si>
    <t>Монтаж ключа или кнопки на панели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</si>
  <si>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</si>
  <si>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</si>
  <si>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</si>
  <si>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7</t>
  </si>
  <si>
    <t>4.10-81-4</t>
  </si>
  <si>
    <t>Извещатели ОС автоматические, контактный, магнито-контактный на открывание окон, дверей / демонтаж извещателей</t>
  </si>
  <si>
    <t>ТСН-2001.4. Доп. 1-42. Сб. 10, т. 81, поз. 4</t>
  </si>
  <si>
    <t>8</t>
  </si>
  <si>
    <t>4.8-245-10</t>
  </si>
  <si>
    <t>Монтаж светильников с лампами накаливания, светового настенного указателя / демонтаж оповещателя пожарного светового</t>
  </si>
  <si>
    <t>100 шт.</t>
  </si>
  <si>
    <t>ТСН-2001.4 Доп. 79, Сб. 8, т. 245, поз. 10</t>
  </si>
  <si>
    <t>ТСН-2001.4-8. Электротехнические установки</t>
  </si>
  <si>
    <t>ТСН-2001.4-8-1</t>
  </si>
  <si>
    <t>9</t>
  </si>
  <si>
    <t>Извещатели ПС автоматические, дымовой, фотоэлектрический, радиоизотопный, световой в нормальном исполнении / демонтаж оповещателей</t>
  </si>
  <si>
    <t>10</t>
  </si>
  <si>
    <t>4.37-18-4</t>
  </si>
  <si>
    <t>Монтаж модуля установки пожаротушения тонкораспыленной водой объемом 13 л за подвесным потолком / демонтаж модулей газового пожаротушения</t>
  </si>
  <si>
    <t>ТСН-2001.4 Доп. 68, Сб. 37, т. 18, поз. 4</t>
  </si>
  <si>
    <t>ТСН-2001.4-37. Оборудование общего назначения</t>
  </si>
  <si>
    <t>ТСН-2001.4-37-1</t>
  </si>
  <si>
    <t>11</t>
  </si>
  <si>
    <t>3.9-74-1</t>
  </si>
  <si>
    <t>Установка противопожарных металлических однопольных дверных блоков / демонтаж металлических дверных блоков</t>
  </si>
  <si>
    <t>10 шт.</t>
  </si>
  <si>
    <t>ТСН-2001.3 Доп. 79, Сб. 9, т. 74, поз. 1</t>
  </si>
  <si>
    <t>*1)*1)*0,6</t>
  </si>
  <si>
    <t>*1,25)*1,2)*0,6</t>
  </si>
  <si>
    <t>*1,15)*1,2)*0,6</t>
  </si>
  <si>
    <t>Строительные работы</t>
  </si>
  <si>
    <t>ТСН-2001.3-9. Металлические конструкции</t>
  </si>
  <si>
    <t>ТСН-2001.3-9-1</t>
  </si>
  <si>
    <t>Поправка: Гл.6.Прил.2.2.п.2.2.6_06.00.01.07.001
Поправка: Гл.12.Прил.8.п.8. 3_12.00.01.11.001
Поправка: Гл.6.Прил.2.2.п.2.2.16_06.00.01.35.006</t>
  </si>
  <si>
    <t>12</t>
  </si>
  <si>
    <t>4.10-1-12</t>
  </si>
  <si>
    <t>Установка рамки со штифтами на винтах в нарезных отверстиях / демонтаж стыковочных узлов</t>
  </si>
  <si>
    <t>1 рамка</t>
  </si>
  <si>
    <t>ТСН-2001.4 Доп. 67, Сб. 10, т. 1, поз. 12</t>
  </si>
  <si>
    <t>13</t>
  </si>
  <si>
    <t>3.70-434-1</t>
  </si>
  <si>
    <t>Установка дверного доводчика или синхронизатора к металлическим дверям / демонтаж дверного доводчика</t>
  </si>
  <si>
    <t>ТСН-2001.3 Доп. 81, Сб. 70, т. 434, поз. 1</t>
  </si>
  <si>
    <t>ТСН-2001.3-70. Металлические конструкции</t>
  </si>
  <si>
    <t>ТСН-2001.3-70-4</t>
  </si>
  <si>
    <t>14</t>
  </si>
  <si>
    <t>3.20-11-1</t>
  </si>
  <si>
    <t>Установка клапанов обратных диаметром до 355 мм / демонтаж клапана сброса избыточного давления КСИД</t>
  </si>
  <si>
    <t>1 клапан</t>
  </si>
  <si>
    <t>ТСН-2001.3 Доп. 72, Сб. 20, т. 11, поз. 1</t>
  </si>
  <si>
    <t>ТСН-2001.3-20. Вентиляция и кондиционирование воздуха</t>
  </si>
  <si>
    <t>ТСН-2001.3-20-1</t>
  </si>
  <si>
    <t>15</t>
  </si>
  <si>
    <t>3.17-12-1</t>
  </si>
  <si>
    <t>Установка вентиляционных решеток площадью в свету до 0,05 м2 / демонтаж защитной решетки для КСИД</t>
  </si>
  <si>
    <t>ТСН-2001.3 Доп. 79, Сб. 17, т. 12, поз. 1</t>
  </si>
  <si>
    <t>ТСН-2001.3-17. Водопровод и канализация - внутренние устройства</t>
  </si>
  <si>
    <t>ТСН-2001.3-17-1</t>
  </si>
  <si>
    <t>16</t>
  </si>
  <si>
    <t>6.67-6-1</t>
  </si>
  <si>
    <t>Демонтаж кабеля</t>
  </si>
  <si>
    <t>100 м</t>
  </si>
  <si>
    <t>ТСН-2001.6. Доп. 1-42. Сб. 67, т. 6,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</si>
  <si>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</si>
  <si>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</si>
  <si>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</si>
  <si>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</si>
  <si>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</si>
  <si>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</si>
  <si>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17</t>
  </si>
  <si>
    <t>6.67-5-12</t>
  </si>
  <si>
    <t>Демонтаж трубных проводок, трубы в борозде диаметром 25 мм</t>
  </si>
  <si>
    <t>ТСН-2001.6. Доп. 1-42. Сб. 67, т. 5, поз. 12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</si>
  <si>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</si>
  <si>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</si>
  <si>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</si>
  <si>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</si>
  <si>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</si>
  <si>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</si>
  <si>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</si>
  <si>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</si>
  <si>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</si>
  <si>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</si>
  <si>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</si>
  <si>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</si>
  <si>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</si>
  <si>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</si>
  <si>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</si>
  <si>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</si>
  <si>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</si>
  <si>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</si>
  <si>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</si>
  <si>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</si>
  <si>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</si>
  <si>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</si>
  <si>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</si>
  <si>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</si>
  <si>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</si>
  <si>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</si>
  <si>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</si>
  <si>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</si>
  <si>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</si>
  <si>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</si>
  <si>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</si>
  <si>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</si>
  <si>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</si>
  <si>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</si>
  <si>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</si>
  <si>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</si>
  <si>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</si>
  <si>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</si>
  <si>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</si>
  <si>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</si>
  <si>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</si>
  <si>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</si>
  <si>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</si>
  <si>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</si>
  <si>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</si>
  <si>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</si>
  <si>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</si>
  <si>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</si>
  <si>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</si>
  <si>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</si>
  <si>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</si>
  <si>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</si>
  <si>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</si>
  <si>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</si>
  <si>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</t>
  </si>
  <si>
    <t>18</t>
  </si>
  <si>
    <t>Аппараты приемные, приборы ПС приемно-контрольные, пусковые, прибор ПС на 1 луч</t>
  </si>
  <si>
    <t>19</t>
  </si>
  <si>
    <t>КА, п.1</t>
  </si>
  <si>
    <t>Модуль автоматики пожаротушения МПТ-1 прот.R3 RBZ-073406</t>
  </si>
  <si>
    <t>ШТ</t>
  </si>
  <si>
    <t>Оборудование, отсутствующие в СНБ</t>
  </si>
  <si>
    <t>Оборуд. КА</t>
  </si>
  <si>
    <t>[7 394 / 1,22 /  7,66] +  3% Трансп +  1,2% Заг.скл</t>
  </si>
  <si>
    <t>1,2</t>
  </si>
  <si>
    <t>20</t>
  </si>
  <si>
    <t>Аппараты приемные, приборы ПС приемно-контрольные, пусковые, концентратор, блок базовый на 20 лучей</t>
  </si>
  <si>
    <t>21</t>
  </si>
  <si>
    <t>КА, п.2</t>
  </si>
  <si>
    <t>Прибор приемно-контрольный и управления охранно-пожарный R3-Рубеж-2ОП RBZ-319538</t>
  </si>
  <si>
    <t>[42 981 / 1,22 /  7,66] +  3% Трансп +  1,2% Заг.скл</t>
  </si>
  <si>
    <t>22</t>
  </si>
  <si>
    <t>Монтаж охранно-пожарного пульта (ОПП) в диспетчерской</t>
  </si>
  <si>
    <t>22,1</t>
  </si>
  <si>
    <t>КА, п.3</t>
  </si>
  <si>
    <t>Пульт дистанционного управления R3-Рубеж-ПДУ-ПТ RBZ-319535</t>
  </si>
  <si>
    <t>[21 132 / 1,22 /  7,66] +  3% Трансп +  1,2% Заг.скл</t>
  </si>
  <si>
    <t>23</t>
  </si>
  <si>
    <t>Монтаж блока питания сети (БПС) в диспетчерской</t>
  </si>
  <si>
    <t>24</t>
  </si>
  <si>
    <t>КА, п.4</t>
  </si>
  <si>
    <t>Источник вторичного электропитания резервированный, 12 В, 3.5 А, 2х7 Ач, ИВЭПР 12/3.5 2x7 -Р БР, ПАСН.436234.024-01</t>
  </si>
  <si>
    <t>[6 442 / 1,22 /  7,66] +  3% Трансп +  1,2% Заг.скл</t>
  </si>
  <si>
    <t>25</t>
  </si>
  <si>
    <t>КА, п.5</t>
  </si>
  <si>
    <t>Источник вторичного электропитания резервированный 12 В, 5 А, 2х7 Ач, ИВЭПР 12/5 2x7 -Р БР RBZ-216604</t>
  </si>
  <si>
    <t>[7 116 / 1,22 /  7,66] +  3% Трансп +  1,2% Заг.скл</t>
  </si>
  <si>
    <t>26</t>
  </si>
  <si>
    <t>КА, п.6</t>
  </si>
  <si>
    <t>Источник вторичного электропитания резервированный, ИВЭПР 12/2 RS-R3 2x17 прот. R3 RBZ-216598</t>
  </si>
  <si>
    <t>[8 306 / 1,22 /  7,66] +  3% Трансп +  1,2% Заг.скл</t>
  </si>
  <si>
    <t>27</t>
  </si>
  <si>
    <t>13.1-1-20</t>
  </si>
  <si>
    <t>Батарея аккумуляторная, емкость 7 А·ч, напряжение 12 В</t>
  </si>
  <si>
    <t>шт.</t>
  </si>
  <si>
    <t>ТСН-2001.13-2. Доп. 40. 13.1-1-20</t>
  </si>
  <si>
    <t>Сметная стоимость оборудования</t>
  </si>
  <si>
    <t>ТСН-2001.13. Сметная стоимость оборудования</t>
  </si>
  <si>
    <t>ТСН-2001.13</t>
  </si>
  <si>
    <t>28</t>
  </si>
  <si>
    <t>13.1-1-21</t>
  </si>
  <si>
    <t>Батарея аккумуляторная, емкость 17 А·ч, напряжение 12 В</t>
  </si>
  <si>
    <t>ТСН-2001.13-2. Доп. 40. 13.1-1-21</t>
  </si>
  <si>
    <t>29</t>
  </si>
  <si>
    <t>Извещатели ПС автоматические, дымовой, фотоэлектрический, радиоизотопный, световой в нормальном исполнении</t>
  </si>
  <si>
    <t>30</t>
  </si>
  <si>
    <t>КА, п.7</t>
  </si>
  <si>
    <t>Извещатель пожарный дымовой адресно-аналоговый с базовым основанием ИП 212-64-R3 (ИЗ-1Б-R3)</t>
  </si>
  <si>
    <t>[1 552 / 1,22 /  7,66] +  3% Трансп +  1,2% Заг.скл</t>
  </si>
  <si>
    <t>31</t>
  </si>
  <si>
    <t>32</t>
  </si>
  <si>
    <t>КА, п.8</t>
  </si>
  <si>
    <t>Устройство дистанционного пуска адресное УДП 513-11 ИКЗ-R3 "Пуск пожаротушения»</t>
  </si>
  <si>
    <t>[1 296 / 1,22 /  7,66] +  3% Трансп +  1,2% Заг.скл</t>
  </si>
  <si>
    <t>33</t>
  </si>
  <si>
    <t>Извещатели ОС автоматические, контактный, магнито-контактный на открывание окон, дверей</t>
  </si>
  <si>
    <t>34</t>
  </si>
  <si>
    <t>13.1-2-141</t>
  </si>
  <si>
    <t>ТСН-2001.13-2. Доп. 34. 13.1-2-141</t>
  </si>
  <si>
    <t>35</t>
  </si>
  <si>
    <t>Монтаж светильников с лампами накаливания, светового настенного указателя</t>
  </si>
  <si>
    <t>36</t>
  </si>
  <si>
    <t>13.1-2-412</t>
  </si>
  <si>
    <t>ТСН-2001.13-2. Доп. 40. 13.1-2-412</t>
  </si>
  <si>
    <t>37</t>
  </si>
  <si>
    <t>38</t>
  </si>
  <si>
    <t>КА, п.9</t>
  </si>
  <si>
    <t>Оповещатель пожарный свето-звуковой, 12 В, IP55, 105 дБ Маяк-12-КПМ1</t>
  </si>
  <si>
    <t>[818 / 1,22 /  7,66] +  3% Трансп +  1,2% Заг.скл</t>
  </si>
  <si>
    <t>39</t>
  </si>
  <si>
    <t>Монтаж модуля установки пожаротушения тонкораспыленной водой объемом 13 л за подвесным потолком</t>
  </si>
  <si>
    <t>40</t>
  </si>
  <si>
    <t>КА, п.10</t>
  </si>
  <si>
    <t>Мо дуль газового пожаротушения с электро-контактным манометром, электромагнитным клапаном, заправлен (масса заправки ФК-5-1-12 – 18,5 кг)  Заря-22 (30-22,5-18)</t>
  </si>
  <si>
    <t>[208 852,58 / 1,22 /  7,66] +  3% Трансп +  1,2% Заг.скл</t>
  </si>
  <si>
    <t>41</t>
  </si>
  <si>
    <t>КА, п.11</t>
  </si>
  <si>
    <t>Модуль газового пожаротушения с электроконтактным манометром, электромагнитным клапаном, заправлен (масса заправки ФК-5-1-12 – 15 кг) Заря-22 (30-22,5-18)</t>
  </si>
  <si>
    <t>[177 983,57 / 1,22 /  7,66] +  3% Трансп +  1,2% Заг.скл</t>
  </si>
  <si>
    <t>42</t>
  </si>
  <si>
    <t>КА, п.12</t>
  </si>
  <si>
    <t>Модуль газового пожаротушения с электроконтактным манометром, электромагнитным клапаном, заправлен (масса заправки ФК-5-1-12 – 17,5 кг) Заря-22 (30-22,5-18)</t>
  </si>
  <si>
    <t>[220 783,55 / 1,22 /  7,66] +  3% Трансп +  1,2% Заг.скл</t>
  </si>
  <si>
    <t>43</t>
  </si>
  <si>
    <t>КА, п.13</t>
  </si>
  <si>
    <t>Модуль газового пожаротушения с электроконтактным манометром, электромагнитным клапаном, заправлен (масса заправки ФК-5-1-12 – 16,5 кг) Заря-22 (30-22,5-18)</t>
  </si>
  <si>
    <t>[213 946,76 / 1,22 /  7,66] +  3% Трансп +  1,2% Заг.скл</t>
  </si>
  <si>
    <t>44</t>
  </si>
  <si>
    <t>13.3-9-178</t>
  </si>
  <si>
    <t>Самоспасатель изолирующий типа СПИ-20. Время защитного действия при эвакуации не менее 20 мин, в ожидании помощи 40 мин, диапазон рабочих температур от 0 до +60°C, габаритные размеры 115х195х220 мм</t>
  </si>
  <si>
    <t>ТСН-2001.13-2. Доп. 34. 13.3-9-178</t>
  </si>
  <si>
    <t>45</t>
  </si>
  <si>
    <t>КА, п.14</t>
  </si>
  <si>
    <t>Контейнер для двух СПИ-20 "СПИ-20 ШК-2 (344х204х170)" арт. RB1151-1</t>
  </si>
  <si>
    <t>[2 530 / 1,22 /  7,66] +  3% Трансп +  1,2% Заг.скл</t>
  </si>
  <si>
    <t>46</t>
  </si>
  <si>
    <t>Установка противопожарных металлических однопольных дверных блоков</t>
  </si>
  <si>
    <t>*1)*1</t>
  </si>
  <si>
    <t>*1,25)*1,2</t>
  </si>
  <si>
    <t>*1,15)*1,2</t>
  </si>
  <si>
    <t>Поправка: Гл.6.Прил.2.2.п.2.2.6_06.00.01.07.001
Поправка: Гл.12.Прил.8.п.8. 3_12.00.01.11.001</t>
  </si>
  <si>
    <t>46,1</t>
  </si>
  <si>
    <t>1.7-2-94</t>
  </si>
  <si>
    <t>Блок дверной металлический противопожарный с заполнением минеральной ватой, окрашенный порошковой краской, предел огнестойкости EI 60, однопольный, 900х2100 мм, масса 112,7 кг, с замком-защелкой, без доводчика</t>
  </si>
  <si>
    <t>т</t>
  </si>
  <si>
    <t>ТСН-2001.1 Доп. 79, Р. 7, о. 2, поз. 94</t>
  </si>
  <si>
    <t>Поправка: Гл.6.Прил.2.2.п.2.2.6_06.00.01.07.001_x000D_
Поправка: Гл.12.Прил.8.п.8. 3_12.00.01.11.001</t>
  </si>
  <si>
    <t>47</t>
  </si>
  <si>
    <t>Установка рамки со штифтами на винтах в нарезных отверстиях</t>
  </si>
  <si>
    <t>47,1</t>
  </si>
  <si>
    <t>1.19-5-121</t>
  </si>
  <si>
    <t>Узел стыковочный приточно-вытяжной для установки в стену или дверь, предел огнестойкости не менее EI 60, габаритные размеры 460х460 мм, врезные размеры 400х400 мм</t>
  </si>
  <si>
    <t>ТСН-2001.1 Доп. 79, Р. 19, о. 5, поз. 121</t>
  </si>
  <si>
    <t>48</t>
  </si>
  <si>
    <t>Установка дверного доводчика или синхронизатора к металлическим дверям</t>
  </si>
  <si>
    <t>48,1</t>
  </si>
  <si>
    <t>1.8-1-74</t>
  </si>
  <si>
    <t>Доводчик дверной, гидравлический, масса двери до 120 кг</t>
  </si>
  <si>
    <t>ТСН-2001.1 Доп. 79, Р. 8, о. 1, поз. 74</t>
  </si>
  <si>
    <t>49</t>
  </si>
  <si>
    <t>13.1-8-99</t>
  </si>
  <si>
    <t>Дымосос передвижной, мобильный типа ДПЭ-7 (2ЦМ). Производительность 2500 м3/час, напор 1000 Па, электродвигатель однофазный 220 В, 50 Гц, мощность 1,5 кВт, габаритные размеры 540х380х520 мм</t>
  </si>
  <si>
    <t>ТСН-2001.13-2. Доп. 37. 13.1-8-99</t>
  </si>
  <si>
    <t>50</t>
  </si>
  <si>
    <t>Установка клапанов обратных диаметром до 355 мм</t>
  </si>
  <si>
    <t>50,1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</si>
  <si>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</si>
  <si>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</si>
  <si>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</si>
  <si>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</si>
  <si>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50,2</t>
  </si>
  <si>
    <t>КА, п.15</t>
  </si>
  <si>
    <t>Клапан сброса избыточного давления КСИД 150-0,5</t>
  </si>
  <si>
    <t>[20 498,94 / 1,22 /  7,66] +  3% Трансп +  1,2% Заг.скл</t>
  </si>
  <si>
    <t>51</t>
  </si>
  <si>
    <t>Установка вентиляционных решеток площадью в свету до 0,05 м2</t>
  </si>
  <si>
    <t>51,1</t>
  </si>
  <si>
    <t>КА, п.16</t>
  </si>
  <si>
    <t>Решетка защитная на КСИД 150-0,5</t>
  </si>
  <si>
    <t>Материалы, отсутствующие в СНБ (Строительные)</t>
  </si>
  <si>
    <t>МР КА Строительные</t>
  </si>
  <si>
    <t>[3 000 / 1,22 /  9,86] +  2% Заг.скл</t>
  </si>
  <si>
    <t>0</t>
  </si>
  <si>
    <t>Кабельные изделия</t>
  </si>
  <si>
    <t>4.10-186-5</t>
  </si>
  <si>
    <t>Прокладка кабеля связи симметричного для цифровых систем передачи в трубах гофрированных: по бетонным и кирпичным поверхностям стен и потолка</t>
  </si>
  <si>
    <t>ТСН-2001.4 Доп. 79, Сб. 10, т. 186, поз. 5</t>
  </si>
  <si>
    <t>2248200000</t>
  </si>
  <si>
    <t>Трубы электротехнические гофрированные (2248100000)</t>
  </si>
  <si>
    <t>м</t>
  </si>
  <si>
    <t>3449651000</t>
  </si>
  <si>
    <t>Держатели пластиковые для крепления труб</t>
  </si>
  <si>
    <t>3574100000</t>
  </si>
  <si>
    <t>Кабели связи симметричные (3573110000)</t>
  </si>
  <si>
    <t>км</t>
  </si>
  <si>
    <t>52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</si>
  <si>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</si>
  <si>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</si>
  <si>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ТСН-2001.4 Доп. 54, Сб. 8, т. 288, поз. 2</t>
  </si>
  <si>
    <t>52,1</t>
  </si>
  <si>
    <t>1.12-5-372</t>
  </si>
  <si>
    <t>Трубы электротехнические, гофрированные, из ПВХ, негорючие, с зондом, наружный диаметр 20 мм</t>
  </si>
  <si>
    <t>ТСН-2001.1 Доп. 67, Р. 12, о. 5, поз. 372</t>
  </si>
  <si>
    <t>52,2</t>
  </si>
  <si>
    <t>КА, п.17</t>
  </si>
  <si>
    <t>Огнестойкая распределительная коробка IP55 ТУ 27.33.13-001-52715257-2017 40-0210-FR2.5-4</t>
  </si>
  <si>
    <t>[2 462,1 / 1,22 /  9,86] +  2% Заг.скл</t>
  </si>
  <si>
    <t>52,3</t>
  </si>
  <si>
    <t>1.21-5-1469</t>
  </si>
  <si>
    <t>Скоба однолапковая стальная оцинкованная, для кабелей диаметром от 19 до 20 мм</t>
  </si>
  <si>
    <t>1000 шт.</t>
  </si>
  <si>
    <t>ТСН-2001.1 Доп. 79, Р. 21, о. 5, поз. 1469</t>
  </si>
  <si>
    <t>53</t>
  </si>
  <si>
    <t>1.1-1-3383</t>
  </si>
  <si>
    <t>Дюбель-гвоздь стальной, диаметр 6 мм, длина 40 мм / прим. дюбель универсальный 5х30</t>
  </si>
  <si>
    <t>ТСН-2001.1 Доп. 79, Р. 1, о. 1, поз. 3383</t>
  </si>
  <si>
    <t>Материалы строительные</t>
  </si>
  <si>
    <t>ТСН-2001.1 Материалы строительные</t>
  </si>
  <si>
    <t>ТСН-2001.1-1</t>
  </si>
  <si>
    <t>54</t>
  </si>
  <si>
    <t>1.1-1-3256</t>
  </si>
  <si>
    <t>Шуруп-саморез с потайной головкой, наконечник сверло, оцинкованный, диаметр 4,2 мм, длина 60 мм</t>
  </si>
  <si>
    <t>ТСН-2001.1 Доп. 73, Р. 1, о. 1, поз. 3256</t>
  </si>
  <si>
    <t>55</t>
  </si>
  <si>
    <t>4.8-288-3</t>
  </si>
  <si>
    <t>Трубы гофрированные поливинилхлоридные наружным диаметром 25 мм открыто по стенам и потолкам с установкой соединительных коробок</t>
  </si>
  <si>
    <t>ТСН-2001.4 Доп. 54, Сб. 8, т. 288, поз. 3</t>
  </si>
  <si>
    <t>55,1</t>
  </si>
  <si>
    <t>1.12-5-373</t>
  </si>
  <si>
    <t>Трубы электротехнические, гофрированные, из ПВХ, негорючие, с зондом, наружный диаметр 25 мм</t>
  </si>
  <si>
    <t>ТСН-2001.1 Доп. 67, Р. 12, о. 5, поз. 373</t>
  </si>
  <si>
    <t>55,2</t>
  </si>
  <si>
    <t>1.21-5-1470</t>
  </si>
  <si>
    <t>Скоба двухлапковая стальная оцинкованная, для кабелей диаметром от 25 до 26 мм</t>
  </si>
  <si>
    <t>ТСН-2001.1 Доп. 79, Р. 21, о. 5, поз. 1470</t>
  </si>
  <si>
    <t>56</t>
  </si>
  <si>
    <t>4.8-170-6</t>
  </si>
  <si>
    <t>Прокладка по установленным конструкциям, в готовых бороздах по основанию пола стальной трубы диаметром до 25 мм</t>
  </si>
  <si>
    <t>ТСН-2001.4 Доп. 79, Сб. 8, т. 170, поз. 6</t>
  </si>
  <si>
    <t>56,1</t>
  </si>
  <si>
    <t>1.12-1-29</t>
  </si>
  <si>
    <t>Заготовка для электропроводки из электросварных прямошовных труб, толщина стенки 2 мм, наружный диаметр 26 мм</t>
  </si>
  <si>
    <t>ТСН-2001.1 Доп. 79, Р. 12, о. 1, поз. 29</t>
  </si>
  <si>
    <t>57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</si>
  <si>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</si>
  <si>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</si>
  <si>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</si>
  <si>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58</t>
  </si>
  <si>
    <t>КА, п.18</t>
  </si>
  <si>
    <t>Кабель КПСЭнг(A)-FRLSLTx 1х2х0,75</t>
  </si>
  <si>
    <t>[41,83 / 1,22 /  9,86] +  2% Заг.скл</t>
  </si>
  <si>
    <t>59</t>
  </si>
  <si>
    <t>1.23-8-770</t>
  </si>
  <si>
    <t>ТСН-2001.1 Доп. 79, Р. 23, о. 8, поз. 770</t>
  </si>
  <si>
    <t>Материалы монтажные</t>
  </si>
  <si>
    <t>ТСН-2001.1 Материалы монтажные</t>
  </si>
  <si>
    <t>ТСН-2001.1-2</t>
  </si>
  <si>
    <t>60</t>
  </si>
  <si>
    <t>КА, п.19</t>
  </si>
  <si>
    <t>Кабель СегментЛАН U/UTP Cat5e PVCLSнг(А)-FRLSLT 2х2х0,52</t>
  </si>
  <si>
    <t>[136,97 / 1,22 /  9,86] +  2% Заг.скл</t>
  </si>
  <si>
    <t>61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</si>
  <si>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</si>
  <si>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</si>
  <si>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</si>
  <si>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62</t>
  </si>
  <si>
    <t>63</t>
  </si>
  <si>
    <t>4.8-187-10</t>
  </si>
  <si>
    <t>Монтаж заземляющего проводника открыто по строительным основаниям из медного изолированного провода сечением 25 мм2</t>
  </si>
  <si>
    <t>ТСН-2001.4 Доп. 79, Сб. 8, т. 187, поз. 10</t>
  </si>
  <si>
    <t>63,1</t>
  </si>
  <si>
    <t>1.23-13-210</t>
  </si>
  <si>
    <t>ТСН-2001.1 Доп. 79, Р. 23, о. 13, поз. 210</t>
  </si>
  <si>
    <t>64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</si>
  <si>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</si>
  <si>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</si>
  <si>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</si>
  <si>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</si>
  <si>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65</t>
  </si>
  <si>
    <t>1.1-1-7994</t>
  </si>
  <si>
    <t>Шнур асбестовый, общего назначения, типа ШАОН, диаметр от 3 до 5 мм</t>
  </si>
  <si>
    <t>ТСН-2001.1 Доп. 79, Р. 1, о. 1, поз. 7994</t>
  </si>
  <si>
    <t>66</t>
  </si>
  <si>
    <t>КА, п.20</t>
  </si>
  <si>
    <t>Огнезащитный терморасширяющийся герметик, 0,3 кг ОГНЕЗА ГТ</t>
  </si>
  <si>
    <t>[1 239,84 / 1,22 /  9,86] +  2% Заг.скл</t>
  </si>
  <si>
    <t>Запас на складе</t>
  </si>
  <si>
    <t>67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</si>
  <si>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</si>
  <si>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</si>
  <si>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</si>
  <si>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</si>
  <si>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</si>
  <si>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</si>
  <si>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</si>
  <si>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</si>
  <si>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</si>
  <si>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</si>
  <si>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Базовый уровень цен</t>
  </si>
  <si>
    <t>Сборник индексов</t>
  </si>
  <si>
    <t>Коэффициенты к ТСН-2001 МГЭ Дополнение 81, строительство</t>
  </si>
  <si>
    <t>Текущий уровень цен</t>
  </si>
  <si>
    <t>219/81</t>
  </si>
  <si>
    <t>Коэффициенты к ТСН-2001.13-2 Дополнение 47</t>
  </si>
  <si>
    <t>64/47</t>
  </si>
  <si>
    <t>_OBSM_</t>
  </si>
  <si>
    <t>9999990008</t>
  </si>
  <si>
    <t>Трудозатраты рабочих</t>
  </si>
  <si>
    <t>чел.-ч.</t>
  </si>
  <si>
    <t>2.1-30-102</t>
  </si>
  <si>
    <t>ТСН-2001.2. Доп. 68. п.1-30-102 (303704)</t>
  </si>
  <si>
    <t>Дрели, мощность до 800 Вт</t>
  </si>
  <si>
    <t>маш.-ч</t>
  </si>
  <si>
    <t>2.1-30-103</t>
  </si>
  <si>
    <t>ТСН-2001.2. Доп. 68. п.1-30-103 (304104)</t>
  </si>
  <si>
    <t>Перфораторы, мощность до 1,2 кВт</t>
  </si>
  <si>
    <t>1.1-1-238</t>
  </si>
  <si>
    <t>ТСН-2001.1 Доп. 80, Р. 1, о. 1, поз. 238</t>
  </si>
  <si>
    <t>Дюбель пластмассовый</t>
  </si>
  <si>
    <t>1.1-1-2381</t>
  </si>
  <si>
    <t>ТСН-2001.1 Доп. 79, Р. 1, о. 1, поз. 2381</t>
  </si>
  <si>
    <t>Винты с полукруглой головкой, М6х10</t>
  </si>
  <si>
    <t>1.1-1-2681</t>
  </si>
  <si>
    <t>ТСН-2001.1 Доп. 73, Р. 1, о. 1, поз. 2681</t>
  </si>
  <si>
    <t>Шуруп-саморез с полусферической головкой, с прессшайбой, наконечник острый, оцинкованный, диаметр 4,2 мм, длина 16 мм, для крепления листового металла</t>
  </si>
  <si>
    <t>1.1-1-545</t>
  </si>
  <si>
    <t>ТСН-2001.1 Доп. 79, Р. 1, о. 1, поз. 545</t>
  </si>
  <si>
    <t>Лента стальная упаковочная, мягкая, нормальной точности, размер 0,7х20-50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</si>
  <si>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</si>
  <si>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</si>
  <si>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</si>
  <si>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</si>
  <si>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</si>
  <si>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</si>
  <si>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2.1-30-56</t>
  </si>
  <si>
    <t>ТСН-2001.2. Доп. 68. п.1-30-56 (309101)</t>
  </si>
  <si>
    <t>Шуруповерты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</si>
  <si>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</si>
  <si>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</si>
  <si>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</si>
  <si>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</si>
  <si>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</si>
  <si>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</si>
  <si>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</si>
  <si>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</si>
  <si>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</si>
  <si>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</si>
  <si>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</si>
  <si>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</si>
  <si>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</si>
  <si>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2.1-30-96</t>
  </si>
  <si>
    <t>ТСН-2001.2. Доп. 64. п.1-30-96 (303703)</t>
  </si>
  <si>
    <t>Дрели электрические, мощность до 200 Вт</t>
  </si>
  <si>
    <t>1.1-1-1723</t>
  </si>
  <si>
    <t>ТСН-2001.1 Доп. 79, Р. 1, о. 1, поз. 1723</t>
  </si>
  <si>
    <t>Лента изоляционная, прорезиненная, односторонняя</t>
  </si>
  <si>
    <t>1.23-10-18</t>
  </si>
  <si>
    <t>ТСН-2001.1 Доп. 79, Р. 23, о. 10, поз. 18</t>
  </si>
  <si>
    <t>Провод неизолированный для воздушных линий электропередач состоящий из скрученных медных проволок, марка М, сечение 4 мм2</t>
  </si>
  <si>
    <t>2.1-30-10</t>
  </si>
  <si>
    <t>ТСН-2001.2. Доп. 68. п.1-30-10 (304101)</t>
  </si>
  <si>
    <t>Перфораторы, мощность до 800 Вт</t>
  </si>
  <si>
    <t>1.1-1-2626</t>
  </si>
  <si>
    <t>ТСН-2001.1 Доп. 79, Р. 1, о. 1, поз. 2626</t>
  </si>
  <si>
    <t>Болты шестигранные для монтажа стальных конструкций, оцинкованные, М8х40 мм</t>
  </si>
  <si>
    <t>1.1-1-3655</t>
  </si>
  <si>
    <t>ТСН-2001.1 Доп. 79, Р. 1, о. 1, поз. 3655</t>
  </si>
  <si>
    <t>Шайбы стальные, М8</t>
  </si>
  <si>
    <t>1.1-1-3571</t>
  </si>
  <si>
    <t>ТСН-2001.1. Доп. 1-42. Р. 1, о. 1, поз. 3571</t>
  </si>
  <si>
    <t>Пена монтажная противопожарная, обеспечивающая акустическую и термическую изоляцию, предел огнестойкости ЕI 60</t>
  </si>
  <si>
    <t>л</t>
  </si>
  <si>
    <t>1.7-5-263</t>
  </si>
  <si>
    <t>ТСН-2001.1 Доп. 79, Р. 7, о. 5, поз. 263</t>
  </si>
  <si>
    <t>Анкер рамный, стальной, оцинкованный, для установки в бетон, полнотелый кирпич и блоки, диаметр 10 мм, длина 110 мм, максимальная толщина закрепляемой детали 70 мм</t>
  </si>
  <si>
    <t>1.1-1-2627</t>
  </si>
  <si>
    <t>ТСН-2001.1 Доп. 79, Р. 1, о. 1, поз. 2627</t>
  </si>
  <si>
    <t>Винты самонарезающие, для металла, диаметр 5 мм, длина 40 мм</t>
  </si>
  <si>
    <t>2.1-4-28</t>
  </si>
  <si>
    <t>ТСН-2001.2. Доп. 68. п.1-4-28 (042805)</t>
  </si>
  <si>
    <t>Лебедки ручные, грузоподъемность до 3 т</t>
  </si>
  <si>
    <t>1.1-1-2585</t>
  </si>
  <si>
    <t>ТСН-2001.1 Доп. 79, Р. 1, о. 1, поз. 2585</t>
  </si>
  <si>
    <t>Техпластина резиновая, типа ТМКЩ, толщина от 2 до 40 мм</t>
  </si>
  <si>
    <t>1.1-1-2085</t>
  </si>
  <si>
    <t>ТСН-2001.1 Доп. 79, Р. 1, о. 1, поз. 2085</t>
  </si>
  <si>
    <t>Герметик силиконовый</t>
  </si>
  <si>
    <t>1.1-1-3726</t>
  </si>
  <si>
    <t>ТСН-2001.1 Доп. 80, Р. 1, о. 1, поз. 3726</t>
  </si>
  <si>
    <t>Дюбель пластиковый, с бортиком, со стальным шурупом, диаметр 6 мм, длина 35 мм, типа "К"</t>
  </si>
  <si>
    <t>9999990001</t>
  </si>
  <si>
    <t>Масса мусора</t>
  </si>
  <si>
    <t>26.30.50.120, п.3</t>
  </si>
  <si>
    <t>26.30.50.129, п.15</t>
  </si>
  <si>
    <t>29.32.30.260, п.16</t>
  </si>
  <si>
    <t>1.1-1-2494</t>
  </si>
  <si>
    <t>ТСН-2001.1 Доп. 79, Р. 1, о. 1, поз. 2494</t>
  </si>
  <si>
    <t>Шурупы-саморезы, диаметр 3,5 мм, длина 45 мм</t>
  </si>
  <si>
    <t>1.1-1-3693</t>
  </si>
  <si>
    <t>ТСН-2001.1 Доп. 80, Р. 1, о. 1, поз. 3693</t>
  </si>
  <si>
    <t>Дюбель распорный пластмассовый, диаметр 6 мм, длина 40 мм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</si>
  <si>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</si>
  <si>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</si>
  <si>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</si>
  <si>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1.21-5-926</t>
  </si>
  <si>
    <t>ТСН-2001.1 Доп. 67, Р. 21, о. 5, поз. 926</t>
  </si>
  <si>
    <t>Хомут (стяжка) кабельный из полиамида, размеры 3,6х200 мм</t>
  </si>
  <si>
    <t>1.7-3-130</t>
  </si>
  <si>
    <t>ТСН-2001.1 Доп. 65, Р. 7, о. 3, поз. 130</t>
  </si>
  <si>
    <t>Бур с наконечником из твердого сплава, с хвостовиком SDS-plus, диаметр 6 мм, длина 210 мм</t>
  </si>
  <si>
    <t>26.30.11.120, п.17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</si>
  <si>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</si>
  <si>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</si>
  <si>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</si>
  <si>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1.1-1-1669</t>
  </si>
  <si>
    <t>ТСН-2001.1 Доп. 79, Р. 1, о. 1, поз. 1669</t>
  </si>
  <si>
    <t>Электроды, типа Э-42А, диаметр от 4 до 6 мм</t>
  </si>
  <si>
    <t>1.1-1-237</t>
  </si>
  <si>
    <t>ТСН-2001.1 Доп. 67, Р. 1, о. 1, поз. 237</t>
  </si>
  <si>
    <t>Дюбель с патроном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</si>
  <si>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</si>
  <si>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</si>
  <si>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</si>
  <si>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</si>
  <si>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</si>
  <si>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</si>
  <si>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1.21-5-1561</t>
  </si>
  <si>
    <t>ТСН-2001.1 Доп. 65, Р. 21, о. 5, поз. 1561</t>
  </si>
  <si>
    <t>Заглушка трубная полиэтиленовая У469</t>
  </si>
  <si>
    <t>1.21-5-1639</t>
  </si>
  <si>
    <t>ТСН-2001.1 Доп. 79, Р. 21, о. 5, поз. 1639</t>
  </si>
  <si>
    <t>Уголок монтажный, стальной, окрашенный, перфорированный, тип К236, размер 2000х56х40 мм, толщина стенки 4 мм</t>
  </si>
  <si>
    <t>1.21-5-1655</t>
  </si>
  <si>
    <t>ТСН-2001.1 Доп. 67, Р. 21, о. 5, поз. 1655</t>
  </si>
  <si>
    <t>Перемычка гибкая, типа ПГС 50-280</t>
  </si>
  <si>
    <t>1.3-2-5</t>
  </si>
  <si>
    <t>ТСН-2001.1 Доп. 79, Р. 3, о. 2, поз. 5</t>
  </si>
  <si>
    <t>Раствор цементный, марка М100</t>
  </si>
  <si>
    <t>м3</t>
  </si>
  <si>
    <t>2.1-3-38</t>
  </si>
  <si>
    <t>ТСН-2001.2. Доп. 68. п.1-3-38 (032009)</t>
  </si>
  <si>
    <t>Краны на автомобильном ходу, грузоподъемность до 16 т</t>
  </si>
  <si>
    <t>1.1-1-1257</t>
  </si>
  <si>
    <t>ТСН-2001.1 Доп. 79, Р. 1, о. 1, поз. 1257</t>
  </si>
  <si>
    <t>Тальк молотый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</si>
  <si>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</si>
  <si>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</si>
  <si>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</si>
  <si>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</si>
  <si>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</si>
  <si>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</si>
  <si>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</si>
  <si>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</si>
  <si>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</si>
  <si>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</si>
  <si>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</si>
  <si>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</si>
  <si>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</si>
  <si>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</si>
  <si>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</si>
  <si>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</si>
  <si>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</si>
  <si>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</si>
  <si>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1.1-1-3644</t>
  </si>
  <si>
    <t>ТСН-2001.1 Доп. 80, Р. 1, о. 1, поз. 3644</t>
  </si>
  <si>
    <t>Дюбель распорный пластмассовый, диаметр 8 мм, длина 50 мм</t>
  </si>
  <si>
    <t>1.1-1-3758</t>
  </si>
  <si>
    <t>ТСН-2001.1 Доп. 73, Р. 1, о. 1, поз. 3758</t>
  </si>
  <si>
    <t>Шуруп-саморез прокалывающий с головкой специальной формы, диаметр 4,2 мм, длина 75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</si>
  <si>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</si>
  <si>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</si>
  <si>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</si>
  <si>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1.21-5-738</t>
  </si>
  <si>
    <t>ТСН-2001.1 Доп. 73, Р. 21, о. 5, поз. 738</t>
  </si>
  <si>
    <t>Наконечник кабельный медный под опрессовку луженый, типа ТМЛ 25-8-8</t>
  </si>
  <si>
    <t>3594000000</t>
  </si>
  <si>
    <t>Кабели заземления</t>
  </si>
  <si>
    <t>4372420000</t>
  </si>
  <si>
    <t>Охранно-пожарные пульты (ОПП)</t>
  </si>
  <si>
    <t>Полки для пультов</t>
  </si>
  <si>
    <t>4372920000</t>
  </si>
  <si>
    <t>Соединители ОПП-БПД-ТП</t>
  </si>
  <si>
    <t>5772110000</t>
  </si>
  <si>
    <t>Пластиковые короба</t>
  </si>
  <si>
    <t>4372900000</t>
  </si>
  <si>
    <t>Блоки питания сети (БПС)</t>
  </si>
  <si>
    <t>3428400000</t>
  </si>
  <si>
    <t>Ключи или кнопки пусковые</t>
  </si>
  <si>
    <t>3461500000</t>
  </si>
  <si>
    <t>Светильники с лампами накаливания</t>
  </si>
  <si>
    <t>3466100000</t>
  </si>
  <si>
    <t>Лампы накаливания</t>
  </si>
  <si>
    <t>0131000000</t>
  </si>
  <si>
    <t>Вода</t>
  </si>
  <si>
    <t>4854870000</t>
  </si>
  <si>
    <t>Модули установки пожаротушения тонкораспыленной водой</t>
  </si>
  <si>
    <t>5262170000</t>
  </si>
  <si>
    <t>Блоки дверные металлические противопожарные</t>
  </si>
  <si>
    <t>5295300000</t>
  </si>
  <si>
    <t>Рамки со штифтами на винтах</t>
  </si>
  <si>
    <t>4985110000</t>
  </si>
  <si>
    <t>Доводчики или синхронизаторы</t>
  </si>
  <si>
    <t>1297020000</t>
  </si>
  <si>
    <t>Болты строительные с гайками и шайбами (1297030000, 1610000000, 1620000000, 1680000000)</t>
  </si>
  <si>
    <t>4863320000</t>
  </si>
  <si>
    <t>Клапаны обратные или обратные искробезопасные (486337)</t>
  </si>
  <si>
    <t>3972280000</t>
  </si>
  <si>
    <t>Сверла победитовые</t>
  </si>
  <si>
    <t>5699500000</t>
  </si>
  <si>
    <t>Изделия фурнитуры для закрывания проемов</t>
  </si>
  <si>
    <t>Трубы поливинилхлоридные гофрированные</t>
  </si>
  <si>
    <t>3434200000</t>
  </si>
  <si>
    <t>Коробки соединительные</t>
  </si>
  <si>
    <t>Держатели пластиковые для труб</t>
  </si>
  <si>
    <t>1303000000</t>
  </si>
  <si>
    <t>Трубы стальные для электропроводок (1385000000)</t>
  </si>
  <si>
    <t>1462020000</t>
  </si>
  <si>
    <t>Муфты резьбовые для соединения стальных труб (2559370100)</t>
  </si>
  <si>
    <t>3449654000</t>
  </si>
  <si>
    <t>Гайки установочные заземляющие</t>
  </si>
  <si>
    <t>3449870000</t>
  </si>
  <si>
    <t>Гильзы соединительные кабельные, закрепляемые опрессовкой (3449860000)</t>
  </si>
  <si>
    <t>3464740000</t>
  </si>
  <si>
    <t>Коробки для соединения проводов (3434200000)</t>
  </si>
  <si>
    <t>3500000000</t>
  </si>
  <si>
    <t>Провода (марка и сечение по проекту)</t>
  </si>
  <si>
    <t>3551000000</t>
  </si>
  <si>
    <t>Провода изолированные медные (3555000000, 3582000000)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</si>
  <si>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</si>
  <si>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</si>
  <si>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</si>
  <si>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</si>
  <si>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</si>
  <si>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</si>
  <si>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</si>
  <si>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</si>
  <si>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</si>
  <si>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</si>
  <si>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</si>
  <si>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</si>
  <si>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</si>
  <si>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*0,6</t>
  </si>
  <si>
    <t>Гл.6.Прил.2.2.п.2.2.16_06.00.01.35.006</t>
  </si>
  <si>
    <t>При демонтаже металлических конструкций (в т.ч. к стоимости вспомогательных материалов)</t>
  </si>
  <si>
    <t>1.1</t>
  </si>
  <si>
    <t>КА</t>
  </si>
  <si>
    <t>ООО "Тантос"</t>
  </si>
  <si>
    <t>9721058155</t>
  </si>
  <si>
    <t>стр. п.</t>
  </si>
  <si>
    <t>1.2</t>
  </si>
  <si>
    <t>ООО «ТД «Импульс»</t>
  </si>
  <si>
    <t>6671078912</t>
  </si>
  <si>
    <t>1.3</t>
  </si>
  <si>
    <t>ООО "РУБЕЖ"</t>
  </si>
  <si>
    <t>6454052297</t>
  </si>
  <si>
    <t>2.1</t>
  </si>
  <si>
    <t>2.2</t>
  </si>
  <si>
    <t>ООО "Русский Свет"</t>
  </si>
  <si>
    <t>7704844420</t>
  </si>
  <si>
    <t>2.3</t>
  </si>
  <si>
    <t>Группа компаний "Деан"</t>
  </si>
  <si>
    <t>7723568334</t>
  </si>
  <si>
    <t>3.1</t>
  </si>
  <si>
    <t>3.2</t>
  </si>
  <si>
    <t>3.3</t>
  </si>
  <si>
    <t>4.1</t>
  </si>
  <si>
    <t>АО "ЧИП и ДИП"</t>
  </si>
  <si>
    <t>7729108750</t>
  </si>
  <si>
    <t>4.2</t>
  </si>
  <si>
    <t>ООО «ВИДЕОГЛАЗ ЦЕНТР»</t>
  </si>
  <si>
    <t>7719840097</t>
  </si>
  <si>
    <t>4.3</t>
  </si>
  <si>
    <t>ООО «М-Инвест»</t>
  </si>
  <si>
    <t>7743553167</t>
  </si>
  <si>
    <t>5.1</t>
  </si>
  <si>
    <t>5.2</t>
  </si>
  <si>
    <t>ООО «Системы видеонаблюдения»</t>
  </si>
  <si>
    <t>2221217421</t>
  </si>
  <si>
    <t>5.3</t>
  </si>
  <si>
    <t>6.1</t>
  </si>
  <si>
    <t>ООО «ИНТЭК»</t>
  </si>
  <si>
    <t>3662238160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</si>
  <si>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</si>
  <si>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</si>
  <si>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</si>
  <si>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</si>
  <si>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</si>
  <si>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</si>
  <si>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</si>
  <si>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</si>
  <si>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</si>
  <si>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</si>
  <si>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</si>
  <si>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</si>
  <si>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ООО "Астра-СБ"</t>
  </si>
  <si>
    <t>6312170753</t>
  </si>
  <si>
    <t>10.2</t>
  </si>
  <si>
    <t>ООО "ИСП"</t>
  </si>
  <si>
    <t>6321418601</t>
  </si>
  <si>
    <t>10.3</t>
  </si>
  <si>
    <t>ООО "Центр комплексной безопасности"</t>
  </si>
  <si>
    <t>6321281428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</si>
  <si>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</si>
  <si>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</si>
  <si>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</si>
  <si>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</si>
  <si>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</si>
  <si>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</si>
  <si>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</si>
  <si>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</si>
  <si>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</si>
  <si>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</si>
  <si>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Компания КНОПКА01</t>
  </si>
  <si>
    <t>9731093039</t>
  </si>
  <si>
    <t>14.2</t>
  </si>
  <si>
    <t>ООО "КОМПАНИЯ СТАЛКЕР"</t>
  </si>
  <si>
    <t>9723086133</t>
  </si>
  <si>
    <t>14.3</t>
  </si>
  <si>
    <t>ООО «ГРУППА КОМПАНИЙ АПТВ"</t>
  </si>
  <si>
    <t>7720855154</t>
  </si>
  <si>
    <t>15.1</t>
  </si>
  <si>
    <t>15.2</t>
  </si>
  <si>
    <t>15.3</t>
  </si>
  <si>
    <t>16.1</t>
  </si>
  <si>
    <t>ООО «БИТ»</t>
  </si>
  <si>
    <t>7718277072</t>
  </si>
  <si>
    <t>16.2</t>
  </si>
  <si>
    <t>16.3</t>
  </si>
  <si>
    <t>ООО "ТД Тинко"</t>
  </si>
  <si>
    <t>7702680818</t>
  </si>
  <si>
    <t>17.1</t>
  </si>
  <si>
    <t>17.2</t>
  </si>
  <si>
    <t>17.3</t>
  </si>
  <si>
    <t>АО «ТД ЭЛЕКТРОТЕХМОНТАЖ»</t>
  </si>
  <si>
    <t>7842224734</t>
  </si>
  <si>
    <t>18.1</t>
  </si>
  <si>
    <t>ООО "ТД Актив-СБ"</t>
  </si>
  <si>
    <t>7719741850</t>
  </si>
  <si>
    <t>18.2</t>
  </si>
  <si>
    <t>18.3</t>
  </si>
  <si>
    <t>19.1</t>
  </si>
  <si>
    <t>ООО "ГРУППА КОНТАКТОВ"</t>
  </si>
  <si>
    <t>1300004336</t>
  </si>
  <si>
    <t>19.2</t>
  </si>
  <si>
    <t>АО "Проплекс"</t>
  </si>
  <si>
    <t>7702258405</t>
  </si>
  <si>
    <t>19.3</t>
  </si>
  <si>
    <t>ООО "ТД Твоя безопасность"</t>
  </si>
  <si>
    <t>9715308907</t>
  </si>
  <si>
    <t>20.1</t>
  </si>
  <si>
    <t>20.2</t>
  </si>
  <si>
    <t>20.3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</si>
  <si>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</si>
  <si>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Гл.6.Прил.2.2.п.2.2.16_06.00.01.35.006
Наименование: При демонтаже металлических конструкций (в т.ч. к стоимости вспомогательных материалов)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</si>
  <si>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</si>
  <si>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</si>
  <si>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</si>
  <si>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t>Оповещатель охранно-пожарный комбинированный свето-звуковой (табло) со встроенной сиреной 100 дБ, напряжение 24 В, с следующими типами надписей: "ВЫХОД", "ПОЖАР", "ГАЗ! НЕ ВХОДИ!", "ГАЗ! УХОДИ!", "АВТОМАТИКА ВКЛЮЧЕНА". Степень защиты IP41, диапазон рабочих температур от -30 до +55°С, габаритные размеры 300х130х25 мм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</si>
  <si>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</si>
  <si>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</si>
  <si>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Кабель силовой с медными жилами, огнестойкий, с изоляцией и оболочкой из ПВХ пластиката пониженной пожарной опасности, не распространяющий горение, с пониженным дымо- и газовыделением и с низкой токсичностью продуктов горения, марка ВВГнг(А)-FRLSLTх, напряжение 1000 В, число жил и сечение 3х1,5 мм2</t>
  </si>
  <si>
    <t>Провод установочный с медной жилой, с изоляцией из ПВХ пластиката пониженной пожароопасности, с пониженным дымо- и газовыделением, марка ПуГПнг(А)-HF, напряжение 450/750 В, число жил и сечение 1х6 мм2 / прим. Провод медный желто-зеленый, сечением 1х4.0 мм ПуГПнг(А)-LSLTx</t>
  </si>
  <si>
    <t>"СОГЛАСОВАНО"</t>
  </si>
  <si>
    <t>"УТВЕРЖДАЮ"</t>
  </si>
  <si>
    <t>Форма № 4б</t>
  </si>
  <si>
    <t>"_____"________________ 2026 г.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</si>
  <si>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</si>
  <si>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</si>
  <si>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</si>
  <si>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</si>
  <si>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</si>
  <si>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</si>
  <si>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</si>
  <si>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</si>
  <si>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</si>
  <si>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</si>
  <si>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</si>
  <si>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</si>
  <si>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</si>
  <si>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</si>
  <si>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</si>
  <si>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</si>
  <si>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</si>
  <si>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</si>
  <si>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</si>
  <si>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</si>
  <si>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02-01-19 АУГП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</si>
  <si>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</si>
  <si>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</si>
  <si>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</si>
  <si>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</si>
  <si>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</si>
  <si>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</si>
  <si>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</si>
  <si>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</si>
  <si>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</si>
  <si>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</si>
  <si>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</si>
  <si>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</si>
  <si>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</si>
  <si>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</si>
  <si>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</si>
  <si>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1,15*1,2*0,6</t>
  </si>
  <si>
    <t>1,25*1,2*0,6</t>
  </si>
  <si>
    <t>МР</t>
  </si>
  <si>
    <t>0,6</t>
  </si>
  <si>
    <t xml:space="preserve">   Итого по ТСН-2001.16</t>
  </si>
  <si>
    <t xml:space="preserve">   Итого возвратных сумм</t>
  </si>
  <si>
    <r>
      <t>ОБОРУДОВАНИЕ:_x000D_
Прибор приемно-контрольный и управления охранно-пожарный R3-Рубеж-2ОП RBZ-319538</t>
    </r>
    <r>
      <rPr>
        <i/>
        <sz val="10"/>
        <color rgb="FF821E82"/>
        <rFont val="Arial"/>
        <family val="2"/>
        <charset val="204"/>
      </rPr>
      <t xml:space="preserve">
4 794,09 = [42 981 / 1,22 /  7,66] +  3% Трансп +  1,2% Заг.скл</t>
    </r>
  </si>
  <si>
    <r>
      <t>ОБОРУДОВАНИЕ:_x000D_
Пульт дистанционного управления R3-Рубеж-ПДУ-ПТ RBZ-319535</t>
    </r>
    <r>
      <rPr>
        <i/>
        <sz val="10"/>
        <color rgb="FF821E82"/>
        <rFont val="Arial"/>
        <family val="2"/>
        <charset val="204"/>
      </rPr>
      <t xml:space="preserve">
2 357,06 = [21 132 / 1,22 /  7,66] +  3% Трансп +  1,2% Заг.скл</t>
    </r>
  </si>
  <si>
    <r>
      <t>ОБОРУДОВАНИЕ:_x000D_
Источник вторичного электропитания резервированный, 12 В, 3.5 А, 2х7 Ач, ИВЭПР 12/3.5 2x7 -Р БР, ПАСН.436234.024-01</t>
    </r>
    <r>
      <rPr>
        <i/>
        <sz val="10"/>
        <color rgb="FF821E82"/>
        <rFont val="Arial"/>
        <family val="2"/>
        <charset val="204"/>
      </rPr>
      <t xml:space="preserve">
718,54 = [6 442 / 1,22 /  7,66] +  3% Трансп +  1,2% Заг.скл</t>
    </r>
  </si>
  <si>
    <r>
      <t>ОБОРУДОВАНИЕ:_x000D_
Источник вторичного электропитания резервированный 12 В, 5 А, 2х7 Ач, ИВЭПР 12/5 2x7 -Р БР RBZ-216604</t>
    </r>
    <r>
      <rPr>
        <i/>
        <sz val="10"/>
        <color rgb="FF821E82"/>
        <rFont val="Arial"/>
        <family val="2"/>
        <charset val="204"/>
      </rPr>
      <t xml:space="preserve">
793,71 = [7 116 / 1,22 /  7,66] +  3% Трансп +  1,2% Заг.скл</t>
    </r>
  </si>
  <si>
    <r>
      <t>ОБОРУДОВАНИЕ:_x000D_
Источник вторичного электропитания резервированный, ИВЭПР 12/2 RS-R3 2x17 прот. R3 RBZ-216598</t>
    </r>
    <r>
      <rPr>
        <i/>
        <sz val="10"/>
        <color rgb="FF821E82"/>
        <rFont val="Arial"/>
        <family val="2"/>
        <charset val="204"/>
      </rPr>
      <t xml:space="preserve">
926,45 = [8 306 / 1,22 /  7,66] +  3% Трансп +  1,2% Заг.скл</t>
    </r>
  </si>
  <si>
    <t>ОБОРУДОВАНИЕ:_x000D_
Батарея аккумуляторная, емкость 7 А·ч, напряжение 12 В</t>
  </si>
  <si>
    <t>ОБОРУДОВАНИЕ:_x000D_
Батарея аккумуляторная, емкость 17 А·ч, напряжение 12 В</t>
  </si>
  <si>
    <r>
      <t>ОБОРУДОВАНИЕ:_x000D_
Извещатель пожарный дымовой адресно-аналоговый с базовым основанием ИП 212-64-R3 (ИЗ-1Б-R3)</t>
    </r>
    <r>
      <rPr>
        <i/>
        <sz val="10"/>
        <color rgb="FF821E82"/>
        <rFont val="Arial"/>
        <family val="2"/>
        <charset val="204"/>
      </rPr>
      <t xml:space="preserve">
173,10 = [1 552 / 1,22 /  7,66] +  3% Трансп +  1,2% Заг.скл</t>
    </r>
  </si>
  <si>
    <r>
      <t>ОБОРУДОВАНИЕ:_x000D_
Устройство дистанционного пуска адресное УДП 513-11 ИКЗ-R3 "Пуск пожаротушения»</t>
    </r>
    <r>
      <rPr>
        <i/>
        <sz val="10"/>
        <color rgb="FF821E82"/>
        <rFont val="Arial"/>
        <family val="2"/>
        <charset val="204"/>
      </rPr>
      <t xml:space="preserve">
144,55 = [1 296 / 1,22 /  7,66] +  3% Трансп +  1,2% Заг.скл</t>
    </r>
  </si>
  <si>
    <t>ОБОРУДОВАНИЕ:_x000D_
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</si>
  <si>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t>ОБОРУДОВАНИЕ:_x000D_
Оповещатель охранно-пожарный комбинированный свето-звуковой (табло) со встроенной сиреной 100 дБ, напряжение 24 В, с следующими типами надписей: "ВЫХОД", "ПОЖАР", "ГАЗ! НЕ ВХОДИ!", "ГАЗ! УХОДИ!", "АВТОМАТИКА ВКЛЮЧЕНА". Степень защиты IP41, диапазон рабочих температур от -30 до +55°С, габаритные размеры 300х130х25 мм</t>
  </si>
  <si>
    <r>
      <t>ОБОРУДОВАНИЕ:_x000D_
Оповещатель пожарный свето-звуковой, 12 В, IP55, 105 дБ Маяк-12-КПМ1</t>
    </r>
    <r>
      <rPr>
        <i/>
        <sz val="10"/>
        <color rgb="FF821E82"/>
        <rFont val="Arial"/>
        <family val="2"/>
        <charset val="204"/>
      </rPr>
      <t xml:space="preserve">
91,24 = [818 / 1,22 /  7,66] +  3% Трансп +  1,2% Заг.скл</t>
    </r>
  </si>
  <si>
    <r>
      <t>ОБОРУДОВАНИЕ:_x000D_
Мо дуль газового пожаротушения с электро-контактным манометром, электромагнитным клапаном, заправлен (масса заправки ФК-5-1-12 – 18,5 кг)  Заря-22 (30-22,5-18)</t>
    </r>
    <r>
      <rPr>
        <i/>
        <sz val="10"/>
        <color rgb="FF821E82"/>
        <rFont val="Arial"/>
        <family val="2"/>
        <charset val="204"/>
      </rPr>
      <t xml:space="preserve">
23 295,34 = [208 852,58 / 1,22 /  7,66] +  3% Трансп +  1,2% Заг.скл</t>
    </r>
  </si>
  <si>
    <r>
      <t>ОБОРУДОВАНИЕ:_x000D_
Модуль газового пожаротушения с электроконтактным манометром, электромагнитным клапаном, заправлен (масса заправки ФК-5-1-12 – 15 кг) Заря-22 (30-22,5-18)</t>
    </r>
    <r>
      <rPr>
        <i/>
        <sz val="10"/>
        <color rgb="FF821E82"/>
        <rFont val="Arial"/>
        <family val="2"/>
        <charset val="204"/>
      </rPr>
      <t xml:space="preserve">
19 852,21 = [177 983,57 / 1,22 /  7,66] +  3% Трансп +  1,2% Заг.скл</t>
    </r>
  </si>
  <si>
    <r>
      <t>ОБОРУДОВАНИЕ:_x000D_
Модуль газового пожаротушения с электроконтактным манометром, электромагнитным клапаном, заправлен (масса заправки ФК-5-1-12 – 17,5 кг) Заря-22 (30-22,5-18)</t>
    </r>
    <r>
      <rPr>
        <i/>
        <sz val="10"/>
        <color rgb="FF821E82"/>
        <rFont val="Arial"/>
        <family val="2"/>
        <charset val="204"/>
      </rPr>
      <t xml:space="preserve">
24 626,11 = [220 783,55 / 1,22 /  7,66] +  3% Трансп +  1,2% Заг.скл</t>
    </r>
  </si>
  <si>
    <r>
      <t>ОБОРУДОВАНИЕ:_x000D_
Модуль газового пожаротушения с электроконтактным манометром, электромагнитным клапаном, заправлен (масса заправки ФК-5-1-12 – 16,5 кг) Заря-22 (30-22,5-18)</t>
    </r>
    <r>
      <rPr>
        <i/>
        <sz val="10"/>
        <color rgb="FF821E82"/>
        <rFont val="Arial"/>
        <family val="2"/>
        <charset val="204"/>
      </rPr>
      <t xml:space="preserve">
23 863,54 = [213 946,76 / 1,22 /  7,66] +  3% Трансп +  1,2% Заг.скл</t>
    </r>
  </si>
  <si>
    <t>ОБОРУДОВАНИЕ:_x000D_
Самоспасатель изолирующий типа СПИ-20. Время защитного действия при эвакуации не менее 20 мин, в ожидании помощи 40 мин, диапазон рабочих температур от 0 до +60°C, габаритные размеры 115х195х220 мм</t>
  </si>
  <si>
    <r>
      <t>ОБОРУДОВАНИЕ:_x000D_
Контейнер для двух СПИ-20 "СПИ-20 ШК-2 (344х204х170)" арт. RB1151-1</t>
    </r>
    <r>
      <rPr>
        <i/>
        <sz val="10"/>
        <color rgb="FF821E82"/>
        <rFont val="Arial"/>
        <family val="2"/>
        <charset val="204"/>
      </rPr>
      <t xml:space="preserve">
282,20 = [2 530 / 1,22 /  7,66] +  3% Трансп +  1,2% Заг.скл</t>
    </r>
  </si>
  <si>
    <t>1,15*1,2</t>
  </si>
  <si>
    <t>1,25*1,2</t>
  </si>
  <si>
    <t>ОБОРУДОВАНИЕ:_x000D_
Дымосос передвижной, мобильный типа ДПЭ-7 (2ЦМ). Производительность 2500 м3/час, напор 1000 Па, электродвигатель однофазный 220 В, 50 Гц, мощность 1,5 кВт, габаритные размеры 540х380х520 мм</t>
  </si>
  <si>
    <r>
      <t>Решетка защитная на КСИД 150-0,5</t>
    </r>
    <r>
      <rPr>
        <i/>
        <sz val="10"/>
        <rFont val="Arial"/>
        <family val="2"/>
        <charset val="204"/>
      </rPr>
      <t xml:space="preserve">
254,38 = [3 000 / 1,22 /  9,86] +  2% Заг.скл</t>
    </r>
  </si>
  <si>
    <r>
      <t>Огнестойкая распределительная коробка IP55 ТУ 27.33.13-001-52715257-2017 40-0210-FR2.5-4</t>
    </r>
    <r>
      <rPr>
        <i/>
        <sz val="10"/>
        <rFont val="Arial"/>
        <family val="2"/>
        <charset val="204"/>
      </rPr>
      <t xml:space="preserve">
208,77 = [2 462,1 / 1,22 /  9,86] +  2% Заг.скл</t>
    </r>
  </si>
  <si>
    <r>
      <t>Кабель КПСЭнг(A)-FRLSLTx 1х2х0,75</t>
    </r>
    <r>
      <rPr>
        <i/>
        <sz val="10"/>
        <rFont val="Arial"/>
        <family val="2"/>
        <charset val="204"/>
      </rPr>
      <t xml:space="preserve">
3,55 = [41,83 / 1,22 /  9,86] +  2% Заг.скл</t>
    </r>
  </si>
  <si>
    <r>
      <t>Кабель СегментЛАН U/UTP Cat5e PVCLSнг(А)-FRLSLT 2х2х0,52</t>
    </r>
    <r>
      <rPr>
        <i/>
        <sz val="10"/>
        <rFont val="Arial"/>
        <family val="2"/>
        <charset val="204"/>
      </rPr>
      <t xml:space="preserve">
11,62 = [136,97 / 1,22 /  9,86] +  2% Заг.скл</t>
    </r>
  </si>
  <si>
    <r>
      <t>Огнезащитный терморасширяющийся герметик, 0,3 кг ОГНЕЗА ГТ</t>
    </r>
    <r>
      <rPr>
        <i/>
        <sz val="10"/>
        <rFont val="Arial"/>
        <family val="2"/>
        <charset val="204"/>
      </rPr>
      <t xml:space="preserve">
105,13 = [1 239,84 / 1,22 /  9,86]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</si>
  <si>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</si>
  <si>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</si>
  <si>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</si>
  <si>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</si>
  <si>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</si>
  <si>
    <t>+</t>
  </si>
  <si>
    <t>коэф 7,57</t>
  </si>
  <si>
    <r>
      <t>ОБОРУДОВАНИЕ:
Модуль автоматики пожаротушения МПТ-1 прот.R3 RBZ-073406</t>
    </r>
    <r>
      <rPr>
        <i/>
        <sz val="10"/>
        <color rgb="FF821E82"/>
        <rFont val="Arial"/>
        <family val="2"/>
        <charset val="204"/>
      </rPr>
      <t xml:space="preserve">
824,73 = [7 394 / 1,22 /  7,66] +  3% Трансп +  1,2% Заг.скл</t>
    </r>
  </si>
  <si>
    <r>
      <t>ОБОРУДОВАНИЕ:
Клапан сброса избыточного давления КСИД 150-0,5</t>
    </r>
    <r>
      <rPr>
        <i/>
        <sz val="10"/>
        <color rgb="FF821E82"/>
        <rFont val="Arial"/>
        <family val="2"/>
        <charset val="204"/>
      </rPr>
      <t xml:space="preserve">
2 286,45 = [20 498,94 / 1,22 /  7,66] +  3% Трансп +  1,2% Заг.скл</t>
    </r>
  </si>
  <si>
    <t>цена  за  ед 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</si>
</sst>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#,##0.00;[Red]\-\ #,##0.00"/>
  </numFmts>
  <fonts count="28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C00000"/>
      <name val="Arial"/>
      <family val="2"/>
      <charset val="204"/>
    </font>
    <font>
      <sz val="11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43" fontId="25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7" fillId="0" borderId="0" xfId="0" applyFont="1" applyAlignment="1">
      <alignment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12" fillId="0" borderId="0" xfId="0" quotePrefix="1" applyFont="1" applyAlignment="1">
      <alignment horizontal="right" vertical="top" wrapText="1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7" fillId="0" borderId="0" xfId="0" applyFont="1" applyAlignment="1">
      <alignment horizontal="left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7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/>
    </xf>
    <xf numFmtId="0" fontId="17" fillId="0" borderId="0" xfId="0" applyFont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164" fontId="23" fillId="0" borderId="2" xfId="0" applyNumberFormat="1" applyFont="1" applyBorder="1" applyAlignment="1">
      <alignment horizontal="right" vertical="top"/>
    </xf>
    <xf numFmtId="164" fontId="17" fillId="0" borderId="2" xfId="0" applyNumberFormat="1" applyFont="1" applyBorder="1" applyAlignment="1">
      <alignment horizontal="right" vertical="top"/>
    </xf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13" fillId="2" borderId="0" xfId="0" applyFont="1" applyFill="1"/>
    <xf numFmtId="0" fontId="14" fillId="2" borderId="0" xfId="0" applyFont="1" applyFill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left" wrapText="1"/>
    </xf>
    <xf numFmtId="0" fontId="0" fillId="2" borderId="0" xfId="0" applyFill="1"/>
    <xf numFmtId="0" fontId="14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top" wrapText="1"/>
    </xf>
    <xf numFmtId="0" fontId="17" fillId="2" borderId="0" xfId="0" applyFont="1" applyFill="1" applyAlignment="1">
      <alignment horizontal="left"/>
    </xf>
    <xf numFmtId="164" fontId="17" fillId="2" borderId="0" xfId="0" applyNumberFormat="1" applyFont="1" applyFill="1"/>
    <xf numFmtId="0" fontId="17" fillId="2" borderId="0" xfId="0" applyFont="1" applyFill="1"/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top"/>
    </xf>
    <xf numFmtId="0" fontId="19" fillId="2" borderId="1" xfId="0" applyFont="1" applyFill="1" applyBorder="1" applyAlignment="1">
      <alignment horizontal="right" vertical="top" wrapText="1"/>
    </xf>
    <xf numFmtId="0" fontId="10" fillId="0" borderId="0" xfId="0" applyFont="1"/>
    <xf numFmtId="0" fontId="19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right" vertical="top" wrapText="1"/>
    </xf>
    <xf numFmtId="0" fontId="19" fillId="2" borderId="0" xfId="0" applyFont="1" applyFill="1" applyAlignment="1">
      <alignment horizontal="right" vertical="top"/>
    </xf>
    <xf numFmtId="164" fontId="19" fillId="2" borderId="0" xfId="0" applyNumberFormat="1" applyFont="1" applyFill="1" applyAlignment="1">
      <alignment horizontal="right" vertical="top"/>
    </xf>
    <xf numFmtId="0" fontId="19" fillId="2" borderId="0" xfId="0" quotePrefix="1" applyFont="1" applyFill="1" applyAlignment="1">
      <alignment horizontal="right" vertical="top" wrapText="1"/>
    </xf>
    <xf numFmtId="0" fontId="26" fillId="0" borderId="0" xfId="0" applyFont="1"/>
    <xf numFmtId="0" fontId="27" fillId="2" borderId="1" xfId="0" applyFont="1" applyFill="1" applyBorder="1" applyAlignment="1">
      <alignment horizontal="right" vertical="top"/>
    </xf>
    <xf numFmtId="0" fontId="27" fillId="2" borderId="0" xfId="0" applyFont="1" applyFill="1" applyAlignment="1">
      <alignment horizontal="right" vertical="top"/>
    </xf>
    <xf numFmtId="43" fontId="26" fillId="0" borderId="0" xfId="2" applyFont="1"/>
  </cellXfs>
  <cellStyles count="3">
    <cellStyle name="Обычный" xfId="0" builtinId="0"/>
    <cellStyle name="Обычный 4" xfId="1" xr:uid="{B64AC5B2-080B-4D91-A92B-FF8426BFE9C1}"/>
    <cellStyle name="Финансовый" xfId="2" builtinId="3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0036-FF1E-48B9-8EE6-CF44F230635E}">
  <sheetPr filterMode="1">
    <pageSetUpPr fitToPage="1"/>
  </sheetPr>
  <dimension ref="A1:AQ632"/>
  <sheetViews>
    <sheetView tabSelected="1" view="pageBreakPreview" topLeftCell="A19" zoomScaleNormal="100" zoomScaleSheetLayoutView="100" workbookViewId="0">
      <selection activeCell="N33" sqref="N33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11.42578125" bestFit="1" customWidth="1"/>
    <col min="6" max="6" width="9.5703125" bestFit="1" customWidth="1"/>
    <col min="7" max="7" width="11.85546875" bestFit="1" customWidth="1"/>
    <col min="9" max="9" width="9.85546875" bestFit="1" customWidth="1"/>
    <col min="10" max="10" width="9.85546875" style="87" bestFit="1" customWidth="1"/>
    <col min="11" max="11" width="14.5703125" customWidth="1"/>
    <col min="12" max="12" width="14.5703125" style="90" bestFit="1" customWidth="1"/>
    <col min="15" max="41" width="0" hidden="1" customWidth="1"/>
    <col min="42" max="42" width="127.28515625" hidden="1" customWidth="1"/>
    <col min="43" max="43" width="94.85546875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49"/>
      <c r="B2" s="49"/>
      <c r="C2" s="49"/>
      <c r="D2" s="49"/>
      <c r="E2" s="49"/>
      <c r="F2" s="49"/>
      <c r="G2" s="49"/>
      <c r="H2" s="49"/>
      <c r="I2" s="49"/>
      <c r="J2" s="50" t="s">
        <v>807</v>
      </c>
      <c r="K2" s="50"/>
      <c r="L2"/>
    </row>
    <row r="3" spans="1:42" ht="16.5" x14ac:dyDescent="0.25">
      <c r="A3" s="51"/>
      <c r="B3" s="52" t="s">
        <v>805</v>
      </c>
      <c r="C3" s="52"/>
      <c r="D3" s="52"/>
      <c r="E3" s="52"/>
      <c r="F3" s="53"/>
      <c r="G3" s="52" t="s">
        <v>806</v>
      </c>
      <c r="H3" s="52"/>
      <c r="I3" s="52"/>
      <c r="J3" s="52"/>
      <c r="K3" s="52"/>
      <c r="L3"/>
    </row>
    <row r="4" spans="1:42" ht="14.25" x14ac:dyDescent="0.2">
      <c r="A4" s="53"/>
      <c r="B4" s="54"/>
      <c r="C4" s="54"/>
      <c r="D4" s="54"/>
      <c r="E4" s="54"/>
      <c r="F4" s="53"/>
      <c r="G4" s="54"/>
      <c r="H4" s="54"/>
      <c r="I4" s="54"/>
      <c r="J4" s="54"/>
      <c r="K4" s="54"/>
      <c r="L4"/>
    </row>
    <row r="5" spans="1:42" ht="14.25" x14ac:dyDescent="0.2">
      <c r="A5" s="53"/>
      <c r="B5" s="53"/>
      <c r="C5" s="55"/>
      <c r="D5" s="55"/>
      <c r="E5" s="55"/>
      <c r="F5" s="53"/>
      <c r="G5" s="55"/>
      <c r="H5" s="55"/>
      <c r="I5" s="55"/>
      <c r="J5" s="55"/>
      <c r="K5" s="55"/>
      <c r="L5"/>
    </row>
    <row r="6" spans="1:42" ht="14.25" x14ac:dyDescent="0.2">
      <c r="A6" s="55"/>
      <c r="B6" s="54" t="str">
        <f>CONCATENATE("______________________ ", IF(Source!AL12&lt;&gt;"", Source!AL12, ""))</f>
        <v xml:space="preserve">______________________ </v>
      </c>
      <c r="C6" s="54"/>
      <c r="D6" s="54"/>
      <c r="E6" s="54"/>
      <c r="F6" s="53"/>
      <c r="G6" s="54" t="str">
        <f>CONCATENATE("______________________ ", IF(Source!AH12&lt;&gt;"", Source!AH12, ""))</f>
        <v xml:space="preserve">______________________ </v>
      </c>
      <c r="H6" s="54"/>
      <c r="I6" s="54"/>
      <c r="J6" s="54"/>
      <c r="K6" s="54"/>
      <c r="L6"/>
    </row>
    <row r="7" spans="1:42" ht="14.25" x14ac:dyDescent="0.2">
      <c r="A7" s="56"/>
      <c r="B7" s="57" t="s">
        <v>808</v>
      </c>
      <c r="C7" s="57"/>
      <c r="D7" s="57"/>
      <c r="E7" s="57"/>
      <c r="F7" s="53"/>
      <c r="G7" s="57" t="s">
        <v>808</v>
      </c>
      <c r="H7" s="57"/>
      <c r="I7" s="57"/>
      <c r="J7" s="57"/>
      <c r="K7" s="57"/>
      <c r="L7"/>
    </row>
    <row r="8" spans="1:42" x14ac:dyDescent="0.2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/>
    </row>
    <row r="9" spans="1:42" ht="14.25" x14ac:dyDescent="0.2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/>
    </row>
    <row r="10" spans="1:42" ht="47.25" x14ac:dyDescent="0.25">
      <c r="A10" s="59" t="s">
        <v>881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/>
      <c r="AP10" s="17" t="s">
        <v>829</v>
      </c>
    </row>
    <row r="11" spans="1:42" x14ac:dyDescent="0.2">
      <c r="A11" s="60" t="s">
        <v>809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/>
    </row>
    <row r="12" spans="1:42" ht="14.25" x14ac:dyDescent="0.2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/>
    </row>
    <row r="13" spans="1:42" ht="15.75" x14ac:dyDescent="0.25">
      <c r="A13" s="59" t="str">
        <f>CONCATENATE( "ЛОКАЛЬНАЯ СМЕТА № ",IF(Source!F12&lt;&gt;"Новый объект", Source!F12, ""))</f>
        <v>ЛОКАЛЬНАЯ СМЕТА № 02-01-19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/>
    </row>
    <row r="14" spans="1:42" ht="14.25" x14ac:dyDescent="0.2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/>
    </row>
    <row r="15" spans="1:42" ht="18" x14ac:dyDescent="0.25">
      <c r="A15" s="62" t="str">
        <f>Source!G20</f>
        <v>Автоматическая установка газового пожаротушения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/>
    </row>
    <row r="16" spans="1:42" x14ac:dyDescent="0.2">
      <c r="A16" s="63" t="s">
        <v>810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/>
    </row>
    <row r="17" spans="1:42" ht="14.25" x14ac:dyDescent="0.2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/>
    </row>
    <row r="18" spans="1:42" ht="14.25" x14ac:dyDescent="0.2">
      <c r="A18" s="65" t="str">
        <f>CONCATENATE( "Основание: чертежи № ", Source!J12)</f>
        <v>Основание: чертежи № 2024-00375-01-0-ИОС5.12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/>
    </row>
    <row r="19" spans="1:42" ht="14.25" x14ac:dyDescent="0.2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/>
    </row>
    <row r="20" spans="1:42" ht="71.25" x14ac:dyDescent="0.2">
      <c r="A20" s="53"/>
      <c r="B20" s="53"/>
      <c r="C20" s="53"/>
      <c r="D20" s="53"/>
      <c r="E20" s="53"/>
      <c r="F20" s="53"/>
      <c r="G20" s="53"/>
      <c r="H20" s="53"/>
      <c r="I20" s="67" t="s">
        <v>811</v>
      </c>
      <c r="J20" s="67" t="s">
        <v>812</v>
      </c>
      <c r="K20" s="53"/>
      <c r="L20"/>
    </row>
    <row r="21" spans="1:42" ht="15" x14ac:dyDescent="0.25">
      <c r="A21" s="53"/>
      <c r="B21" s="53"/>
      <c r="C21" s="53"/>
      <c r="D21" s="53"/>
      <c r="E21" s="68" t="s">
        <v>813</v>
      </c>
      <c r="F21" s="68"/>
      <c r="G21" s="68"/>
      <c r="H21" s="68"/>
      <c r="I21" s="69">
        <f>I22+I23+I24+I25</f>
        <v>418.42</v>
      </c>
      <c r="J21" s="69">
        <f>J22+J23+J24+J25</f>
        <v>4162.6100000000006</v>
      </c>
      <c r="K21" s="70" t="s">
        <v>877</v>
      </c>
      <c r="L21"/>
    </row>
    <row r="22" spans="1:42" ht="14.25" x14ac:dyDescent="0.2">
      <c r="A22" s="53"/>
      <c r="B22" s="53"/>
      <c r="C22" s="53"/>
      <c r="D22" s="53"/>
      <c r="E22" s="54" t="s">
        <v>80</v>
      </c>
      <c r="F22" s="54"/>
      <c r="G22" s="54"/>
      <c r="H22" s="54"/>
      <c r="I22" s="71">
        <f>ROUND((Source!F381)/1000, 2)</f>
        <v>34.369999999999997</v>
      </c>
      <c r="J22" s="71">
        <f>ROUND((Source!P381)/1000, 2)</f>
        <v>710.35</v>
      </c>
      <c r="K22" s="53" t="s">
        <v>877</v>
      </c>
      <c r="L22"/>
    </row>
    <row r="23" spans="1:42" ht="14.25" x14ac:dyDescent="0.2">
      <c r="A23" s="53"/>
      <c r="B23" s="53"/>
      <c r="C23" s="53"/>
      <c r="D23" s="53"/>
      <c r="E23" s="54" t="s">
        <v>814</v>
      </c>
      <c r="F23" s="54"/>
      <c r="G23" s="54"/>
      <c r="H23" s="54"/>
      <c r="I23" s="71">
        <f>ROUND((Source!F382)/1000, 2)</f>
        <v>59.83</v>
      </c>
      <c r="J23" s="71">
        <f>ROUND((Source!P382)/1000, 2)</f>
        <v>1047.19</v>
      </c>
      <c r="K23" s="53" t="s">
        <v>877</v>
      </c>
      <c r="L23"/>
    </row>
    <row r="24" spans="1:42" ht="14.25" x14ac:dyDescent="0.2">
      <c r="A24" s="53"/>
      <c r="B24" s="53"/>
      <c r="C24" s="53"/>
      <c r="D24" s="53"/>
      <c r="E24" s="54" t="s">
        <v>177</v>
      </c>
      <c r="F24" s="54"/>
      <c r="G24" s="54"/>
      <c r="H24" s="54"/>
      <c r="I24" s="71">
        <f>ROUND((Source!F373)/1000, 2)</f>
        <v>324.22000000000003</v>
      </c>
      <c r="J24" s="71">
        <f>ROUND((Source!P373)/1000, 2)</f>
        <v>2405.0700000000002</v>
      </c>
      <c r="K24" s="53" t="s">
        <v>877</v>
      </c>
      <c r="L24"/>
    </row>
    <row r="25" spans="1:42" ht="14.25" x14ac:dyDescent="0.2">
      <c r="A25" s="53"/>
      <c r="B25" s="53"/>
      <c r="C25" s="53"/>
      <c r="D25" s="53"/>
      <c r="E25" s="54" t="s">
        <v>815</v>
      </c>
      <c r="F25" s="54"/>
      <c r="G25" s="54"/>
      <c r="H25" s="54"/>
      <c r="I25" s="71">
        <f>ROUND((Source!F383+Source!F384)/1000, 2)</f>
        <v>0</v>
      </c>
      <c r="J25" s="71">
        <f>ROUND((Source!P383+Source!P384)/1000, 2)</f>
        <v>0</v>
      </c>
      <c r="K25" s="53" t="s">
        <v>877</v>
      </c>
      <c r="L25"/>
    </row>
    <row r="26" spans="1:42" ht="14.25" x14ac:dyDescent="0.2">
      <c r="A26" s="53"/>
      <c r="B26" s="53"/>
      <c r="C26" s="53"/>
      <c r="D26" s="53"/>
      <c r="E26" s="54" t="s">
        <v>816</v>
      </c>
      <c r="F26" s="54"/>
      <c r="G26" s="54"/>
      <c r="H26" s="54"/>
      <c r="I26" s="71">
        <f>(Source!F379+ Source!F378)/1000</f>
        <v>10.063789999999999</v>
      </c>
      <c r="J26" s="71">
        <f>((Source!P379 + Source!P378)/1000)</f>
        <v>567.09459000000004</v>
      </c>
      <c r="K26" s="53" t="s">
        <v>877</v>
      </c>
      <c r="L26"/>
    </row>
    <row r="27" spans="1:42" ht="14.25" x14ac:dyDescent="0.2">
      <c r="A27" s="53"/>
      <c r="B27" s="53"/>
      <c r="C27" s="53"/>
      <c r="D27" s="53"/>
      <c r="E27" s="54" t="s">
        <v>817</v>
      </c>
      <c r="F27" s="54"/>
      <c r="G27" s="54"/>
      <c r="H27" s="54"/>
      <c r="I27" s="71">
        <f>Source!F386</f>
        <v>856.39851670079997</v>
      </c>
      <c r="J27" s="71"/>
      <c r="K27" s="53" t="s">
        <v>451</v>
      </c>
      <c r="L27"/>
    </row>
    <row r="28" spans="1:42" ht="14.25" x14ac:dyDescent="0.2">
      <c r="A28" s="53"/>
      <c r="B28" s="53"/>
      <c r="C28" s="53"/>
      <c r="D28" s="53"/>
      <c r="E28" s="54" t="s">
        <v>818</v>
      </c>
      <c r="F28" s="54"/>
      <c r="G28" s="54"/>
      <c r="H28" s="54"/>
      <c r="I28" s="71"/>
      <c r="J28" s="71"/>
      <c r="K28" s="53"/>
      <c r="L28"/>
    </row>
    <row r="29" spans="1:42" ht="14.25" x14ac:dyDescent="0.2">
      <c r="A29" s="53"/>
      <c r="B29" s="53"/>
      <c r="C29" s="53"/>
      <c r="D29" s="53"/>
      <c r="E29" s="72" t="s">
        <v>162</v>
      </c>
      <c r="F29" s="72"/>
      <c r="G29" s="72"/>
      <c r="H29" s="72"/>
      <c r="I29" s="71">
        <f>SUM(Y1:Y625)/1000</f>
        <v>0</v>
      </c>
      <c r="J29" s="71">
        <f>SUM(Z1:Z625)/1000</f>
        <v>0</v>
      </c>
      <c r="K29" s="53" t="s">
        <v>877</v>
      </c>
      <c r="L29"/>
    </row>
    <row r="30" spans="1:42" ht="14.25" x14ac:dyDescent="0.2">
      <c r="A30" s="53"/>
      <c r="B30" s="53"/>
      <c r="C30" s="53"/>
      <c r="D30" s="53"/>
      <c r="E30" s="53"/>
      <c r="F30" s="55"/>
      <c r="G30" s="55"/>
      <c r="H30" s="55"/>
      <c r="I30" s="71"/>
      <c r="J30" s="71"/>
      <c r="K30" s="53"/>
      <c r="L30"/>
    </row>
    <row r="31" spans="1:42" ht="14.25" x14ac:dyDescent="0.2">
      <c r="A31" s="53" t="s">
        <v>830</v>
      </c>
      <c r="B31" s="53"/>
      <c r="C31" s="53"/>
      <c r="D31" s="53"/>
      <c r="E31" s="53"/>
      <c r="F31" s="55"/>
      <c r="G31" s="55"/>
      <c r="H31" s="55"/>
      <c r="I31" s="71"/>
      <c r="J31" s="71"/>
      <c r="K31" s="53"/>
      <c r="L31"/>
    </row>
    <row r="32" spans="1:42" ht="28.5" x14ac:dyDescent="0.2">
      <c r="A32" s="65" t="s">
        <v>831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/>
      <c r="AP32" s="18" t="s">
        <v>831</v>
      </c>
    </row>
    <row r="33" spans="1:29" ht="99.75" x14ac:dyDescent="0.2">
      <c r="A33" s="73" t="s">
        <v>819</v>
      </c>
      <c r="B33" s="73" t="s">
        <v>820</v>
      </c>
      <c r="C33" s="73" t="s">
        <v>821</v>
      </c>
      <c r="D33" s="73" t="s">
        <v>822</v>
      </c>
      <c r="E33" s="73" t="s">
        <v>823</v>
      </c>
      <c r="F33" s="73" t="s">
        <v>824</v>
      </c>
      <c r="G33" s="74" t="s">
        <v>825</v>
      </c>
      <c r="H33" s="74" t="s">
        <v>826</v>
      </c>
      <c r="I33" s="73" t="s">
        <v>832</v>
      </c>
      <c r="J33" s="75" t="s">
        <v>827</v>
      </c>
      <c r="K33" s="73" t="s">
        <v>828</v>
      </c>
      <c r="L33"/>
    </row>
    <row r="34" spans="1:29" ht="14.25" x14ac:dyDescent="0.2">
      <c r="A34" s="73">
        <v>1</v>
      </c>
      <c r="B34" s="73">
        <v>2</v>
      </c>
      <c r="C34" s="73">
        <v>3</v>
      </c>
      <c r="D34" s="73">
        <v>4</v>
      </c>
      <c r="E34" s="73">
        <v>5</v>
      </c>
      <c r="F34" s="73">
        <v>6</v>
      </c>
      <c r="G34" s="73">
        <v>7</v>
      </c>
      <c r="H34" s="73">
        <v>8</v>
      </c>
      <c r="I34" s="73">
        <v>9</v>
      </c>
      <c r="J34" s="73">
        <v>10</v>
      </c>
      <c r="K34" s="73">
        <v>11</v>
      </c>
      <c r="L34" s="81" t="s">
        <v>886</v>
      </c>
    </row>
    <row r="35" spans="1:29" hidden="1" x14ac:dyDescent="0.2">
      <c r="J35"/>
      <c r="L35"/>
    </row>
    <row r="36" spans="1:29" ht="16.5" hidden="1" x14ac:dyDescent="0.2">
      <c r="A36" s="46" t="str">
        <f>CONCATENATE("Локальная смета: ",IF(Source!G20&lt;&gt;"Новая локальная смета", Source!G20, ""))</f>
        <v>Локальная смета: Автоматическая установка газового пожаротушения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/>
    </row>
    <row r="37" spans="1:29" hidden="1" x14ac:dyDescent="0.2">
      <c r="J37"/>
      <c r="L37"/>
    </row>
    <row r="38" spans="1:29" ht="16.5" hidden="1" x14ac:dyDescent="0.2">
      <c r="A38" s="46" t="str">
        <f>CONCATENATE("Раздел: ",IF(Source!G24&lt;&gt;"Новый раздел", Source!G24, ""))</f>
        <v>Раздел: Демонтажные работы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/>
    </row>
    <row r="39" spans="1:29" ht="57" hidden="1" x14ac:dyDescent="0.2">
      <c r="A39" s="19">
        <v>1</v>
      </c>
      <c r="B39" s="19" t="str">
        <f>Source!F28</f>
        <v>4.10-80-5</v>
      </c>
      <c r="C39" s="19" t="s">
        <v>21</v>
      </c>
      <c r="D39" s="21" t="str">
        <f>Source!H28</f>
        <v>1  ШТ.</v>
      </c>
      <c r="E39" s="20">
        <f>Source!I28</f>
        <v>8</v>
      </c>
      <c r="F39" s="23"/>
      <c r="G39" s="22"/>
      <c r="H39" s="20"/>
      <c r="I39" s="23"/>
      <c r="J39" s="20"/>
      <c r="K39" s="23"/>
      <c r="L39"/>
      <c r="Q39">
        <f>Source!X28</f>
        <v>62.55</v>
      </c>
      <c r="R39">
        <f>Source!X29</f>
        <v>3524.69</v>
      </c>
      <c r="S39">
        <f>Source!Y28</f>
        <v>31.97</v>
      </c>
      <c r="T39">
        <f>Source!Y29</f>
        <v>1801.51</v>
      </c>
      <c r="U39">
        <f>ROUND((175/100)*ROUND(Source!R28, 2), 2)</f>
        <v>0.05</v>
      </c>
      <c r="V39">
        <f>ROUND((0/100)*ROUND(Source!R29, 2), 2)</f>
        <v>0</v>
      </c>
      <c r="AC39">
        <v>0</v>
      </c>
    </row>
    <row r="40" spans="1:29" ht="14.25" hidden="1" x14ac:dyDescent="0.2">
      <c r="A40" s="19"/>
      <c r="B40" s="19"/>
      <c r="C40" s="19" t="s">
        <v>833</v>
      </c>
      <c r="D40" s="21"/>
      <c r="E40" s="20"/>
      <c r="F40" s="23">
        <f>Source!AO28</f>
        <v>23.04</v>
      </c>
      <c r="G40" s="22" t="s">
        <v>834</v>
      </c>
      <c r="H40" s="20">
        <f>Source!AV29</f>
        <v>1.0469999999999999</v>
      </c>
      <c r="I40" s="23">
        <f>Source!S28</f>
        <v>69.47</v>
      </c>
      <c r="J40" s="20">
        <f>IF(Source!BA29&lt;&gt; 0, Source!BA29, 1)</f>
        <v>56.35</v>
      </c>
      <c r="K40" s="23">
        <f>Source!S29</f>
        <v>3914.63</v>
      </c>
      <c r="L40"/>
    </row>
    <row r="41" spans="1:29" ht="14.25" hidden="1" x14ac:dyDescent="0.2">
      <c r="A41" s="19"/>
      <c r="B41" s="19"/>
      <c r="C41" s="19" t="s">
        <v>835</v>
      </c>
      <c r="D41" s="21"/>
      <c r="E41" s="20"/>
      <c r="F41" s="23">
        <f>Source!AM28</f>
        <v>0.05</v>
      </c>
      <c r="G41" s="22" t="s">
        <v>834</v>
      </c>
      <c r="H41" s="20">
        <f>Source!AV29</f>
        <v>1.0469999999999999</v>
      </c>
      <c r="I41" s="23">
        <f>Source!Q28</f>
        <v>0.15</v>
      </c>
      <c r="J41" s="20">
        <f>IF(Source!BB29&lt;&gt; 0, Source!BB29, 1)</f>
        <v>20</v>
      </c>
      <c r="K41" s="23">
        <f>Source!Q29</f>
        <v>3</v>
      </c>
      <c r="L41"/>
    </row>
    <row r="42" spans="1:29" ht="14.25" hidden="1" x14ac:dyDescent="0.2">
      <c r="A42" s="19"/>
      <c r="B42" s="19"/>
      <c r="C42" s="19" t="s">
        <v>836</v>
      </c>
      <c r="D42" s="21"/>
      <c r="E42" s="20"/>
      <c r="F42" s="23">
        <f>Source!AN28</f>
        <v>0.01</v>
      </c>
      <c r="G42" s="22" t="s">
        <v>834</v>
      </c>
      <c r="H42" s="20">
        <f>Source!AV29</f>
        <v>1.0469999999999999</v>
      </c>
      <c r="I42" s="24">
        <f>Source!R28</f>
        <v>0.03</v>
      </c>
      <c r="J42" s="20">
        <f>IF(Source!BS29&lt;&gt; 0, Source!BS29, 1)</f>
        <v>56.35</v>
      </c>
      <c r="K42" s="24">
        <f>Source!R29</f>
        <v>1.69</v>
      </c>
      <c r="L42"/>
    </row>
    <row r="43" spans="1:29" ht="14.25" hidden="1" x14ac:dyDescent="0.2">
      <c r="A43" s="19"/>
      <c r="B43" s="19"/>
      <c r="C43" s="19" t="s">
        <v>837</v>
      </c>
      <c r="D43" s="21" t="s">
        <v>838</v>
      </c>
      <c r="E43" s="20">
        <f>Source!BZ29</f>
        <v>90</v>
      </c>
      <c r="F43" s="23"/>
      <c r="G43" s="22"/>
      <c r="H43" s="20"/>
      <c r="I43" s="23">
        <f>SUM(Q39:Q42)</f>
        <v>62.55</v>
      </c>
      <c r="J43" s="20">
        <f>Source!AT29</f>
        <v>90</v>
      </c>
      <c r="K43" s="23">
        <f>SUM(R39:R42)</f>
        <v>3524.69</v>
      </c>
      <c r="L43"/>
    </row>
    <row r="44" spans="1:29" ht="14.25" hidden="1" x14ac:dyDescent="0.2">
      <c r="A44" s="19"/>
      <c r="B44" s="19"/>
      <c r="C44" s="19" t="s">
        <v>839</v>
      </c>
      <c r="D44" s="21" t="s">
        <v>838</v>
      </c>
      <c r="E44" s="20">
        <f>Source!CA29</f>
        <v>46</v>
      </c>
      <c r="F44" s="23"/>
      <c r="G44" s="22"/>
      <c r="H44" s="20"/>
      <c r="I44" s="23">
        <f>SUM(S39:S43)</f>
        <v>31.97</v>
      </c>
      <c r="J44" s="20">
        <f>Source!AU29</f>
        <v>46</v>
      </c>
      <c r="K44" s="23">
        <f>SUM(T39:T43)</f>
        <v>1801.51</v>
      </c>
      <c r="L44"/>
    </row>
    <row r="45" spans="1:29" ht="14.25" hidden="1" x14ac:dyDescent="0.2">
      <c r="A45" s="25"/>
      <c r="B45" s="25"/>
      <c r="C45" s="25" t="s">
        <v>840</v>
      </c>
      <c r="D45" s="26" t="s">
        <v>841</v>
      </c>
      <c r="E45" s="27">
        <f>Source!AQ28</f>
        <v>1.8</v>
      </c>
      <c r="F45" s="28"/>
      <c r="G45" s="29" t="s">
        <v>834</v>
      </c>
      <c r="H45" s="27">
        <f>Source!AV29</f>
        <v>1.0469999999999999</v>
      </c>
      <c r="I45" s="28">
        <f>Source!U28</f>
        <v>5.4276479999999996</v>
      </c>
      <c r="J45" s="27"/>
      <c r="K45" s="28"/>
      <c r="L45"/>
    </row>
    <row r="46" spans="1:29" ht="15" hidden="1" x14ac:dyDescent="0.2">
      <c r="C46" s="30" t="s">
        <v>842</v>
      </c>
      <c r="H46" s="48">
        <f>I40+I41+I43+I44+0-0-0</f>
        <v>164.14000000000001</v>
      </c>
      <c r="I46" s="48"/>
      <c r="J46" s="48">
        <f>K40+K41+K43+K44+0-0-0</f>
        <v>9243.83</v>
      </c>
      <c r="K46" s="48"/>
      <c r="L46"/>
    </row>
    <row r="47" spans="1:29" ht="15" hidden="1" x14ac:dyDescent="0.2">
      <c r="C47" s="30" t="s">
        <v>843</v>
      </c>
      <c r="H47" s="43">
        <f>0+0</f>
        <v>0</v>
      </c>
      <c r="I47" s="43"/>
      <c r="J47" s="43">
        <f>0+0</f>
        <v>0</v>
      </c>
      <c r="K47" s="43"/>
      <c r="L47"/>
    </row>
    <row r="48" spans="1:29" ht="15" hidden="1" x14ac:dyDescent="0.2">
      <c r="C48" s="30" t="s">
        <v>844</v>
      </c>
      <c r="H48" s="43">
        <f>I40+I41+I43+I44+0</f>
        <v>164.14000000000001</v>
      </c>
      <c r="I48" s="43"/>
      <c r="J48" s="43">
        <f>K40+K41+K43+K44+0</f>
        <v>9243.83</v>
      </c>
      <c r="K48" s="43"/>
      <c r="L48"/>
      <c r="O48" s="31">
        <f>I40+I41+I43+I44+0</f>
        <v>164.14000000000001</v>
      </c>
      <c r="P48" s="31">
        <f>K40+K41+K43+K44+0</f>
        <v>9243.83</v>
      </c>
    </row>
    <row r="49" spans="1:29" hidden="1" x14ac:dyDescent="0.2">
      <c r="J49"/>
      <c r="L49"/>
    </row>
    <row r="50" spans="1:29" ht="85.5" hidden="1" x14ac:dyDescent="0.2">
      <c r="A50" s="19">
        <v>2</v>
      </c>
      <c r="B50" s="19" t="str">
        <f>Source!F30</f>
        <v>4.10-80-2</v>
      </c>
      <c r="C50" s="19" t="s">
        <v>32</v>
      </c>
      <c r="D50" s="21" t="str">
        <f>Source!H30</f>
        <v>1  ШТ.</v>
      </c>
      <c r="E50" s="20">
        <f>Source!I30</f>
        <v>1</v>
      </c>
      <c r="F50" s="23"/>
      <c r="G50" s="22"/>
      <c r="H50" s="20"/>
      <c r="I50" s="23"/>
      <c r="J50" s="20"/>
      <c r="K50" s="23"/>
      <c r="L50"/>
      <c r="Q50">
        <f>Source!X30</f>
        <v>52.39</v>
      </c>
      <c r="R50">
        <f>Source!X31</f>
        <v>2952.12</v>
      </c>
      <c r="S50">
        <f>Source!Y30</f>
        <v>26.78</v>
      </c>
      <c r="T50">
        <f>Source!Y31</f>
        <v>1508.86</v>
      </c>
      <c r="U50">
        <f>ROUND((175/100)*ROUND(Source!R30, 2), 2)</f>
        <v>0</v>
      </c>
      <c r="V50">
        <f>ROUND((0/100)*ROUND(Source!R31, 2), 2)</f>
        <v>0</v>
      </c>
      <c r="AC50">
        <v>0</v>
      </c>
    </row>
    <row r="51" spans="1:29" ht="14.25" hidden="1" x14ac:dyDescent="0.2">
      <c r="A51" s="19"/>
      <c r="B51" s="19"/>
      <c r="C51" s="19" t="s">
        <v>833</v>
      </c>
      <c r="D51" s="21"/>
      <c r="E51" s="20"/>
      <c r="F51" s="23">
        <f>Source!AO30</f>
        <v>154.44</v>
      </c>
      <c r="G51" s="22" t="s">
        <v>834</v>
      </c>
      <c r="H51" s="20">
        <f>Source!AV31</f>
        <v>1.0469999999999999</v>
      </c>
      <c r="I51" s="23">
        <f>Source!S30</f>
        <v>58.21</v>
      </c>
      <c r="J51" s="20">
        <f>IF(Source!BA31&lt;&gt; 0, Source!BA31, 1)</f>
        <v>56.35</v>
      </c>
      <c r="K51" s="23">
        <f>Source!S31</f>
        <v>3280.13</v>
      </c>
      <c r="L51"/>
    </row>
    <row r="52" spans="1:29" ht="14.25" hidden="1" x14ac:dyDescent="0.2">
      <c r="A52" s="19"/>
      <c r="B52" s="19"/>
      <c r="C52" s="19" t="s">
        <v>835</v>
      </c>
      <c r="D52" s="21"/>
      <c r="E52" s="20"/>
      <c r="F52" s="23">
        <f>Source!AM30</f>
        <v>0.06</v>
      </c>
      <c r="G52" s="22" t="s">
        <v>834</v>
      </c>
      <c r="H52" s="20">
        <f>Source!AV31</f>
        <v>1.0469999999999999</v>
      </c>
      <c r="I52" s="23">
        <f>Source!Q30</f>
        <v>0.02</v>
      </c>
      <c r="J52" s="20">
        <f>IF(Source!BB31&lt;&gt; 0, Source!BB31, 1)</f>
        <v>18.5</v>
      </c>
      <c r="K52" s="23">
        <f>Source!Q31</f>
        <v>0.37</v>
      </c>
      <c r="L52"/>
    </row>
    <row r="53" spans="1:29" ht="14.25" hidden="1" x14ac:dyDescent="0.2">
      <c r="A53" s="19"/>
      <c r="B53" s="19"/>
      <c r="C53" s="19" t="s">
        <v>837</v>
      </c>
      <c r="D53" s="21" t="s">
        <v>838</v>
      </c>
      <c r="E53" s="20">
        <f>Source!BZ31</f>
        <v>90</v>
      </c>
      <c r="F53" s="23"/>
      <c r="G53" s="22"/>
      <c r="H53" s="20"/>
      <c r="I53" s="23">
        <f>SUM(Q50:Q52)</f>
        <v>52.39</v>
      </c>
      <c r="J53" s="20">
        <f>Source!AT31</f>
        <v>90</v>
      </c>
      <c r="K53" s="23">
        <f>SUM(R50:R52)</f>
        <v>2952.12</v>
      </c>
      <c r="L53"/>
    </row>
    <row r="54" spans="1:29" ht="14.25" hidden="1" x14ac:dyDescent="0.2">
      <c r="A54" s="19"/>
      <c r="B54" s="19"/>
      <c r="C54" s="19" t="s">
        <v>839</v>
      </c>
      <c r="D54" s="21" t="s">
        <v>838</v>
      </c>
      <c r="E54" s="20">
        <f>Source!CA31</f>
        <v>46</v>
      </c>
      <c r="F54" s="23"/>
      <c r="G54" s="22"/>
      <c r="H54" s="20"/>
      <c r="I54" s="23">
        <f>SUM(S50:S53)</f>
        <v>26.78</v>
      </c>
      <c r="J54" s="20">
        <f>Source!AU31</f>
        <v>46</v>
      </c>
      <c r="K54" s="23">
        <f>SUM(T50:T53)</f>
        <v>1508.86</v>
      </c>
      <c r="L54"/>
    </row>
    <row r="55" spans="1:29" ht="14.25" hidden="1" x14ac:dyDescent="0.2">
      <c r="A55" s="25"/>
      <c r="B55" s="25"/>
      <c r="C55" s="25" t="s">
        <v>840</v>
      </c>
      <c r="D55" s="26" t="s">
        <v>841</v>
      </c>
      <c r="E55" s="27">
        <f>Source!AQ30</f>
        <v>11.7</v>
      </c>
      <c r="F55" s="28"/>
      <c r="G55" s="29" t="s">
        <v>834</v>
      </c>
      <c r="H55" s="27">
        <f>Source!AV31</f>
        <v>1.0469999999999999</v>
      </c>
      <c r="I55" s="28">
        <f>Source!U30</f>
        <v>4.4099639999999996</v>
      </c>
      <c r="J55" s="27"/>
      <c r="K55" s="28"/>
      <c r="L55"/>
    </row>
    <row r="56" spans="1:29" ht="15" hidden="1" x14ac:dyDescent="0.2">
      <c r="C56" s="30" t="s">
        <v>842</v>
      </c>
      <c r="H56" s="48">
        <f>I51+I52+I53+I54+0-0-0</f>
        <v>137.4</v>
      </c>
      <c r="I56" s="48"/>
      <c r="J56" s="48">
        <f>K51+K52+K53+K54+0-0-0</f>
        <v>7741.48</v>
      </c>
      <c r="K56" s="48"/>
      <c r="L56"/>
    </row>
    <row r="57" spans="1:29" ht="15" hidden="1" x14ac:dyDescent="0.2">
      <c r="C57" s="30" t="s">
        <v>843</v>
      </c>
      <c r="H57" s="43">
        <f>0+0</f>
        <v>0</v>
      </c>
      <c r="I57" s="43"/>
      <c r="J57" s="43">
        <f>0+0</f>
        <v>0</v>
      </c>
      <c r="K57" s="43"/>
      <c r="L57"/>
    </row>
    <row r="58" spans="1:29" ht="15" hidden="1" x14ac:dyDescent="0.2">
      <c r="C58" s="30" t="s">
        <v>844</v>
      </c>
      <c r="H58" s="43">
        <f>I51+I52+I53+I54+0</f>
        <v>137.4</v>
      </c>
      <c r="I58" s="43"/>
      <c r="J58" s="43">
        <f>K51+K52+K53+K54+0</f>
        <v>7741.48</v>
      </c>
      <c r="K58" s="43"/>
      <c r="L58"/>
      <c r="O58" s="31">
        <f>I51+I52+I53+I54+0</f>
        <v>137.4</v>
      </c>
      <c r="P58" s="31">
        <f>K51+K52+K53+K54+0</f>
        <v>7741.48</v>
      </c>
    </row>
    <row r="59" spans="1:29" hidden="1" x14ac:dyDescent="0.2">
      <c r="J59"/>
      <c r="L59"/>
    </row>
    <row r="60" spans="1:29" ht="42.75" hidden="1" x14ac:dyDescent="0.2">
      <c r="A60" s="19">
        <v>3</v>
      </c>
      <c r="B60" s="19" t="str">
        <f>Source!F32</f>
        <v>4.10-163-2</v>
      </c>
      <c r="C60" s="19" t="s">
        <v>36</v>
      </c>
      <c r="D60" s="21" t="str">
        <f>Source!H32</f>
        <v>1 устройство</v>
      </c>
      <c r="E60" s="20">
        <f>Source!I32</f>
        <v>1</v>
      </c>
      <c r="F60" s="23"/>
      <c r="G60" s="22"/>
      <c r="H60" s="20"/>
      <c r="I60" s="23"/>
      <c r="J60" s="20"/>
      <c r="K60" s="23"/>
      <c r="L60"/>
      <c r="Q60">
        <f>Source!X32</f>
        <v>27.25</v>
      </c>
      <c r="R60">
        <f>Source!X33</f>
        <v>1535.65</v>
      </c>
      <c r="S60">
        <f>Source!Y32</f>
        <v>13.93</v>
      </c>
      <c r="T60">
        <f>Source!Y33</f>
        <v>784.89</v>
      </c>
      <c r="U60">
        <f>ROUND((175/100)*ROUND(Source!R32, 2), 2)</f>
        <v>0</v>
      </c>
      <c r="V60">
        <f>ROUND((0/100)*ROUND(Source!R33, 2), 2)</f>
        <v>0</v>
      </c>
      <c r="AC60">
        <v>0</v>
      </c>
    </row>
    <row r="61" spans="1:29" ht="14.25" hidden="1" x14ac:dyDescent="0.2">
      <c r="A61" s="19"/>
      <c r="B61" s="19"/>
      <c r="C61" s="19" t="s">
        <v>833</v>
      </c>
      <c r="D61" s="21"/>
      <c r="E61" s="20"/>
      <c r="F61" s="23">
        <f>Source!AO32</f>
        <v>80.33</v>
      </c>
      <c r="G61" s="22" t="s">
        <v>834</v>
      </c>
      <c r="H61" s="20">
        <f>Source!AV33</f>
        <v>1.0469999999999999</v>
      </c>
      <c r="I61" s="23">
        <f>Source!S32</f>
        <v>30.28</v>
      </c>
      <c r="J61" s="20">
        <f>IF(Source!BA33&lt;&gt; 0, Source!BA33, 1)</f>
        <v>56.35</v>
      </c>
      <c r="K61" s="23">
        <f>Source!S33</f>
        <v>1706.28</v>
      </c>
      <c r="L61"/>
    </row>
    <row r="62" spans="1:29" ht="14.25" hidden="1" x14ac:dyDescent="0.2">
      <c r="A62" s="19"/>
      <c r="B62" s="19"/>
      <c r="C62" s="19" t="s">
        <v>835</v>
      </c>
      <c r="D62" s="21"/>
      <c r="E62" s="20"/>
      <c r="F62" s="23">
        <f>Source!AM32</f>
        <v>0.82</v>
      </c>
      <c r="G62" s="22" t="s">
        <v>834</v>
      </c>
      <c r="H62" s="20">
        <f>Source!AV33</f>
        <v>1.0469999999999999</v>
      </c>
      <c r="I62" s="23">
        <f>Source!Q32</f>
        <v>0.31</v>
      </c>
      <c r="J62" s="20">
        <f>IF(Source!BB33&lt;&gt; 0, Source!BB33, 1)</f>
        <v>9.52</v>
      </c>
      <c r="K62" s="23">
        <f>Source!Q33</f>
        <v>2.95</v>
      </c>
      <c r="L62"/>
    </row>
    <row r="63" spans="1:29" ht="14.25" hidden="1" x14ac:dyDescent="0.2">
      <c r="A63" s="19"/>
      <c r="B63" s="19"/>
      <c r="C63" s="19" t="s">
        <v>837</v>
      </c>
      <c r="D63" s="21" t="s">
        <v>838</v>
      </c>
      <c r="E63" s="20">
        <f>Source!BZ33</f>
        <v>90</v>
      </c>
      <c r="F63" s="23"/>
      <c r="G63" s="22"/>
      <c r="H63" s="20"/>
      <c r="I63" s="23">
        <f>SUM(Q60:Q62)</f>
        <v>27.25</v>
      </c>
      <c r="J63" s="20">
        <f>Source!AT33</f>
        <v>90</v>
      </c>
      <c r="K63" s="23">
        <f>SUM(R60:R62)</f>
        <v>1535.65</v>
      </c>
      <c r="L63"/>
    </row>
    <row r="64" spans="1:29" ht="14.25" hidden="1" x14ac:dyDescent="0.2">
      <c r="A64" s="19"/>
      <c r="B64" s="19"/>
      <c r="C64" s="19" t="s">
        <v>839</v>
      </c>
      <c r="D64" s="21" t="s">
        <v>838</v>
      </c>
      <c r="E64" s="20">
        <f>Source!CA33</f>
        <v>46</v>
      </c>
      <c r="F64" s="23"/>
      <c r="G64" s="22"/>
      <c r="H64" s="20"/>
      <c r="I64" s="23">
        <f>SUM(S60:S63)</f>
        <v>13.93</v>
      </c>
      <c r="J64" s="20">
        <f>Source!AU33</f>
        <v>46</v>
      </c>
      <c r="K64" s="23">
        <f>SUM(T60:T63)</f>
        <v>784.89</v>
      </c>
      <c r="L64"/>
    </row>
    <row r="65" spans="1:29" ht="14.25" hidden="1" x14ac:dyDescent="0.2">
      <c r="A65" s="25"/>
      <c r="B65" s="25"/>
      <c r="C65" s="25" t="s">
        <v>840</v>
      </c>
      <c r="D65" s="26" t="s">
        <v>841</v>
      </c>
      <c r="E65" s="27">
        <f>Source!AQ32</f>
        <v>6.01</v>
      </c>
      <c r="F65" s="28"/>
      <c r="G65" s="29" t="s">
        <v>834</v>
      </c>
      <c r="H65" s="27">
        <f>Source!AV33</f>
        <v>1.0469999999999999</v>
      </c>
      <c r="I65" s="28">
        <f>Source!U32</f>
        <v>2.2652891999999998</v>
      </c>
      <c r="J65" s="27"/>
      <c r="K65" s="28"/>
      <c r="L65"/>
    </row>
    <row r="66" spans="1:29" ht="15" hidden="1" x14ac:dyDescent="0.2">
      <c r="C66" s="30" t="s">
        <v>842</v>
      </c>
      <c r="H66" s="48">
        <f>I61+I62+I63+I64+0-0-0</f>
        <v>71.77000000000001</v>
      </c>
      <c r="I66" s="48"/>
      <c r="J66" s="48">
        <f>K61+K62+K63+K64+0-0-0</f>
        <v>4029.77</v>
      </c>
      <c r="K66" s="48"/>
      <c r="L66"/>
    </row>
    <row r="67" spans="1:29" ht="15" hidden="1" x14ac:dyDescent="0.2">
      <c r="C67" s="30" t="s">
        <v>843</v>
      </c>
      <c r="H67" s="43">
        <f>0+0</f>
        <v>0</v>
      </c>
      <c r="I67" s="43"/>
      <c r="J67" s="43">
        <f>0+0</f>
        <v>0</v>
      </c>
      <c r="K67" s="43"/>
      <c r="L67"/>
    </row>
    <row r="68" spans="1:29" ht="15" hidden="1" x14ac:dyDescent="0.2">
      <c r="C68" s="30" t="s">
        <v>844</v>
      </c>
      <c r="H68" s="43">
        <f>I61+I62+I63+I64+0</f>
        <v>71.77000000000001</v>
      </c>
      <c r="I68" s="43"/>
      <c r="J68" s="43">
        <f>K61+K62+K63+K64+0</f>
        <v>4029.77</v>
      </c>
      <c r="K68" s="43"/>
      <c r="L68"/>
      <c r="O68" s="31">
        <f>I61+I62+I63+I64+0</f>
        <v>71.77000000000001</v>
      </c>
      <c r="P68" s="31">
        <f>K61+K62+K63+K64+0</f>
        <v>4029.77</v>
      </c>
    </row>
    <row r="69" spans="1:29" hidden="1" x14ac:dyDescent="0.2">
      <c r="J69"/>
      <c r="L69"/>
    </row>
    <row r="70" spans="1:29" ht="42.75" hidden="1" x14ac:dyDescent="0.2">
      <c r="A70" s="19">
        <v>4</v>
      </c>
      <c r="B70" s="19" t="str">
        <f>Source!F34</f>
        <v>4.10-167-1</v>
      </c>
      <c r="C70" s="19" t="s">
        <v>41</v>
      </c>
      <c r="D70" s="21" t="str">
        <f>Source!H34</f>
        <v>1  ШТ.</v>
      </c>
      <c r="E70" s="20">
        <f>Source!I34</f>
        <v>16</v>
      </c>
      <c r="F70" s="23"/>
      <c r="G70" s="22"/>
      <c r="H70" s="20"/>
      <c r="I70" s="23"/>
      <c r="J70" s="20"/>
      <c r="K70" s="23"/>
      <c r="L70"/>
      <c r="Q70">
        <f>Source!X34</f>
        <v>102.8</v>
      </c>
      <c r="R70">
        <f>Source!X35</f>
        <v>5792.67</v>
      </c>
      <c r="S70">
        <f>Source!Y34</f>
        <v>52.54</v>
      </c>
      <c r="T70">
        <f>Source!Y35</f>
        <v>2960.7</v>
      </c>
      <c r="U70">
        <f>ROUND((175/100)*ROUND(Source!R34, 2), 2)</f>
        <v>0</v>
      </c>
      <c r="V70">
        <f>ROUND((0/100)*ROUND(Source!R35, 2), 2)</f>
        <v>0</v>
      </c>
      <c r="AC70">
        <v>0</v>
      </c>
    </row>
    <row r="71" spans="1:29" hidden="1" x14ac:dyDescent="0.2">
      <c r="C71" s="32" t="str">
        <f>"Объем: "&amp;Source!I34&amp;"=4+"&amp;"1+"&amp;"1+"&amp;"8+"&amp;"2"</f>
        <v>Объем: 16=4+1+1+8+2</v>
      </c>
      <c r="J71"/>
      <c r="L71"/>
    </row>
    <row r="72" spans="1:29" ht="14.25" hidden="1" x14ac:dyDescent="0.2">
      <c r="A72" s="19"/>
      <c r="B72" s="19"/>
      <c r="C72" s="19" t="s">
        <v>833</v>
      </c>
      <c r="D72" s="21"/>
      <c r="E72" s="20"/>
      <c r="F72" s="23">
        <f>Source!AO34</f>
        <v>18.940000000000001</v>
      </c>
      <c r="G72" s="22" t="s">
        <v>834</v>
      </c>
      <c r="H72" s="20">
        <f>Source!AV35</f>
        <v>1.0469999999999999</v>
      </c>
      <c r="I72" s="23">
        <f>Source!S34</f>
        <v>114.22</v>
      </c>
      <c r="J72" s="20">
        <f>IF(Source!BA35&lt;&gt; 0, Source!BA35, 1)</f>
        <v>56.35</v>
      </c>
      <c r="K72" s="23">
        <f>Source!S35</f>
        <v>6436.3</v>
      </c>
      <c r="L72"/>
    </row>
    <row r="73" spans="1:29" ht="14.25" hidden="1" x14ac:dyDescent="0.2">
      <c r="A73" s="19"/>
      <c r="B73" s="19"/>
      <c r="C73" s="19" t="s">
        <v>835</v>
      </c>
      <c r="D73" s="21"/>
      <c r="E73" s="20"/>
      <c r="F73" s="23">
        <f>Source!AM34</f>
        <v>0.02</v>
      </c>
      <c r="G73" s="22" t="s">
        <v>834</v>
      </c>
      <c r="H73" s="20">
        <f>Source!AV35</f>
        <v>1.0469999999999999</v>
      </c>
      <c r="I73" s="23">
        <f>Source!Q34</f>
        <v>0.12</v>
      </c>
      <c r="J73" s="20">
        <f>IF(Source!BB35&lt;&gt; 0, Source!BB35, 1)</f>
        <v>11</v>
      </c>
      <c r="K73" s="23">
        <f>Source!Q35</f>
        <v>1.32</v>
      </c>
      <c r="L73"/>
    </row>
    <row r="74" spans="1:29" ht="14.25" hidden="1" x14ac:dyDescent="0.2">
      <c r="A74" s="19"/>
      <c r="B74" s="19"/>
      <c r="C74" s="19" t="s">
        <v>837</v>
      </c>
      <c r="D74" s="21" t="s">
        <v>838</v>
      </c>
      <c r="E74" s="20">
        <f>Source!BZ35</f>
        <v>90</v>
      </c>
      <c r="F74" s="23"/>
      <c r="G74" s="22"/>
      <c r="H74" s="20"/>
      <c r="I74" s="23">
        <f>SUM(Q70:Q73)</f>
        <v>102.8</v>
      </c>
      <c r="J74" s="20">
        <f>Source!AT35</f>
        <v>90</v>
      </c>
      <c r="K74" s="23">
        <f>SUM(R70:R73)</f>
        <v>5792.67</v>
      </c>
      <c r="L74"/>
    </row>
    <row r="75" spans="1:29" ht="14.25" hidden="1" x14ac:dyDescent="0.2">
      <c r="A75" s="19"/>
      <c r="B75" s="19"/>
      <c r="C75" s="19" t="s">
        <v>839</v>
      </c>
      <c r="D75" s="21" t="s">
        <v>838</v>
      </c>
      <c r="E75" s="20">
        <f>Source!CA35</f>
        <v>46</v>
      </c>
      <c r="F75" s="23"/>
      <c r="G75" s="22"/>
      <c r="H75" s="20"/>
      <c r="I75" s="23">
        <f>SUM(S70:S74)</f>
        <v>52.54</v>
      </c>
      <c r="J75" s="20">
        <f>Source!AU35</f>
        <v>46</v>
      </c>
      <c r="K75" s="23">
        <f>SUM(T70:T74)</f>
        <v>2960.7</v>
      </c>
      <c r="L75"/>
    </row>
    <row r="76" spans="1:29" ht="14.25" hidden="1" x14ac:dyDescent="0.2">
      <c r="A76" s="25"/>
      <c r="B76" s="25"/>
      <c r="C76" s="25" t="s">
        <v>840</v>
      </c>
      <c r="D76" s="26" t="s">
        <v>841</v>
      </c>
      <c r="E76" s="27">
        <f>Source!AQ34</f>
        <v>1.36</v>
      </c>
      <c r="F76" s="28"/>
      <c r="G76" s="29" t="s">
        <v>834</v>
      </c>
      <c r="H76" s="27">
        <f>Source!AV35</f>
        <v>1.0469999999999999</v>
      </c>
      <c r="I76" s="28">
        <f>Source!U34</f>
        <v>8.2017792000000007</v>
      </c>
      <c r="J76" s="27"/>
      <c r="K76" s="28"/>
      <c r="L76"/>
    </row>
    <row r="77" spans="1:29" ht="15" hidden="1" x14ac:dyDescent="0.2">
      <c r="C77" s="30" t="s">
        <v>842</v>
      </c>
      <c r="H77" s="48">
        <f>I72+I73+I74+I75+0-0-0</f>
        <v>269.68</v>
      </c>
      <c r="I77" s="48"/>
      <c r="J77" s="48">
        <f>K72+K73+K74+K75+0-0-0</f>
        <v>15190.990000000002</v>
      </c>
      <c r="K77" s="48"/>
      <c r="L77"/>
    </row>
    <row r="78" spans="1:29" ht="15" hidden="1" x14ac:dyDescent="0.2">
      <c r="C78" s="30" t="s">
        <v>843</v>
      </c>
      <c r="H78" s="43">
        <f>0+0</f>
        <v>0</v>
      </c>
      <c r="I78" s="43"/>
      <c r="J78" s="43">
        <f>0+0</f>
        <v>0</v>
      </c>
      <c r="K78" s="43"/>
      <c r="L78"/>
    </row>
    <row r="79" spans="1:29" ht="15" hidden="1" x14ac:dyDescent="0.2">
      <c r="C79" s="30" t="s">
        <v>844</v>
      </c>
      <c r="H79" s="43">
        <f>I72+I73+I74+I75+0</f>
        <v>269.68</v>
      </c>
      <c r="I79" s="43"/>
      <c r="J79" s="43">
        <f>K72+K73+K74+K75+0</f>
        <v>15190.990000000002</v>
      </c>
      <c r="K79" s="43"/>
      <c r="L79"/>
      <c r="O79" s="31">
        <f>I72+I73+I74+I75+0</f>
        <v>269.68</v>
      </c>
      <c r="P79" s="31">
        <f>K72+K73+K74+K75+0</f>
        <v>15190.990000000002</v>
      </c>
    </row>
    <row r="80" spans="1:29" hidden="1" x14ac:dyDescent="0.2">
      <c r="J80"/>
      <c r="L80"/>
    </row>
    <row r="81" spans="1:29" ht="71.25" hidden="1" x14ac:dyDescent="0.2">
      <c r="A81" s="19">
        <v>5</v>
      </c>
      <c r="B81" s="19" t="str">
        <f>Source!F36</f>
        <v>4.10-81-2</v>
      </c>
      <c r="C81" s="19" t="s">
        <v>45</v>
      </c>
      <c r="D81" s="21" t="str">
        <f>Source!H36</f>
        <v>1  ШТ.</v>
      </c>
      <c r="E81" s="20">
        <f>Source!I36</f>
        <v>8</v>
      </c>
      <c r="F81" s="23"/>
      <c r="G81" s="22"/>
      <c r="H81" s="20"/>
      <c r="I81" s="23"/>
      <c r="J81" s="20"/>
      <c r="K81" s="23"/>
      <c r="L81"/>
      <c r="Q81">
        <f>Source!X36</f>
        <v>57.56</v>
      </c>
      <c r="R81">
        <f>Source!X37</f>
        <v>3243.74</v>
      </c>
      <c r="S81">
        <f>Source!Y36</f>
        <v>29.42</v>
      </c>
      <c r="T81">
        <f>Source!Y37</f>
        <v>1657.91</v>
      </c>
      <c r="U81">
        <f>ROUND((175/100)*ROUND(Source!R36, 2), 2)</f>
        <v>0.05</v>
      </c>
      <c r="V81">
        <f>ROUND((0/100)*ROUND(Source!R37, 2), 2)</f>
        <v>0</v>
      </c>
      <c r="AC81">
        <v>0</v>
      </c>
    </row>
    <row r="82" spans="1:29" ht="14.25" hidden="1" x14ac:dyDescent="0.2">
      <c r="A82" s="19"/>
      <c r="B82" s="19"/>
      <c r="C82" s="19" t="s">
        <v>833</v>
      </c>
      <c r="D82" s="21"/>
      <c r="E82" s="20"/>
      <c r="F82" s="23">
        <f>Source!AO36</f>
        <v>21.2</v>
      </c>
      <c r="G82" s="22" t="s">
        <v>834</v>
      </c>
      <c r="H82" s="20">
        <f>Source!AV37</f>
        <v>1.0469999999999999</v>
      </c>
      <c r="I82" s="23">
        <f>Source!S36</f>
        <v>63.93</v>
      </c>
      <c r="J82" s="20">
        <f>IF(Source!BA37&lt;&gt; 0, Source!BA37, 1)</f>
        <v>56.35</v>
      </c>
      <c r="K82" s="23">
        <f>Source!S37</f>
        <v>3602.46</v>
      </c>
      <c r="L82"/>
    </row>
    <row r="83" spans="1:29" ht="14.25" hidden="1" x14ac:dyDescent="0.2">
      <c r="A83" s="19"/>
      <c r="B83" s="19"/>
      <c r="C83" s="19" t="s">
        <v>835</v>
      </c>
      <c r="D83" s="21"/>
      <c r="E83" s="20"/>
      <c r="F83" s="23">
        <f>Source!AM36</f>
        <v>0.06</v>
      </c>
      <c r="G83" s="22" t="s">
        <v>834</v>
      </c>
      <c r="H83" s="20">
        <f>Source!AV37</f>
        <v>1.0469999999999999</v>
      </c>
      <c r="I83" s="23">
        <f>Source!Q36</f>
        <v>0.18</v>
      </c>
      <c r="J83" s="20">
        <f>IF(Source!BB37&lt;&gt; 0, Source!BB37, 1)</f>
        <v>18.5</v>
      </c>
      <c r="K83" s="23">
        <f>Source!Q37</f>
        <v>3.33</v>
      </c>
      <c r="L83"/>
    </row>
    <row r="84" spans="1:29" ht="14.25" hidden="1" x14ac:dyDescent="0.2">
      <c r="A84" s="19"/>
      <c r="B84" s="19"/>
      <c r="C84" s="19" t="s">
        <v>836</v>
      </c>
      <c r="D84" s="21"/>
      <c r="E84" s="20"/>
      <c r="F84" s="23">
        <f>Source!AN36</f>
        <v>0.01</v>
      </c>
      <c r="G84" s="22" t="s">
        <v>834</v>
      </c>
      <c r="H84" s="20">
        <f>Source!AV37</f>
        <v>1.0469999999999999</v>
      </c>
      <c r="I84" s="24">
        <f>Source!R36</f>
        <v>0.03</v>
      </c>
      <c r="J84" s="20">
        <f>IF(Source!BS37&lt;&gt; 0, Source!BS37, 1)</f>
        <v>56.35</v>
      </c>
      <c r="K84" s="24">
        <f>Source!R37</f>
        <v>1.69</v>
      </c>
      <c r="L84"/>
    </row>
    <row r="85" spans="1:29" ht="14.25" hidden="1" x14ac:dyDescent="0.2">
      <c r="A85" s="19"/>
      <c r="B85" s="19"/>
      <c r="C85" s="19" t="s">
        <v>837</v>
      </c>
      <c r="D85" s="21" t="s">
        <v>838</v>
      </c>
      <c r="E85" s="20">
        <f>Source!BZ37</f>
        <v>90</v>
      </c>
      <c r="F85" s="23"/>
      <c r="G85" s="22"/>
      <c r="H85" s="20"/>
      <c r="I85" s="23">
        <f>SUM(Q81:Q84)</f>
        <v>57.56</v>
      </c>
      <c r="J85" s="20">
        <f>Source!AT37</f>
        <v>90</v>
      </c>
      <c r="K85" s="23">
        <f>SUM(R81:R84)</f>
        <v>3243.74</v>
      </c>
      <c r="L85"/>
    </row>
    <row r="86" spans="1:29" ht="14.25" hidden="1" x14ac:dyDescent="0.2">
      <c r="A86" s="19"/>
      <c r="B86" s="19"/>
      <c r="C86" s="19" t="s">
        <v>839</v>
      </c>
      <c r="D86" s="21" t="s">
        <v>838</v>
      </c>
      <c r="E86" s="20">
        <f>Source!CA37</f>
        <v>46</v>
      </c>
      <c r="F86" s="23"/>
      <c r="G86" s="22"/>
      <c r="H86" s="20"/>
      <c r="I86" s="23">
        <f>SUM(S81:S85)</f>
        <v>29.42</v>
      </c>
      <c r="J86" s="20">
        <f>Source!AU37</f>
        <v>46</v>
      </c>
      <c r="K86" s="23">
        <f>SUM(T81:T85)</f>
        <v>1657.91</v>
      </c>
      <c r="L86"/>
    </row>
    <row r="87" spans="1:29" ht="14.25" hidden="1" x14ac:dyDescent="0.2">
      <c r="A87" s="25"/>
      <c r="B87" s="25"/>
      <c r="C87" s="25" t="s">
        <v>840</v>
      </c>
      <c r="D87" s="26" t="s">
        <v>841</v>
      </c>
      <c r="E87" s="27">
        <f>Source!AQ36</f>
        <v>1.68</v>
      </c>
      <c r="F87" s="28"/>
      <c r="G87" s="29" t="s">
        <v>834</v>
      </c>
      <c r="H87" s="27">
        <f>Source!AV37</f>
        <v>1.0469999999999999</v>
      </c>
      <c r="I87" s="28">
        <f>Source!U36</f>
        <v>5.0658047999999996</v>
      </c>
      <c r="J87" s="27"/>
      <c r="K87" s="28"/>
      <c r="L87"/>
    </row>
    <row r="88" spans="1:29" ht="15" hidden="1" x14ac:dyDescent="0.2">
      <c r="C88" s="30" t="s">
        <v>842</v>
      </c>
      <c r="H88" s="48">
        <f>I82+I83+I85+I86+0-0-0</f>
        <v>151.09</v>
      </c>
      <c r="I88" s="48"/>
      <c r="J88" s="48">
        <f>K82+K83+K85+K86+0-0-0</f>
        <v>8507.44</v>
      </c>
      <c r="K88" s="48"/>
      <c r="L88"/>
    </row>
    <row r="89" spans="1:29" ht="15" hidden="1" x14ac:dyDescent="0.2">
      <c r="C89" s="30" t="s">
        <v>843</v>
      </c>
      <c r="H89" s="43">
        <f>0+0</f>
        <v>0</v>
      </c>
      <c r="I89" s="43"/>
      <c r="J89" s="43">
        <f>0+0</f>
        <v>0</v>
      </c>
      <c r="K89" s="43"/>
      <c r="L89"/>
    </row>
    <row r="90" spans="1:29" ht="15" hidden="1" x14ac:dyDescent="0.2">
      <c r="C90" s="30" t="s">
        <v>844</v>
      </c>
      <c r="H90" s="43">
        <f>I82+I83+I85+I86+0</f>
        <v>151.09</v>
      </c>
      <c r="I90" s="43"/>
      <c r="J90" s="43">
        <f>K82+K83+K85+K86+0</f>
        <v>8507.44</v>
      </c>
      <c r="K90" s="43"/>
      <c r="L90"/>
      <c r="O90" s="31">
        <f>I82+I83+I85+I86+0</f>
        <v>151.09</v>
      </c>
      <c r="P90" s="31">
        <f>K82+K83+K85+K86+0</f>
        <v>8507.44</v>
      </c>
    </row>
    <row r="91" spans="1:29" hidden="1" x14ac:dyDescent="0.2">
      <c r="J91"/>
      <c r="L91"/>
    </row>
    <row r="92" spans="1:29" ht="14.25" hidden="1" x14ac:dyDescent="0.2">
      <c r="A92" s="19">
        <v>6</v>
      </c>
      <c r="B92" s="19" t="str">
        <f>Source!F38</f>
        <v>4.10-76-10</v>
      </c>
      <c r="C92" s="19" t="s">
        <v>49</v>
      </c>
      <c r="D92" s="21" t="str">
        <f>Source!H38</f>
        <v>1  ШТ.</v>
      </c>
      <c r="E92" s="20">
        <f>Source!I38</f>
        <v>4</v>
      </c>
      <c r="F92" s="23"/>
      <c r="G92" s="22"/>
      <c r="H92" s="20"/>
      <c r="I92" s="23"/>
      <c r="J92" s="20"/>
      <c r="K92" s="23"/>
      <c r="L92"/>
      <c r="Q92">
        <f>Source!X38</f>
        <v>17.03</v>
      </c>
      <c r="R92">
        <f>Source!X39</f>
        <v>959.84</v>
      </c>
      <c r="S92">
        <f>Source!Y38</f>
        <v>9.5</v>
      </c>
      <c r="T92">
        <f>Source!Y39</f>
        <v>535.49</v>
      </c>
      <c r="U92">
        <f>ROUND((175/100)*ROUND(Source!R38, 2), 2)</f>
        <v>0</v>
      </c>
      <c r="V92">
        <f>ROUND((0/100)*ROUND(Source!R39, 2), 2)</f>
        <v>0</v>
      </c>
      <c r="AC92">
        <v>0</v>
      </c>
    </row>
    <row r="93" spans="1:29" ht="14.25" hidden="1" x14ac:dyDescent="0.2">
      <c r="A93" s="19"/>
      <c r="B93" s="19"/>
      <c r="C93" s="19" t="s">
        <v>833</v>
      </c>
      <c r="D93" s="21"/>
      <c r="E93" s="20"/>
      <c r="F93" s="23">
        <f>Source!AO38</f>
        <v>11.89</v>
      </c>
      <c r="G93" s="22" t="s">
        <v>834</v>
      </c>
      <c r="H93" s="20">
        <f>Source!AV39</f>
        <v>1.0469999999999999</v>
      </c>
      <c r="I93" s="23">
        <f>Source!S38</f>
        <v>17.93</v>
      </c>
      <c r="J93" s="20">
        <f>IF(Source!BA39&lt;&gt; 0, Source!BA39, 1)</f>
        <v>56.35</v>
      </c>
      <c r="K93" s="23">
        <f>Source!S39</f>
        <v>1010.36</v>
      </c>
      <c r="L93"/>
    </row>
    <row r="94" spans="1:29" ht="14.25" hidden="1" x14ac:dyDescent="0.2">
      <c r="A94" s="19"/>
      <c r="B94" s="19"/>
      <c r="C94" s="19" t="s">
        <v>837</v>
      </c>
      <c r="D94" s="21" t="s">
        <v>838</v>
      </c>
      <c r="E94" s="20">
        <f>Source!BZ39</f>
        <v>95</v>
      </c>
      <c r="F94" s="23"/>
      <c r="G94" s="22"/>
      <c r="H94" s="20"/>
      <c r="I94" s="23">
        <f>SUM(Q92:Q93)</f>
        <v>17.03</v>
      </c>
      <c r="J94" s="20">
        <f>Source!AT39</f>
        <v>95</v>
      </c>
      <c r="K94" s="23">
        <f>SUM(R92:R93)</f>
        <v>959.84</v>
      </c>
      <c r="L94"/>
    </row>
    <row r="95" spans="1:29" ht="14.25" hidden="1" x14ac:dyDescent="0.2">
      <c r="A95" s="19"/>
      <c r="B95" s="19"/>
      <c r="C95" s="19" t="s">
        <v>839</v>
      </c>
      <c r="D95" s="21" t="s">
        <v>838</v>
      </c>
      <c r="E95" s="20">
        <f>Source!CA39</f>
        <v>53</v>
      </c>
      <c r="F95" s="23"/>
      <c r="G95" s="22"/>
      <c r="H95" s="20"/>
      <c r="I95" s="23">
        <f>SUM(S92:S94)</f>
        <v>9.5</v>
      </c>
      <c r="J95" s="20">
        <f>Source!AU39</f>
        <v>53</v>
      </c>
      <c r="K95" s="23">
        <f>SUM(T92:T94)</f>
        <v>535.49</v>
      </c>
      <c r="L95"/>
    </row>
    <row r="96" spans="1:29" ht="14.25" hidden="1" x14ac:dyDescent="0.2">
      <c r="A96" s="25"/>
      <c r="B96" s="25"/>
      <c r="C96" s="25" t="s">
        <v>840</v>
      </c>
      <c r="D96" s="26" t="s">
        <v>841</v>
      </c>
      <c r="E96" s="27">
        <f>Source!AQ38</f>
        <v>1</v>
      </c>
      <c r="F96" s="28"/>
      <c r="G96" s="29" t="s">
        <v>834</v>
      </c>
      <c r="H96" s="27">
        <f>Source!AV39</f>
        <v>1.0469999999999999</v>
      </c>
      <c r="I96" s="28">
        <f>Source!U38</f>
        <v>1.5076799999999999</v>
      </c>
      <c r="J96" s="27"/>
      <c r="K96" s="28"/>
      <c r="L96"/>
    </row>
    <row r="97" spans="1:29" ht="15" hidden="1" x14ac:dyDescent="0.2">
      <c r="C97" s="30" t="s">
        <v>842</v>
      </c>
      <c r="H97" s="48">
        <f>I93+I94+I95+0-0-0</f>
        <v>44.46</v>
      </c>
      <c r="I97" s="48"/>
      <c r="J97" s="48">
        <f>K93+K94+K95+0-0-0</f>
        <v>2505.69</v>
      </c>
      <c r="K97" s="48"/>
      <c r="L97"/>
    </row>
    <row r="98" spans="1:29" ht="15" hidden="1" x14ac:dyDescent="0.2">
      <c r="C98" s="30" t="s">
        <v>843</v>
      </c>
      <c r="H98" s="43">
        <f>0+0</f>
        <v>0</v>
      </c>
      <c r="I98" s="43"/>
      <c r="J98" s="43">
        <f>0+0</f>
        <v>0</v>
      </c>
      <c r="K98" s="43"/>
      <c r="L98"/>
    </row>
    <row r="99" spans="1:29" ht="15" hidden="1" x14ac:dyDescent="0.2">
      <c r="C99" s="30" t="s">
        <v>844</v>
      </c>
      <c r="H99" s="43">
        <f>I93+I94+I95+0</f>
        <v>44.46</v>
      </c>
      <c r="I99" s="43"/>
      <c r="J99" s="43">
        <f>K93+K94+K95+0</f>
        <v>2505.69</v>
      </c>
      <c r="K99" s="43"/>
      <c r="L99"/>
      <c r="O99" s="31">
        <f>I93+I94+I95+0</f>
        <v>44.46</v>
      </c>
      <c r="P99" s="31">
        <f>K93+K94+K95+0</f>
        <v>2505.69</v>
      </c>
    </row>
    <row r="100" spans="1:29" hidden="1" x14ac:dyDescent="0.2">
      <c r="J100"/>
      <c r="L100"/>
    </row>
    <row r="101" spans="1:29" ht="57" hidden="1" x14ac:dyDescent="0.2">
      <c r="A101" s="19">
        <v>7</v>
      </c>
      <c r="B101" s="19" t="str">
        <f>Source!F40</f>
        <v>4.10-81-4</v>
      </c>
      <c r="C101" s="19" t="s">
        <v>55</v>
      </c>
      <c r="D101" s="21" t="str">
        <f>Source!H40</f>
        <v>1  ШТ.</v>
      </c>
      <c r="E101" s="20">
        <f>Source!I40</f>
        <v>4</v>
      </c>
      <c r="F101" s="23"/>
      <c r="G101" s="22"/>
      <c r="H101" s="20"/>
      <c r="I101" s="23"/>
      <c r="J101" s="20"/>
      <c r="K101" s="23"/>
      <c r="L101"/>
      <c r="Q101">
        <f>Source!X40</f>
        <v>14.38</v>
      </c>
      <c r="R101">
        <f>Source!X41</f>
        <v>810.42</v>
      </c>
      <c r="S101">
        <f>Source!Y40</f>
        <v>7.35</v>
      </c>
      <c r="T101">
        <f>Source!Y41</f>
        <v>414.22</v>
      </c>
      <c r="U101">
        <f>ROUND((175/100)*ROUND(Source!R40, 2), 2)</f>
        <v>0</v>
      </c>
      <c r="V101">
        <f>ROUND((0/100)*ROUND(Source!R41, 2), 2)</f>
        <v>0</v>
      </c>
      <c r="AC101">
        <v>0</v>
      </c>
    </row>
    <row r="102" spans="1:29" ht="14.25" hidden="1" x14ac:dyDescent="0.2">
      <c r="A102" s="19"/>
      <c r="B102" s="19"/>
      <c r="C102" s="19" t="s">
        <v>833</v>
      </c>
      <c r="D102" s="21"/>
      <c r="E102" s="20"/>
      <c r="F102" s="23">
        <f>Source!AO40</f>
        <v>10.6</v>
      </c>
      <c r="G102" s="22" t="s">
        <v>834</v>
      </c>
      <c r="H102" s="20">
        <f>Source!AV41</f>
        <v>1.0469999999999999</v>
      </c>
      <c r="I102" s="23">
        <f>Source!S40</f>
        <v>15.98</v>
      </c>
      <c r="J102" s="20">
        <f>IF(Source!BA41&lt;&gt; 0, Source!BA41, 1)</f>
        <v>56.35</v>
      </c>
      <c r="K102" s="23">
        <f>Source!S41</f>
        <v>900.47</v>
      </c>
      <c r="L102"/>
    </row>
    <row r="103" spans="1:29" ht="14.25" hidden="1" x14ac:dyDescent="0.2">
      <c r="A103" s="19"/>
      <c r="B103" s="19"/>
      <c r="C103" s="19" t="s">
        <v>837</v>
      </c>
      <c r="D103" s="21" t="s">
        <v>838</v>
      </c>
      <c r="E103" s="20">
        <f>Source!BZ41</f>
        <v>90</v>
      </c>
      <c r="F103" s="23"/>
      <c r="G103" s="22"/>
      <c r="H103" s="20"/>
      <c r="I103" s="23">
        <f>SUM(Q101:Q102)</f>
        <v>14.38</v>
      </c>
      <c r="J103" s="20">
        <f>Source!AT41</f>
        <v>90</v>
      </c>
      <c r="K103" s="23">
        <f>SUM(R101:R102)</f>
        <v>810.42</v>
      </c>
      <c r="L103"/>
    </row>
    <row r="104" spans="1:29" ht="14.25" hidden="1" x14ac:dyDescent="0.2">
      <c r="A104" s="19"/>
      <c r="B104" s="19"/>
      <c r="C104" s="19" t="s">
        <v>839</v>
      </c>
      <c r="D104" s="21" t="s">
        <v>838</v>
      </c>
      <c r="E104" s="20">
        <f>Source!CA41</f>
        <v>46</v>
      </c>
      <c r="F104" s="23"/>
      <c r="G104" s="22"/>
      <c r="H104" s="20"/>
      <c r="I104" s="23">
        <f>SUM(S101:S103)</f>
        <v>7.35</v>
      </c>
      <c r="J104" s="20">
        <f>Source!AU41</f>
        <v>46</v>
      </c>
      <c r="K104" s="23">
        <f>SUM(T101:T103)</f>
        <v>414.22</v>
      </c>
      <c r="L104"/>
    </row>
    <row r="105" spans="1:29" ht="14.25" hidden="1" x14ac:dyDescent="0.2">
      <c r="A105" s="25"/>
      <c r="B105" s="25"/>
      <c r="C105" s="25" t="s">
        <v>840</v>
      </c>
      <c r="D105" s="26" t="s">
        <v>841</v>
      </c>
      <c r="E105" s="27">
        <f>Source!AQ40</f>
        <v>0.84</v>
      </c>
      <c r="F105" s="28"/>
      <c r="G105" s="29" t="s">
        <v>834</v>
      </c>
      <c r="H105" s="27">
        <f>Source!AV41</f>
        <v>1.0469999999999999</v>
      </c>
      <c r="I105" s="28">
        <f>Source!U40</f>
        <v>1.2664511999999999</v>
      </c>
      <c r="J105" s="27"/>
      <c r="K105" s="28"/>
      <c r="L105"/>
    </row>
    <row r="106" spans="1:29" ht="15" hidden="1" x14ac:dyDescent="0.2">
      <c r="C106" s="30" t="s">
        <v>842</v>
      </c>
      <c r="H106" s="48">
        <f>I102+I103+I104+0-0-0</f>
        <v>37.71</v>
      </c>
      <c r="I106" s="48"/>
      <c r="J106" s="48">
        <f>K102+K103+K104+0-0-0</f>
        <v>2125.1099999999997</v>
      </c>
      <c r="K106" s="48"/>
      <c r="L106"/>
    </row>
    <row r="107" spans="1:29" ht="15" hidden="1" x14ac:dyDescent="0.2">
      <c r="C107" s="30" t="s">
        <v>843</v>
      </c>
      <c r="H107" s="43">
        <f>0+0</f>
        <v>0</v>
      </c>
      <c r="I107" s="43"/>
      <c r="J107" s="43">
        <f>0+0</f>
        <v>0</v>
      </c>
      <c r="K107" s="43"/>
      <c r="L107"/>
    </row>
    <row r="108" spans="1:29" ht="15" hidden="1" x14ac:dyDescent="0.2">
      <c r="C108" s="30" t="s">
        <v>844</v>
      </c>
      <c r="H108" s="43">
        <f>I102+I103+I104+0</f>
        <v>37.71</v>
      </c>
      <c r="I108" s="43"/>
      <c r="J108" s="43">
        <f>K102+K103+K104+0</f>
        <v>2125.1099999999997</v>
      </c>
      <c r="K108" s="43"/>
      <c r="L108"/>
      <c r="O108" s="31">
        <f>I102+I103+I104+0</f>
        <v>37.71</v>
      </c>
      <c r="P108" s="31">
        <f>K102+K103+K104+0</f>
        <v>2125.1099999999997</v>
      </c>
    </row>
    <row r="109" spans="1:29" hidden="1" x14ac:dyDescent="0.2">
      <c r="J109"/>
      <c r="L109"/>
    </row>
    <row r="110" spans="1:29" ht="57" hidden="1" x14ac:dyDescent="0.2">
      <c r="A110" s="19">
        <v>8</v>
      </c>
      <c r="B110" s="19" t="str">
        <f>Source!F42</f>
        <v>4.8-245-10</v>
      </c>
      <c r="C110" s="19" t="s">
        <v>59</v>
      </c>
      <c r="D110" s="21" t="str">
        <f>Source!H42</f>
        <v>100 шт.</v>
      </c>
      <c r="E110" s="20">
        <f>Source!I42</f>
        <v>0.12</v>
      </c>
      <c r="F110" s="23"/>
      <c r="G110" s="22"/>
      <c r="H110" s="20"/>
      <c r="I110" s="23"/>
      <c r="J110" s="20"/>
      <c r="K110" s="23"/>
      <c r="L110"/>
      <c r="Q110">
        <f>Source!X42</f>
        <v>48.83</v>
      </c>
      <c r="R110">
        <f>Source!X43</f>
        <v>2751.56</v>
      </c>
      <c r="S110">
        <f>Source!Y42</f>
        <v>25.67</v>
      </c>
      <c r="T110">
        <f>Source!Y43</f>
        <v>1446.7</v>
      </c>
      <c r="U110">
        <f>ROUND((175/100)*ROUND(Source!R42, 2), 2)</f>
        <v>1.03</v>
      </c>
      <c r="V110">
        <f>ROUND((0/100)*ROUND(Source!R43, 2), 2)</f>
        <v>0</v>
      </c>
      <c r="AC110">
        <v>0</v>
      </c>
    </row>
    <row r="111" spans="1:29" hidden="1" x14ac:dyDescent="0.2">
      <c r="C111" s="32" t="str">
        <f>"Объем: "&amp;Source!I42&amp;"=(4+"&amp;"4+"&amp;"4)/"&amp;"100"</f>
        <v>Объем: 0,12=(4+4+4)/100</v>
      </c>
      <c r="J111"/>
      <c r="L111"/>
    </row>
    <row r="112" spans="1:29" ht="14.25" hidden="1" x14ac:dyDescent="0.2">
      <c r="A112" s="19"/>
      <c r="B112" s="19"/>
      <c r="C112" s="19" t="s">
        <v>833</v>
      </c>
      <c r="D112" s="21"/>
      <c r="E112" s="20"/>
      <c r="F112" s="23">
        <f>Source!AO42</f>
        <v>1099.8599999999999</v>
      </c>
      <c r="G112" s="22" t="s">
        <v>834</v>
      </c>
      <c r="H112" s="20">
        <f>Source!AV43</f>
        <v>1.0469999999999999</v>
      </c>
      <c r="I112" s="23">
        <f>Source!S42</f>
        <v>49.75</v>
      </c>
      <c r="J112" s="20">
        <f>IF(Source!BA43&lt;&gt; 0, Source!BA43, 1)</f>
        <v>56.35</v>
      </c>
      <c r="K112" s="23">
        <f>Source!S43</f>
        <v>2803.41</v>
      </c>
      <c r="L112"/>
    </row>
    <row r="113" spans="1:29" ht="14.25" hidden="1" x14ac:dyDescent="0.2">
      <c r="A113" s="19"/>
      <c r="B113" s="19"/>
      <c r="C113" s="19" t="s">
        <v>835</v>
      </c>
      <c r="D113" s="21"/>
      <c r="E113" s="20"/>
      <c r="F113" s="23">
        <f>Source!AM42</f>
        <v>93.32</v>
      </c>
      <c r="G113" s="22" t="s">
        <v>834</v>
      </c>
      <c r="H113" s="20">
        <f>Source!AV43</f>
        <v>1.0469999999999999</v>
      </c>
      <c r="I113" s="23">
        <f>Source!Q42</f>
        <v>4.22</v>
      </c>
      <c r="J113" s="20">
        <f>IF(Source!BB43&lt;&gt; 0, Source!BB43, 1)</f>
        <v>16.420000000000002</v>
      </c>
      <c r="K113" s="23">
        <f>Source!Q43</f>
        <v>69.290000000000006</v>
      </c>
      <c r="L113"/>
    </row>
    <row r="114" spans="1:29" ht="14.25" hidden="1" x14ac:dyDescent="0.2">
      <c r="A114" s="19"/>
      <c r="B114" s="19"/>
      <c r="C114" s="19" t="s">
        <v>836</v>
      </c>
      <c r="D114" s="21"/>
      <c r="E114" s="20"/>
      <c r="F114" s="23">
        <f>Source!AN42</f>
        <v>13</v>
      </c>
      <c r="G114" s="22" t="s">
        <v>834</v>
      </c>
      <c r="H114" s="20">
        <f>Source!AV43</f>
        <v>1.0469999999999999</v>
      </c>
      <c r="I114" s="24">
        <f>Source!R42</f>
        <v>0.59</v>
      </c>
      <c r="J114" s="20">
        <f>IF(Source!BS43&lt;&gt; 0, Source!BS43, 1)</f>
        <v>56.35</v>
      </c>
      <c r="K114" s="24">
        <f>Source!R43</f>
        <v>33.25</v>
      </c>
      <c r="L114"/>
    </row>
    <row r="115" spans="1:29" ht="14.25" hidden="1" x14ac:dyDescent="0.2">
      <c r="A115" s="19"/>
      <c r="B115" s="19"/>
      <c r="C115" s="19" t="s">
        <v>837</v>
      </c>
      <c r="D115" s="21" t="s">
        <v>838</v>
      </c>
      <c r="E115" s="20">
        <f>Source!BZ43</f>
        <v>97</v>
      </c>
      <c r="F115" s="23"/>
      <c r="G115" s="22"/>
      <c r="H115" s="20"/>
      <c r="I115" s="23">
        <f>SUM(Q110:Q114)</f>
        <v>48.83</v>
      </c>
      <c r="J115" s="20">
        <f>Source!AT43</f>
        <v>97</v>
      </c>
      <c r="K115" s="23">
        <f>SUM(R110:R114)</f>
        <v>2751.56</v>
      </c>
      <c r="L115"/>
    </row>
    <row r="116" spans="1:29" ht="14.25" hidden="1" x14ac:dyDescent="0.2">
      <c r="A116" s="19"/>
      <c r="B116" s="19"/>
      <c r="C116" s="19" t="s">
        <v>839</v>
      </c>
      <c r="D116" s="21" t="s">
        <v>838</v>
      </c>
      <c r="E116" s="20">
        <f>Source!CA43</f>
        <v>51</v>
      </c>
      <c r="F116" s="23"/>
      <c r="G116" s="22"/>
      <c r="H116" s="20"/>
      <c r="I116" s="23">
        <f>SUM(S110:S115)</f>
        <v>25.67</v>
      </c>
      <c r="J116" s="20">
        <f>Source!AU43</f>
        <v>51</v>
      </c>
      <c r="K116" s="23">
        <f>SUM(T110:T115)</f>
        <v>1446.7</v>
      </c>
      <c r="L116"/>
    </row>
    <row r="117" spans="1:29" ht="14.25" hidden="1" x14ac:dyDescent="0.2">
      <c r="A117" s="25"/>
      <c r="B117" s="25"/>
      <c r="C117" s="25" t="s">
        <v>840</v>
      </c>
      <c r="D117" s="26" t="s">
        <v>841</v>
      </c>
      <c r="E117" s="27">
        <f>Source!AQ42</f>
        <v>84.67</v>
      </c>
      <c r="F117" s="28"/>
      <c r="G117" s="29" t="s">
        <v>834</v>
      </c>
      <c r="H117" s="27">
        <f>Source!AV43</f>
        <v>1.0469999999999999</v>
      </c>
      <c r="I117" s="28">
        <f>Source!U42</f>
        <v>3.8296579679999994</v>
      </c>
      <c r="J117" s="27"/>
      <c r="K117" s="28"/>
      <c r="L117"/>
    </row>
    <row r="118" spans="1:29" ht="15" hidden="1" x14ac:dyDescent="0.2">
      <c r="C118" s="30" t="s">
        <v>842</v>
      </c>
      <c r="H118" s="48">
        <f>I112+I113+I115+I116+0-0-0</f>
        <v>128.47</v>
      </c>
      <c r="I118" s="48"/>
      <c r="J118" s="48">
        <f>K112+K113+K115+K116+0-0-0</f>
        <v>7070.96</v>
      </c>
      <c r="K118" s="48"/>
      <c r="L118"/>
    </row>
    <row r="119" spans="1:29" ht="15" hidden="1" x14ac:dyDescent="0.2">
      <c r="C119" s="30" t="s">
        <v>843</v>
      </c>
      <c r="H119" s="43">
        <f>0+0</f>
        <v>0</v>
      </c>
      <c r="I119" s="43"/>
      <c r="J119" s="43">
        <f>0+0</f>
        <v>0</v>
      </c>
      <c r="K119" s="43"/>
      <c r="L119"/>
    </row>
    <row r="120" spans="1:29" ht="15" hidden="1" x14ac:dyDescent="0.2">
      <c r="C120" s="30" t="s">
        <v>844</v>
      </c>
      <c r="H120" s="43">
        <f>I112+I113+I115+I116+0</f>
        <v>128.47</v>
      </c>
      <c r="I120" s="43"/>
      <c r="J120" s="43">
        <f>K112+K113+K115+K116+0</f>
        <v>7070.96</v>
      </c>
      <c r="K120" s="43"/>
      <c r="L120"/>
      <c r="O120" s="31">
        <f>I112+I113+I115+I116+0</f>
        <v>128.47</v>
      </c>
      <c r="P120" s="31">
        <f>K112+K113+K115+K116+0</f>
        <v>7070.96</v>
      </c>
    </row>
    <row r="121" spans="1:29" hidden="1" x14ac:dyDescent="0.2">
      <c r="J121"/>
      <c r="L121"/>
    </row>
    <row r="122" spans="1:29" ht="71.25" hidden="1" x14ac:dyDescent="0.2">
      <c r="A122" s="19">
        <v>9</v>
      </c>
      <c r="B122" s="19" t="str">
        <f>Source!F44</f>
        <v>4.10-81-2</v>
      </c>
      <c r="C122" s="19" t="s">
        <v>65</v>
      </c>
      <c r="D122" s="21" t="str">
        <f>Source!H44</f>
        <v>1  ШТ.</v>
      </c>
      <c r="E122" s="20">
        <f>Source!I44</f>
        <v>4</v>
      </c>
      <c r="F122" s="23"/>
      <c r="G122" s="22"/>
      <c r="H122" s="20"/>
      <c r="I122" s="23"/>
      <c r="J122" s="20"/>
      <c r="K122" s="23"/>
      <c r="L122"/>
      <c r="Q122">
        <f>Source!X44</f>
        <v>28.78</v>
      </c>
      <c r="R122">
        <f>Source!X45</f>
        <v>1621.87</v>
      </c>
      <c r="S122">
        <f>Source!Y44</f>
        <v>14.71</v>
      </c>
      <c r="T122">
        <f>Source!Y45</f>
        <v>828.96</v>
      </c>
      <c r="U122">
        <f>ROUND((175/100)*ROUND(Source!R44, 2), 2)</f>
        <v>0.04</v>
      </c>
      <c r="V122">
        <f>ROUND((0/100)*ROUND(Source!R45, 2), 2)</f>
        <v>0</v>
      </c>
      <c r="AC122">
        <v>0</v>
      </c>
    </row>
    <row r="123" spans="1:29" ht="14.25" hidden="1" x14ac:dyDescent="0.2">
      <c r="A123" s="19"/>
      <c r="B123" s="19"/>
      <c r="C123" s="19" t="s">
        <v>833</v>
      </c>
      <c r="D123" s="21"/>
      <c r="E123" s="20"/>
      <c r="F123" s="23">
        <f>Source!AO44</f>
        <v>21.2</v>
      </c>
      <c r="G123" s="22" t="s">
        <v>834</v>
      </c>
      <c r="H123" s="20">
        <f>Source!AV45</f>
        <v>1.0469999999999999</v>
      </c>
      <c r="I123" s="23">
        <f>Source!S44</f>
        <v>31.96</v>
      </c>
      <c r="J123" s="20">
        <f>IF(Source!BA45&lt;&gt; 0, Source!BA45, 1)</f>
        <v>56.35</v>
      </c>
      <c r="K123" s="23">
        <f>Source!S45</f>
        <v>1800.95</v>
      </c>
      <c r="L123"/>
    </row>
    <row r="124" spans="1:29" ht="14.25" hidden="1" x14ac:dyDescent="0.2">
      <c r="A124" s="19"/>
      <c r="B124" s="19"/>
      <c r="C124" s="19" t="s">
        <v>835</v>
      </c>
      <c r="D124" s="21"/>
      <c r="E124" s="20"/>
      <c r="F124" s="23">
        <f>Source!AM44</f>
        <v>0.06</v>
      </c>
      <c r="G124" s="22" t="s">
        <v>834</v>
      </c>
      <c r="H124" s="20">
        <f>Source!AV45</f>
        <v>1.0469999999999999</v>
      </c>
      <c r="I124" s="23">
        <f>Source!Q44</f>
        <v>0.09</v>
      </c>
      <c r="J124" s="20">
        <f>IF(Source!BB45&lt;&gt; 0, Source!BB45, 1)</f>
        <v>18.5</v>
      </c>
      <c r="K124" s="23">
        <f>Source!Q45</f>
        <v>1.67</v>
      </c>
      <c r="L124"/>
    </row>
    <row r="125" spans="1:29" ht="14.25" hidden="1" x14ac:dyDescent="0.2">
      <c r="A125" s="19"/>
      <c r="B125" s="19"/>
      <c r="C125" s="19" t="s">
        <v>836</v>
      </c>
      <c r="D125" s="21"/>
      <c r="E125" s="20"/>
      <c r="F125" s="23">
        <f>Source!AN44</f>
        <v>0.01</v>
      </c>
      <c r="G125" s="22" t="s">
        <v>834</v>
      </c>
      <c r="H125" s="20">
        <f>Source!AV45</f>
        <v>1.0469999999999999</v>
      </c>
      <c r="I125" s="24">
        <f>Source!R44</f>
        <v>0.02</v>
      </c>
      <c r="J125" s="20">
        <f>IF(Source!BS45&lt;&gt; 0, Source!BS45, 1)</f>
        <v>56.35</v>
      </c>
      <c r="K125" s="24">
        <f>Source!R45</f>
        <v>1.1299999999999999</v>
      </c>
      <c r="L125"/>
    </row>
    <row r="126" spans="1:29" ht="14.25" hidden="1" x14ac:dyDescent="0.2">
      <c r="A126" s="19"/>
      <c r="B126" s="19"/>
      <c r="C126" s="19" t="s">
        <v>837</v>
      </c>
      <c r="D126" s="21" t="s">
        <v>838</v>
      </c>
      <c r="E126" s="20">
        <f>Source!BZ45</f>
        <v>90</v>
      </c>
      <c r="F126" s="23"/>
      <c r="G126" s="22"/>
      <c r="H126" s="20"/>
      <c r="I126" s="23">
        <f>SUM(Q122:Q125)</f>
        <v>28.78</v>
      </c>
      <c r="J126" s="20">
        <f>Source!AT45</f>
        <v>90</v>
      </c>
      <c r="K126" s="23">
        <f>SUM(R122:R125)</f>
        <v>1621.87</v>
      </c>
      <c r="L126"/>
    </row>
    <row r="127" spans="1:29" ht="14.25" hidden="1" x14ac:dyDescent="0.2">
      <c r="A127" s="19"/>
      <c r="B127" s="19"/>
      <c r="C127" s="19" t="s">
        <v>839</v>
      </c>
      <c r="D127" s="21" t="s">
        <v>838</v>
      </c>
      <c r="E127" s="20">
        <f>Source!CA45</f>
        <v>46</v>
      </c>
      <c r="F127" s="23"/>
      <c r="G127" s="22"/>
      <c r="H127" s="20"/>
      <c r="I127" s="23">
        <f>SUM(S122:S126)</f>
        <v>14.71</v>
      </c>
      <c r="J127" s="20">
        <f>Source!AU45</f>
        <v>46</v>
      </c>
      <c r="K127" s="23">
        <f>SUM(T122:T126)</f>
        <v>828.96</v>
      </c>
      <c r="L127"/>
    </row>
    <row r="128" spans="1:29" ht="14.25" hidden="1" x14ac:dyDescent="0.2">
      <c r="A128" s="25"/>
      <c r="B128" s="25"/>
      <c r="C128" s="25" t="s">
        <v>840</v>
      </c>
      <c r="D128" s="26" t="s">
        <v>841</v>
      </c>
      <c r="E128" s="27">
        <f>Source!AQ44</f>
        <v>1.68</v>
      </c>
      <c r="F128" s="28"/>
      <c r="G128" s="29" t="s">
        <v>834</v>
      </c>
      <c r="H128" s="27">
        <f>Source!AV45</f>
        <v>1.0469999999999999</v>
      </c>
      <c r="I128" s="28">
        <f>Source!U44</f>
        <v>2.5329023999999998</v>
      </c>
      <c r="J128" s="27"/>
      <c r="K128" s="28"/>
      <c r="L128"/>
    </row>
    <row r="129" spans="1:29" ht="15" hidden="1" x14ac:dyDescent="0.2">
      <c r="C129" s="30" t="s">
        <v>842</v>
      </c>
      <c r="H129" s="48">
        <f>I123+I124+I126+I127+0-0-0</f>
        <v>75.540000000000006</v>
      </c>
      <c r="I129" s="48"/>
      <c r="J129" s="48">
        <f>K123+K124+K126+K127+0-0-0</f>
        <v>4253.45</v>
      </c>
      <c r="K129" s="48"/>
      <c r="L129"/>
    </row>
    <row r="130" spans="1:29" ht="15" hidden="1" x14ac:dyDescent="0.2">
      <c r="C130" s="30" t="s">
        <v>843</v>
      </c>
      <c r="H130" s="43">
        <f>0+0</f>
        <v>0</v>
      </c>
      <c r="I130" s="43"/>
      <c r="J130" s="43">
        <f>0+0</f>
        <v>0</v>
      </c>
      <c r="K130" s="43"/>
      <c r="L130"/>
    </row>
    <row r="131" spans="1:29" ht="15" hidden="1" x14ac:dyDescent="0.2">
      <c r="C131" s="30" t="s">
        <v>844</v>
      </c>
      <c r="H131" s="43">
        <f>I123+I124+I126+I127+0</f>
        <v>75.540000000000006</v>
      </c>
      <c r="I131" s="43"/>
      <c r="J131" s="43">
        <f>K123+K124+K126+K127+0</f>
        <v>4253.45</v>
      </c>
      <c r="K131" s="43"/>
      <c r="L131"/>
      <c r="O131" s="31">
        <f>I123+I124+I126+I127+0</f>
        <v>75.540000000000006</v>
      </c>
      <c r="P131" s="31">
        <f>K123+K124+K126+K127+0</f>
        <v>4253.45</v>
      </c>
    </row>
    <row r="132" spans="1:29" hidden="1" x14ac:dyDescent="0.2">
      <c r="J132"/>
      <c r="L132"/>
    </row>
    <row r="133" spans="1:29" ht="71.25" hidden="1" x14ac:dyDescent="0.2">
      <c r="A133" s="19">
        <v>10</v>
      </c>
      <c r="B133" s="19" t="str">
        <f>Source!F46</f>
        <v>4.37-18-4</v>
      </c>
      <c r="C133" s="19" t="s">
        <v>68</v>
      </c>
      <c r="D133" s="21" t="str">
        <f>Source!H46</f>
        <v>1  ШТ.</v>
      </c>
      <c r="E133" s="20">
        <f>Source!I46</f>
        <v>9</v>
      </c>
      <c r="F133" s="23"/>
      <c r="G133" s="22"/>
      <c r="H133" s="20"/>
      <c r="I133" s="23"/>
      <c r="J133" s="20"/>
      <c r="K133" s="23"/>
      <c r="L133"/>
      <c r="Q133">
        <f>Source!X46</f>
        <v>31.01</v>
      </c>
      <c r="R133">
        <f>Source!X47</f>
        <v>1747.6</v>
      </c>
      <c r="S133">
        <f>Source!Y46</f>
        <v>16.52</v>
      </c>
      <c r="T133">
        <f>Source!Y47</f>
        <v>930.78</v>
      </c>
      <c r="U133">
        <f>ROUND((175/100)*ROUND(Source!R46, 2), 2)</f>
        <v>0</v>
      </c>
      <c r="V133">
        <f>ROUND((0/100)*ROUND(Source!R47, 2), 2)</f>
        <v>0</v>
      </c>
      <c r="AC133">
        <v>0</v>
      </c>
    </row>
    <row r="134" spans="1:29" hidden="1" x14ac:dyDescent="0.2">
      <c r="C134" s="32" t="str">
        <f>"Объем: "&amp;Source!I46&amp;"=3+"&amp;"2+"&amp;"2+"&amp;"2"</f>
        <v>Объем: 9=3+2+2+2</v>
      </c>
      <c r="J134"/>
      <c r="L134"/>
    </row>
    <row r="135" spans="1:29" ht="14.25" hidden="1" x14ac:dyDescent="0.2">
      <c r="A135" s="19"/>
      <c r="B135" s="19"/>
      <c r="C135" s="19" t="s">
        <v>833</v>
      </c>
      <c r="D135" s="21"/>
      <c r="E135" s="20"/>
      <c r="F135" s="23">
        <f>Source!AO46</f>
        <v>9.75</v>
      </c>
      <c r="G135" s="22" t="s">
        <v>834</v>
      </c>
      <c r="H135" s="20">
        <f>Source!AV47</f>
        <v>1.0669999999999999</v>
      </c>
      <c r="I135" s="23">
        <f>Source!S46</f>
        <v>33.71</v>
      </c>
      <c r="J135" s="20">
        <f>IF(Source!BA47&lt;&gt; 0, Source!BA47, 1)</f>
        <v>56.35</v>
      </c>
      <c r="K135" s="23">
        <f>Source!S47</f>
        <v>1899.56</v>
      </c>
      <c r="L135"/>
    </row>
    <row r="136" spans="1:29" ht="14.25" hidden="1" x14ac:dyDescent="0.2">
      <c r="A136" s="19"/>
      <c r="B136" s="19"/>
      <c r="C136" s="19" t="s">
        <v>835</v>
      </c>
      <c r="D136" s="21"/>
      <c r="E136" s="20"/>
      <c r="F136" s="23">
        <f>Source!AM46</f>
        <v>0.05</v>
      </c>
      <c r="G136" s="22" t="s">
        <v>834</v>
      </c>
      <c r="H136" s="20">
        <f>Source!AV47</f>
        <v>1.0669999999999999</v>
      </c>
      <c r="I136" s="23">
        <f>Source!Q46</f>
        <v>0.17</v>
      </c>
      <c r="J136" s="20">
        <f>IF(Source!BB47&lt;&gt; 0, Source!BB47, 1)</f>
        <v>8.8000000000000007</v>
      </c>
      <c r="K136" s="23">
        <f>Source!Q47</f>
        <v>1.5</v>
      </c>
      <c r="L136"/>
    </row>
    <row r="137" spans="1:29" ht="14.25" hidden="1" x14ac:dyDescent="0.2">
      <c r="A137" s="19"/>
      <c r="B137" s="19"/>
      <c r="C137" s="19" t="s">
        <v>837</v>
      </c>
      <c r="D137" s="21" t="s">
        <v>838</v>
      </c>
      <c r="E137" s="20">
        <f>Source!BZ47</f>
        <v>92</v>
      </c>
      <c r="F137" s="23"/>
      <c r="G137" s="22"/>
      <c r="H137" s="20"/>
      <c r="I137" s="23">
        <f>SUM(Q133:Q136)</f>
        <v>31.01</v>
      </c>
      <c r="J137" s="20">
        <f>Source!AT47</f>
        <v>92</v>
      </c>
      <c r="K137" s="23">
        <f>SUM(R133:R136)</f>
        <v>1747.6</v>
      </c>
      <c r="L137"/>
    </row>
    <row r="138" spans="1:29" ht="14.25" hidden="1" x14ac:dyDescent="0.2">
      <c r="A138" s="19"/>
      <c r="B138" s="19"/>
      <c r="C138" s="19" t="s">
        <v>839</v>
      </c>
      <c r="D138" s="21" t="s">
        <v>838</v>
      </c>
      <c r="E138" s="20">
        <f>Source!CA47</f>
        <v>49</v>
      </c>
      <c r="F138" s="23"/>
      <c r="G138" s="22"/>
      <c r="H138" s="20"/>
      <c r="I138" s="23">
        <f>SUM(S133:S137)</f>
        <v>16.52</v>
      </c>
      <c r="J138" s="20">
        <f>Source!AU47</f>
        <v>49</v>
      </c>
      <c r="K138" s="23">
        <f>SUM(T133:T137)</f>
        <v>930.78</v>
      </c>
      <c r="L138"/>
    </row>
    <row r="139" spans="1:29" ht="14.25" hidden="1" x14ac:dyDescent="0.2">
      <c r="A139" s="25"/>
      <c r="B139" s="25"/>
      <c r="C139" s="25" t="s">
        <v>840</v>
      </c>
      <c r="D139" s="26" t="s">
        <v>841</v>
      </c>
      <c r="E139" s="27">
        <f>Source!AQ46</f>
        <v>0.6</v>
      </c>
      <c r="F139" s="28"/>
      <c r="G139" s="29" t="s">
        <v>834</v>
      </c>
      <c r="H139" s="27">
        <f>Source!AV47</f>
        <v>1.0669999999999999</v>
      </c>
      <c r="I139" s="28">
        <f>Source!U46</f>
        <v>2.0742479999999999</v>
      </c>
      <c r="J139" s="27"/>
      <c r="K139" s="28"/>
      <c r="L139"/>
    </row>
    <row r="140" spans="1:29" ht="15" hidden="1" x14ac:dyDescent="0.2">
      <c r="C140" s="30" t="s">
        <v>842</v>
      </c>
      <c r="H140" s="48">
        <f>I135+I136+I137+I138+0-0-0</f>
        <v>81.41</v>
      </c>
      <c r="I140" s="48"/>
      <c r="J140" s="48">
        <f>K135+K136+K137+K138+0-0-0</f>
        <v>4579.4399999999996</v>
      </c>
      <c r="K140" s="48"/>
      <c r="L140"/>
    </row>
    <row r="141" spans="1:29" ht="15" hidden="1" x14ac:dyDescent="0.2">
      <c r="C141" s="30" t="s">
        <v>843</v>
      </c>
      <c r="H141" s="43">
        <f>0+0</f>
        <v>0</v>
      </c>
      <c r="I141" s="43"/>
      <c r="J141" s="43">
        <f>0+0</f>
        <v>0</v>
      </c>
      <c r="K141" s="43"/>
      <c r="L141"/>
    </row>
    <row r="142" spans="1:29" ht="15" hidden="1" x14ac:dyDescent="0.2">
      <c r="C142" s="30" t="s">
        <v>844</v>
      </c>
      <c r="H142" s="43">
        <f>I135+I136+I137+I138+0</f>
        <v>81.41</v>
      </c>
      <c r="I142" s="43"/>
      <c r="J142" s="43">
        <f>K135+K136+K137+K138+0</f>
        <v>4579.4399999999996</v>
      </c>
      <c r="K142" s="43"/>
      <c r="L142"/>
      <c r="O142" s="31">
        <f>I135+I136+I137+I138+0</f>
        <v>81.41</v>
      </c>
      <c r="P142" s="31">
        <f>K135+K136+K137+K138+0</f>
        <v>4579.4399999999996</v>
      </c>
    </row>
    <row r="143" spans="1:29" hidden="1" x14ac:dyDescent="0.2">
      <c r="J143"/>
      <c r="L143"/>
    </row>
    <row r="144" spans="1:29" ht="57" hidden="1" x14ac:dyDescent="0.2">
      <c r="A144" s="19">
        <v>11</v>
      </c>
      <c r="B144" s="19" t="str">
        <f>Source!F48</f>
        <v>3.9-74-1</v>
      </c>
      <c r="C144" s="19" t="s">
        <v>74</v>
      </c>
      <c r="D144" s="21" t="str">
        <f>Source!H48</f>
        <v>10 шт.</v>
      </c>
      <c r="E144" s="20">
        <f>Source!I48</f>
        <v>0.4</v>
      </c>
      <c r="F144" s="23"/>
      <c r="G144" s="22"/>
      <c r="H144" s="20"/>
      <c r="I144" s="23"/>
      <c r="J144" s="20"/>
      <c r="K144" s="23"/>
      <c r="L144"/>
      <c r="Q144">
        <f>Source!X48</f>
        <v>75.180000000000007</v>
      </c>
      <c r="R144">
        <f>Source!X49</f>
        <v>4236.46</v>
      </c>
      <c r="S144">
        <f>Source!Y48</f>
        <v>50.12</v>
      </c>
      <c r="T144">
        <f>Source!Y49</f>
        <v>2824.3</v>
      </c>
      <c r="U144">
        <f>ROUND((175/100)*ROUND(Source!R48, 2), 2)</f>
        <v>11.76</v>
      </c>
      <c r="V144">
        <f>ROUND((0/100)*ROUND(Source!R49, 2), 2)</f>
        <v>0</v>
      </c>
      <c r="AC144">
        <v>0</v>
      </c>
    </row>
    <row r="145" spans="1:29" hidden="1" x14ac:dyDescent="0.2">
      <c r="C145" s="32" t="str">
        <f>"Объем: "&amp;Source!I48&amp;"=4/"&amp;"10"</f>
        <v>Объем: 0,4=4/10</v>
      </c>
      <c r="J145"/>
      <c r="L145"/>
    </row>
    <row r="146" spans="1:29" ht="28.5" hidden="1" x14ac:dyDescent="0.2">
      <c r="A146" s="19"/>
      <c r="B146" s="19"/>
      <c r="C146" s="19" t="s">
        <v>833</v>
      </c>
      <c r="D146" s="21"/>
      <c r="E146" s="20"/>
      <c r="F146" s="23">
        <f>Source!AO48</f>
        <v>205.89</v>
      </c>
      <c r="G146" s="22" t="s">
        <v>845</v>
      </c>
      <c r="H146" s="20">
        <f>Source!AV49</f>
        <v>1.087</v>
      </c>
      <c r="I146" s="23">
        <f>Source!S48</f>
        <v>74.12</v>
      </c>
      <c r="J146" s="20">
        <f>IF(Source!BA49&lt;&gt; 0, Source!BA49, 1)</f>
        <v>56.35</v>
      </c>
      <c r="K146" s="23">
        <f>Source!S49</f>
        <v>4176.66</v>
      </c>
      <c r="L146"/>
    </row>
    <row r="147" spans="1:29" ht="28.5" hidden="1" x14ac:dyDescent="0.2">
      <c r="A147" s="19"/>
      <c r="B147" s="19"/>
      <c r="C147" s="19" t="s">
        <v>835</v>
      </c>
      <c r="D147" s="21"/>
      <c r="E147" s="20"/>
      <c r="F147" s="23">
        <f>Source!AM48</f>
        <v>113.73</v>
      </c>
      <c r="G147" s="22" t="s">
        <v>846</v>
      </c>
      <c r="H147" s="20">
        <f>Source!AV49</f>
        <v>1.087</v>
      </c>
      <c r="I147" s="23">
        <f>Source!Q48</f>
        <v>44.5</v>
      </c>
      <c r="J147" s="20">
        <f>IF(Source!BB49&lt;&gt; 0, Source!BB49, 1)</f>
        <v>17.02</v>
      </c>
      <c r="K147" s="23">
        <f>Source!Q49</f>
        <v>757.39</v>
      </c>
      <c r="L147"/>
    </row>
    <row r="148" spans="1:29" ht="28.5" hidden="1" x14ac:dyDescent="0.2">
      <c r="A148" s="19"/>
      <c r="B148" s="19"/>
      <c r="C148" s="19" t="s">
        <v>836</v>
      </c>
      <c r="D148" s="21"/>
      <c r="E148" s="20"/>
      <c r="F148" s="23">
        <f>Source!AN48</f>
        <v>17.16</v>
      </c>
      <c r="G148" s="22" t="s">
        <v>846</v>
      </c>
      <c r="H148" s="20">
        <f>Source!AV49</f>
        <v>1.087</v>
      </c>
      <c r="I148" s="24">
        <f>Source!R48</f>
        <v>6.72</v>
      </c>
      <c r="J148" s="20">
        <f>IF(Source!BS49&lt;&gt; 0, Source!BS49, 1)</f>
        <v>56.35</v>
      </c>
      <c r="K148" s="24">
        <f>Source!R49</f>
        <v>378.67</v>
      </c>
      <c r="L148"/>
    </row>
    <row r="149" spans="1:29" ht="14.25" hidden="1" x14ac:dyDescent="0.2">
      <c r="A149" s="19"/>
      <c r="B149" s="19"/>
      <c r="C149" s="19" t="s">
        <v>847</v>
      </c>
      <c r="D149" s="21"/>
      <c r="E149" s="20"/>
      <c r="F149" s="23">
        <f>Source!AL48</f>
        <v>487.88</v>
      </c>
      <c r="G149" s="22" t="s">
        <v>848</v>
      </c>
      <c r="H149" s="20">
        <f>Source!AW49</f>
        <v>1</v>
      </c>
      <c r="I149" s="23">
        <f>Source!P48</f>
        <v>117.09</v>
      </c>
      <c r="J149" s="20">
        <f>IF(Source!BC49&lt;&gt; 0, Source!BC49, 1)</f>
        <v>6.4</v>
      </c>
      <c r="K149" s="23">
        <f>Source!P49</f>
        <v>749.38</v>
      </c>
      <c r="L149"/>
    </row>
    <row r="150" spans="1:29" ht="14.25" hidden="1" x14ac:dyDescent="0.2">
      <c r="A150" s="19"/>
      <c r="B150" s="19"/>
      <c r="C150" s="19" t="s">
        <v>837</v>
      </c>
      <c r="D150" s="21" t="s">
        <v>838</v>
      </c>
      <c r="E150" s="20">
        <f>Source!BZ49</f>
        <v>93</v>
      </c>
      <c r="F150" s="23"/>
      <c r="G150" s="22"/>
      <c r="H150" s="20"/>
      <c r="I150" s="23">
        <f>SUM(Q144:Q149)</f>
        <v>75.180000000000007</v>
      </c>
      <c r="J150" s="20">
        <f>Source!AT49</f>
        <v>93</v>
      </c>
      <c r="K150" s="23">
        <f>SUM(R144:R149)</f>
        <v>4236.46</v>
      </c>
      <c r="L150"/>
    </row>
    <row r="151" spans="1:29" ht="14.25" hidden="1" x14ac:dyDescent="0.2">
      <c r="A151" s="19"/>
      <c r="B151" s="19"/>
      <c r="C151" s="19" t="s">
        <v>839</v>
      </c>
      <c r="D151" s="21" t="s">
        <v>838</v>
      </c>
      <c r="E151" s="20">
        <f>Source!CA49</f>
        <v>62</v>
      </c>
      <c r="F151" s="23"/>
      <c r="G151" s="22"/>
      <c r="H151" s="20"/>
      <c r="I151" s="23">
        <f>SUM(S144:S150)</f>
        <v>50.12</v>
      </c>
      <c r="J151" s="20">
        <f>Source!AU49</f>
        <v>62</v>
      </c>
      <c r="K151" s="23">
        <f>SUM(T144:T150)</f>
        <v>2824.3</v>
      </c>
      <c r="L151"/>
    </row>
    <row r="152" spans="1:29" ht="28.5" hidden="1" x14ac:dyDescent="0.2">
      <c r="A152" s="25"/>
      <c r="B152" s="25"/>
      <c r="C152" s="25" t="s">
        <v>840</v>
      </c>
      <c r="D152" s="26" t="s">
        <v>841</v>
      </c>
      <c r="E152" s="27">
        <f>Source!AQ48</f>
        <v>18.38</v>
      </c>
      <c r="F152" s="28"/>
      <c r="G152" s="29" t="s">
        <v>845</v>
      </c>
      <c r="H152" s="27">
        <f>Source!AV49</f>
        <v>1.087</v>
      </c>
      <c r="I152" s="28">
        <f>Source!U48</f>
        <v>6.6170646719999979</v>
      </c>
      <c r="J152" s="27"/>
      <c r="K152" s="28"/>
      <c r="L152"/>
    </row>
    <row r="153" spans="1:29" ht="15" hidden="1" x14ac:dyDescent="0.2">
      <c r="C153" s="30" t="s">
        <v>842</v>
      </c>
      <c r="H153" s="48">
        <f>I146+I147+I149+I150+I151+0-0-0</f>
        <v>361.01</v>
      </c>
      <c r="I153" s="48"/>
      <c r="J153" s="48">
        <f>K146+K147+K149+K150+K151+0-0-0</f>
        <v>12744.189999999999</v>
      </c>
      <c r="K153" s="48"/>
      <c r="L153"/>
    </row>
    <row r="154" spans="1:29" ht="15" hidden="1" x14ac:dyDescent="0.2">
      <c r="C154" s="30" t="s">
        <v>843</v>
      </c>
      <c r="H154" s="43">
        <f>0+0</f>
        <v>0</v>
      </c>
      <c r="I154" s="43"/>
      <c r="J154" s="43">
        <f>0+0</f>
        <v>0</v>
      </c>
      <c r="K154" s="43"/>
      <c r="L154"/>
    </row>
    <row r="155" spans="1:29" ht="15" hidden="1" x14ac:dyDescent="0.2">
      <c r="C155" s="30" t="s">
        <v>844</v>
      </c>
      <c r="H155" s="43">
        <f>I146+I147+I149+I150+I151+0</f>
        <v>361.01</v>
      </c>
      <c r="I155" s="43"/>
      <c r="J155" s="43">
        <f>K146+K147+K149+K150+K151+0</f>
        <v>12744.189999999999</v>
      </c>
      <c r="K155" s="43"/>
      <c r="L155"/>
      <c r="O155" s="31">
        <f>I146+I147+I149+I150+I151+0</f>
        <v>361.01</v>
      </c>
      <c r="P155" s="31">
        <f>K146+K147+K149+K150+K151+0</f>
        <v>12744.189999999999</v>
      </c>
    </row>
    <row r="156" spans="1:29" hidden="1" x14ac:dyDescent="0.2">
      <c r="J156"/>
      <c r="L156"/>
    </row>
    <row r="157" spans="1:29" ht="42.75" hidden="1" x14ac:dyDescent="0.2">
      <c r="A157" s="19">
        <v>12</v>
      </c>
      <c r="B157" s="19" t="str">
        <f>Source!F50</f>
        <v>4.10-1-12</v>
      </c>
      <c r="C157" s="19" t="s">
        <v>86</v>
      </c>
      <c r="D157" s="21" t="str">
        <f>Source!H50</f>
        <v>1 рамка</v>
      </c>
      <c r="E157" s="20">
        <f>Source!I50</f>
        <v>8</v>
      </c>
      <c r="F157" s="23"/>
      <c r="G157" s="22"/>
      <c r="H157" s="20"/>
      <c r="I157" s="23"/>
      <c r="J157" s="20"/>
      <c r="K157" s="23"/>
      <c r="L157"/>
      <c r="Q157">
        <f>Source!X50</f>
        <v>2.12</v>
      </c>
      <c r="R157">
        <f>Source!X51</f>
        <v>119.18</v>
      </c>
      <c r="S157">
        <f>Source!Y50</f>
        <v>1.08</v>
      </c>
      <c r="T157">
        <f>Source!Y51</f>
        <v>60.91</v>
      </c>
      <c r="U157">
        <f>ROUND((175/100)*ROUND(Source!R50, 2), 2)</f>
        <v>0</v>
      </c>
      <c r="V157">
        <f>ROUND((0/100)*ROUND(Source!R51, 2), 2)</f>
        <v>0</v>
      </c>
      <c r="AC157">
        <v>0</v>
      </c>
    </row>
    <row r="158" spans="1:29" hidden="1" x14ac:dyDescent="0.2">
      <c r="C158" s="32" t="str">
        <f>"Объем: "&amp;Source!I50&amp;"=4*"&amp;"2"</f>
        <v>Объем: 8=4*2</v>
      </c>
      <c r="J158"/>
      <c r="L158"/>
    </row>
    <row r="159" spans="1:29" ht="14.25" hidden="1" x14ac:dyDescent="0.2">
      <c r="A159" s="19"/>
      <c r="B159" s="19"/>
      <c r="C159" s="19" t="s">
        <v>833</v>
      </c>
      <c r="D159" s="21"/>
      <c r="E159" s="20"/>
      <c r="F159" s="23">
        <f>Source!AO50</f>
        <v>0.78</v>
      </c>
      <c r="G159" s="22" t="s">
        <v>834</v>
      </c>
      <c r="H159" s="20">
        <f>Source!AV51</f>
        <v>1.0469999999999999</v>
      </c>
      <c r="I159" s="23">
        <f>Source!S50</f>
        <v>2.35</v>
      </c>
      <c r="J159" s="20">
        <f>IF(Source!BA51&lt;&gt; 0, Source!BA51, 1)</f>
        <v>56.35</v>
      </c>
      <c r="K159" s="23">
        <f>Source!S51</f>
        <v>132.41999999999999</v>
      </c>
      <c r="L159"/>
    </row>
    <row r="160" spans="1:29" ht="14.25" hidden="1" x14ac:dyDescent="0.2">
      <c r="A160" s="19"/>
      <c r="B160" s="19"/>
      <c r="C160" s="19" t="s">
        <v>837</v>
      </c>
      <c r="D160" s="21" t="s">
        <v>838</v>
      </c>
      <c r="E160" s="20">
        <f>Source!BZ51</f>
        <v>90</v>
      </c>
      <c r="F160" s="23"/>
      <c r="G160" s="22"/>
      <c r="H160" s="20"/>
      <c r="I160" s="23">
        <f>SUM(Q157:Q159)</f>
        <v>2.12</v>
      </c>
      <c r="J160" s="20">
        <f>Source!AT51</f>
        <v>90</v>
      </c>
      <c r="K160" s="23">
        <f>SUM(R157:R159)</f>
        <v>119.18</v>
      </c>
      <c r="L160"/>
    </row>
    <row r="161" spans="1:29" ht="14.25" hidden="1" x14ac:dyDescent="0.2">
      <c r="A161" s="19"/>
      <c r="B161" s="19"/>
      <c r="C161" s="19" t="s">
        <v>839</v>
      </c>
      <c r="D161" s="21" t="s">
        <v>838</v>
      </c>
      <c r="E161" s="20">
        <f>Source!CA51</f>
        <v>46</v>
      </c>
      <c r="F161" s="23"/>
      <c r="G161" s="22"/>
      <c r="H161" s="20"/>
      <c r="I161" s="23">
        <f>SUM(S157:S160)</f>
        <v>1.08</v>
      </c>
      <c r="J161" s="20">
        <f>Source!AU51</f>
        <v>46</v>
      </c>
      <c r="K161" s="23">
        <f>SUM(T157:T160)</f>
        <v>60.91</v>
      </c>
      <c r="L161"/>
    </row>
    <row r="162" spans="1:29" ht="14.25" hidden="1" x14ac:dyDescent="0.2">
      <c r="A162" s="25"/>
      <c r="B162" s="25"/>
      <c r="C162" s="25" t="s">
        <v>840</v>
      </c>
      <c r="D162" s="26" t="s">
        <v>841</v>
      </c>
      <c r="E162" s="27">
        <f>Source!AQ50</f>
        <v>7.0000000000000007E-2</v>
      </c>
      <c r="F162" s="28"/>
      <c r="G162" s="29" t="s">
        <v>834</v>
      </c>
      <c r="H162" s="27">
        <f>Source!AV51</f>
        <v>1.0469999999999999</v>
      </c>
      <c r="I162" s="28">
        <f>Source!U50</f>
        <v>0.21107519999999999</v>
      </c>
      <c r="J162" s="27"/>
      <c r="K162" s="28"/>
      <c r="L162"/>
    </row>
    <row r="163" spans="1:29" ht="15" hidden="1" x14ac:dyDescent="0.2">
      <c r="C163" s="30" t="s">
        <v>842</v>
      </c>
      <c r="H163" s="48">
        <f>I159+I160+I161+0-0-0</f>
        <v>5.5500000000000007</v>
      </c>
      <c r="I163" s="48"/>
      <c r="J163" s="48">
        <f>K159+K160+K161+0-0-0</f>
        <v>312.51</v>
      </c>
      <c r="K163" s="48"/>
      <c r="L163"/>
    </row>
    <row r="164" spans="1:29" ht="15" hidden="1" x14ac:dyDescent="0.2">
      <c r="C164" s="30" t="s">
        <v>843</v>
      </c>
      <c r="H164" s="43">
        <f>0+0</f>
        <v>0</v>
      </c>
      <c r="I164" s="43"/>
      <c r="J164" s="43">
        <f>0+0</f>
        <v>0</v>
      </c>
      <c r="K164" s="43"/>
      <c r="L164"/>
    </row>
    <row r="165" spans="1:29" ht="15" hidden="1" x14ac:dyDescent="0.2">
      <c r="C165" s="30" t="s">
        <v>844</v>
      </c>
      <c r="H165" s="43">
        <f>I159+I160+I161+0</f>
        <v>5.5500000000000007</v>
      </c>
      <c r="I165" s="43"/>
      <c r="J165" s="43">
        <f>K159+K160+K161+0</f>
        <v>312.51</v>
      </c>
      <c r="K165" s="43"/>
      <c r="L165"/>
      <c r="O165" s="31">
        <f>I159+I160+I161+0</f>
        <v>5.5500000000000007</v>
      </c>
      <c r="P165" s="31">
        <f>K159+K160+K161+0</f>
        <v>312.51</v>
      </c>
    </row>
    <row r="166" spans="1:29" hidden="1" x14ac:dyDescent="0.2">
      <c r="J166"/>
      <c r="L166"/>
    </row>
    <row r="167" spans="1:29" ht="57" hidden="1" x14ac:dyDescent="0.2">
      <c r="A167" s="19">
        <v>13</v>
      </c>
      <c r="B167" s="19" t="str">
        <f>Source!F52</f>
        <v>3.70-434-1</v>
      </c>
      <c r="C167" s="19" t="s">
        <v>91</v>
      </c>
      <c r="D167" s="21" t="str">
        <f>Source!H52</f>
        <v>100 шт.</v>
      </c>
      <c r="E167" s="20">
        <f>Source!I52</f>
        <v>0.04</v>
      </c>
      <c r="F167" s="23"/>
      <c r="G167" s="22"/>
      <c r="H167" s="20"/>
      <c r="I167" s="23"/>
      <c r="J167" s="20"/>
      <c r="K167" s="23"/>
      <c r="L167"/>
      <c r="Q167">
        <f>Source!X52</f>
        <v>6.55</v>
      </c>
      <c r="R167">
        <f>Source!X53</f>
        <v>368.93</v>
      </c>
      <c r="S167">
        <f>Source!Y52</f>
        <v>4.3600000000000003</v>
      </c>
      <c r="T167">
        <f>Source!Y53</f>
        <v>245.95</v>
      </c>
      <c r="U167">
        <f>ROUND((175/100)*ROUND(Source!R52, 2), 2)</f>
        <v>0.16</v>
      </c>
      <c r="V167">
        <f>ROUND((0/100)*ROUND(Source!R53, 2), 2)</f>
        <v>0</v>
      </c>
      <c r="AC167">
        <v>0</v>
      </c>
    </row>
    <row r="168" spans="1:29" hidden="1" x14ac:dyDescent="0.2">
      <c r="C168" s="32" t="str">
        <f>"Объем: "&amp;Source!I52&amp;"=4/"&amp;"100"</f>
        <v>Объем: 0,04=4/100</v>
      </c>
      <c r="J168"/>
      <c r="L168"/>
    </row>
    <row r="169" spans="1:29" ht="28.5" hidden="1" x14ac:dyDescent="0.2">
      <c r="A169" s="19"/>
      <c r="B169" s="19"/>
      <c r="C169" s="19" t="s">
        <v>833</v>
      </c>
      <c r="D169" s="21"/>
      <c r="E169" s="20"/>
      <c r="F169" s="23">
        <f>Source!AO52</f>
        <v>193.13</v>
      </c>
      <c r="G169" s="22" t="s">
        <v>845</v>
      </c>
      <c r="H169" s="20">
        <f>Source!AV53</f>
        <v>1.087</v>
      </c>
      <c r="I169" s="23">
        <f>Source!S52</f>
        <v>6.95</v>
      </c>
      <c r="J169" s="20">
        <f>IF(Source!BA53&lt;&gt; 0, Source!BA53, 1)</f>
        <v>56.35</v>
      </c>
      <c r="K169" s="23">
        <f>Source!S53</f>
        <v>391.63</v>
      </c>
      <c r="L169"/>
    </row>
    <row r="170" spans="1:29" ht="28.5" hidden="1" x14ac:dyDescent="0.2">
      <c r="A170" s="19"/>
      <c r="B170" s="19"/>
      <c r="C170" s="19" t="s">
        <v>835</v>
      </c>
      <c r="D170" s="21"/>
      <c r="E170" s="20"/>
      <c r="F170" s="23">
        <f>Source!AM52</f>
        <v>18.690000000000001</v>
      </c>
      <c r="G170" s="22" t="s">
        <v>846</v>
      </c>
      <c r="H170" s="20">
        <f>Source!AV53</f>
        <v>1.087</v>
      </c>
      <c r="I170" s="23">
        <f>Source!Q52</f>
        <v>0.73</v>
      </c>
      <c r="J170" s="20">
        <f>IF(Source!BB53&lt;&gt; 0, Source!BB53, 1)</f>
        <v>15.58</v>
      </c>
      <c r="K170" s="23">
        <f>Source!Q53</f>
        <v>11.37</v>
      </c>
      <c r="L170"/>
    </row>
    <row r="171" spans="1:29" ht="28.5" hidden="1" x14ac:dyDescent="0.2">
      <c r="A171" s="19"/>
      <c r="B171" s="19"/>
      <c r="C171" s="19" t="s">
        <v>836</v>
      </c>
      <c r="D171" s="21"/>
      <c r="E171" s="20"/>
      <c r="F171" s="23">
        <f>Source!AN52</f>
        <v>2.27</v>
      </c>
      <c r="G171" s="22" t="s">
        <v>846</v>
      </c>
      <c r="H171" s="20">
        <f>Source!AV53</f>
        <v>1.087</v>
      </c>
      <c r="I171" s="24">
        <f>Source!R52</f>
        <v>0.09</v>
      </c>
      <c r="J171" s="20">
        <f>IF(Source!BS53&lt;&gt; 0, Source!BS53, 1)</f>
        <v>56.35</v>
      </c>
      <c r="K171" s="24">
        <f>Source!R53</f>
        <v>5.07</v>
      </c>
      <c r="L171"/>
    </row>
    <row r="172" spans="1:29" ht="14.25" hidden="1" x14ac:dyDescent="0.2">
      <c r="A172" s="19"/>
      <c r="B172" s="19"/>
      <c r="C172" s="19" t="s">
        <v>847</v>
      </c>
      <c r="D172" s="21"/>
      <c r="E172" s="20"/>
      <c r="F172" s="23">
        <f>Source!AL52</f>
        <v>132.34</v>
      </c>
      <c r="G172" s="22" t="s">
        <v>848</v>
      </c>
      <c r="H172" s="20">
        <f>Source!AW53</f>
        <v>1</v>
      </c>
      <c r="I172" s="23">
        <f>Source!P52</f>
        <v>3.18</v>
      </c>
      <c r="J172" s="20">
        <f>IF(Source!BC53&lt;&gt; 0, Source!BC53, 1)</f>
        <v>3.46</v>
      </c>
      <c r="K172" s="23">
        <f>Source!P53</f>
        <v>11</v>
      </c>
      <c r="L172"/>
    </row>
    <row r="173" spans="1:29" ht="14.25" hidden="1" x14ac:dyDescent="0.2">
      <c r="A173" s="19"/>
      <c r="B173" s="19"/>
      <c r="C173" s="19" t="s">
        <v>837</v>
      </c>
      <c r="D173" s="21" t="s">
        <v>838</v>
      </c>
      <c r="E173" s="20">
        <f>Source!BZ53</f>
        <v>93</v>
      </c>
      <c r="F173" s="23"/>
      <c r="G173" s="22"/>
      <c r="H173" s="20"/>
      <c r="I173" s="23">
        <f>SUM(Q167:Q172)</f>
        <v>6.55</v>
      </c>
      <c r="J173" s="20">
        <f>Source!AT53</f>
        <v>93</v>
      </c>
      <c r="K173" s="23">
        <f>SUM(R167:R172)</f>
        <v>368.93</v>
      </c>
      <c r="L173"/>
    </row>
    <row r="174" spans="1:29" ht="14.25" hidden="1" x14ac:dyDescent="0.2">
      <c r="A174" s="19"/>
      <c r="B174" s="19"/>
      <c r="C174" s="19" t="s">
        <v>839</v>
      </c>
      <c r="D174" s="21" t="s">
        <v>838</v>
      </c>
      <c r="E174" s="20">
        <f>Source!CA53</f>
        <v>62</v>
      </c>
      <c r="F174" s="23"/>
      <c r="G174" s="22"/>
      <c r="H174" s="20"/>
      <c r="I174" s="23">
        <f>SUM(S167:S173)</f>
        <v>4.3600000000000003</v>
      </c>
      <c r="J174" s="20">
        <f>Source!AU53</f>
        <v>62</v>
      </c>
      <c r="K174" s="23">
        <f>SUM(T167:T173)</f>
        <v>245.95</v>
      </c>
      <c r="L174"/>
    </row>
    <row r="175" spans="1:29" ht="28.5" hidden="1" x14ac:dyDescent="0.2">
      <c r="A175" s="25"/>
      <c r="B175" s="25"/>
      <c r="C175" s="25" t="s">
        <v>840</v>
      </c>
      <c r="D175" s="26" t="s">
        <v>841</v>
      </c>
      <c r="E175" s="27">
        <f>Source!AQ52</f>
        <v>11.57</v>
      </c>
      <c r="F175" s="28"/>
      <c r="G175" s="29" t="s">
        <v>845</v>
      </c>
      <c r="H175" s="27">
        <f>Source!AV53</f>
        <v>1.087</v>
      </c>
      <c r="I175" s="28">
        <f>Source!U52</f>
        <v>0.41653666079999996</v>
      </c>
      <c r="J175" s="27"/>
      <c r="K175" s="28"/>
      <c r="L175"/>
    </row>
    <row r="176" spans="1:29" ht="15" hidden="1" x14ac:dyDescent="0.2">
      <c r="C176" s="30" t="s">
        <v>842</v>
      </c>
      <c r="H176" s="48">
        <f>I169+I170+I172+I173+I174+0-0-0</f>
        <v>21.77</v>
      </c>
      <c r="I176" s="48"/>
      <c r="J176" s="48">
        <f>K169+K170+K172+K173+K174+0-0-0</f>
        <v>1028.8800000000001</v>
      </c>
      <c r="K176" s="48"/>
      <c r="L176"/>
    </row>
    <row r="177" spans="1:29" ht="15" hidden="1" x14ac:dyDescent="0.2">
      <c r="C177" s="30" t="s">
        <v>843</v>
      </c>
      <c r="H177" s="43">
        <f>0+0</f>
        <v>0</v>
      </c>
      <c r="I177" s="43"/>
      <c r="J177" s="43">
        <f>0+0</f>
        <v>0</v>
      </c>
      <c r="K177" s="43"/>
      <c r="L177"/>
    </row>
    <row r="178" spans="1:29" ht="15" hidden="1" x14ac:dyDescent="0.2">
      <c r="C178" s="30" t="s">
        <v>844</v>
      </c>
      <c r="H178" s="43">
        <f>I169+I170+I172+I173+I174+0</f>
        <v>21.77</v>
      </c>
      <c r="I178" s="43"/>
      <c r="J178" s="43">
        <f>K169+K170+K172+K173+K174+0</f>
        <v>1028.8800000000001</v>
      </c>
      <c r="K178" s="43"/>
      <c r="L178"/>
      <c r="O178" s="31">
        <f>I169+I170+I172+I173+I174+0</f>
        <v>21.77</v>
      </c>
      <c r="P178" s="31">
        <f>K169+K170+K172+K173+K174+0</f>
        <v>1028.8800000000001</v>
      </c>
    </row>
    <row r="179" spans="1:29" hidden="1" x14ac:dyDescent="0.2">
      <c r="J179"/>
      <c r="L179"/>
    </row>
    <row r="180" spans="1:29" ht="57" hidden="1" x14ac:dyDescent="0.2">
      <c r="A180" s="19">
        <v>14</v>
      </c>
      <c r="B180" s="19" t="str">
        <f>Source!F54</f>
        <v>3.20-11-1</v>
      </c>
      <c r="C180" s="19" t="s">
        <v>97</v>
      </c>
      <c r="D180" s="21" t="str">
        <f>Source!H54</f>
        <v>1 клапан</v>
      </c>
      <c r="E180" s="20">
        <f>Source!I54</f>
        <v>4</v>
      </c>
      <c r="F180" s="23"/>
      <c r="G180" s="22"/>
      <c r="H180" s="20"/>
      <c r="I180" s="23"/>
      <c r="J180" s="20"/>
      <c r="K180" s="23"/>
      <c r="L180"/>
      <c r="Q180">
        <f>Source!X54</f>
        <v>51.75</v>
      </c>
      <c r="R180">
        <f>Source!X55</f>
        <v>2916.21</v>
      </c>
      <c r="S180">
        <f>Source!Y54</f>
        <v>30.79</v>
      </c>
      <c r="T180">
        <f>Source!Y55</f>
        <v>1735.26</v>
      </c>
      <c r="U180">
        <f>ROUND((175/100)*ROUND(Source!R54, 2), 2)</f>
        <v>0.88</v>
      </c>
      <c r="V180">
        <f>ROUND((0/100)*ROUND(Source!R55, 2), 2)</f>
        <v>0</v>
      </c>
      <c r="AC180">
        <v>0</v>
      </c>
    </row>
    <row r="181" spans="1:29" ht="28.5" hidden="1" x14ac:dyDescent="0.2">
      <c r="A181" s="19"/>
      <c r="B181" s="19"/>
      <c r="C181" s="19" t="s">
        <v>833</v>
      </c>
      <c r="D181" s="21"/>
      <c r="E181" s="20"/>
      <c r="F181" s="23">
        <f>Source!AO54</f>
        <v>11.96</v>
      </c>
      <c r="G181" s="22" t="s">
        <v>845</v>
      </c>
      <c r="H181" s="20">
        <f>Source!AV55</f>
        <v>1.0669999999999999</v>
      </c>
      <c r="I181" s="23">
        <f>Source!S54</f>
        <v>42.27</v>
      </c>
      <c r="J181" s="20">
        <f>IF(Source!BA55&lt;&gt; 0, Source!BA55, 1)</f>
        <v>56.35</v>
      </c>
      <c r="K181" s="23">
        <f>Source!S55</f>
        <v>2381.91</v>
      </c>
      <c r="L181"/>
    </row>
    <row r="182" spans="1:29" ht="28.5" hidden="1" x14ac:dyDescent="0.2">
      <c r="A182" s="19"/>
      <c r="B182" s="19"/>
      <c r="C182" s="19" t="s">
        <v>835</v>
      </c>
      <c r="D182" s="21"/>
      <c r="E182" s="20"/>
      <c r="F182" s="23">
        <f>Source!AM54</f>
        <v>0.91</v>
      </c>
      <c r="G182" s="22" t="s">
        <v>846</v>
      </c>
      <c r="H182" s="20">
        <f>Source!AV55</f>
        <v>1.0669999999999999</v>
      </c>
      <c r="I182" s="23">
        <f>Source!Q54</f>
        <v>3.5</v>
      </c>
      <c r="J182" s="20">
        <f>IF(Source!BB55&lt;&gt; 0, Source!BB55, 1)</f>
        <v>16.43</v>
      </c>
      <c r="K182" s="23">
        <f>Source!Q55</f>
        <v>57.51</v>
      </c>
      <c r="L182"/>
    </row>
    <row r="183" spans="1:29" ht="28.5" hidden="1" x14ac:dyDescent="0.2">
      <c r="A183" s="19"/>
      <c r="B183" s="19"/>
      <c r="C183" s="19" t="s">
        <v>836</v>
      </c>
      <c r="D183" s="21"/>
      <c r="E183" s="20"/>
      <c r="F183" s="23">
        <f>Source!AN54</f>
        <v>0.13</v>
      </c>
      <c r="G183" s="22" t="s">
        <v>846</v>
      </c>
      <c r="H183" s="20">
        <f>Source!AV55</f>
        <v>1.0669999999999999</v>
      </c>
      <c r="I183" s="24">
        <f>Source!R54</f>
        <v>0.5</v>
      </c>
      <c r="J183" s="20">
        <f>IF(Source!BS55&lt;&gt; 0, Source!BS55, 1)</f>
        <v>56.35</v>
      </c>
      <c r="K183" s="24">
        <f>Source!R55</f>
        <v>28.18</v>
      </c>
      <c r="L183"/>
    </row>
    <row r="184" spans="1:29" ht="14.25" hidden="1" x14ac:dyDescent="0.2">
      <c r="A184" s="19"/>
      <c r="B184" s="19"/>
      <c r="C184" s="19" t="s">
        <v>847</v>
      </c>
      <c r="D184" s="21"/>
      <c r="E184" s="20"/>
      <c r="F184" s="23">
        <f>Source!AL54</f>
        <v>3.76</v>
      </c>
      <c r="G184" s="22" t="s">
        <v>848</v>
      </c>
      <c r="H184" s="20">
        <f>Source!AW55</f>
        <v>1</v>
      </c>
      <c r="I184" s="23">
        <f>Source!P54</f>
        <v>9.02</v>
      </c>
      <c r="J184" s="20">
        <f>IF(Source!BC55&lt;&gt; 0, Source!BC55, 1)</f>
        <v>6.54</v>
      </c>
      <c r="K184" s="23">
        <f>Source!P55</f>
        <v>58.99</v>
      </c>
      <c r="L184"/>
    </row>
    <row r="185" spans="1:29" ht="14.25" hidden="1" x14ac:dyDescent="0.2">
      <c r="A185" s="19"/>
      <c r="B185" s="19"/>
      <c r="C185" s="19" t="s">
        <v>837</v>
      </c>
      <c r="D185" s="21" t="s">
        <v>838</v>
      </c>
      <c r="E185" s="20">
        <f>Source!BZ55</f>
        <v>121</v>
      </c>
      <c r="F185" s="23"/>
      <c r="G185" s="22"/>
      <c r="H185" s="20"/>
      <c r="I185" s="23">
        <f>SUM(Q180:Q184)</f>
        <v>51.75</v>
      </c>
      <c r="J185" s="20">
        <f>Source!AT55</f>
        <v>121</v>
      </c>
      <c r="K185" s="23">
        <f>SUM(R180:R184)</f>
        <v>2916.21</v>
      </c>
      <c r="L185"/>
    </row>
    <row r="186" spans="1:29" ht="14.25" hidden="1" x14ac:dyDescent="0.2">
      <c r="A186" s="19"/>
      <c r="B186" s="19"/>
      <c r="C186" s="19" t="s">
        <v>839</v>
      </c>
      <c r="D186" s="21" t="s">
        <v>838</v>
      </c>
      <c r="E186" s="20">
        <f>Source!CA55</f>
        <v>72</v>
      </c>
      <c r="F186" s="23"/>
      <c r="G186" s="22"/>
      <c r="H186" s="20"/>
      <c r="I186" s="23">
        <f>SUM(S180:S185)</f>
        <v>30.79</v>
      </c>
      <c r="J186" s="20">
        <f>Source!AU55</f>
        <v>72</v>
      </c>
      <c r="K186" s="23">
        <f>SUM(T180:T185)</f>
        <v>1735.26</v>
      </c>
      <c r="L186"/>
    </row>
    <row r="187" spans="1:29" ht="28.5" hidden="1" x14ac:dyDescent="0.2">
      <c r="A187" s="25"/>
      <c r="B187" s="25"/>
      <c r="C187" s="25" t="s">
        <v>840</v>
      </c>
      <c r="D187" s="26" t="s">
        <v>841</v>
      </c>
      <c r="E187" s="27">
        <f>Source!AQ54</f>
        <v>1.03</v>
      </c>
      <c r="F187" s="28"/>
      <c r="G187" s="29" t="s">
        <v>845</v>
      </c>
      <c r="H187" s="27">
        <f>Source!AV55</f>
        <v>1.0669999999999999</v>
      </c>
      <c r="I187" s="28">
        <f>Source!U54</f>
        <v>3.639921119999999</v>
      </c>
      <c r="J187" s="27"/>
      <c r="K187" s="28"/>
      <c r="L187"/>
    </row>
    <row r="188" spans="1:29" ht="15" hidden="1" x14ac:dyDescent="0.2">
      <c r="C188" s="30" t="s">
        <v>842</v>
      </c>
      <c r="H188" s="48">
        <f>I181+I182+I184+I185+I186+0-0-0</f>
        <v>137.33000000000001</v>
      </c>
      <c r="I188" s="48"/>
      <c r="J188" s="48">
        <f>K181+K182+K184+K185+K186+0-0-0</f>
        <v>7149.88</v>
      </c>
      <c r="K188" s="48"/>
      <c r="L188"/>
    </row>
    <row r="189" spans="1:29" ht="15" hidden="1" x14ac:dyDescent="0.2">
      <c r="C189" s="30" t="s">
        <v>843</v>
      </c>
      <c r="H189" s="43">
        <f>0+0</f>
        <v>0</v>
      </c>
      <c r="I189" s="43"/>
      <c r="J189" s="43">
        <f>0+0</f>
        <v>0</v>
      </c>
      <c r="K189" s="43"/>
      <c r="L189"/>
    </row>
    <row r="190" spans="1:29" ht="15" hidden="1" x14ac:dyDescent="0.2">
      <c r="C190" s="30" t="s">
        <v>844</v>
      </c>
      <c r="H190" s="43">
        <f>I181+I182+I184+I185+I186+0</f>
        <v>137.33000000000001</v>
      </c>
      <c r="I190" s="43"/>
      <c r="J190" s="43">
        <f>K181+K182+K184+K185+K186+0</f>
        <v>7149.88</v>
      </c>
      <c r="K190" s="43"/>
      <c r="L190"/>
      <c r="O190" s="31">
        <f>I181+I182+I184+I185+I186+0</f>
        <v>137.33000000000001</v>
      </c>
      <c r="P190" s="31">
        <f>K181+K182+K184+K185+K186+0</f>
        <v>7149.88</v>
      </c>
    </row>
    <row r="191" spans="1:29" hidden="1" x14ac:dyDescent="0.2">
      <c r="J191"/>
      <c r="L191"/>
    </row>
    <row r="192" spans="1:29" ht="57" hidden="1" x14ac:dyDescent="0.2">
      <c r="A192" s="19">
        <v>15</v>
      </c>
      <c r="B192" s="19" t="str">
        <f>Source!F56</f>
        <v>3.17-12-1</v>
      </c>
      <c r="C192" s="19" t="s">
        <v>104</v>
      </c>
      <c r="D192" s="21" t="str">
        <f>Source!H56</f>
        <v>100 шт.</v>
      </c>
      <c r="E192" s="20">
        <f>Source!I56</f>
        <v>0.04</v>
      </c>
      <c r="F192" s="23"/>
      <c r="G192" s="22"/>
      <c r="H192" s="20"/>
      <c r="I192" s="23"/>
      <c r="J192" s="20"/>
      <c r="K192" s="23"/>
      <c r="L192"/>
      <c r="Q192">
        <f>Source!X56</f>
        <v>11.87</v>
      </c>
      <c r="R192">
        <f>Source!X57</f>
        <v>668.88</v>
      </c>
      <c r="S192">
        <f>Source!Y56</f>
        <v>7.06</v>
      </c>
      <c r="T192">
        <f>Source!Y57</f>
        <v>398.01</v>
      </c>
      <c r="U192">
        <f>ROUND((175/100)*ROUND(Source!R56, 2), 2)</f>
        <v>0.02</v>
      </c>
      <c r="V192">
        <f>ROUND((0/100)*ROUND(Source!R57, 2), 2)</f>
        <v>0</v>
      </c>
      <c r="AC192">
        <v>0</v>
      </c>
    </row>
    <row r="193" spans="1:29" hidden="1" x14ac:dyDescent="0.2">
      <c r="C193" s="32" t="str">
        <f>"Объем: "&amp;Source!I56&amp;"=4/"&amp;"100"</f>
        <v>Объем: 0,04=4/100</v>
      </c>
      <c r="J193"/>
      <c r="L193"/>
    </row>
    <row r="194" spans="1:29" ht="28.5" hidden="1" x14ac:dyDescent="0.2">
      <c r="A194" s="19"/>
      <c r="B194" s="19"/>
      <c r="C194" s="19" t="s">
        <v>833</v>
      </c>
      <c r="D194" s="21"/>
      <c r="E194" s="20"/>
      <c r="F194" s="23">
        <f>Source!AO56</f>
        <v>277.20999999999998</v>
      </c>
      <c r="G194" s="22" t="s">
        <v>845</v>
      </c>
      <c r="H194" s="20">
        <f>Source!AV57</f>
        <v>1.0669999999999999</v>
      </c>
      <c r="I194" s="23">
        <f>Source!S56</f>
        <v>9.8000000000000007</v>
      </c>
      <c r="J194" s="20">
        <f>IF(Source!BA57&lt;&gt; 0, Source!BA57, 1)</f>
        <v>56.35</v>
      </c>
      <c r="K194" s="23">
        <f>Source!S57</f>
        <v>552.23</v>
      </c>
      <c r="L194"/>
    </row>
    <row r="195" spans="1:29" ht="28.5" hidden="1" x14ac:dyDescent="0.2">
      <c r="A195" s="19"/>
      <c r="B195" s="19"/>
      <c r="C195" s="19" t="s">
        <v>835</v>
      </c>
      <c r="D195" s="21"/>
      <c r="E195" s="20"/>
      <c r="F195" s="23">
        <f>Source!AM56</f>
        <v>7.82</v>
      </c>
      <c r="G195" s="22" t="s">
        <v>846</v>
      </c>
      <c r="H195" s="20">
        <f>Source!AV57</f>
        <v>1.0669999999999999</v>
      </c>
      <c r="I195" s="23">
        <f>Source!Q56</f>
        <v>0.3</v>
      </c>
      <c r="J195" s="20">
        <f>IF(Source!BB57&lt;&gt; 0, Source!BB57, 1)</f>
        <v>11.16</v>
      </c>
      <c r="K195" s="23">
        <f>Source!Q57</f>
        <v>3.35</v>
      </c>
      <c r="L195"/>
    </row>
    <row r="196" spans="1:29" ht="28.5" hidden="1" x14ac:dyDescent="0.2">
      <c r="A196" s="19"/>
      <c r="B196" s="19"/>
      <c r="C196" s="19" t="s">
        <v>836</v>
      </c>
      <c r="D196" s="21"/>
      <c r="E196" s="20"/>
      <c r="F196" s="23">
        <f>Source!AN56</f>
        <v>0.25</v>
      </c>
      <c r="G196" s="22" t="s">
        <v>846</v>
      </c>
      <c r="H196" s="20">
        <f>Source!AV57</f>
        <v>1.0669999999999999</v>
      </c>
      <c r="I196" s="24">
        <f>Source!R56</f>
        <v>0.01</v>
      </c>
      <c r="J196" s="20">
        <f>IF(Source!BS57&lt;&gt; 0, Source!BS57, 1)</f>
        <v>56.35</v>
      </c>
      <c r="K196" s="24">
        <f>Source!R57</f>
        <v>0.56000000000000005</v>
      </c>
      <c r="L196"/>
    </row>
    <row r="197" spans="1:29" ht="14.25" hidden="1" x14ac:dyDescent="0.2">
      <c r="A197" s="19"/>
      <c r="B197" s="19"/>
      <c r="C197" s="19" t="s">
        <v>847</v>
      </c>
      <c r="D197" s="21"/>
      <c r="E197" s="20"/>
      <c r="F197" s="23">
        <f>Source!AL56</f>
        <v>356.04</v>
      </c>
      <c r="G197" s="22" t="s">
        <v>848</v>
      </c>
      <c r="H197" s="20">
        <f>Source!AW57</f>
        <v>1</v>
      </c>
      <c r="I197" s="23">
        <f>Source!P56</f>
        <v>8.5399999999999991</v>
      </c>
      <c r="J197" s="20">
        <f>IF(Source!BC57&lt;&gt; 0, Source!BC57, 1)</f>
        <v>3.42</v>
      </c>
      <c r="K197" s="23">
        <f>Source!P57</f>
        <v>29.21</v>
      </c>
      <c r="L197"/>
    </row>
    <row r="198" spans="1:29" ht="14.25" hidden="1" x14ac:dyDescent="0.2">
      <c r="A198" s="19"/>
      <c r="B198" s="19"/>
      <c r="C198" s="19" t="s">
        <v>837</v>
      </c>
      <c r="D198" s="21" t="s">
        <v>838</v>
      </c>
      <c r="E198" s="20">
        <f>Source!BZ57</f>
        <v>121</v>
      </c>
      <c r="F198" s="23"/>
      <c r="G198" s="22"/>
      <c r="H198" s="20"/>
      <c r="I198" s="23">
        <f>SUM(Q192:Q197)</f>
        <v>11.87</v>
      </c>
      <c r="J198" s="20">
        <f>Source!AT57</f>
        <v>121</v>
      </c>
      <c r="K198" s="23">
        <f>SUM(R192:R197)</f>
        <v>668.88</v>
      </c>
      <c r="L198"/>
    </row>
    <row r="199" spans="1:29" ht="14.25" hidden="1" x14ac:dyDescent="0.2">
      <c r="A199" s="19"/>
      <c r="B199" s="19"/>
      <c r="C199" s="19" t="s">
        <v>839</v>
      </c>
      <c r="D199" s="21" t="s">
        <v>838</v>
      </c>
      <c r="E199" s="20">
        <f>Source!CA57</f>
        <v>72</v>
      </c>
      <c r="F199" s="23"/>
      <c r="G199" s="22"/>
      <c r="H199" s="20"/>
      <c r="I199" s="23">
        <f>SUM(S192:S198)</f>
        <v>7.06</v>
      </c>
      <c r="J199" s="20">
        <f>Source!AU57</f>
        <v>72</v>
      </c>
      <c r="K199" s="23">
        <f>SUM(T192:T198)</f>
        <v>398.01</v>
      </c>
      <c r="L199"/>
    </row>
    <row r="200" spans="1:29" ht="28.5" hidden="1" x14ac:dyDescent="0.2">
      <c r="A200" s="25"/>
      <c r="B200" s="25"/>
      <c r="C200" s="25" t="s">
        <v>840</v>
      </c>
      <c r="D200" s="26" t="s">
        <v>841</v>
      </c>
      <c r="E200" s="27">
        <f>Source!AQ56</f>
        <v>24.8</v>
      </c>
      <c r="F200" s="28"/>
      <c r="G200" s="29" t="s">
        <v>845</v>
      </c>
      <c r="H200" s="27">
        <f>Source!AV57</f>
        <v>1.0669999999999999</v>
      </c>
      <c r="I200" s="28">
        <f>Source!U56</f>
        <v>0.87640819199999986</v>
      </c>
      <c r="J200" s="27"/>
      <c r="K200" s="28"/>
      <c r="L200"/>
    </row>
    <row r="201" spans="1:29" ht="15" hidden="1" x14ac:dyDescent="0.2">
      <c r="C201" s="30" t="s">
        <v>842</v>
      </c>
      <c r="H201" s="48">
        <f>I194+I195+I197+I198+I199+0-0-0</f>
        <v>37.57</v>
      </c>
      <c r="I201" s="48"/>
      <c r="J201" s="48">
        <f>K194+K195+K197+K198+K199+0-0-0</f>
        <v>1651.68</v>
      </c>
      <c r="K201" s="48"/>
      <c r="L201"/>
    </row>
    <row r="202" spans="1:29" ht="15" hidden="1" x14ac:dyDescent="0.2">
      <c r="C202" s="30" t="s">
        <v>843</v>
      </c>
      <c r="H202" s="43">
        <f>0+0</f>
        <v>0</v>
      </c>
      <c r="I202" s="43"/>
      <c r="J202" s="43">
        <f>0+0</f>
        <v>0</v>
      </c>
      <c r="K202" s="43"/>
      <c r="L202"/>
    </row>
    <row r="203" spans="1:29" ht="15" hidden="1" x14ac:dyDescent="0.2">
      <c r="C203" s="30" t="s">
        <v>844</v>
      </c>
      <c r="H203" s="43">
        <f>I194+I195+I197+I198+I199+0</f>
        <v>37.57</v>
      </c>
      <c r="I203" s="43"/>
      <c r="J203" s="43">
        <f>K194+K195+K197+K198+K199+0</f>
        <v>1651.68</v>
      </c>
      <c r="K203" s="43"/>
      <c r="L203"/>
      <c r="O203" s="31">
        <f>I194+I195+I197+I198+I199+0</f>
        <v>37.57</v>
      </c>
      <c r="P203" s="31">
        <f>K194+K195+K197+K198+K199+0</f>
        <v>1651.68</v>
      </c>
    </row>
    <row r="204" spans="1:29" hidden="1" x14ac:dyDescent="0.2">
      <c r="J204"/>
      <c r="L204"/>
    </row>
    <row r="205" spans="1:29" ht="14.25" hidden="1" x14ac:dyDescent="0.2">
      <c r="A205" s="19">
        <v>16</v>
      </c>
      <c r="B205" s="19" t="str">
        <f>Source!F58</f>
        <v>6.67-6-1</v>
      </c>
      <c r="C205" s="19" t="s">
        <v>110</v>
      </c>
      <c r="D205" s="21" t="str">
        <f>Source!H58</f>
        <v>100 м</v>
      </c>
      <c r="E205" s="20">
        <f>Source!I58</f>
        <v>8.86</v>
      </c>
      <c r="F205" s="23"/>
      <c r="G205" s="22"/>
      <c r="H205" s="20"/>
      <c r="I205" s="23"/>
      <c r="J205" s="20"/>
      <c r="K205" s="23"/>
      <c r="L205"/>
      <c r="Q205">
        <f>Source!X58</f>
        <v>998</v>
      </c>
      <c r="R205">
        <f>Source!X59</f>
        <v>56237.14</v>
      </c>
      <c r="S205">
        <f>Source!Y58</f>
        <v>526.41999999999996</v>
      </c>
      <c r="T205">
        <f>Source!Y59</f>
        <v>29663.54</v>
      </c>
      <c r="U205">
        <f>ROUND((175/100)*ROUND(Source!R58, 2), 2)</f>
        <v>0</v>
      </c>
      <c r="V205">
        <f>ROUND((0/100)*ROUND(Source!R59, 2), 2)</f>
        <v>0</v>
      </c>
      <c r="AC205">
        <v>0</v>
      </c>
    </row>
    <row r="206" spans="1:29" hidden="1" x14ac:dyDescent="0.2">
      <c r="C206" s="32" t="str">
        <f>"Объем: "&amp;Source!I58&amp;"=(642+"&amp;"4+"&amp;"150+"&amp;"90)/"&amp;"100"</f>
        <v>Объем: 8,86=(642+4+150+90)/100</v>
      </c>
      <c r="J206"/>
      <c r="L206"/>
    </row>
    <row r="207" spans="1:29" ht="14.25" hidden="1" x14ac:dyDescent="0.2">
      <c r="A207" s="19"/>
      <c r="B207" s="19"/>
      <c r="C207" s="19" t="s">
        <v>833</v>
      </c>
      <c r="D207" s="21"/>
      <c r="E207" s="20"/>
      <c r="F207" s="23">
        <f>Source!AO58</f>
        <v>98.52</v>
      </c>
      <c r="G207" s="22" t="s">
        <v>187</v>
      </c>
      <c r="H207" s="20">
        <f>Source!AV59</f>
        <v>1.0469999999999999</v>
      </c>
      <c r="I207" s="23">
        <f>Source!S58</f>
        <v>1096.7</v>
      </c>
      <c r="J207" s="20">
        <f>IF(Source!BA59&lt;&gt; 0, Source!BA59, 1)</f>
        <v>56.35</v>
      </c>
      <c r="K207" s="23">
        <f>Source!S59</f>
        <v>61799.05</v>
      </c>
      <c r="L207"/>
    </row>
    <row r="208" spans="1:29" ht="14.25" hidden="1" x14ac:dyDescent="0.2">
      <c r="A208" s="19"/>
      <c r="B208" s="19"/>
      <c r="C208" s="19" t="s">
        <v>837</v>
      </c>
      <c r="D208" s="21" t="s">
        <v>838</v>
      </c>
      <c r="E208" s="20">
        <f>Source!BZ59</f>
        <v>91</v>
      </c>
      <c r="F208" s="23"/>
      <c r="G208" s="22"/>
      <c r="H208" s="20"/>
      <c r="I208" s="23">
        <f>SUM(Q205:Q207)</f>
        <v>998</v>
      </c>
      <c r="J208" s="20">
        <f>Source!AT59</f>
        <v>91</v>
      </c>
      <c r="K208" s="23">
        <f>SUM(R205:R207)</f>
        <v>56237.14</v>
      </c>
      <c r="L208"/>
    </row>
    <row r="209" spans="1:29" ht="14.25" hidden="1" x14ac:dyDescent="0.2">
      <c r="A209" s="19"/>
      <c r="B209" s="19"/>
      <c r="C209" s="19" t="s">
        <v>839</v>
      </c>
      <c r="D209" s="21" t="s">
        <v>838</v>
      </c>
      <c r="E209" s="20">
        <f>Source!CA59</f>
        <v>48</v>
      </c>
      <c r="F209" s="23"/>
      <c r="G209" s="22"/>
      <c r="H209" s="20"/>
      <c r="I209" s="23">
        <f>SUM(S205:S208)</f>
        <v>526.41999999999996</v>
      </c>
      <c r="J209" s="20">
        <f>Source!AU59</f>
        <v>48</v>
      </c>
      <c r="K209" s="23">
        <f>SUM(T205:T208)</f>
        <v>29663.54</v>
      </c>
      <c r="L209"/>
    </row>
    <row r="210" spans="1:29" ht="14.25" hidden="1" x14ac:dyDescent="0.2">
      <c r="A210" s="25"/>
      <c r="B210" s="25"/>
      <c r="C210" s="25" t="s">
        <v>840</v>
      </c>
      <c r="D210" s="26" t="s">
        <v>841</v>
      </c>
      <c r="E210" s="27">
        <f>Source!AQ58</f>
        <v>9.64</v>
      </c>
      <c r="F210" s="28"/>
      <c r="G210" s="29" t="s">
        <v>187</v>
      </c>
      <c r="H210" s="27">
        <f>Source!AV59</f>
        <v>1.0469999999999999</v>
      </c>
      <c r="I210" s="28">
        <f>Source!U58</f>
        <v>107.30962655999998</v>
      </c>
      <c r="J210" s="27"/>
      <c r="K210" s="28"/>
      <c r="L210"/>
    </row>
    <row r="211" spans="1:29" ht="15" hidden="1" x14ac:dyDescent="0.2">
      <c r="C211" s="30" t="s">
        <v>842</v>
      </c>
      <c r="H211" s="48">
        <f>I207+I208+I209+0-0-0</f>
        <v>2621.12</v>
      </c>
      <c r="I211" s="48"/>
      <c r="J211" s="48">
        <f>K207+K208+K209+0-0-0</f>
        <v>147699.73000000001</v>
      </c>
      <c r="K211" s="48"/>
      <c r="L211"/>
    </row>
    <row r="212" spans="1:29" ht="15" hidden="1" x14ac:dyDescent="0.2">
      <c r="C212" s="30" t="s">
        <v>843</v>
      </c>
      <c r="H212" s="43">
        <f>0+0</f>
        <v>0</v>
      </c>
      <c r="I212" s="43"/>
      <c r="J212" s="43">
        <f>0+0</f>
        <v>0</v>
      </c>
      <c r="K212" s="43"/>
      <c r="L212"/>
    </row>
    <row r="213" spans="1:29" ht="15" hidden="1" x14ac:dyDescent="0.2">
      <c r="C213" s="30" t="s">
        <v>844</v>
      </c>
      <c r="H213" s="43">
        <f>I207+I208+I209+0</f>
        <v>2621.12</v>
      </c>
      <c r="I213" s="43"/>
      <c r="J213" s="43">
        <f>K207+K208+K209+0</f>
        <v>147699.73000000001</v>
      </c>
      <c r="K213" s="43"/>
      <c r="L213"/>
      <c r="O213" s="31">
        <f>I207+I208+I209+0</f>
        <v>2621.12</v>
      </c>
      <c r="P213" s="31">
        <f>K207+K208+K209+0</f>
        <v>147699.73000000001</v>
      </c>
    </row>
    <row r="214" spans="1:29" hidden="1" x14ac:dyDescent="0.2">
      <c r="J214"/>
      <c r="L214"/>
    </row>
    <row r="215" spans="1:29" ht="28.5" hidden="1" x14ac:dyDescent="0.2">
      <c r="A215" s="19">
        <v>17</v>
      </c>
      <c r="B215" s="19" t="str">
        <f>Source!F60</f>
        <v>6.67-5-12</v>
      </c>
      <c r="C215" s="19" t="s">
        <v>121</v>
      </c>
      <c r="D215" s="21" t="str">
        <f>Source!H60</f>
        <v>100 м</v>
      </c>
      <c r="E215" s="20">
        <f>Source!I60</f>
        <v>7.94</v>
      </c>
      <c r="F215" s="23"/>
      <c r="G215" s="22"/>
      <c r="H215" s="20"/>
      <c r="I215" s="23"/>
      <c r="J215" s="20"/>
      <c r="K215" s="23"/>
      <c r="L215"/>
      <c r="Q215">
        <f>Source!X60</f>
        <v>2907.05</v>
      </c>
      <c r="R215">
        <f>Source!X61</f>
        <v>163812.25</v>
      </c>
      <c r="S215">
        <f>Source!Y60</f>
        <v>1533.39</v>
      </c>
      <c r="T215">
        <f>Source!Y61</f>
        <v>86406.46</v>
      </c>
      <c r="U215">
        <f>ROUND((175/100)*ROUND(Source!R60, 2), 2)</f>
        <v>0</v>
      </c>
      <c r="V215">
        <f>ROUND((0/100)*ROUND(Source!R61, 2), 2)</f>
        <v>0</v>
      </c>
      <c r="AC215">
        <v>0</v>
      </c>
    </row>
    <row r="216" spans="1:29" hidden="1" x14ac:dyDescent="0.2">
      <c r="C216" s="32" t="str">
        <f>"Объем: "&amp;Source!I60&amp;"=(642+"&amp;"150+"&amp;"2)/"&amp;"100"</f>
        <v>Объем: 7,94=(642+150+2)/100</v>
      </c>
      <c r="J216"/>
      <c r="L216"/>
    </row>
    <row r="217" spans="1:29" ht="14.25" hidden="1" x14ac:dyDescent="0.2">
      <c r="A217" s="19"/>
      <c r="B217" s="19"/>
      <c r="C217" s="19" t="s">
        <v>833</v>
      </c>
      <c r="D217" s="21"/>
      <c r="E217" s="20"/>
      <c r="F217" s="23">
        <f>Source!AO60</f>
        <v>320.23</v>
      </c>
      <c r="G217" s="22" t="s">
        <v>187</v>
      </c>
      <c r="H217" s="20">
        <f>Source!AV61</f>
        <v>1.0469999999999999</v>
      </c>
      <c r="I217" s="23">
        <f>Source!S60</f>
        <v>3194.56</v>
      </c>
      <c r="J217" s="20">
        <f>IF(Source!BA61&lt;&gt; 0, Source!BA61, 1)</f>
        <v>56.35</v>
      </c>
      <c r="K217" s="23">
        <f>Source!S61</f>
        <v>180013.46</v>
      </c>
      <c r="L217"/>
    </row>
    <row r="218" spans="1:29" ht="14.25" hidden="1" x14ac:dyDescent="0.2">
      <c r="A218" s="19"/>
      <c r="B218" s="19"/>
      <c r="C218" s="19" t="s">
        <v>837</v>
      </c>
      <c r="D218" s="21" t="s">
        <v>838</v>
      </c>
      <c r="E218" s="20">
        <f>Source!BZ61</f>
        <v>91</v>
      </c>
      <c r="F218" s="23"/>
      <c r="G218" s="22"/>
      <c r="H218" s="20"/>
      <c r="I218" s="23">
        <f>SUM(Q215:Q217)</f>
        <v>2907.05</v>
      </c>
      <c r="J218" s="20">
        <f>Source!AT61</f>
        <v>91</v>
      </c>
      <c r="K218" s="23">
        <f>SUM(R215:R217)</f>
        <v>163812.25</v>
      </c>
      <c r="L218"/>
    </row>
    <row r="219" spans="1:29" ht="14.25" hidden="1" x14ac:dyDescent="0.2">
      <c r="A219" s="19"/>
      <c r="B219" s="19"/>
      <c r="C219" s="19" t="s">
        <v>839</v>
      </c>
      <c r="D219" s="21" t="s">
        <v>838</v>
      </c>
      <c r="E219" s="20">
        <f>Source!CA61</f>
        <v>48</v>
      </c>
      <c r="F219" s="23"/>
      <c r="G219" s="22"/>
      <c r="H219" s="20"/>
      <c r="I219" s="23">
        <f>SUM(S215:S218)</f>
        <v>1533.39</v>
      </c>
      <c r="J219" s="20">
        <f>Source!AU61</f>
        <v>48</v>
      </c>
      <c r="K219" s="23">
        <f>SUM(T215:T218)</f>
        <v>86406.46</v>
      </c>
      <c r="L219"/>
    </row>
    <row r="220" spans="1:29" ht="14.25" hidden="1" x14ac:dyDescent="0.2">
      <c r="A220" s="25"/>
      <c r="B220" s="25"/>
      <c r="C220" s="25" t="s">
        <v>840</v>
      </c>
      <c r="D220" s="26" t="s">
        <v>841</v>
      </c>
      <c r="E220" s="27">
        <f>Source!AQ60</f>
        <v>30.44</v>
      </c>
      <c r="F220" s="28"/>
      <c r="G220" s="29" t="s">
        <v>187</v>
      </c>
      <c r="H220" s="27">
        <f>Source!AV61</f>
        <v>1.0469999999999999</v>
      </c>
      <c r="I220" s="28">
        <f>Source!U60</f>
        <v>303.66383903999997</v>
      </c>
      <c r="J220" s="27"/>
      <c r="K220" s="28"/>
      <c r="L220"/>
    </row>
    <row r="221" spans="1:29" ht="15" hidden="1" x14ac:dyDescent="0.2">
      <c r="C221" s="30" t="s">
        <v>842</v>
      </c>
      <c r="H221" s="48">
        <f>I217+I218+I219+0-0-0</f>
        <v>7635.0000000000009</v>
      </c>
      <c r="I221" s="48"/>
      <c r="J221" s="48">
        <f>K217+K218+K219+0-0-0</f>
        <v>430232.17</v>
      </c>
      <c r="K221" s="48"/>
      <c r="L221"/>
    </row>
    <row r="222" spans="1:29" ht="15" hidden="1" x14ac:dyDescent="0.2">
      <c r="C222" s="30" t="s">
        <v>843</v>
      </c>
      <c r="H222" s="43">
        <f>0+0</f>
        <v>0</v>
      </c>
      <c r="I222" s="43"/>
      <c r="J222" s="43">
        <f>0+0</f>
        <v>0</v>
      </c>
      <c r="K222" s="43"/>
      <c r="L222"/>
    </row>
    <row r="223" spans="1:29" ht="15" hidden="1" x14ac:dyDescent="0.2">
      <c r="C223" s="30" t="s">
        <v>844</v>
      </c>
      <c r="H223" s="43">
        <f>I217+I218+I219+0</f>
        <v>7635.0000000000009</v>
      </c>
      <c r="I223" s="43"/>
      <c r="J223" s="43">
        <f>K217+K218+K219+0</f>
        <v>430232.17</v>
      </c>
      <c r="K223" s="43"/>
      <c r="L223"/>
      <c r="O223" s="31">
        <f>I217+I218+I219+0</f>
        <v>7635.0000000000009</v>
      </c>
      <c r="P223" s="31">
        <f>K217+K218+K219+0</f>
        <v>430232.17</v>
      </c>
    </row>
    <row r="224" spans="1:29" hidden="1" x14ac:dyDescent="0.2">
      <c r="J224"/>
      <c r="L224"/>
    </row>
    <row r="225" spans="1:29" hidden="1" x14ac:dyDescent="0.2">
      <c r="J225"/>
      <c r="L225"/>
    </row>
    <row r="226" spans="1:29" ht="15" hidden="1" x14ac:dyDescent="0.25">
      <c r="A226" s="45" t="str">
        <f>CONCATENATE("Итого по разделу: ",IF(Source!G63&lt;&gt;"Новый раздел", Source!G63, ""))</f>
        <v>Итого по разделу: Демонтажные работы</v>
      </c>
      <c r="B226" s="45"/>
      <c r="C226" s="45"/>
      <c r="D226" s="45"/>
      <c r="E226" s="45"/>
      <c r="F226" s="45"/>
      <c r="G226" s="45"/>
      <c r="H226" s="43">
        <f>SUM(O38:O225)</f>
        <v>11981.02</v>
      </c>
      <c r="I226" s="44"/>
      <c r="J226" s="43">
        <f>SUM(P38:P225)</f>
        <v>666067.19999999995</v>
      </c>
      <c r="K226" s="44"/>
      <c r="L226"/>
    </row>
    <row r="227" spans="1:29" hidden="1" x14ac:dyDescent="0.2">
      <c r="A227" t="s">
        <v>849</v>
      </c>
      <c r="I227">
        <f>SUM(W38:W226)</f>
        <v>0</v>
      </c>
      <c r="J227">
        <f>SUM(X38:X226)</f>
        <v>0</v>
      </c>
      <c r="L227"/>
    </row>
    <row r="228" spans="1:29" hidden="1" x14ac:dyDescent="0.2">
      <c r="A228" t="s">
        <v>850</v>
      </c>
      <c r="I228">
        <f>SUM(Y38:Y227)</f>
        <v>0</v>
      </c>
      <c r="J228">
        <f>SUM(Z38:Z227)</f>
        <v>0</v>
      </c>
      <c r="L228"/>
    </row>
    <row r="229" spans="1:29" hidden="1" x14ac:dyDescent="0.2">
      <c r="J229"/>
      <c r="L229"/>
    </row>
    <row r="230" spans="1:29" ht="16.5" hidden="1" x14ac:dyDescent="0.2">
      <c r="A230" s="46" t="str">
        <f>CONCATENATE("Раздел: ",IF(Source!G93&lt;&gt;"Новый раздел", Source!G93, ""))</f>
        <v>Раздел: Оборудование</v>
      </c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/>
    </row>
    <row r="231" spans="1:29" ht="42.75" hidden="1" x14ac:dyDescent="0.2">
      <c r="A231" s="19">
        <v>18</v>
      </c>
      <c r="B231" s="19" t="str">
        <f>Source!F97</f>
        <v>4.10-80-5</v>
      </c>
      <c r="C231" s="19" t="s">
        <v>179</v>
      </c>
      <c r="D231" s="21" t="str">
        <f>Source!H97</f>
        <v>1  ШТ.</v>
      </c>
      <c r="E231" s="20">
        <f>Source!I97</f>
        <v>8</v>
      </c>
      <c r="F231" s="23"/>
      <c r="G231" s="22"/>
      <c r="H231" s="20"/>
      <c r="I231" s="23"/>
      <c r="J231" s="20"/>
      <c r="K231" s="23"/>
      <c r="L231"/>
      <c r="Q231">
        <f>Source!X97</f>
        <v>208.51</v>
      </c>
      <c r="R231">
        <f>Source!X98</f>
        <v>11749.65</v>
      </c>
      <c r="S231">
        <f>Source!Y97</f>
        <v>106.57</v>
      </c>
      <c r="T231">
        <f>Source!Y98</f>
        <v>6005.38</v>
      </c>
      <c r="U231">
        <f>ROUND((175/100)*ROUND(Source!R97, 2), 2)</f>
        <v>0.18</v>
      </c>
      <c r="V231">
        <f>ROUND((0/100)*ROUND(Source!R98, 2), 2)</f>
        <v>0</v>
      </c>
      <c r="AC231">
        <v>0</v>
      </c>
    </row>
    <row r="232" spans="1:29" ht="14.25" hidden="1" x14ac:dyDescent="0.2">
      <c r="A232" s="19"/>
      <c r="B232" s="19"/>
      <c r="C232" s="19" t="s">
        <v>833</v>
      </c>
      <c r="D232" s="21"/>
      <c r="E232" s="20"/>
      <c r="F232" s="23">
        <f>Source!AO97</f>
        <v>23.04</v>
      </c>
      <c r="G232" s="22" t="s">
        <v>187</v>
      </c>
      <c r="H232" s="20">
        <f>Source!AV98</f>
        <v>1.0469999999999999</v>
      </c>
      <c r="I232" s="23">
        <f>Source!S97</f>
        <v>231.58</v>
      </c>
      <c r="J232" s="20">
        <f>IF(Source!BA98&lt;&gt; 0, Source!BA98, 1)</f>
        <v>56.35</v>
      </c>
      <c r="K232" s="23">
        <f>Source!S98</f>
        <v>13049.53</v>
      </c>
      <c r="L232"/>
    </row>
    <row r="233" spans="1:29" ht="14.25" hidden="1" x14ac:dyDescent="0.2">
      <c r="A233" s="19"/>
      <c r="B233" s="19"/>
      <c r="C233" s="19" t="s">
        <v>835</v>
      </c>
      <c r="D233" s="21"/>
      <c r="E233" s="20"/>
      <c r="F233" s="23">
        <f>Source!AM97</f>
        <v>0.05</v>
      </c>
      <c r="G233" s="22" t="s">
        <v>187</v>
      </c>
      <c r="H233" s="20">
        <f>Source!AV98</f>
        <v>1.0469999999999999</v>
      </c>
      <c r="I233" s="23">
        <f>Source!Q97</f>
        <v>0.5</v>
      </c>
      <c r="J233" s="20">
        <f>IF(Source!BB98&lt;&gt; 0, Source!BB98, 1)</f>
        <v>20</v>
      </c>
      <c r="K233" s="23">
        <f>Source!Q98</f>
        <v>10</v>
      </c>
      <c r="L233"/>
    </row>
    <row r="234" spans="1:29" ht="14.25" hidden="1" x14ac:dyDescent="0.2">
      <c r="A234" s="19"/>
      <c r="B234" s="19"/>
      <c r="C234" s="19" t="s">
        <v>836</v>
      </c>
      <c r="D234" s="21"/>
      <c r="E234" s="20"/>
      <c r="F234" s="23">
        <f>Source!AN97</f>
        <v>0.01</v>
      </c>
      <c r="G234" s="22" t="s">
        <v>187</v>
      </c>
      <c r="H234" s="20">
        <f>Source!AV98</f>
        <v>1.0469999999999999</v>
      </c>
      <c r="I234" s="24">
        <f>Source!R97</f>
        <v>0.1</v>
      </c>
      <c r="J234" s="20">
        <f>IF(Source!BS98&lt;&gt; 0, Source!BS98, 1)</f>
        <v>56.35</v>
      </c>
      <c r="K234" s="24">
        <f>Source!R98</f>
        <v>5.64</v>
      </c>
      <c r="L234"/>
    </row>
    <row r="235" spans="1:29" ht="14.25" hidden="1" x14ac:dyDescent="0.2">
      <c r="A235" s="19"/>
      <c r="B235" s="19"/>
      <c r="C235" s="19" t="s">
        <v>847</v>
      </c>
      <c r="D235" s="21"/>
      <c r="E235" s="20"/>
      <c r="F235" s="23">
        <f>Source!AL97</f>
        <v>3.43</v>
      </c>
      <c r="G235" s="22"/>
      <c r="H235" s="20">
        <f>Source!AW98</f>
        <v>1</v>
      </c>
      <c r="I235" s="23">
        <f>Source!P97</f>
        <v>27.44</v>
      </c>
      <c r="J235" s="20">
        <f>IF(Source!BC98&lt;&gt; 0, Source!BC98, 1)</f>
        <v>9.84</v>
      </c>
      <c r="K235" s="23">
        <f>Source!P98</f>
        <v>270.01</v>
      </c>
      <c r="L235"/>
    </row>
    <row r="236" spans="1:29" ht="14.25" hidden="1" x14ac:dyDescent="0.2">
      <c r="A236" s="19"/>
      <c r="B236" s="19"/>
      <c r="C236" s="19" t="s">
        <v>837</v>
      </c>
      <c r="D236" s="21" t="s">
        <v>838</v>
      </c>
      <c r="E236" s="20">
        <f>Source!BZ98</f>
        <v>90</v>
      </c>
      <c r="F236" s="23"/>
      <c r="G236" s="22"/>
      <c r="H236" s="20"/>
      <c r="I236" s="23">
        <f>SUM(Q231:Q235)</f>
        <v>208.51</v>
      </c>
      <c r="J236" s="20">
        <f>Source!AT98</f>
        <v>90</v>
      </c>
      <c r="K236" s="23">
        <f>SUM(R231:R235)</f>
        <v>11749.65</v>
      </c>
      <c r="L236"/>
    </row>
    <row r="237" spans="1:29" ht="14.25" hidden="1" x14ac:dyDescent="0.2">
      <c r="A237" s="19"/>
      <c r="B237" s="19"/>
      <c r="C237" s="19" t="s">
        <v>839</v>
      </c>
      <c r="D237" s="21" t="s">
        <v>838</v>
      </c>
      <c r="E237" s="20">
        <f>Source!CA98</f>
        <v>46</v>
      </c>
      <c r="F237" s="23"/>
      <c r="G237" s="22"/>
      <c r="H237" s="20"/>
      <c r="I237" s="23">
        <f>SUM(S231:S236)</f>
        <v>106.57</v>
      </c>
      <c r="J237" s="20">
        <f>Source!AU98</f>
        <v>46</v>
      </c>
      <c r="K237" s="23">
        <f>SUM(T231:T236)</f>
        <v>6005.38</v>
      </c>
      <c r="L237"/>
    </row>
    <row r="238" spans="1:29" ht="14.25" hidden="1" x14ac:dyDescent="0.2">
      <c r="A238" s="25"/>
      <c r="B238" s="25"/>
      <c r="C238" s="25" t="s">
        <v>840</v>
      </c>
      <c r="D238" s="26" t="s">
        <v>841</v>
      </c>
      <c r="E238" s="27">
        <f>Source!AQ97</f>
        <v>1.8</v>
      </c>
      <c r="F238" s="28"/>
      <c r="G238" s="29" t="s">
        <v>187</v>
      </c>
      <c r="H238" s="27">
        <f>Source!AV98</f>
        <v>1.0469999999999999</v>
      </c>
      <c r="I238" s="28">
        <f>Source!U97</f>
        <v>18.09216</v>
      </c>
      <c r="J238" s="27"/>
      <c r="K238" s="28"/>
      <c r="L238"/>
    </row>
    <row r="239" spans="1:29" ht="15" hidden="1" x14ac:dyDescent="0.2">
      <c r="C239" s="30" t="s">
        <v>842</v>
      </c>
      <c r="H239" s="48">
        <f>I232+I233+I235+I236+I237+0-0-0</f>
        <v>574.6</v>
      </c>
      <c r="I239" s="48"/>
      <c r="J239" s="48">
        <f>K232+K233+K235+K236+K237+0-0-0</f>
        <v>31084.570000000003</v>
      </c>
      <c r="K239" s="48"/>
      <c r="L239"/>
    </row>
    <row r="240" spans="1:29" ht="15" hidden="1" x14ac:dyDescent="0.2">
      <c r="C240" s="30" t="s">
        <v>843</v>
      </c>
      <c r="H240" s="43">
        <f>0+0</f>
        <v>0</v>
      </c>
      <c r="I240" s="43"/>
      <c r="J240" s="43">
        <f>0+0</f>
        <v>0</v>
      </c>
      <c r="K240" s="43"/>
      <c r="L240"/>
    </row>
    <row r="241" spans="1:29" ht="15" hidden="1" x14ac:dyDescent="0.2">
      <c r="C241" s="30" t="s">
        <v>844</v>
      </c>
      <c r="H241" s="43">
        <f>I232+I233+I235+I236+I237+0</f>
        <v>574.6</v>
      </c>
      <c r="I241" s="43"/>
      <c r="J241" s="43">
        <f>K232+K233+K235+K236+K237+0</f>
        <v>31084.570000000003</v>
      </c>
      <c r="K241" s="43"/>
      <c r="L241"/>
      <c r="O241" s="31">
        <f>I232+I233+I235+I236+I237+0</f>
        <v>574.6</v>
      </c>
      <c r="P241" s="31">
        <f>K232+K233+K235+K236+K237+0</f>
        <v>31084.570000000003</v>
      </c>
    </row>
    <row r="242" spans="1:29" hidden="1" x14ac:dyDescent="0.2">
      <c r="J242"/>
      <c r="L242"/>
    </row>
    <row r="243" spans="1:29" ht="68.25" x14ac:dyDescent="0.2">
      <c r="A243" s="76">
        <v>19</v>
      </c>
      <c r="B243" s="76" t="str">
        <f>Source!F99</f>
        <v>КА, п.1</v>
      </c>
      <c r="C243" s="76" t="s">
        <v>884</v>
      </c>
      <c r="D243" s="77" t="str">
        <f>Source!H99</f>
        <v>ШТ</v>
      </c>
      <c r="E243" s="78">
        <f>Source!I99</f>
        <v>8</v>
      </c>
      <c r="F243" s="79">
        <f>Source!AL99</f>
        <v>824.73</v>
      </c>
      <c r="G243" s="80"/>
      <c r="H243" s="78">
        <f>Source!AW100</f>
        <v>1</v>
      </c>
      <c r="I243" s="79">
        <f>Source!P99</f>
        <v>6597.84</v>
      </c>
      <c r="J243" s="88">
        <f>IF(Source!BC100&lt;&gt; 0, Source!BC100, 1)</f>
        <v>7.66</v>
      </c>
      <c r="K243" s="79">
        <f>Source!P100</f>
        <v>50539.45</v>
      </c>
      <c r="L243" s="90" t="s">
        <v>882</v>
      </c>
      <c r="N243" s="81" t="s">
        <v>883</v>
      </c>
      <c r="Q243">
        <f>Source!X99</f>
        <v>0</v>
      </c>
      <c r="R243">
        <f>Source!X100</f>
        <v>0</v>
      </c>
      <c r="S243">
        <f>Source!Y99</f>
        <v>0</v>
      </c>
      <c r="T243">
        <f>Source!Y100</f>
        <v>0</v>
      </c>
      <c r="U243">
        <f>ROUND((175/100)*ROUND(Source!R99, 2), 2)</f>
        <v>0</v>
      </c>
      <c r="V243">
        <f>ROUND((0/100)*ROUND(Source!R100, 2), 2)</f>
        <v>0</v>
      </c>
      <c r="AC243">
        <v>5</v>
      </c>
    </row>
    <row r="244" spans="1:29" ht="15" hidden="1" x14ac:dyDescent="0.2">
      <c r="A244" s="33"/>
      <c r="B244" s="33"/>
      <c r="C244" s="34" t="s">
        <v>844</v>
      </c>
      <c r="D244" s="33"/>
      <c r="E244" s="33"/>
      <c r="F244" s="33"/>
      <c r="G244" s="33"/>
      <c r="H244" s="47">
        <f>I243+0</f>
        <v>6597.84</v>
      </c>
      <c r="I244" s="47"/>
      <c r="J244" s="47">
        <f>K243+0</f>
        <v>50539.45</v>
      </c>
      <c r="K244" s="47"/>
      <c r="L244"/>
      <c r="O244" s="31">
        <f>I243+0</f>
        <v>6597.84</v>
      </c>
      <c r="P244" s="31">
        <f>K243+0</f>
        <v>50539.45</v>
      </c>
    </row>
    <row r="245" spans="1:29" hidden="1" x14ac:dyDescent="0.2">
      <c r="J245"/>
      <c r="L245"/>
    </row>
    <row r="246" spans="1:29" ht="57" hidden="1" x14ac:dyDescent="0.2">
      <c r="A246" s="19">
        <v>20</v>
      </c>
      <c r="B246" s="19" t="str">
        <f>Source!F101</f>
        <v>4.10-80-2</v>
      </c>
      <c r="C246" s="19" t="s">
        <v>189</v>
      </c>
      <c r="D246" s="21" t="str">
        <f>Source!H101</f>
        <v>1  ШТ.</v>
      </c>
      <c r="E246" s="20">
        <f>Source!I101</f>
        <v>1</v>
      </c>
      <c r="F246" s="23"/>
      <c r="G246" s="22"/>
      <c r="H246" s="20"/>
      <c r="I246" s="23"/>
      <c r="J246" s="20"/>
      <c r="K246" s="23"/>
      <c r="L246"/>
      <c r="Q246">
        <f>Source!X101</f>
        <v>174.65</v>
      </c>
      <c r="R246">
        <f>Source!X102</f>
        <v>9841.24</v>
      </c>
      <c r="S246">
        <f>Source!Y101</f>
        <v>89.26</v>
      </c>
      <c r="T246">
        <f>Source!Y102</f>
        <v>5029.97</v>
      </c>
      <c r="U246">
        <f>ROUND((175/100)*ROUND(Source!R101, 2), 2)</f>
        <v>0.02</v>
      </c>
      <c r="V246">
        <f>ROUND((0/100)*ROUND(Source!R102, 2), 2)</f>
        <v>0</v>
      </c>
      <c r="AC246">
        <v>0</v>
      </c>
    </row>
    <row r="247" spans="1:29" ht="14.25" hidden="1" x14ac:dyDescent="0.2">
      <c r="A247" s="19"/>
      <c r="B247" s="19"/>
      <c r="C247" s="19" t="s">
        <v>833</v>
      </c>
      <c r="D247" s="21"/>
      <c r="E247" s="20"/>
      <c r="F247" s="23">
        <f>Source!AO101</f>
        <v>154.44</v>
      </c>
      <c r="G247" s="22" t="s">
        <v>187</v>
      </c>
      <c r="H247" s="20">
        <f>Source!AV102</f>
        <v>1.0469999999999999</v>
      </c>
      <c r="I247" s="23">
        <f>Source!S101</f>
        <v>194.04</v>
      </c>
      <c r="J247" s="20">
        <f>IF(Source!BA102&lt;&gt; 0, Source!BA102, 1)</f>
        <v>56.35</v>
      </c>
      <c r="K247" s="23">
        <f>Source!S102</f>
        <v>10934.15</v>
      </c>
      <c r="L247"/>
    </row>
    <row r="248" spans="1:29" ht="14.25" hidden="1" x14ac:dyDescent="0.2">
      <c r="A248" s="19"/>
      <c r="B248" s="19"/>
      <c r="C248" s="19" t="s">
        <v>835</v>
      </c>
      <c r="D248" s="21"/>
      <c r="E248" s="20"/>
      <c r="F248" s="23">
        <f>Source!AM101</f>
        <v>0.06</v>
      </c>
      <c r="G248" s="22" t="s">
        <v>187</v>
      </c>
      <c r="H248" s="20">
        <f>Source!AV102</f>
        <v>1.0469999999999999</v>
      </c>
      <c r="I248" s="23">
        <f>Source!Q101</f>
        <v>0.08</v>
      </c>
      <c r="J248" s="20">
        <f>IF(Source!BB102&lt;&gt; 0, Source!BB102, 1)</f>
        <v>18.5</v>
      </c>
      <c r="K248" s="23">
        <f>Source!Q102</f>
        <v>1.48</v>
      </c>
      <c r="L248"/>
    </row>
    <row r="249" spans="1:29" ht="14.25" hidden="1" x14ac:dyDescent="0.2">
      <c r="A249" s="19"/>
      <c r="B249" s="19"/>
      <c r="C249" s="19" t="s">
        <v>836</v>
      </c>
      <c r="D249" s="21"/>
      <c r="E249" s="20"/>
      <c r="F249" s="23">
        <f>Source!AN101</f>
        <v>0.01</v>
      </c>
      <c r="G249" s="22" t="s">
        <v>187</v>
      </c>
      <c r="H249" s="20">
        <f>Source!AV102</f>
        <v>1.0469999999999999</v>
      </c>
      <c r="I249" s="24">
        <f>Source!R101</f>
        <v>0.01</v>
      </c>
      <c r="J249" s="20">
        <f>IF(Source!BS102&lt;&gt; 0, Source!BS102, 1)</f>
        <v>56.35</v>
      </c>
      <c r="K249" s="24">
        <f>Source!R102</f>
        <v>0.56000000000000005</v>
      </c>
      <c r="L249"/>
    </row>
    <row r="250" spans="1:29" ht="14.25" hidden="1" x14ac:dyDescent="0.2">
      <c r="A250" s="19"/>
      <c r="B250" s="19"/>
      <c r="C250" s="19" t="s">
        <v>847</v>
      </c>
      <c r="D250" s="21"/>
      <c r="E250" s="20"/>
      <c r="F250" s="23">
        <f>Source!AL101</f>
        <v>20.93</v>
      </c>
      <c r="G250" s="22"/>
      <c r="H250" s="20">
        <f>Source!AW102</f>
        <v>1</v>
      </c>
      <c r="I250" s="23">
        <f>Source!P101</f>
        <v>20.93</v>
      </c>
      <c r="J250" s="20">
        <f>IF(Source!BC102&lt;&gt; 0, Source!BC102, 1)</f>
        <v>9.84</v>
      </c>
      <c r="K250" s="23">
        <f>Source!P102</f>
        <v>205.95</v>
      </c>
      <c r="L250"/>
    </row>
    <row r="251" spans="1:29" ht="14.25" hidden="1" x14ac:dyDescent="0.2">
      <c r="A251" s="19"/>
      <c r="B251" s="19"/>
      <c r="C251" s="19" t="s">
        <v>837</v>
      </c>
      <c r="D251" s="21" t="s">
        <v>838</v>
      </c>
      <c r="E251" s="20">
        <f>Source!BZ102</f>
        <v>90</v>
      </c>
      <c r="F251" s="23"/>
      <c r="G251" s="22"/>
      <c r="H251" s="20"/>
      <c r="I251" s="23">
        <f>SUM(Q246:Q250)</f>
        <v>174.65</v>
      </c>
      <c r="J251" s="20">
        <f>Source!AT102</f>
        <v>90</v>
      </c>
      <c r="K251" s="23">
        <f>SUM(R246:R250)</f>
        <v>9841.24</v>
      </c>
      <c r="L251"/>
    </row>
    <row r="252" spans="1:29" ht="14.25" hidden="1" x14ac:dyDescent="0.2">
      <c r="A252" s="19"/>
      <c r="B252" s="19"/>
      <c r="C252" s="19" t="s">
        <v>839</v>
      </c>
      <c r="D252" s="21" t="s">
        <v>838</v>
      </c>
      <c r="E252" s="20">
        <f>Source!CA102</f>
        <v>46</v>
      </c>
      <c r="F252" s="23"/>
      <c r="G252" s="22"/>
      <c r="H252" s="20"/>
      <c r="I252" s="23">
        <f>SUM(S246:S251)</f>
        <v>89.26</v>
      </c>
      <c r="J252" s="20">
        <f>Source!AU102</f>
        <v>46</v>
      </c>
      <c r="K252" s="23">
        <f>SUM(T246:T251)</f>
        <v>5029.97</v>
      </c>
      <c r="L252"/>
    </row>
    <row r="253" spans="1:29" ht="14.25" hidden="1" x14ac:dyDescent="0.2">
      <c r="A253" s="25"/>
      <c r="B253" s="25"/>
      <c r="C253" s="25" t="s">
        <v>840</v>
      </c>
      <c r="D253" s="26" t="s">
        <v>841</v>
      </c>
      <c r="E253" s="27">
        <f>Source!AQ101</f>
        <v>11.7</v>
      </c>
      <c r="F253" s="28"/>
      <c r="G253" s="29" t="s">
        <v>187</v>
      </c>
      <c r="H253" s="27">
        <f>Source!AV102</f>
        <v>1.0469999999999999</v>
      </c>
      <c r="I253" s="28">
        <f>Source!U101</f>
        <v>14.699879999999999</v>
      </c>
      <c r="J253" s="27"/>
      <c r="K253" s="28"/>
      <c r="L253"/>
    </row>
    <row r="254" spans="1:29" ht="15" hidden="1" x14ac:dyDescent="0.2">
      <c r="C254" s="30" t="s">
        <v>842</v>
      </c>
      <c r="H254" s="48">
        <f>I247+I248+I250+I251+I252+0-0-0</f>
        <v>478.96000000000004</v>
      </c>
      <c r="I254" s="48"/>
      <c r="J254" s="48">
        <f>K247+K248+K250+K251+K252+0-0-0</f>
        <v>26012.79</v>
      </c>
      <c r="K254" s="48"/>
      <c r="L254"/>
    </row>
    <row r="255" spans="1:29" ht="15" hidden="1" x14ac:dyDescent="0.2">
      <c r="C255" s="30" t="s">
        <v>843</v>
      </c>
      <c r="H255" s="43">
        <f>0+0</f>
        <v>0</v>
      </c>
      <c r="I255" s="43"/>
      <c r="J255" s="43">
        <f>0+0</f>
        <v>0</v>
      </c>
      <c r="K255" s="43"/>
      <c r="L255"/>
    </row>
    <row r="256" spans="1:29" ht="15" hidden="1" x14ac:dyDescent="0.2">
      <c r="C256" s="30" t="s">
        <v>844</v>
      </c>
      <c r="H256" s="43">
        <f>I247+I248+I250+I251+I252+0</f>
        <v>478.96000000000004</v>
      </c>
      <c r="I256" s="43"/>
      <c r="J256" s="43">
        <f>K247+K248+K250+K251+K252+0</f>
        <v>26012.79</v>
      </c>
      <c r="K256" s="43"/>
      <c r="L256"/>
      <c r="O256" s="31">
        <f>I247+I248+I250+I251+I252+0</f>
        <v>478.96000000000004</v>
      </c>
      <c r="P256" s="31">
        <f>K247+K248+K250+K251+K252+0</f>
        <v>26012.79</v>
      </c>
    </row>
    <row r="257" spans="1:29" hidden="1" x14ac:dyDescent="0.2">
      <c r="J257"/>
      <c r="L257"/>
    </row>
    <row r="258" spans="1:29" ht="82.5" x14ac:dyDescent="0.2">
      <c r="A258" s="76">
        <v>21</v>
      </c>
      <c r="B258" s="76" t="str">
        <f>Source!F103</f>
        <v>КА, п.2</v>
      </c>
      <c r="C258" s="76" t="s">
        <v>851</v>
      </c>
      <c r="D258" s="77" t="str">
        <f>Source!H103</f>
        <v>ШТ</v>
      </c>
      <c r="E258" s="78">
        <f>Source!I103</f>
        <v>1</v>
      </c>
      <c r="F258" s="79">
        <f>Source!AL103</f>
        <v>4794.09</v>
      </c>
      <c r="G258" s="80"/>
      <c r="H258" s="78">
        <f>Source!AW104</f>
        <v>1</v>
      </c>
      <c r="I258" s="79">
        <f>Source!P103</f>
        <v>4794.09</v>
      </c>
      <c r="J258" s="88">
        <f>IF(Source!BC104&lt;&gt; 0, Source!BC104, 1)</f>
        <v>7.66</v>
      </c>
      <c r="K258" s="79">
        <f>Source!P104</f>
        <v>36722.730000000003</v>
      </c>
      <c r="L258" s="90" t="s">
        <v>882</v>
      </c>
      <c r="N258" s="81" t="s">
        <v>883</v>
      </c>
      <c r="Q258">
        <f>Source!X103</f>
        <v>0</v>
      </c>
      <c r="R258">
        <f>Source!X104</f>
        <v>0</v>
      </c>
      <c r="S258">
        <f>Source!Y103</f>
        <v>0</v>
      </c>
      <c r="T258">
        <f>Source!Y104</f>
        <v>0</v>
      </c>
      <c r="U258">
        <f>ROUND((175/100)*ROUND(Source!R103, 2), 2)</f>
        <v>0</v>
      </c>
      <c r="V258">
        <f>ROUND((0/100)*ROUND(Source!R104, 2), 2)</f>
        <v>0</v>
      </c>
      <c r="AC258">
        <v>5</v>
      </c>
    </row>
    <row r="259" spans="1:29" ht="15" hidden="1" x14ac:dyDescent="0.2">
      <c r="A259" s="33"/>
      <c r="B259" s="33"/>
      <c r="C259" s="34" t="s">
        <v>844</v>
      </c>
      <c r="D259" s="33"/>
      <c r="E259" s="33"/>
      <c r="F259" s="33"/>
      <c r="G259" s="33"/>
      <c r="H259" s="47">
        <f>I258+0</f>
        <v>4794.09</v>
      </c>
      <c r="I259" s="47"/>
      <c r="J259" s="47">
        <f>K258+0</f>
        <v>36722.730000000003</v>
      </c>
      <c r="K259" s="47"/>
      <c r="L259"/>
      <c r="O259" s="31">
        <f>I258+0</f>
        <v>4794.09</v>
      </c>
      <c r="P259" s="31">
        <f>K258+0</f>
        <v>36722.730000000003</v>
      </c>
    </row>
    <row r="260" spans="1:29" hidden="1" x14ac:dyDescent="0.2">
      <c r="J260"/>
      <c r="L260"/>
    </row>
    <row r="261" spans="1:29" ht="42.75" hidden="1" x14ac:dyDescent="0.2">
      <c r="A261" s="19">
        <v>22</v>
      </c>
      <c r="B261" s="19" t="str">
        <f>Source!F105</f>
        <v>4.10-163-2</v>
      </c>
      <c r="C261" s="19" t="s">
        <v>195</v>
      </c>
      <c r="D261" s="21" t="str">
        <f>Source!H105</f>
        <v>1 устройство</v>
      </c>
      <c r="E261" s="20">
        <f>Source!I105</f>
        <v>1</v>
      </c>
      <c r="F261" s="23"/>
      <c r="G261" s="22"/>
      <c r="H261" s="20"/>
      <c r="I261" s="23"/>
      <c r="J261" s="20"/>
      <c r="K261" s="23"/>
      <c r="L261"/>
      <c r="Q261">
        <f>Source!X105</f>
        <v>90.84</v>
      </c>
      <c r="R261">
        <f>Source!X106</f>
        <v>5118.67</v>
      </c>
      <c r="S261">
        <f>Source!Y105</f>
        <v>46.43</v>
      </c>
      <c r="T261">
        <f>Source!Y106</f>
        <v>2616.21</v>
      </c>
      <c r="U261">
        <f>ROUND((175/100)*ROUND(Source!R105, 2), 2)</f>
        <v>0</v>
      </c>
      <c r="V261">
        <f>ROUND((0/100)*ROUND(Source!R106, 2), 2)</f>
        <v>0</v>
      </c>
      <c r="AC261">
        <v>0</v>
      </c>
    </row>
    <row r="262" spans="1:29" ht="14.25" hidden="1" x14ac:dyDescent="0.2">
      <c r="A262" s="19"/>
      <c r="B262" s="19"/>
      <c r="C262" s="19" t="s">
        <v>833</v>
      </c>
      <c r="D262" s="21"/>
      <c r="E262" s="20"/>
      <c r="F262" s="23">
        <f>Source!AO105</f>
        <v>80.33</v>
      </c>
      <c r="G262" s="22" t="s">
        <v>187</v>
      </c>
      <c r="H262" s="20">
        <f>Source!AV106</f>
        <v>1.0469999999999999</v>
      </c>
      <c r="I262" s="23">
        <f>Source!S105</f>
        <v>100.93</v>
      </c>
      <c r="J262" s="20">
        <f>IF(Source!BA106&lt;&gt; 0, Source!BA106, 1)</f>
        <v>56.35</v>
      </c>
      <c r="K262" s="23">
        <f>Source!S106</f>
        <v>5687.41</v>
      </c>
      <c r="L262"/>
    </row>
    <row r="263" spans="1:29" ht="14.25" hidden="1" x14ac:dyDescent="0.2">
      <c r="A263" s="19"/>
      <c r="B263" s="19"/>
      <c r="C263" s="19" t="s">
        <v>835</v>
      </c>
      <c r="D263" s="21"/>
      <c r="E263" s="20"/>
      <c r="F263" s="23">
        <f>Source!AM105</f>
        <v>0.82</v>
      </c>
      <c r="G263" s="22" t="s">
        <v>187</v>
      </c>
      <c r="H263" s="20">
        <f>Source!AV106</f>
        <v>1.0469999999999999</v>
      </c>
      <c r="I263" s="23">
        <f>Source!Q105</f>
        <v>1.03</v>
      </c>
      <c r="J263" s="20">
        <f>IF(Source!BB106&lt;&gt; 0, Source!BB106, 1)</f>
        <v>9.52</v>
      </c>
      <c r="K263" s="23">
        <f>Source!Q106</f>
        <v>9.81</v>
      </c>
      <c r="L263"/>
    </row>
    <row r="264" spans="1:29" ht="14.25" hidden="1" x14ac:dyDescent="0.2">
      <c r="A264" s="19"/>
      <c r="B264" s="19"/>
      <c r="C264" s="19" t="s">
        <v>847</v>
      </c>
      <c r="D264" s="21"/>
      <c r="E264" s="20"/>
      <c r="F264" s="23">
        <f>Source!AL105</f>
        <v>9.15</v>
      </c>
      <c r="G264" s="22"/>
      <c r="H264" s="20">
        <f>Source!AW106</f>
        <v>1</v>
      </c>
      <c r="I264" s="23">
        <f>Source!P105</f>
        <v>9.15</v>
      </c>
      <c r="J264" s="20">
        <f>IF(Source!BC106&lt;&gt; 0, Source!BC106, 1)</f>
        <v>6.42</v>
      </c>
      <c r="K264" s="23">
        <f>Source!P106</f>
        <v>58.74</v>
      </c>
      <c r="L264"/>
    </row>
    <row r="265" spans="1:29" ht="68.25" x14ac:dyDescent="0.2">
      <c r="A265" s="82" t="s">
        <v>196</v>
      </c>
      <c r="B265" s="82" t="str">
        <f>Source!F107</f>
        <v>КА, п.3</v>
      </c>
      <c r="C265" s="82" t="s">
        <v>852</v>
      </c>
      <c r="D265" s="83" t="str">
        <f>Source!H107</f>
        <v>ШТ</v>
      </c>
      <c r="E265" s="84">
        <f>Source!I107</f>
        <v>1</v>
      </c>
      <c r="F265" s="85">
        <f>Source!AK107</f>
        <v>2357.06</v>
      </c>
      <c r="G265" s="86" t="s">
        <v>3</v>
      </c>
      <c r="H265" s="84">
        <f>Source!AW108</f>
        <v>1</v>
      </c>
      <c r="I265" s="85">
        <f>Source!O107</f>
        <v>2357.06</v>
      </c>
      <c r="J265" s="89">
        <f>IF(Source!BC108&lt;&gt; 0, Source!BC108, 1)</f>
        <v>7.66</v>
      </c>
      <c r="K265" s="85">
        <f>Source!O108</f>
        <v>18055.080000000002</v>
      </c>
      <c r="L265" s="90" t="s">
        <v>882</v>
      </c>
      <c r="N265" s="81" t="s">
        <v>883</v>
      </c>
      <c r="Q265">
        <f>Source!X107</f>
        <v>0</v>
      </c>
      <c r="R265">
        <f>Source!X108</f>
        <v>0</v>
      </c>
      <c r="S265">
        <f>Source!Y107</f>
        <v>0</v>
      </c>
      <c r="T265">
        <f>Source!Y108</f>
        <v>0</v>
      </c>
      <c r="U265">
        <f>ROUND((175/100)*ROUND(Source!R107, 2), 2)</f>
        <v>0</v>
      </c>
      <c r="V265">
        <f>ROUND((0/100)*ROUND(Source!R108, 2), 2)</f>
        <v>0</v>
      </c>
      <c r="AC265">
        <v>5</v>
      </c>
    </row>
    <row r="266" spans="1:29" ht="14.25" hidden="1" x14ac:dyDescent="0.2">
      <c r="A266" s="19"/>
      <c r="B266" s="19"/>
      <c r="C266" s="19" t="s">
        <v>837</v>
      </c>
      <c r="D266" s="21" t="s">
        <v>838</v>
      </c>
      <c r="E266" s="20">
        <f>Source!BZ106</f>
        <v>90</v>
      </c>
      <c r="F266" s="23"/>
      <c r="G266" s="22"/>
      <c r="H266" s="20"/>
      <c r="I266" s="23">
        <f>SUM(Q261:Q265)</f>
        <v>90.84</v>
      </c>
      <c r="J266" s="20">
        <f>Source!AT106</f>
        <v>90</v>
      </c>
      <c r="K266" s="23">
        <f>SUM(R261:R265)</f>
        <v>5118.67</v>
      </c>
      <c r="L266"/>
    </row>
    <row r="267" spans="1:29" ht="14.25" hidden="1" x14ac:dyDescent="0.2">
      <c r="A267" s="19"/>
      <c r="B267" s="19"/>
      <c r="C267" s="19" t="s">
        <v>839</v>
      </c>
      <c r="D267" s="21" t="s">
        <v>838</v>
      </c>
      <c r="E267" s="20">
        <f>Source!CA106</f>
        <v>46</v>
      </c>
      <c r="F267" s="23"/>
      <c r="G267" s="22"/>
      <c r="H267" s="20"/>
      <c r="I267" s="23">
        <f>SUM(S261:S266)</f>
        <v>46.43</v>
      </c>
      <c r="J267" s="20">
        <f>Source!AU106</f>
        <v>46</v>
      </c>
      <c r="K267" s="23">
        <f>SUM(T261:T266)</f>
        <v>2616.21</v>
      </c>
      <c r="L267"/>
    </row>
    <row r="268" spans="1:29" ht="14.25" hidden="1" x14ac:dyDescent="0.2">
      <c r="A268" s="25"/>
      <c r="B268" s="25"/>
      <c r="C268" s="25" t="s">
        <v>840</v>
      </c>
      <c r="D268" s="26" t="s">
        <v>841</v>
      </c>
      <c r="E268" s="27">
        <f>Source!AQ105</f>
        <v>6.01</v>
      </c>
      <c r="F268" s="28"/>
      <c r="G268" s="29" t="s">
        <v>187</v>
      </c>
      <c r="H268" s="27">
        <f>Source!AV106</f>
        <v>1.0469999999999999</v>
      </c>
      <c r="I268" s="28">
        <f>Source!U105</f>
        <v>7.5509639999999996</v>
      </c>
      <c r="J268" s="27"/>
      <c r="K268" s="28"/>
      <c r="L268"/>
    </row>
    <row r="269" spans="1:29" ht="15" hidden="1" x14ac:dyDescent="0.2">
      <c r="C269" s="30" t="s">
        <v>842</v>
      </c>
      <c r="H269" s="48">
        <f>I262+I263+I264+I266+I267+SUM(I265:I265)-SUMIF(AC265:AC265, 5, I265:I265)-SUMIF(AC265:AC265, 6, I265:I265)</f>
        <v>248.38000000000011</v>
      </c>
      <c r="I269" s="48"/>
      <c r="J269" s="48">
        <f>K262+K263+K264+K266+K267+SUM(K265:K265)-SUMIF(AC265:AC265, 5, K265:K265)-SUMIF(AC265:AC265, 6, K265:K265)</f>
        <v>13490.84</v>
      </c>
      <c r="K269" s="48"/>
      <c r="L269"/>
    </row>
    <row r="270" spans="1:29" ht="15" hidden="1" x14ac:dyDescent="0.2">
      <c r="C270" s="30" t="s">
        <v>843</v>
      </c>
      <c r="H270" s="43">
        <f>SUMIF(AC265:AC265, 5, I265:I265)+SUMIF(AC265:AC265, 6, I265:I265)</f>
        <v>2357.06</v>
      </c>
      <c r="I270" s="43"/>
      <c r="J270" s="43">
        <f>SUMIF(AC265:AC265, 5, K265:K265)+SUMIF(AC265:AC265, 6, K265:K265)</f>
        <v>18055.080000000002</v>
      </c>
      <c r="K270" s="43"/>
      <c r="L270"/>
    </row>
    <row r="271" spans="1:29" ht="15" hidden="1" x14ac:dyDescent="0.2">
      <c r="C271" s="30" t="s">
        <v>844</v>
      </c>
      <c r="H271" s="43">
        <f>I262+I263+I264+I266+I267+SUM(I265:I265)</f>
        <v>2605.44</v>
      </c>
      <c r="I271" s="43"/>
      <c r="J271" s="43">
        <f>K262+K263+K264+K266+K267+SUM(K265:K265)</f>
        <v>31545.920000000002</v>
      </c>
      <c r="K271" s="43"/>
      <c r="L271"/>
      <c r="O271" s="31">
        <f>I262+I263+I264+I266+I267+SUM(I265:I265)</f>
        <v>2605.44</v>
      </c>
      <c r="P271" s="31">
        <f>K262+K263+K264+K266+K267+SUM(K265:K265)</f>
        <v>31545.920000000002</v>
      </c>
    </row>
    <row r="272" spans="1:29" hidden="1" x14ac:dyDescent="0.2">
      <c r="J272"/>
      <c r="L272"/>
    </row>
    <row r="273" spans="1:29" ht="28.5" hidden="1" x14ac:dyDescent="0.2">
      <c r="A273" s="19">
        <v>23</v>
      </c>
      <c r="B273" s="19" t="str">
        <f>Source!F109</f>
        <v>4.10-167-1</v>
      </c>
      <c r="C273" s="19" t="s">
        <v>201</v>
      </c>
      <c r="D273" s="21" t="str">
        <f>Source!H109</f>
        <v>1  ШТ.</v>
      </c>
      <c r="E273" s="20">
        <f>Source!I109</f>
        <v>16</v>
      </c>
      <c r="F273" s="23"/>
      <c r="G273" s="22"/>
      <c r="H273" s="20"/>
      <c r="I273" s="23"/>
      <c r="J273" s="20"/>
      <c r="K273" s="23"/>
      <c r="L273"/>
      <c r="Q273">
        <f>Source!X109</f>
        <v>342.67</v>
      </c>
      <c r="R273">
        <f>Source!X110</f>
        <v>19309.23</v>
      </c>
      <c r="S273">
        <f>Source!Y109</f>
        <v>175.14</v>
      </c>
      <c r="T273">
        <f>Source!Y110</f>
        <v>9869.16</v>
      </c>
      <c r="U273">
        <f>ROUND((175/100)*ROUND(Source!R109, 2), 2)</f>
        <v>0</v>
      </c>
      <c r="V273">
        <f>ROUND((0/100)*ROUND(Source!R110, 2), 2)</f>
        <v>0</v>
      </c>
      <c r="AC273">
        <v>0</v>
      </c>
    </row>
    <row r="274" spans="1:29" hidden="1" x14ac:dyDescent="0.2">
      <c r="C274" s="32" t="str">
        <f>"Объем: "&amp;Source!I109&amp;"=4+"&amp;"1+"&amp;"1+"&amp;"8+"&amp;"2"</f>
        <v>Объем: 16=4+1+1+8+2</v>
      </c>
      <c r="J274"/>
      <c r="L274"/>
    </row>
    <row r="275" spans="1:29" ht="14.25" hidden="1" x14ac:dyDescent="0.2">
      <c r="A275" s="19"/>
      <c r="B275" s="19"/>
      <c r="C275" s="19" t="s">
        <v>833</v>
      </c>
      <c r="D275" s="21"/>
      <c r="E275" s="20"/>
      <c r="F275" s="23">
        <f>Source!AO109</f>
        <v>18.940000000000001</v>
      </c>
      <c r="G275" s="22" t="s">
        <v>187</v>
      </c>
      <c r="H275" s="20">
        <f>Source!AV110</f>
        <v>1.0469999999999999</v>
      </c>
      <c r="I275" s="23">
        <f>Source!S109</f>
        <v>380.74</v>
      </c>
      <c r="J275" s="20">
        <f>IF(Source!BA110&lt;&gt; 0, Source!BA110, 1)</f>
        <v>56.35</v>
      </c>
      <c r="K275" s="23">
        <f>Source!S110</f>
        <v>21454.7</v>
      </c>
      <c r="L275"/>
    </row>
    <row r="276" spans="1:29" ht="14.25" hidden="1" x14ac:dyDescent="0.2">
      <c r="A276" s="19"/>
      <c r="B276" s="19"/>
      <c r="C276" s="19" t="s">
        <v>835</v>
      </c>
      <c r="D276" s="21"/>
      <c r="E276" s="20"/>
      <c r="F276" s="23">
        <f>Source!AM109</f>
        <v>0.02</v>
      </c>
      <c r="G276" s="22" t="s">
        <v>187</v>
      </c>
      <c r="H276" s="20">
        <f>Source!AV110</f>
        <v>1.0469999999999999</v>
      </c>
      <c r="I276" s="23">
        <f>Source!Q109</f>
        <v>0.4</v>
      </c>
      <c r="J276" s="20">
        <f>IF(Source!BB110&lt;&gt; 0, Source!BB110, 1)</f>
        <v>11</v>
      </c>
      <c r="K276" s="23">
        <f>Source!Q110</f>
        <v>4.4000000000000004</v>
      </c>
      <c r="L276"/>
    </row>
    <row r="277" spans="1:29" ht="14.25" hidden="1" x14ac:dyDescent="0.2">
      <c r="A277" s="19"/>
      <c r="B277" s="19"/>
      <c r="C277" s="19" t="s">
        <v>847</v>
      </c>
      <c r="D277" s="21"/>
      <c r="E277" s="20"/>
      <c r="F277" s="23">
        <f>Source!AL109</f>
        <v>2.34</v>
      </c>
      <c r="G277" s="22"/>
      <c r="H277" s="20">
        <f>Source!AW110</f>
        <v>1</v>
      </c>
      <c r="I277" s="23">
        <f>Source!P109</f>
        <v>37.44</v>
      </c>
      <c r="J277" s="20">
        <f>IF(Source!BC110&lt;&gt; 0, Source!BC110, 1)</f>
        <v>10.24</v>
      </c>
      <c r="K277" s="23">
        <f>Source!P110</f>
        <v>383.39</v>
      </c>
      <c r="L277"/>
    </row>
    <row r="278" spans="1:29" ht="14.25" hidden="1" x14ac:dyDescent="0.2">
      <c r="A278" s="19"/>
      <c r="B278" s="19"/>
      <c r="C278" s="19" t="s">
        <v>837</v>
      </c>
      <c r="D278" s="21" t="s">
        <v>838</v>
      </c>
      <c r="E278" s="20">
        <f>Source!BZ110</f>
        <v>90</v>
      </c>
      <c r="F278" s="23"/>
      <c r="G278" s="22"/>
      <c r="H278" s="20"/>
      <c r="I278" s="23">
        <f>SUM(Q273:Q277)</f>
        <v>342.67</v>
      </c>
      <c r="J278" s="20">
        <f>Source!AT110</f>
        <v>90</v>
      </c>
      <c r="K278" s="23">
        <f>SUM(R273:R277)</f>
        <v>19309.23</v>
      </c>
      <c r="L278"/>
    </row>
    <row r="279" spans="1:29" ht="14.25" hidden="1" x14ac:dyDescent="0.2">
      <c r="A279" s="19"/>
      <c r="B279" s="19"/>
      <c r="C279" s="19" t="s">
        <v>839</v>
      </c>
      <c r="D279" s="21" t="s">
        <v>838</v>
      </c>
      <c r="E279" s="20">
        <f>Source!CA110</f>
        <v>46</v>
      </c>
      <c r="F279" s="23"/>
      <c r="G279" s="22"/>
      <c r="H279" s="20"/>
      <c r="I279" s="23">
        <f>SUM(S273:S278)</f>
        <v>175.14</v>
      </c>
      <c r="J279" s="20">
        <f>Source!AU110</f>
        <v>46</v>
      </c>
      <c r="K279" s="23">
        <f>SUM(T273:T278)</f>
        <v>9869.16</v>
      </c>
      <c r="L279"/>
    </row>
    <row r="280" spans="1:29" ht="14.25" hidden="1" x14ac:dyDescent="0.2">
      <c r="A280" s="25"/>
      <c r="B280" s="25"/>
      <c r="C280" s="25" t="s">
        <v>840</v>
      </c>
      <c r="D280" s="26" t="s">
        <v>841</v>
      </c>
      <c r="E280" s="27">
        <f>Source!AQ109</f>
        <v>1.36</v>
      </c>
      <c r="F280" s="28"/>
      <c r="G280" s="29" t="s">
        <v>187</v>
      </c>
      <c r="H280" s="27">
        <f>Source!AV110</f>
        <v>1.0469999999999999</v>
      </c>
      <c r="I280" s="28">
        <f>Source!U109</f>
        <v>27.339264</v>
      </c>
      <c r="J280" s="27"/>
      <c r="K280" s="28"/>
      <c r="L280"/>
    </row>
    <row r="281" spans="1:29" ht="15" hidden="1" x14ac:dyDescent="0.2">
      <c r="C281" s="30" t="s">
        <v>842</v>
      </c>
      <c r="H281" s="48">
        <f>I275+I276+I277+I278+I279+0-0-0</f>
        <v>936.39</v>
      </c>
      <c r="I281" s="48"/>
      <c r="J281" s="48">
        <f>K275+K276+K277+K278+K279+0-0-0</f>
        <v>51020.880000000005</v>
      </c>
      <c r="K281" s="48"/>
      <c r="L281"/>
    </row>
    <row r="282" spans="1:29" ht="15" hidden="1" x14ac:dyDescent="0.2">
      <c r="C282" s="30" t="s">
        <v>843</v>
      </c>
      <c r="H282" s="43">
        <f>0+0</f>
        <v>0</v>
      </c>
      <c r="I282" s="43"/>
      <c r="J282" s="43">
        <f>0+0</f>
        <v>0</v>
      </c>
      <c r="K282" s="43"/>
      <c r="L282"/>
    </row>
    <row r="283" spans="1:29" ht="15" hidden="1" x14ac:dyDescent="0.2">
      <c r="C283" s="30" t="s">
        <v>844</v>
      </c>
      <c r="H283" s="43">
        <f>I275+I276+I277+I278+I279+0</f>
        <v>936.39</v>
      </c>
      <c r="I283" s="43"/>
      <c r="J283" s="43">
        <f>K275+K276+K277+K278+K279+0</f>
        <v>51020.880000000005</v>
      </c>
      <c r="K283" s="43"/>
      <c r="L283"/>
      <c r="O283" s="31">
        <f>I275+I276+I277+I278+I279+0</f>
        <v>936.39</v>
      </c>
      <c r="P283" s="31">
        <f>K275+K276+K277+K278+K279+0</f>
        <v>51020.880000000005</v>
      </c>
    </row>
    <row r="284" spans="1:29" hidden="1" x14ac:dyDescent="0.2">
      <c r="J284"/>
      <c r="L284"/>
    </row>
    <row r="285" spans="1:29" ht="96.75" x14ac:dyDescent="0.2">
      <c r="A285" s="76">
        <v>24</v>
      </c>
      <c r="B285" s="76" t="str">
        <f>Source!F111</f>
        <v>КА, п.4</v>
      </c>
      <c r="C285" s="76" t="s">
        <v>853</v>
      </c>
      <c r="D285" s="77" t="str">
        <f>Source!H111</f>
        <v>ШТ</v>
      </c>
      <c r="E285" s="78">
        <f>Source!I111</f>
        <v>4</v>
      </c>
      <c r="F285" s="79">
        <f>Source!AL111</f>
        <v>718.54</v>
      </c>
      <c r="G285" s="80"/>
      <c r="H285" s="78">
        <f>Source!AW112</f>
        <v>1</v>
      </c>
      <c r="I285" s="79">
        <f>Source!P111</f>
        <v>2874.16</v>
      </c>
      <c r="J285" s="88">
        <f>IF(Source!BC112&lt;&gt; 0, Source!BC112, 1)</f>
        <v>7.66</v>
      </c>
      <c r="K285" s="79">
        <f>Source!P112</f>
        <v>22016.07</v>
      </c>
      <c r="L285" s="90" t="s">
        <v>882</v>
      </c>
      <c r="N285" s="81" t="s">
        <v>883</v>
      </c>
      <c r="Q285">
        <f>Source!X111</f>
        <v>0</v>
      </c>
      <c r="R285">
        <f>Source!X112</f>
        <v>0</v>
      </c>
      <c r="S285">
        <f>Source!Y111</f>
        <v>0</v>
      </c>
      <c r="T285">
        <f>Source!Y112</f>
        <v>0</v>
      </c>
      <c r="U285">
        <f>ROUND((175/100)*ROUND(Source!R111, 2), 2)</f>
        <v>0</v>
      </c>
      <c r="V285">
        <f>ROUND((0/100)*ROUND(Source!R112, 2), 2)</f>
        <v>0</v>
      </c>
      <c r="AC285">
        <v>5</v>
      </c>
    </row>
    <row r="286" spans="1:29" ht="15" hidden="1" x14ac:dyDescent="0.2">
      <c r="A286" s="33"/>
      <c r="B286" s="33"/>
      <c r="C286" s="34" t="s">
        <v>844</v>
      </c>
      <c r="D286" s="33"/>
      <c r="E286" s="33"/>
      <c r="F286" s="33"/>
      <c r="G286" s="33"/>
      <c r="H286" s="47">
        <f>I285+0</f>
        <v>2874.16</v>
      </c>
      <c r="I286" s="47"/>
      <c r="J286" s="47">
        <f>K285+0</f>
        <v>22016.07</v>
      </c>
      <c r="K286" s="47"/>
      <c r="L286"/>
      <c r="O286" s="31">
        <f>I285+0</f>
        <v>2874.16</v>
      </c>
      <c r="P286" s="31">
        <f>K285+0</f>
        <v>22016.07</v>
      </c>
    </row>
    <row r="287" spans="1:29" hidden="1" x14ac:dyDescent="0.2">
      <c r="J287"/>
      <c r="L287"/>
    </row>
    <row r="288" spans="1:29" ht="82.5" x14ac:dyDescent="0.2">
      <c r="A288" s="76">
        <v>25</v>
      </c>
      <c r="B288" s="76" t="str">
        <f>Source!F113</f>
        <v>КА, п.5</v>
      </c>
      <c r="C288" s="76" t="s">
        <v>854</v>
      </c>
      <c r="D288" s="77" t="str">
        <f>Source!H113</f>
        <v>ШТ</v>
      </c>
      <c r="E288" s="78">
        <f>Source!I113</f>
        <v>1</v>
      </c>
      <c r="F288" s="79">
        <f>Source!AL113</f>
        <v>793.71</v>
      </c>
      <c r="G288" s="80"/>
      <c r="H288" s="78">
        <f>Source!AW114</f>
        <v>1</v>
      </c>
      <c r="I288" s="79">
        <f>Source!P113</f>
        <v>793.71</v>
      </c>
      <c r="J288" s="88">
        <f>IF(Source!BC114&lt;&gt; 0, Source!BC114, 1)</f>
        <v>7.66</v>
      </c>
      <c r="K288" s="79">
        <f>Source!P114</f>
        <v>6079.82</v>
      </c>
      <c r="L288" s="90" t="s">
        <v>882</v>
      </c>
      <c r="N288" s="81" t="s">
        <v>883</v>
      </c>
      <c r="Q288">
        <f>Source!X113</f>
        <v>0</v>
      </c>
      <c r="R288">
        <f>Source!X114</f>
        <v>0</v>
      </c>
      <c r="S288">
        <f>Source!Y113</f>
        <v>0</v>
      </c>
      <c r="T288">
        <f>Source!Y114</f>
        <v>0</v>
      </c>
      <c r="U288">
        <f>ROUND((175/100)*ROUND(Source!R113, 2), 2)</f>
        <v>0</v>
      </c>
      <c r="V288">
        <f>ROUND((0/100)*ROUND(Source!R114, 2), 2)</f>
        <v>0</v>
      </c>
      <c r="AC288">
        <v>5</v>
      </c>
    </row>
    <row r="289" spans="1:29" ht="15" hidden="1" x14ac:dyDescent="0.2">
      <c r="A289" s="33"/>
      <c r="B289" s="33"/>
      <c r="C289" s="34" t="s">
        <v>844</v>
      </c>
      <c r="D289" s="33"/>
      <c r="E289" s="33"/>
      <c r="F289" s="33"/>
      <c r="G289" s="33"/>
      <c r="H289" s="47">
        <f>I288+0</f>
        <v>793.71</v>
      </c>
      <c r="I289" s="47"/>
      <c r="J289" s="47">
        <f>K288+0</f>
        <v>6079.82</v>
      </c>
      <c r="K289" s="47"/>
      <c r="L289"/>
      <c r="O289" s="31">
        <f>I288+0</f>
        <v>793.71</v>
      </c>
      <c r="P289" s="31">
        <f>K288+0</f>
        <v>6079.82</v>
      </c>
    </row>
    <row r="290" spans="1:29" hidden="1" x14ac:dyDescent="0.2">
      <c r="J290"/>
      <c r="L290"/>
    </row>
    <row r="291" spans="1:29" ht="82.5" x14ac:dyDescent="0.2">
      <c r="A291" s="76">
        <v>26</v>
      </c>
      <c r="B291" s="76" t="str">
        <f>Source!F115</f>
        <v>КА, п.6</v>
      </c>
      <c r="C291" s="76" t="s">
        <v>855</v>
      </c>
      <c r="D291" s="77" t="str">
        <f>Source!H115</f>
        <v>ШТ</v>
      </c>
      <c r="E291" s="78">
        <f>Source!I115</f>
        <v>1</v>
      </c>
      <c r="F291" s="79">
        <f>Source!AL115</f>
        <v>926.44999999999993</v>
      </c>
      <c r="G291" s="80"/>
      <c r="H291" s="78">
        <f>Source!AW116</f>
        <v>1</v>
      </c>
      <c r="I291" s="79">
        <f>Source!P115</f>
        <v>926.45</v>
      </c>
      <c r="J291" s="88">
        <f>IF(Source!BC116&lt;&gt; 0, Source!BC116, 1)</f>
        <v>7.66</v>
      </c>
      <c r="K291" s="79">
        <f>Source!P116</f>
        <v>7096.61</v>
      </c>
      <c r="L291" s="90" t="s">
        <v>882</v>
      </c>
      <c r="N291" s="81" t="s">
        <v>883</v>
      </c>
      <c r="Q291">
        <f>Source!X115</f>
        <v>0</v>
      </c>
      <c r="R291">
        <f>Source!X116</f>
        <v>0</v>
      </c>
      <c r="S291">
        <f>Source!Y115</f>
        <v>0</v>
      </c>
      <c r="T291">
        <f>Source!Y116</f>
        <v>0</v>
      </c>
      <c r="U291">
        <f>ROUND((175/100)*ROUND(Source!R115, 2), 2)</f>
        <v>0</v>
      </c>
      <c r="V291">
        <f>ROUND((0/100)*ROUND(Source!R116, 2), 2)</f>
        <v>0</v>
      </c>
      <c r="AC291">
        <v>5</v>
      </c>
    </row>
    <row r="292" spans="1:29" ht="15" hidden="1" x14ac:dyDescent="0.2">
      <c r="A292" s="33"/>
      <c r="B292" s="33"/>
      <c r="C292" s="34" t="s">
        <v>844</v>
      </c>
      <c r="D292" s="33"/>
      <c r="E292" s="33"/>
      <c r="F292" s="33"/>
      <c r="G292" s="33"/>
      <c r="H292" s="47">
        <f>I291+0</f>
        <v>926.45</v>
      </c>
      <c r="I292" s="47"/>
      <c r="J292" s="47">
        <f>K291+0</f>
        <v>7096.61</v>
      </c>
      <c r="K292" s="47"/>
      <c r="L292"/>
      <c r="O292" s="31">
        <f>I291+0</f>
        <v>926.45</v>
      </c>
      <c r="P292" s="31">
        <f>K291+0</f>
        <v>7096.61</v>
      </c>
    </row>
    <row r="293" spans="1:29" hidden="1" x14ac:dyDescent="0.2">
      <c r="J293"/>
      <c r="L293"/>
    </row>
    <row r="294" spans="1:29" ht="42.75" x14ac:dyDescent="0.2">
      <c r="A294" s="76">
        <v>27</v>
      </c>
      <c r="B294" s="76" t="str">
        <f>Source!F117</f>
        <v>13.1-1-20</v>
      </c>
      <c r="C294" s="76" t="s">
        <v>856</v>
      </c>
      <c r="D294" s="77" t="str">
        <f>Source!H117</f>
        <v>шт.</v>
      </c>
      <c r="E294" s="78">
        <f>Source!I117</f>
        <v>8</v>
      </c>
      <c r="F294" s="79">
        <f>Source!AL117</f>
        <v>89.39</v>
      </c>
      <c r="G294" s="80"/>
      <c r="H294" s="78">
        <f>Source!AW118</f>
        <v>1</v>
      </c>
      <c r="I294" s="79">
        <f>Source!P117</f>
        <v>715.12</v>
      </c>
      <c r="J294" s="78">
        <f>IF(Source!BC118&lt;&gt; 0, Source!BC118, 1)</f>
        <v>6.76</v>
      </c>
      <c r="K294" s="79">
        <f>Source!P118</f>
        <v>4834.21</v>
      </c>
      <c r="L294" s="81" t="s">
        <v>882</v>
      </c>
      <c r="Q294">
        <f>Source!X117</f>
        <v>0</v>
      </c>
      <c r="R294">
        <f>Source!X118</f>
        <v>0</v>
      </c>
      <c r="S294">
        <f>Source!Y117</f>
        <v>0</v>
      </c>
      <c r="T294">
        <f>Source!Y118</f>
        <v>0</v>
      </c>
      <c r="U294">
        <f>ROUND((175/100)*ROUND(Source!R117, 2), 2)</f>
        <v>0</v>
      </c>
      <c r="V294">
        <f>ROUND((0/100)*ROUND(Source!R118, 2), 2)</f>
        <v>0</v>
      </c>
      <c r="AC294">
        <v>5</v>
      </c>
    </row>
    <row r="295" spans="1:29" ht="15" hidden="1" x14ac:dyDescent="0.2">
      <c r="A295" s="33"/>
      <c r="B295" s="33"/>
      <c r="C295" s="34" t="s">
        <v>844</v>
      </c>
      <c r="D295" s="33"/>
      <c r="E295" s="33"/>
      <c r="F295" s="33"/>
      <c r="G295" s="33"/>
      <c r="H295" s="47">
        <f>I294+0</f>
        <v>715.12</v>
      </c>
      <c r="I295" s="47"/>
      <c r="J295" s="47">
        <f>K294+0</f>
        <v>4834.21</v>
      </c>
      <c r="K295" s="47"/>
      <c r="L295"/>
      <c r="O295" s="31">
        <f>I294+0</f>
        <v>715.12</v>
      </c>
      <c r="P295" s="31">
        <f>K294+0</f>
        <v>4834.21</v>
      </c>
    </row>
    <row r="296" spans="1:29" hidden="1" x14ac:dyDescent="0.2">
      <c r="J296"/>
      <c r="L296"/>
    </row>
    <row r="297" spans="1:29" ht="42.75" x14ac:dyDescent="0.2">
      <c r="A297" s="76">
        <v>28</v>
      </c>
      <c r="B297" s="76" t="str">
        <f>Source!F119</f>
        <v>13.1-1-21</v>
      </c>
      <c r="C297" s="76" t="s">
        <v>857</v>
      </c>
      <c r="D297" s="77" t="str">
        <f>Source!H119</f>
        <v>шт.</v>
      </c>
      <c r="E297" s="78">
        <f>Source!I119</f>
        <v>2</v>
      </c>
      <c r="F297" s="79">
        <f>Source!AL119</f>
        <v>278.35000000000002</v>
      </c>
      <c r="G297" s="80"/>
      <c r="H297" s="78">
        <f>Source!AW120</f>
        <v>1</v>
      </c>
      <c r="I297" s="79">
        <f>Source!P119</f>
        <v>556.70000000000005</v>
      </c>
      <c r="J297" s="78">
        <f>IF(Source!BC120&lt;&gt; 0, Source!BC120, 1)</f>
        <v>6.99</v>
      </c>
      <c r="K297" s="79">
        <f>Source!P120</f>
        <v>3891.33</v>
      </c>
      <c r="L297" s="81" t="s">
        <v>882</v>
      </c>
      <c r="Q297">
        <f>Source!X119</f>
        <v>0</v>
      </c>
      <c r="R297">
        <f>Source!X120</f>
        <v>0</v>
      </c>
      <c r="S297">
        <f>Source!Y119</f>
        <v>0</v>
      </c>
      <c r="T297">
        <f>Source!Y120</f>
        <v>0</v>
      </c>
      <c r="U297">
        <f>ROUND((175/100)*ROUND(Source!R119, 2), 2)</f>
        <v>0</v>
      </c>
      <c r="V297">
        <f>ROUND((0/100)*ROUND(Source!R120, 2), 2)</f>
        <v>0</v>
      </c>
      <c r="AC297">
        <v>5</v>
      </c>
    </row>
    <row r="298" spans="1:29" ht="15" hidden="1" x14ac:dyDescent="0.2">
      <c r="A298" s="33"/>
      <c r="B298" s="33"/>
      <c r="C298" s="34" t="s">
        <v>844</v>
      </c>
      <c r="D298" s="33"/>
      <c r="E298" s="33"/>
      <c r="F298" s="33"/>
      <c r="G298" s="33"/>
      <c r="H298" s="47">
        <f>I297+0</f>
        <v>556.70000000000005</v>
      </c>
      <c r="I298" s="47"/>
      <c r="J298" s="47">
        <f>K297+0</f>
        <v>3891.33</v>
      </c>
      <c r="K298" s="47"/>
      <c r="L298"/>
      <c r="O298" s="31">
        <f>I297+0</f>
        <v>556.70000000000005</v>
      </c>
      <c r="P298" s="31">
        <f>K297+0</f>
        <v>3891.33</v>
      </c>
    </row>
    <row r="299" spans="1:29" hidden="1" x14ac:dyDescent="0.2">
      <c r="J299"/>
      <c r="L299"/>
    </row>
    <row r="300" spans="1:29" ht="57" hidden="1" x14ac:dyDescent="0.2">
      <c r="A300" s="19">
        <v>29</v>
      </c>
      <c r="B300" s="19" t="str">
        <f>Source!F121</f>
        <v>4.10-81-2</v>
      </c>
      <c r="C300" s="19" t="s">
        <v>227</v>
      </c>
      <c r="D300" s="21" t="str">
        <f>Source!H121</f>
        <v>1  ШТ.</v>
      </c>
      <c r="E300" s="20">
        <f>Source!I121</f>
        <v>8</v>
      </c>
      <c r="F300" s="23"/>
      <c r="G300" s="22"/>
      <c r="H300" s="20"/>
      <c r="I300" s="23"/>
      <c r="J300" s="20"/>
      <c r="K300" s="23"/>
      <c r="L300"/>
      <c r="Q300">
        <f>Source!X121</f>
        <v>191.87</v>
      </c>
      <c r="R300">
        <f>Source!X122</f>
        <v>10811.93</v>
      </c>
      <c r="S300">
        <f>Source!Y121</f>
        <v>98.07</v>
      </c>
      <c r="T300">
        <f>Source!Y122</f>
        <v>5526.1</v>
      </c>
      <c r="U300">
        <f>ROUND((175/100)*ROUND(Source!R121, 2), 2)</f>
        <v>0.18</v>
      </c>
      <c r="V300">
        <f>ROUND((0/100)*ROUND(Source!R122, 2), 2)</f>
        <v>0</v>
      </c>
      <c r="AC300">
        <v>0</v>
      </c>
    </row>
    <row r="301" spans="1:29" ht="14.25" hidden="1" x14ac:dyDescent="0.2">
      <c r="A301" s="19"/>
      <c r="B301" s="19"/>
      <c r="C301" s="19" t="s">
        <v>833</v>
      </c>
      <c r="D301" s="21"/>
      <c r="E301" s="20"/>
      <c r="F301" s="23">
        <f>Source!AO121</f>
        <v>21.2</v>
      </c>
      <c r="G301" s="22" t="s">
        <v>187</v>
      </c>
      <c r="H301" s="20">
        <f>Source!AV122</f>
        <v>1.0469999999999999</v>
      </c>
      <c r="I301" s="23">
        <f>Source!S121</f>
        <v>213.09</v>
      </c>
      <c r="J301" s="20">
        <f>IF(Source!BA122&lt;&gt; 0, Source!BA122, 1)</f>
        <v>56.35</v>
      </c>
      <c r="K301" s="23">
        <f>Source!S122</f>
        <v>12007.62</v>
      </c>
      <c r="L301"/>
    </row>
    <row r="302" spans="1:29" ht="14.25" hidden="1" x14ac:dyDescent="0.2">
      <c r="A302" s="19"/>
      <c r="B302" s="19"/>
      <c r="C302" s="19" t="s">
        <v>835</v>
      </c>
      <c r="D302" s="21"/>
      <c r="E302" s="20"/>
      <c r="F302" s="23">
        <f>Source!AM121</f>
        <v>0.06</v>
      </c>
      <c r="G302" s="22" t="s">
        <v>187</v>
      </c>
      <c r="H302" s="20">
        <f>Source!AV122</f>
        <v>1.0469999999999999</v>
      </c>
      <c r="I302" s="23">
        <f>Source!Q121</f>
        <v>0.6</v>
      </c>
      <c r="J302" s="20">
        <f>IF(Source!BB122&lt;&gt; 0, Source!BB122, 1)</f>
        <v>18.5</v>
      </c>
      <c r="K302" s="23">
        <f>Source!Q122</f>
        <v>11.1</v>
      </c>
      <c r="L302"/>
    </row>
    <row r="303" spans="1:29" ht="14.25" hidden="1" x14ac:dyDescent="0.2">
      <c r="A303" s="19"/>
      <c r="B303" s="19"/>
      <c r="C303" s="19" t="s">
        <v>836</v>
      </c>
      <c r="D303" s="21"/>
      <c r="E303" s="20"/>
      <c r="F303" s="23">
        <f>Source!AN121</f>
        <v>0.01</v>
      </c>
      <c r="G303" s="22" t="s">
        <v>187</v>
      </c>
      <c r="H303" s="20">
        <f>Source!AV122</f>
        <v>1.0469999999999999</v>
      </c>
      <c r="I303" s="24">
        <f>Source!R121</f>
        <v>0.1</v>
      </c>
      <c r="J303" s="20">
        <f>IF(Source!BS122&lt;&gt; 0, Source!BS122, 1)</f>
        <v>56.35</v>
      </c>
      <c r="K303" s="24">
        <f>Source!R122</f>
        <v>5.64</v>
      </c>
      <c r="L303"/>
    </row>
    <row r="304" spans="1:29" ht="14.25" hidden="1" x14ac:dyDescent="0.2">
      <c r="A304" s="19"/>
      <c r="B304" s="19"/>
      <c r="C304" s="19" t="s">
        <v>847</v>
      </c>
      <c r="D304" s="21"/>
      <c r="E304" s="20"/>
      <c r="F304" s="23">
        <f>Source!AL121</f>
        <v>1.26</v>
      </c>
      <c r="G304" s="22"/>
      <c r="H304" s="20">
        <f>Source!AW122</f>
        <v>1</v>
      </c>
      <c r="I304" s="23">
        <f>Source!P121</f>
        <v>10.08</v>
      </c>
      <c r="J304" s="20">
        <f>IF(Source!BC122&lt;&gt; 0, Source!BC122, 1)</f>
        <v>9.84</v>
      </c>
      <c r="K304" s="23">
        <f>Source!P122</f>
        <v>99.19</v>
      </c>
      <c r="L304"/>
    </row>
    <row r="305" spans="1:29" ht="14.25" hidden="1" x14ac:dyDescent="0.2">
      <c r="A305" s="19"/>
      <c r="B305" s="19"/>
      <c r="C305" s="19" t="s">
        <v>837</v>
      </c>
      <c r="D305" s="21" t="s">
        <v>838</v>
      </c>
      <c r="E305" s="20">
        <f>Source!BZ122</f>
        <v>90</v>
      </c>
      <c r="F305" s="23"/>
      <c r="G305" s="22"/>
      <c r="H305" s="20"/>
      <c r="I305" s="23">
        <f>SUM(Q300:Q304)</f>
        <v>191.87</v>
      </c>
      <c r="J305" s="20">
        <f>Source!AT122</f>
        <v>90</v>
      </c>
      <c r="K305" s="23">
        <f>SUM(R300:R304)</f>
        <v>10811.93</v>
      </c>
      <c r="L305"/>
    </row>
    <row r="306" spans="1:29" ht="14.25" hidden="1" x14ac:dyDescent="0.2">
      <c r="A306" s="19"/>
      <c r="B306" s="19"/>
      <c r="C306" s="19" t="s">
        <v>839</v>
      </c>
      <c r="D306" s="21" t="s">
        <v>838</v>
      </c>
      <c r="E306" s="20">
        <f>Source!CA122</f>
        <v>46</v>
      </c>
      <c r="F306" s="23"/>
      <c r="G306" s="22"/>
      <c r="H306" s="20"/>
      <c r="I306" s="23">
        <f>SUM(S300:S305)</f>
        <v>98.07</v>
      </c>
      <c r="J306" s="20">
        <f>Source!AU122</f>
        <v>46</v>
      </c>
      <c r="K306" s="23">
        <f>SUM(T300:T305)</f>
        <v>5526.1</v>
      </c>
      <c r="L306"/>
    </row>
    <row r="307" spans="1:29" ht="14.25" hidden="1" x14ac:dyDescent="0.2">
      <c r="A307" s="25"/>
      <c r="B307" s="25"/>
      <c r="C307" s="25" t="s">
        <v>840</v>
      </c>
      <c r="D307" s="26" t="s">
        <v>841</v>
      </c>
      <c r="E307" s="27">
        <f>Source!AQ121</f>
        <v>1.68</v>
      </c>
      <c r="F307" s="28"/>
      <c r="G307" s="29" t="s">
        <v>187</v>
      </c>
      <c r="H307" s="27">
        <f>Source!AV122</f>
        <v>1.0469999999999999</v>
      </c>
      <c r="I307" s="28">
        <f>Source!U121</f>
        <v>16.886015999999998</v>
      </c>
      <c r="J307" s="27"/>
      <c r="K307" s="28"/>
      <c r="L307"/>
    </row>
    <row r="308" spans="1:29" ht="15" hidden="1" x14ac:dyDescent="0.2">
      <c r="C308" s="30" t="s">
        <v>842</v>
      </c>
      <c r="H308" s="48">
        <f>I301+I302+I304+I305+I306+0-0-0</f>
        <v>513.71</v>
      </c>
      <c r="I308" s="48"/>
      <c r="J308" s="48">
        <f>K301+K302+K304+K305+K306+0-0-0</f>
        <v>28455.940000000002</v>
      </c>
      <c r="K308" s="48"/>
      <c r="L308"/>
    </row>
    <row r="309" spans="1:29" ht="15" hidden="1" x14ac:dyDescent="0.2">
      <c r="C309" s="30" t="s">
        <v>843</v>
      </c>
      <c r="H309" s="43">
        <f>0+0</f>
        <v>0</v>
      </c>
      <c r="I309" s="43"/>
      <c r="J309" s="43">
        <f>0+0</f>
        <v>0</v>
      </c>
      <c r="K309" s="43"/>
      <c r="L309"/>
    </row>
    <row r="310" spans="1:29" ht="15" hidden="1" x14ac:dyDescent="0.2">
      <c r="C310" s="30" t="s">
        <v>844</v>
      </c>
      <c r="H310" s="43">
        <f>I301+I302+I304+I305+I306+0</f>
        <v>513.71</v>
      </c>
      <c r="I310" s="43"/>
      <c r="J310" s="43">
        <f>K301+K302+K304+K305+K306+0</f>
        <v>28455.940000000002</v>
      </c>
      <c r="K310" s="43"/>
      <c r="L310"/>
      <c r="O310" s="31">
        <f>I301+I302+I304+I305+I306+0</f>
        <v>513.71</v>
      </c>
      <c r="P310" s="31">
        <f>K301+K302+K304+K305+K306+0</f>
        <v>28455.940000000002</v>
      </c>
    </row>
    <row r="311" spans="1:29" hidden="1" x14ac:dyDescent="0.2">
      <c r="J311"/>
      <c r="L311"/>
    </row>
    <row r="312" spans="1:29" ht="82.5" x14ac:dyDescent="0.2">
      <c r="A312" s="76">
        <v>30</v>
      </c>
      <c r="B312" s="76" t="str">
        <f>Source!F123</f>
        <v>КА, п.7</v>
      </c>
      <c r="C312" s="76" t="s">
        <v>858</v>
      </c>
      <c r="D312" s="77" t="str">
        <f>Source!H123</f>
        <v>ШТ</v>
      </c>
      <c r="E312" s="78">
        <f>Source!I123</f>
        <v>8</v>
      </c>
      <c r="F312" s="79">
        <f>Source!AL123</f>
        <v>173.1</v>
      </c>
      <c r="G312" s="80"/>
      <c r="H312" s="78">
        <f>Source!AW124</f>
        <v>1</v>
      </c>
      <c r="I312" s="79">
        <f>Source!P123</f>
        <v>1384.8</v>
      </c>
      <c r="J312" s="88">
        <f>IF(Source!BC124&lt;&gt; 0, Source!BC124, 1)</f>
        <v>7.66</v>
      </c>
      <c r="K312" s="79">
        <f>Source!P124</f>
        <v>10607.57</v>
      </c>
      <c r="L312" s="90" t="s">
        <v>882</v>
      </c>
      <c r="N312" s="81" t="s">
        <v>883</v>
      </c>
      <c r="Q312">
        <f>Source!X123</f>
        <v>0</v>
      </c>
      <c r="R312">
        <f>Source!X124</f>
        <v>0</v>
      </c>
      <c r="S312">
        <f>Source!Y123</f>
        <v>0</v>
      </c>
      <c r="T312">
        <f>Source!Y124</f>
        <v>0</v>
      </c>
      <c r="U312">
        <f>ROUND((175/100)*ROUND(Source!R123, 2), 2)</f>
        <v>0</v>
      </c>
      <c r="V312">
        <f>ROUND((0/100)*ROUND(Source!R124, 2), 2)</f>
        <v>0</v>
      </c>
      <c r="AC312">
        <v>5</v>
      </c>
    </row>
    <row r="313" spans="1:29" ht="15" hidden="1" x14ac:dyDescent="0.2">
      <c r="A313" s="33"/>
      <c r="B313" s="33"/>
      <c r="C313" s="34" t="s">
        <v>844</v>
      </c>
      <c r="D313" s="33"/>
      <c r="E313" s="33"/>
      <c r="F313" s="33"/>
      <c r="G313" s="33"/>
      <c r="H313" s="47">
        <f>I312+0</f>
        <v>1384.8</v>
      </c>
      <c r="I313" s="47"/>
      <c r="J313" s="47">
        <f>K312+0</f>
        <v>10607.57</v>
      </c>
      <c r="K313" s="47"/>
      <c r="L313"/>
      <c r="O313" s="31">
        <f>I312+0</f>
        <v>1384.8</v>
      </c>
      <c r="P313" s="31">
        <f>K312+0</f>
        <v>10607.57</v>
      </c>
    </row>
    <row r="314" spans="1:29" hidden="1" x14ac:dyDescent="0.2">
      <c r="J314"/>
      <c r="L314"/>
    </row>
    <row r="315" spans="1:29" ht="14.25" hidden="1" x14ac:dyDescent="0.2">
      <c r="A315" s="19">
        <v>31</v>
      </c>
      <c r="B315" s="19" t="str">
        <f>Source!F125</f>
        <v>4.10-76-10</v>
      </c>
      <c r="C315" s="19" t="s">
        <v>49</v>
      </c>
      <c r="D315" s="21" t="str">
        <f>Source!H125</f>
        <v>1  ШТ.</v>
      </c>
      <c r="E315" s="20">
        <f>Source!I125</f>
        <v>4</v>
      </c>
      <c r="F315" s="23"/>
      <c r="G315" s="22"/>
      <c r="H315" s="20"/>
      <c r="I315" s="23"/>
      <c r="J315" s="20"/>
      <c r="K315" s="23"/>
      <c r="L315"/>
      <c r="Q315">
        <f>Source!X125</f>
        <v>56.76</v>
      </c>
      <c r="R315">
        <f>Source!X126</f>
        <v>3198.56</v>
      </c>
      <c r="S315">
        <f>Source!Y125</f>
        <v>31.67</v>
      </c>
      <c r="T315">
        <f>Source!Y126</f>
        <v>1784.46</v>
      </c>
      <c r="U315">
        <f>ROUND((175/100)*ROUND(Source!R125, 2), 2)</f>
        <v>0</v>
      </c>
      <c r="V315">
        <f>ROUND((0/100)*ROUND(Source!R126, 2), 2)</f>
        <v>0</v>
      </c>
      <c r="AC315">
        <v>0</v>
      </c>
    </row>
    <row r="316" spans="1:29" ht="14.25" hidden="1" x14ac:dyDescent="0.2">
      <c r="A316" s="19"/>
      <c r="B316" s="19"/>
      <c r="C316" s="19" t="s">
        <v>833</v>
      </c>
      <c r="D316" s="21"/>
      <c r="E316" s="20"/>
      <c r="F316" s="23">
        <f>Source!AO125</f>
        <v>11.89</v>
      </c>
      <c r="G316" s="22" t="s">
        <v>187</v>
      </c>
      <c r="H316" s="20">
        <f>Source!AV126</f>
        <v>1.0469999999999999</v>
      </c>
      <c r="I316" s="23">
        <f>Source!S125</f>
        <v>59.75</v>
      </c>
      <c r="J316" s="20">
        <f>IF(Source!BA126&lt;&gt; 0, Source!BA126, 1)</f>
        <v>56.35</v>
      </c>
      <c r="K316" s="23">
        <f>Source!S126</f>
        <v>3366.91</v>
      </c>
      <c r="L316"/>
    </row>
    <row r="317" spans="1:29" ht="14.25" hidden="1" x14ac:dyDescent="0.2">
      <c r="A317" s="19"/>
      <c r="B317" s="19"/>
      <c r="C317" s="19" t="s">
        <v>847</v>
      </c>
      <c r="D317" s="21"/>
      <c r="E317" s="20"/>
      <c r="F317" s="23">
        <f>Source!AL125</f>
        <v>1.67</v>
      </c>
      <c r="G317" s="22"/>
      <c r="H317" s="20">
        <f>Source!AW126</f>
        <v>1</v>
      </c>
      <c r="I317" s="23">
        <f>Source!P125</f>
        <v>6.68</v>
      </c>
      <c r="J317" s="20">
        <f>IF(Source!BC126&lt;&gt; 0, Source!BC126, 1)</f>
        <v>17.87</v>
      </c>
      <c r="K317" s="23">
        <f>Source!P126</f>
        <v>119.37</v>
      </c>
      <c r="L317"/>
    </row>
    <row r="318" spans="1:29" ht="14.25" hidden="1" x14ac:dyDescent="0.2">
      <c r="A318" s="19"/>
      <c r="B318" s="19"/>
      <c r="C318" s="19" t="s">
        <v>837</v>
      </c>
      <c r="D318" s="21" t="s">
        <v>838</v>
      </c>
      <c r="E318" s="20">
        <f>Source!BZ126</f>
        <v>95</v>
      </c>
      <c r="F318" s="23"/>
      <c r="G318" s="22"/>
      <c r="H318" s="20"/>
      <c r="I318" s="23">
        <f>SUM(Q315:Q317)</f>
        <v>56.76</v>
      </c>
      <c r="J318" s="20">
        <f>Source!AT126</f>
        <v>95</v>
      </c>
      <c r="K318" s="23">
        <f>SUM(R315:R317)</f>
        <v>3198.56</v>
      </c>
      <c r="L318"/>
    </row>
    <row r="319" spans="1:29" ht="14.25" hidden="1" x14ac:dyDescent="0.2">
      <c r="A319" s="19"/>
      <c r="B319" s="19"/>
      <c r="C319" s="19" t="s">
        <v>839</v>
      </c>
      <c r="D319" s="21" t="s">
        <v>838</v>
      </c>
      <c r="E319" s="20">
        <f>Source!CA126</f>
        <v>53</v>
      </c>
      <c r="F319" s="23"/>
      <c r="G319" s="22"/>
      <c r="H319" s="20"/>
      <c r="I319" s="23">
        <f>SUM(S315:S318)</f>
        <v>31.67</v>
      </c>
      <c r="J319" s="20">
        <f>Source!AU126</f>
        <v>53</v>
      </c>
      <c r="K319" s="23">
        <f>SUM(T315:T318)</f>
        <v>1784.46</v>
      </c>
      <c r="L319"/>
    </row>
    <row r="320" spans="1:29" ht="14.25" hidden="1" x14ac:dyDescent="0.2">
      <c r="A320" s="25"/>
      <c r="B320" s="25"/>
      <c r="C320" s="25" t="s">
        <v>840</v>
      </c>
      <c r="D320" s="26" t="s">
        <v>841</v>
      </c>
      <c r="E320" s="27">
        <f>Source!AQ125</f>
        <v>1</v>
      </c>
      <c r="F320" s="28"/>
      <c r="G320" s="29" t="s">
        <v>187</v>
      </c>
      <c r="H320" s="27">
        <f>Source!AV126</f>
        <v>1.0469999999999999</v>
      </c>
      <c r="I320" s="28">
        <f>Source!U125</f>
        <v>5.0255999999999998</v>
      </c>
      <c r="J320" s="27"/>
      <c r="K320" s="28"/>
      <c r="L320"/>
    </row>
    <row r="321" spans="1:29" ht="15" hidden="1" x14ac:dyDescent="0.2">
      <c r="C321" s="30" t="s">
        <v>842</v>
      </c>
      <c r="H321" s="48">
        <f>I316+I317+I318+I319+0-0-0</f>
        <v>154.86000000000001</v>
      </c>
      <c r="I321" s="48"/>
      <c r="J321" s="48">
        <f>K316+K317+K318+K319+0-0-0</f>
        <v>8469.2999999999993</v>
      </c>
      <c r="K321" s="48"/>
      <c r="L321"/>
    </row>
    <row r="322" spans="1:29" ht="15" hidden="1" x14ac:dyDescent="0.2">
      <c r="C322" s="30" t="s">
        <v>843</v>
      </c>
      <c r="H322" s="43">
        <f>0+0</f>
        <v>0</v>
      </c>
      <c r="I322" s="43"/>
      <c r="J322" s="43">
        <f>0+0</f>
        <v>0</v>
      </c>
      <c r="K322" s="43"/>
      <c r="L322"/>
    </row>
    <row r="323" spans="1:29" ht="15" hidden="1" x14ac:dyDescent="0.2">
      <c r="C323" s="30" t="s">
        <v>844</v>
      </c>
      <c r="H323" s="43">
        <f>I316+I317+I318+I319+0</f>
        <v>154.86000000000001</v>
      </c>
      <c r="I323" s="43"/>
      <c r="J323" s="43">
        <f>K316+K317+K318+K319+0</f>
        <v>8469.2999999999993</v>
      </c>
      <c r="K323" s="43"/>
      <c r="L323"/>
      <c r="O323" s="31">
        <f>I316+I317+I318+I319+0</f>
        <v>154.86000000000001</v>
      </c>
      <c r="P323" s="31">
        <f>K316+K317+K318+K319+0</f>
        <v>8469.2999999999993</v>
      </c>
    </row>
    <row r="324" spans="1:29" hidden="1" x14ac:dyDescent="0.2">
      <c r="J324"/>
      <c r="L324"/>
    </row>
    <row r="325" spans="1:29" ht="82.5" x14ac:dyDescent="0.2">
      <c r="A325" s="76">
        <v>32</v>
      </c>
      <c r="B325" s="76" t="str">
        <f>Source!F127</f>
        <v>КА, п.8</v>
      </c>
      <c r="C325" s="76" t="s">
        <v>859</v>
      </c>
      <c r="D325" s="77" t="str">
        <f>Source!H127</f>
        <v>ШТ</v>
      </c>
      <c r="E325" s="78">
        <f>Source!I127</f>
        <v>4</v>
      </c>
      <c r="F325" s="79">
        <f>Source!AL127</f>
        <v>144.55000000000001</v>
      </c>
      <c r="G325" s="80"/>
      <c r="H325" s="78">
        <f>Source!AW128</f>
        <v>1</v>
      </c>
      <c r="I325" s="79">
        <f>Source!P127</f>
        <v>578.20000000000005</v>
      </c>
      <c r="J325" s="88">
        <f>IF(Source!BC128&lt;&gt; 0, Source!BC128, 1)</f>
        <v>7.66</v>
      </c>
      <c r="K325" s="79">
        <f>Source!P128</f>
        <v>4429.01</v>
      </c>
      <c r="L325" s="90" t="s">
        <v>882</v>
      </c>
      <c r="N325" s="81" t="s">
        <v>883</v>
      </c>
      <c r="Q325">
        <f>Source!X127</f>
        <v>0</v>
      </c>
      <c r="R325">
        <f>Source!X128</f>
        <v>0</v>
      </c>
      <c r="S325">
        <f>Source!Y127</f>
        <v>0</v>
      </c>
      <c r="T325">
        <f>Source!Y128</f>
        <v>0</v>
      </c>
      <c r="U325">
        <f>ROUND((175/100)*ROUND(Source!R127, 2), 2)</f>
        <v>0</v>
      </c>
      <c r="V325">
        <f>ROUND((0/100)*ROUND(Source!R128, 2), 2)</f>
        <v>0</v>
      </c>
      <c r="AC325">
        <v>5</v>
      </c>
    </row>
    <row r="326" spans="1:29" ht="15" hidden="1" x14ac:dyDescent="0.2">
      <c r="A326" s="33"/>
      <c r="B326" s="33"/>
      <c r="C326" s="34" t="s">
        <v>844</v>
      </c>
      <c r="D326" s="33"/>
      <c r="E326" s="33"/>
      <c r="F326" s="33"/>
      <c r="G326" s="33"/>
      <c r="H326" s="47">
        <f>I325+0</f>
        <v>578.20000000000005</v>
      </c>
      <c r="I326" s="47"/>
      <c r="J326" s="47">
        <f>K325+0</f>
        <v>4429.01</v>
      </c>
      <c r="K326" s="47"/>
      <c r="L326"/>
      <c r="O326" s="31">
        <f>I325+0</f>
        <v>578.20000000000005</v>
      </c>
      <c r="P326" s="31">
        <f>K325+0</f>
        <v>4429.01</v>
      </c>
    </row>
    <row r="327" spans="1:29" hidden="1" x14ac:dyDescent="0.2">
      <c r="J327"/>
      <c r="L327"/>
    </row>
    <row r="328" spans="1:29" ht="42.75" hidden="1" x14ac:dyDescent="0.2">
      <c r="A328" s="19">
        <v>33</v>
      </c>
      <c r="B328" s="19" t="str">
        <f>Source!F129</f>
        <v>4.10-81-4</v>
      </c>
      <c r="C328" s="19" t="s">
        <v>238</v>
      </c>
      <c r="D328" s="21" t="str">
        <f>Source!H129</f>
        <v>1  ШТ.</v>
      </c>
      <c r="E328" s="20">
        <f>Source!I129</f>
        <v>4</v>
      </c>
      <c r="F328" s="23"/>
      <c r="G328" s="22"/>
      <c r="H328" s="20"/>
      <c r="I328" s="23"/>
      <c r="J328" s="20"/>
      <c r="K328" s="23"/>
      <c r="L328"/>
      <c r="Q328">
        <f>Source!X129</f>
        <v>47.94</v>
      </c>
      <c r="R328">
        <f>Source!X130</f>
        <v>2701.58</v>
      </c>
      <c r="S328">
        <f>Source!Y129</f>
        <v>24.5</v>
      </c>
      <c r="T328">
        <f>Source!Y130</f>
        <v>1380.81</v>
      </c>
      <c r="U328">
        <f>ROUND((175/100)*ROUND(Source!R129, 2), 2)</f>
        <v>0</v>
      </c>
      <c r="V328">
        <f>ROUND((0/100)*ROUND(Source!R130, 2), 2)</f>
        <v>0</v>
      </c>
      <c r="AC328">
        <v>0</v>
      </c>
    </row>
    <row r="329" spans="1:29" ht="14.25" hidden="1" x14ac:dyDescent="0.2">
      <c r="A329" s="19"/>
      <c r="B329" s="19"/>
      <c r="C329" s="19" t="s">
        <v>833</v>
      </c>
      <c r="D329" s="21"/>
      <c r="E329" s="20"/>
      <c r="F329" s="23">
        <f>Source!AO129</f>
        <v>10.6</v>
      </c>
      <c r="G329" s="22" t="s">
        <v>187</v>
      </c>
      <c r="H329" s="20">
        <f>Source!AV130</f>
        <v>1.0469999999999999</v>
      </c>
      <c r="I329" s="23">
        <f>Source!S129</f>
        <v>53.27</v>
      </c>
      <c r="J329" s="20">
        <f>IF(Source!BA130&lt;&gt; 0, Source!BA130, 1)</f>
        <v>56.35</v>
      </c>
      <c r="K329" s="23">
        <f>Source!S130</f>
        <v>3001.76</v>
      </c>
      <c r="L329"/>
    </row>
    <row r="330" spans="1:29" ht="14.25" hidden="1" x14ac:dyDescent="0.2">
      <c r="A330" s="19"/>
      <c r="B330" s="19"/>
      <c r="C330" s="19" t="s">
        <v>847</v>
      </c>
      <c r="D330" s="21"/>
      <c r="E330" s="20"/>
      <c r="F330" s="23">
        <f>Source!AL129</f>
        <v>1.05</v>
      </c>
      <c r="G330" s="22"/>
      <c r="H330" s="20">
        <f>Source!AW130</f>
        <v>1</v>
      </c>
      <c r="I330" s="23">
        <f>Source!P129</f>
        <v>4.2</v>
      </c>
      <c r="J330" s="20">
        <f>IF(Source!BC130&lt;&gt; 0, Source!BC130, 1)</f>
        <v>9.84</v>
      </c>
      <c r="K330" s="23">
        <f>Source!P130</f>
        <v>41.33</v>
      </c>
      <c r="L330"/>
    </row>
    <row r="331" spans="1:29" ht="14.25" hidden="1" x14ac:dyDescent="0.2">
      <c r="A331" s="19"/>
      <c r="B331" s="19"/>
      <c r="C331" s="19" t="s">
        <v>837</v>
      </c>
      <c r="D331" s="21" t="s">
        <v>838</v>
      </c>
      <c r="E331" s="20">
        <f>Source!BZ130</f>
        <v>90</v>
      </c>
      <c r="F331" s="23"/>
      <c r="G331" s="22"/>
      <c r="H331" s="20"/>
      <c r="I331" s="23">
        <f>SUM(Q328:Q330)</f>
        <v>47.94</v>
      </c>
      <c r="J331" s="20">
        <f>Source!AT130</f>
        <v>90</v>
      </c>
      <c r="K331" s="23">
        <f>SUM(R328:R330)</f>
        <v>2701.58</v>
      </c>
      <c r="L331"/>
    </row>
    <row r="332" spans="1:29" ht="14.25" hidden="1" x14ac:dyDescent="0.2">
      <c r="A332" s="19"/>
      <c r="B332" s="19"/>
      <c r="C332" s="19" t="s">
        <v>839</v>
      </c>
      <c r="D332" s="21" t="s">
        <v>838</v>
      </c>
      <c r="E332" s="20">
        <f>Source!CA130</f>
        <v>46</v>
      </c>
      <c r="F332" s="23"/>
      <c r="G332" s="22"/>
      <c r="H332" s="20"/>
      <c r="I332" s="23">
        <f>SUM(S328:S331)</f>
        <v>24.5</v>
      </c>
      <c r="J332" s="20">
        <f>Source!AU130</f>
        <v>46</v>
      </c>
      <c r="K332" s="23">
        <f>SUM(T328:T331)</f>
        <v>1380.81</v>
      </c>
      <c r="L332"/>
    </row>
    <row r="333" spans="1:29" ht="14.25" hidden="1" x14ac:dyDescent="0.2">
      <c r="A333" s="25"/>
      <c r="B333" s="25"/>
      <c r="C333" s="25" t="s">
        <v>840</v>
      </c>
      <c r="D333" s="26" t="s">
        <v>841</v>
      </c>
      <c r="E333" s="27">
        <f>Source!AQ129</f>
        <v>0.84</v>
      </c>
      <c r="F333" s="28"/>
      <c r="G333" s="29" t="s">
        <v>187</v>
      </c>
      <c r="H333" s="27">
        <f>Source!AV130</f>
        <v>1.0469999999999999</v>
      </c>
      <c r="I333" s="28">
        <f>Source!U129</f>
        <v>4.2215039999999995</v>
      </c>
      <c r="J333" s="27"/>
      <c r="K333" s="28"/>
      <c r="L333"/>
    </row>
    <row r="334" spans="1:29" ht="15" hidden="1" x14ac:dyDescent="0.2">
      <c r="C334" s="30" t="s">
        <v>842</v>
      </c>
      <c r="H334" s="48">
        <f>I329+I330+I331+I332+0-0-0</f>
        <v>129.91</v>
      </c>
      <c r="I334" s="48"/>
      <c r="J334" s="48">
        <f>K329+K330+K331+K332+0-0-0</f>
        <v>7125.48</v>
      </c>
      <c r="K334" s="48"/>
      <c r="L334"/>
    </row>
    <row r="335" spans="1:29" ht="15" hidden="1" x14ac:dyDescent="0.2">
      <c r="C335" s="30" t="s">
        <v>843</v>
      </c>
      <c r="H335" s="43">
        <f>0+0</f>
        <v>0</v>
      </c>
      <c r="I335" s="43"/>
      <c r="J335" s="43">
        <f>0+0</f>
        <v>0</v>
      </c>
      <c r="K335" s="43"/>
      <c r="L335"/>
    </row>
    <row r="336" spans="1:29" ht="15" hidden="1" x14ac:dyDescent="0.2">
      <c r="C336" s="30" t="s">
        <v>844</v>
      </c>
      <c r="H336" s="43">
        <f>I329+I330+I331+I332+0</f>
        <v>129.91</v>
      </c>
      <c r="I336" s="43"/>
      <c r="J336" s="43">
        <f>K329+K330+K331+K332+0</f>
        <v>7125.48</v>
      </c>
      <c r="K336" s="43"/>
      <c r="L336"/>
      <c r="O336" s="31">
        <f>I329+I330+I331+I332+0</f>
        <v>129.91</v>
      </c>
      <c r="P336" s="31">
        <f>K329+K330+K331+K332+0</f>
        <v>7125.48</v>
      </c>
    </row>
    <row r="337" spans="1:29" hidden="1" x14ac:dyDescent="0.2">
      <c r="J337"/>
      <c r="L337"/>
    </row>
    <row r="338" spans="1:29" ht="185.25" x14ac:dyDescent="0.2">
      <c r="A338" s="76">
        <v>34</v>
      </c>
      <c r="B338" s="76" t="str">
        <f>Source!F131</f>
        <v>13.1-2-141</v>
      </c>
      <c r="C338" s="76" t="s">
        <v>860</v>
      </c>
      <c r="D338" s="77" t="str">
        <f>Source!H131</f>
        <v>шт.</v>
      </c>
      <c r="E338" s="78">
        <f>Source!I131</f>
        <v>4</v>
      </c>
      <c r="F338" s="79">
        <f>Source!AL131</f>
        <v>34.94</v>
      </c>
      <c r="G338" s="80"/>
      <c r="H338" s="78">
        <f>Source!AW132</f>
        <v>1</v>
      </c>
      <c r="I338" s="79">
        <f>Source!P131</f>
        <v>139.76</v>
      </c>
      <c r="J338" s="78">
        <f>IF(Source!BC132&lt;&gt; 0, Source!BC132, 1)</f>
        <v>4.24</v>
      </c>
      <c r="K338" s="79">
        <f>Source!P132</f>
        <v>592.58000000000004</v>
      </c>
      <c r="L338" s="81" t="s">
        <v>882</v>
      </c>
      <c r="Q338">
        <f>Source!X131</f>
        <v>0</v>
      </c>
      <c r="R338">
        <f>Source!X132</f>
        <v>0</v>
      </c>
      <c r="S338">
        <f>Source!Y131</f>
        <v>0</v>
      </c>
      <c r="T338">
        <f>Source!Y132</f>
        <v>0</v>
      </c>
      <c r="U338">
        <f>ROUND((175/100)*ROUND(Source!R131, 2), 2)</f>
        <v>0</v>
      </c>
      <c r="V338">
        <f>ROUND((0/100)*ROUND(Source!R132, 2), 2)</f>
        <v>0</v>
      </c>
      <c r="AC338">
        <v>5</v>
      </c>
    </row>
    <row r="339" spans="1:29" ht="15" hidden="1" x14ac:dyDescent="0.2">
      <c r="A339" s="33"/>
      <c r="B339" s="33"/>
      <c r="C339" s="34" t="s">
        <v>844</v>
      </c>
      <c r="D339" s="33"/>
      <c r="E339" s="33"/>
      <c r="F339" s="33"/>
      <c r="G339" s="33"/>
      <c r="H339" s="47">
        <f>I338+0</f>
        <v>139.76</v>
      </c>
      <c r="I339" s="47"/>
      <c r="J339" s="47">
        <f>K338+0</f>
        <v>592.58000000000004</v>
      </c>
      <c r="K339" s="47"/>
      <c r="L339"/>
      <c r="O339" s="31">
        <f>I338+0</f>
        <v>139.76</v>
      </c>
      <c r="P339" s="31">
        <f>K338+0</f>
        <v>592.58000000000004</v>
      </c>
    </row>
    <row r="340" spans="1:29" hidden="1" x14ac:dyDescent="0.2">
      <c r="J340"/>
      <c r="L340"/>
    </row>
    <row r="341" spans="1:29" ht="42.75" hidden="1" x14ac:dyDescent="0.2">
      <c r="A341" s="19">
        <v>35</v>
      </c>
      <c r="B341" s="19" t="str">
        <f>Source!F133</f>
        <v>4.8-245-10</v>
      </c>
      <c r="C341" s="19" t="s">
        <v>243</v>
      </c>
      <c r="D341" s="21" t="str">
        <f>Source!H133</f>
        <v>100 шт.</v>
      </c>
      <c r="E341" s="20">
        <f>Source!I133</f>
        <v>0.12</v>
      </c>
      <c r="F341" s="23"/>
      <c r="G341" s="22"/>
      <c r="H341" s="20"/>
      <c r="I341" s="23"/>
      <c r="J341" s="20"/>
      <c r="K341" s="23"/>
      <c r="L341"/>
      <c r="Q341">
        <f>Source!X133</f>
        <v>162.75</v>
      </c>
      <c r="R341">
        <f>Source!X134</f>
        <v>9170.7800000000007</v>
      </c>
      <c r="S341">
        <f>Source!Y133</f>
        <v>85.57</v>
      </c>
      <c r="T341">
        <f>Source!Y134</f>
        <v>4821.75</v>
      </c>
      <c r="U341">
        <f>ROUND((175/100)*ROUND(Source!R133, 2), 2)</f>
        <v>3.43</v>
      </c>
      <c r="V341">
        <f>ROUND((0/100)*ROUND(Source!R134, 2), 2)</f>
        <v>0</v>
      </c>
      <c r="AC341">
        <v>0</v>
      </c>
    </row>
    <row r="342" spans="1:29" hidden="1" x14ac:dyDescent="0.2">
      <c r="C342" s="32" t="str">
        <f>"Объем: "&amp;Source!I133&amp;"=(4+"&amp;"4+"&amp;"4)/"&amp;"100"</f>
        <v>Объем: 0,12=(4+4+4)/100</v>
      </c>
      <c r="J342"/>
      <c r="L342"/>
    </row>
    <row r="343" spans="1:29" ht="14.25" hidden="1" x14ac:dyDescent="0.2">
      <c r="A343" s="19"/>
      <c r="B343" s="19"/>
      <c r="C343" s="19" t="s">
        <v>833</v>
      </c>
      <c r="D343" s="21"/>
      <c r="E343" s="20"/>
      <c r="F343" s="23">
        <f>Source!AO133</f>
        <v>1099.8599999999999</v>
      </c>
      <c r="G343" s="22" t="s">
        <v>187</v>
      </c>
      <c r="H343" s="20">
        <f>Source!AV134</f>
        <v>1.0469999999999999</v>
      </c>
      <c r="I343" s="23">
        <f>Source!S133</f>
        <v>165.82</v>
      </c>
      <c r="J343" s="20">
        <f>IF(Source!BA134&lt;&gt; 0, Source!BA134, 1)</f>
        <v>56.35</v>
      </c>
      <c r="K343" s="23">
        <f>Source!S134</f>
        <v>9343.9599999999991</v>
      </c>
      <c r="L343"/>
    </row>
    <row r="344" spans="1:29" ht="14.25" hidden="1" x14ac:dyDescent="0.2">
      <c r="A344" s="19"/>
      <c r="B344" s="19"/>
      <c r="C344" s="19" t="s">
        <v>835</v>
      </c>
      <c r="D344" s="21"/>
      <c r="E344" s="20"/>
      <c r="F344" s="23">
        <f>Source!AM133</f>
        <v>93.32</v>
      </c>
      <c r="G344" s="22" t="s">
        <v>187</v>
      </c>
      <c r="H344" s="20">
        <f>Source!AV134</f>
        <v>1.0469999999999999</v>
      </c>
      <c r="I344" s="23">
        <f>Source!Q133</f>
        <v>14.07</v>
      </c>
      <c r="J344" s="20">
        <f>IF(Source!BB134&lt;&gt; 0, Source!BB134, 1)</f>
        <v>16.420000000000002</v>
      </c>
      <c r="K344" s="23">
        <f>Source!Q134</f>
        <v>231.03</v>
      </c>
      <c r="L344"/>
    </row>
    <row r="345" spans="1:29" ht="14.25" hidden="1" x14ac:dyDescent="0.2">
      <c r="A345" s="19"/>
      <c r="B345" s="19"/>
      <c r="C345" s="19" t="s">
        <v>836</v>
      </c>
      <c r="D345" s="21"/>
      <c r="E345" s="20"/>
      <c r="F345" s="23">
        <f>Source!AN133</f>
        <v>13</v>
      </c>
      <c r="G345" s="22" t="s">
        <v>187</v>
      </c>
      <c r="H345" s="20">
        <f>Source!AV134</f>
        <v>1.0469999999999999</v>
      </c>
      <c r="I345" s="24">
        <f>Source!R133</f>
        <v>1.96</v>
      </c>
      <c r="J345" s="20">
        <f>IF(Source!BS134&lt;&gt; 0, Source!BS134, 1)</f>
        <v>56.35</v>
      </c>
      <c r="K345" s="24">
        <f>Source!R134</f>
        <v>110.45</v>
      </c>
      <c r="L345"/>
    </row>
    <row r="346" spans="1:29" ht="14.25" hidden="1" x14ac:dyDescent="0.2">
      <c r="A346" s="19"/>
      <c r="B346" s="19"/>
      <c r="C346" s="19" t="s">
        <v>847</v>
      </c>
      <c r="D346" s="21"/>
      <c r="E346" s="20"/>
      <c r="F346" s="23">
        <f>Source!AL133</f>
        <v>81.36</v>
      </c>
      <c r="G346" s="22"/>
      <c r="H346" s="20">
        <f>Source!AW134</f>
        <v>1</v>
      </c>
      <c r="I346" s="23">
        <f>Source!P133</f>
        <v>9.76</v>
      </c>
      <c r="J346" s="20">
        <f>IF(Source!BC134&lt;&gt; 0, Source!BC134, 1)</f>
        <v>10.65</v>
      </c>
      <c r="K346" s="23">
        <f>Source!P134</f>
        <v>103.94</v>
      </c>
      <c r="L346"/>
    </row>
    <row r="347" spans="1:29" ht="14.25" hidden="1" x14ac:dyDescent="0.2">
      <c r="A347" s="19"/>
      <c r="B347" s="19"/>
      <c r="C347" s="19" t="s">
        <v>837</v>
      </c>
      <c r="D347" s="21" t="s">
        <v>838</v>
      </c>
      <c r="E347" s="20">
        <f>Source!BZ134</f>
        <v>97</v>
      </c>
      <c r="F347" s="23"/>
      <c r="G347" s="22"/>
      <c r="H347" s="20"/>
      <c r="I347" s="23">
        <f>SUM(Q341:Q346)</f>
        <v>162.75</v>
      </c>
      <c r="J347" s="20">
        <f>Source!AT134</f>
        <v>97</v>
      </c>
      <c r="K347" s="23">
        <f>SUM(R341:R346)</f>
        <v>9170.7800000000007</v>
      </c>
      <c r="L347"/>
    </row>
    <row r="348" spans="1:29" ht="14.25" hidden="1" x14ac:dyDescent="0.2">
      <c r="A348" s="19"/>
      <c r="B348" s="19"/>
      <c r="C348" s="19" t="s">
        <v>839</v>
      </c>
      <c r="D348" s="21" t="s">
        <v>838</v>
      </c>
      <c r="E348" s="20">
        <f>Source!CA134</f>
        <v>51</v>
      </c>
      <c r="F348" s="23"/>
      <c r="G348" s="22"/>
      <c r="H348" s="20"/>
      <c r="I348" s="23">
        <f>SUM(S341:S347)</f>
        <v>85.57</v>
      </c>
      <c r="J348" s="20">
        <f>Source!AU134</f>
        <v>51</v>
      </c>
      <c r="K348" s="23">
        <f>SUM(T341:T347)</f>
        <v>4821.75</v>
      </c>
      <c r="L348"/>
    </row>
    <row r="349" spans="1:29" ht="14.25" hidden="1" x14ac:dyDescent="0.2">
      <c r="A349" s="25"/>
      <c r="B349" s="25"/>
      <c r="C349" s="25" t="s">
        <v>840</v>
      </c>
      <c r="D349" s="26" t="s">
        <v>841</v>
      </c>
      <c r="E349" s="27">
        <f>Source!AQ133</f>
        <v>84.67</v>
      </c>
      <c r="F349" s="28"/>
      <c r="G349" s="29" t="s">
        <v>187</v>
      </c>
      <c r="H349" s="27">
        <f>Source!AV134</f>
        <v>1.0469999999999999</v>
      </c>
      <c r="I349" s="28">
        <f>Source!U133</f>
        <v>12.765526559999998</v>
      </c>
      <c r="J349" s="27"/>
      <c r="K349" s="28"/>
      <c r="L349"/>
    </row>
    <row r="350" spans="1:29" ht="15" hidden="1" x14ac:dyDescent="0.2">
      <c r="C350" s="30" t="s">
        <v>842</v>
      </c>
      <c r="H350" s="48">
        <f>I343+I344+I346+I347+I348+0-0-0</f>
        <v>437.96999999999997</v>
      </c>
      <c r="I350" s="48"/>
      <c r="J350" s="48">
        <f>K343+K344+K346+K347+K348+0-0-0</f>
        <v>23671.46</v>
      </c>
      <c r="K350" s="48"/>
      <c r="L350"/>
    </row>
    <row r="351" spans="1:29" ht="15" hidden="1" x14ac:dyDescent="0.2">
      <c r="C351" s="30" t="s">
        <v>843</v>
      </c>
      <c r="H351" s="43">
        <f>0+0</f>
        <v>0</v>
      </c>
      <c r="I351" s="43"/>
      <c r="J351" s="43">
        <f>0+0</f>
        <v>0</v>
      </c>
      <c r="K351" s="43"/>
      <c r="L351"/>
    </row>
    <row r="352" spans="1:29" ht="15" hidden="1" x14ac:dyDescent="0.2">
      <c r="C352" s="30" t="s">
        <v>844</v>
      </c>
      <c r="H352" s="43">
        <f>I343+I344+I346+I347+I348+0</f>
        <v>437.96999999999997</v>
      </c>
      <c r="I352" s="43"/>
      <c r="J352" s="43">
        <f>K343+K344+K346+K347+K348+0</f>
        <v>23671.46</v>
      </c>
      <c r="K352" s="43"/>
      <c r="L352"/>
      <c r="O352" s="31">
        <f>I343+I344+I346+I347+I348+0</f>
        <v>437.96999999999997</v>
      </c>
      <c r="P352" s="31">
        <f>K343+K344+K346+K347+K348+0</f>
        <v>23671.46</v>
      </c>
    </row>
    <row r="353" spans="1:29" hidden="1" x14ac:dyDescent="0.2">
      <c r="J353"/>
      <c r="L353"/>
    </row>
    <row r="354" spans="1:29" ht="156.75" x14ac:dyDescent="0.2">
      <c r="A354" s="76">
        <v>36</v>
      </c>
      <c r="B354" s="76" t="str">
        <f>Source!F135</f>
        <v>13.1-2-412</v>
      </c>
      <c r="C354" s="76" t="s">
        <v>861</v>
      </c>
      <c r="D354" s="77" t="str">
        <f>Source!H135</f>
        <v>шт.</v>
      </c>
      <c r="E354" s="78">
        <f>Source!I135</f>
        <v>12</v>
      </c>
      <c r="F354" s="79">
        <f>Source!AL135</f>
        <v>140.78</v>
      </c>
      <c r="G354" s="80"/>
      <c r="H354" s="78">
        <f>Source!AW136</f>
        <v>1</v>
      </c>
      <c r="I354" s="79">
        <f>Source!P135</f>
        <v>1689.36</v>
      </c>
      <c r="J354" s="78">
        <f>IF(Source!BC136&lt;&gt; 0, Source!BC136, 1)</f>
        <v>5.14</v>
      </c>
      <c r="K354" s="79">
        <f>Source!P136</f>
        <v>8683.31</v>
      </c>
      <c r="L354" s="81" t="s">
        <v>882</v>
      </c>
      <c r="Q354">
        <f>Source!X135</f>
        <v>0</v>
      </c>
      <c r="R354">
        <f>Source!X136</f>
        <v>0</v>
      </c>
      <c r="S354">
        <f>Source!Y135</f>
        <v>0</v>
      </c>
      <c r="T354">
        <f>Source!Y136</f>
        <v>0</v>
      </c>
      <c r="U354">
        <f>ROUND((175/100)*ROUND(Source!R135, 2), 2)</f>
        <v>0</v>
      </c>
      <c r="V354">
        <f>ROUND((0/100)*ROUND(Source!R136, 2), 2)</f>
        <v>0</v>
      </c>
      <c r="AC354">
        <v>5</v>
      </c>
    </row>
    <row r="355" spans="1:29" ht="15" hidden="1" x14ac:dyDescent="0.2">
      <c r="A355" s="33"/>
      <c r="B355" s="33"/>
      <c r="C355" s="34" t="s">
        <v>844</v>
      </c>
      <c r="D355" s="33"/>
      <c r="E355" s="33"/>
      <c r="F355" s="33"/>
      <c r="G355" s="33"/>
      <c r="H355" s="47">
        <f>I354+0</f>
        <v>1689.36</v>
      </c>
      <c r="I355" s="47"/>
      <c r="J355" s="47">
        <f>K354+0</f>
        <v>8683.31</v>
      </c>
      <c r="K355" s="47"/>
      <c r="L355"/>
      <c r="O355" s="31">
        <f>I354+0</f>
        <v>1689.36</v>
      </c>
      <c r="P355" s="31">
        <f>K354+0</f>
        <v>8683.31</v>
      </c>
    </row>
    <row r="356" spans="1:29" hidden="1" x14ac:dyDescent="0.2">
      <c r="J356"/>
      <c r="L356"/>
    </row>
    <row r="357" spans="1:29" ht="57" hidden="1" x14ac:dyDescent="0.2">
      <c r="A357" s="19">
        <v>37</v>
      </c>
      <c r="B357" s="19" t="str">
        <f>Source!F137</f>
        <v>4.10-81-2</v>
      </c>
      <c r="C357" s="19" t="s">
        <v>227</v>
      </c>
      <c r="D357" s="21" t="str">
        <f>Source!H137</f>
        <v>1  ШТ.</v>
      </c>
      <c r="E357" s="20">
        <f>Source!I137</f>
        <v>4</v>
      </c>
      <c r="F357" s="23"/>
      <c r="G357" s="22"/>
      <c r="H357" s="20"/>
      <c r="I357" s="23"/>
      <c r="J357" s="20"/>
      <c r="K357" s="23"/>
      <c r="L357"/>
      <c r="Q357">
        <f>Source!X137</f>
        <v>95.93</v>
      </c>
      <c r="R357">
        <f>Source!X138</f>
        <v>5405.72</v>
      </c>
      <c r="S357">
        <f>Source!Y137</f>
        <v>49.03</v>
      </c>
      <c r="T357">
        <f>Source!Y138</f>
        <v>2762.92</v>
      </c>
      <c r="U357">
        <f>ROUND((175/100)*ROUND(Source!R137, 2), 2)</f>
        <v>0.09</v>
      </c>
      <c r="V357">
        <f>ROUND((0/100)*ROUND(Source!R138, 2), 2)</f>
        <v>0</v>
      </c>
      <c r="AC357">
        <v>0</v>
      </c>
    </row>
    <row r="358" spans="1:29" ht="14.25" hidden="1" x14ac:dyDescent="0.2">
      <c r="A358" s="19"/>
      <c r="B358" s="19"/>
      <c r="C358" s="19" t="s">
        <v>833</v>
      </c>
      <c r="D358" s="21"/>
      <c r="E358" s="20"/>
      <c r="F358" s="23">
        <f>Source!AO137</f>
        <v>21.2</v>
      </c>
      <c r="G358" s="22" t="s">
        <v>187</v>
      </c>
      <c r="H358" s="20">
        <f>Source!AV138</f>
        <v>1.0469999999999999</v>
      </c>
      <c r="I358" s="23">
        <f>Source!S137</f>
        <v>106.54</v>
      </c>
      <c r="J358" s="20">
        <f>IF(Source!BA138&lt;&gt; 0, Source!BA138, 1)</f>
        <v>56.35</v>
      </c>
      <c r="K358" s="23">
        <f>Source!S138</f>
        <v>6003.53</v>
      </c>
      <c r="L358"/>
    </row>
    <row r="359" spans="1:29" ht="14.25" hidden="1" x14ac:dyDescent="0.2">
      <c r="A359" s="19"/>
      <c r="B359" s="19"/>
      <c r="C359" s="19" t="s">
        <v>835</v>
      </c>
      <c r="D359" s="21"/>
      <c r="E359" s="20"/>
      <c r="F359" s="23">
        <f>Source!AM137</f>
        <v>0.06</v>
      </c>
      <c r="G359" s="22" t="s">
        <v>187</v>
      </c>
      <c r="H359" s="20">
        <f>Source!AV138</f>
        <v>1.0469999999999999</v>
      </c>
      <c r="I359" s="23">
        <f>Source!Q137</f>
        <v>0.3</v>
      </c>
      <c r="J359" s="20">
        <f>IF(Source!BB138&lt;&gt; 0, Source!BB138, 1)</f>
        <v>18.5</v>
      </c>
      <c r="K359" s="23">
        <f>Source!Q138</f>
        <v>5.55</v>
      </c>
      <c r="L359"/>
    </row>
    <row r="360" spans="1:29" ht="14.25" hidden="1" x14ac:dyDescent="0.2">
      <c r="A360" s="19"/>
      <c r="B360" s="19"/>
      <c r="C360" s="19" t="s">
        <v>836</v>
      </c>
      <c r="D360" s="21"/>
      <c r="E360" s="20"/>
      <c r="F360" s="23">
        <f>Source!AN137</f>
        <v>0.01</v>
      </c>
      <c r="G360" s="22" t="s">
        <v>187</v>
      </c>
      <c r="H360" s="20">
        <f>Source!AV138</f>
        <v>1.0469999999999999</v>
      </c>
      <c r="I360" s="24">
        <f>Source!R137</f>
        <v>0.05</v>
      </c>
      <c r="J360" s="20">
        <f>IF(Source!BS138&lt;&gt; 0, Source!BS138, 1)</f>
        <v>56.35</v>
      </c>
      <c r="K360" s="24">
        <f>Source!R138</f>
        <v>2.82</v>
      </c>
      <c r="L360"/>
    </row>
    <row r="361" spans="1:29" ht="14.25" hidden="1" x14ac:dyDescent="0.2">
      <c r="A361" s="19"/>
      <c r="B361" s="19"/>
      <c r="C361" s="19" t="s">
        <v>847</v>
      </c>
      <c r="D361" s="21"/>
      <c r="E361" s="20"/>
      <c r="F361" s="23">
        <f>Source!AL137</f>
        <v>1.26</v>
      </c>
      <c r="G361" s="22"/>
      <c r="H361" s="20">
        <f>Source!AW138</f>
        <v>1</v>
      </c>
      <c r="I361" s="23">
        <f>Source!P137</f>
        <v>5.04</v>
      </c>
      <c r="J361" s="20">
        <f>IF(Source!BC138&lt;&gt; 0, Source!BC138, 1)</f>
        <v>9.84</v>
      </c>
      <c r="K361" s="23">
        <f>Source!P138</f>
        <v>49.59</v>
      </c>
      <c r="L361"/>
    </row>
    <row r="362" spans="1:29" ht="14.25" hidden="1" x14ac:dyDescent="0.2">
      <c r="A362" s="19"/>
      <c r="B362" s="19"/>
      <c r="C362" s="19" t="s">
        <v>837</v>
      </c>
      <c r="D362" s="21" t="s">
        <v>838</v>
      </c>
      <c r="E362" s="20">
        <f>Source!BZ138</f>
        <v>90</v>
      </c>
      <c r="F362" s="23"/>
      <c r="G362" s="22"/>
      <c r="H362" s="20"/>
      <c r="I362" s="23">
        <f>SUM(Q357:Q361)</f>
        <v>95.93</v>
      </c>
      <c r="J362" s="20">
        <f>Source!AT138</f>
        <v>90</v>
      </c>
      <c r="K362" s="23">
        <f>SUM(R357:R361)</f>
        <v>5405.72</v>
      </c>
      <c r="L362"/>
    </row>
    <row r="363" spans="1:29" ht="14.25" hidden="1" x14ac:dyDescent="0.2">
      <c r="A363" s="19"/>
      <c r="B363" s="19"/>
      <c r="C363" s="19" t="s">
        <v>839</v>
      </c>
      <c r="D363" s="21" t="s">
        <v>838</v>
      </c>
      <c r="E363" s="20">
        <f>Source!CA138</f>
        <v>46</v>
      </c>
      <c r="F363" s="23"/>
      <c r="G363" s="22"/>
      <c r="H363" s="20"/>
      <c r="I363" s="23">
        <f>SUM(S357:S362)</f>
        <v>49.03</v>
      </c>
      <c r="J363" s="20">
        <f>Source!AU138</f>
        <v>46</v>
      </c>
      <c r="K363" s="23">
        <f>SUM(T357:T362)</f>
        <v>2762.92</v>
      </c>
      <c r="L363"/>
    </row>
    <row r="364" spans="1:29" ht="14.25" hidden="1" x14ac:dyDescent="0.2">
      <c r="A364" s="25"/>
      <c r="B364" s="25"/>
      <c r="C364" s="25" t="s">
        <v>840</v>
      </c>
      <c r="D364" s="26" t="s">
        <v>841</v>
      </c>
      <c r="E364" s="27">
        <f>Source!AQ137</f>
        <v>1.68</v>
      </c>
      <c r="F364" s="28"/>
      <c r="G364" s="29" t="s">
        <v>187</v>
      </c>
      <c r="H364" s="27">
        <f>Source!AV138</f>
        <v>1.0469999999999999</v>
      </c>
      <c r="I364" s="28">
        <f>Source!U137</f>
        <v>8.443007999999999</v>
      </c>
      <c r="J364" s="27"/>
      <c r="K364" s="28"/>
      <c r="L364"/>
    </row>
    <row r="365" spans="1:29" ht="15" hidden="1" x14ac:dyDescent="0.2">
      <c r="C365" s="30" t="s">
        <v>842</v>
      </c>
      <c r="H365" s="48">
        <f>I358+I359+I361+I362+I363+0-0-0</f>
        <v>256.84000000000003</v>
      </c>
      <c r="I365" s="48"/>
      <c r="J365" s="48">
        <f>K358+K359+K361+K362+K363+0-0-0</f>
        <v>14227.31</v>
      </c>
      <c r="K365" s="48"/>
      <c r="L365"/>
    </row>
    <row r="366" spans="1:29" ht="15" hidden="1" x14ac:dyDescent="0.2">
      <c r="C366" s="30" t="s">
        <v>843</v>
      </c>
      <c r="H366" s="43">
        <f>0+0</f>
        <v>0</v>
      </c>
      <c r="I366" s="43"/>
      <c r="J366" s="43">
        <f>0+0</f>
        <v>0</v>
      </c>
      <c r="K366" s="43"/>
      <c r="L366"/>
    </row>
    <row r="367" spans="1:29" ht="15" hidden="1" x14ac:dyDescent="0.2">
      <c r="C367" s="30" t="s">
        <v>844</v>
      </c>
      <c r="H367" s="43">
        <f>I358+I359+I361+I362+I363+0</f>
        <v>256.84000000000003</v>
      </c>
      <c r="I367" s="43"/>
      <c r="J367" s="43">
        <f>K358+K359+K361+K362+K363+0</f>
        <v>14227.31</v>
      </c>
      <c r="K367" s="43"/>
      <c r="L367"/>
      <c r="O367" s="31">
        <f>I358+I359+I361+I362+I363+0</f>
        <v>256.84000000000003</v>
      </c>
      <c r="P367" s="31">
        <f>K358+K359+K361+K362+K363+0</f>
        <v>14227.31</v>
      </c>
    </row>
    <row r="368" spans="1:29" hidden="1" x14ac:dyDescent="0.2">
      <c r="J368"/>
      <c r="L368"/>
    </row>
    <row r="369" spans="1:29" ht="82.5" x14ac:dyDescent="0.2">
      <c r="A369" s="76">
        <v>38</v>
      </c>
      <c r="B369" s="76" t="str">
        <f>Source!F139</f>
        <v>КА, п.9</v>
      </c>
      <c r="C369" s="76" t="s">
        <v>862</v>
      </c>
      <c r="D369" s="77" t="str">
        <f>Source!H139</f>
        <v>ШТ</v>
      </c>
      <c r="E369" s="78">
        <f>Source!I139</f>
        <v>4</v>
      </c>
      <c r="F369" s="79">
        <f>Source!AL139</f>
        <v>91.24</v>
      </c>
      <c r="G369" s="80"/>
      <c r="H369" s="78">
        <f>Source!AW140</f>
        <v>1</v>
      </c>
      <c r="I369" s="79">
        <f>Source!P139</f>
        <v>364.96</v>
      </c>
      <c r="J369" s="88">
        <f>IF(Source!BC140&lt;&gt; 0, Source!BC140, 1)</f>
        <v>7.66</v>
      </c>
      <c r="K369" s="79">
        <f>Source!P140</f>
        <v>2795.59</v>
      </c>
      <c r="L369" s="90" t="s">
        <v>882</v>
      </c>
      <c r="N369" s="81" t="s">
        <v>883</v>
      </c>
      <c r="Q369">
        <f>Source!X139</f>
        <v>0</v>
      </c>
      <c r="R369">
        <f>Source!X140</f>
        <v>0</v>
      </c>
      <c r="S369">
        <f>Source!Y139</f>
        <v>0</v>
      </c>
      <c r="T369">
        <f>Source!Y140</f>
        <v>0</v>
      </c>
      <c r="U369">
        <f>ROUND((175/100)*ROUND(Source!R139, 2), 2)</f>
        <v>0</v>
      </c>
      <c r="V369">
        <f>ROUND((0/100)*ROUND(Source!R140, 2), 2)</f>
        <v>0</v>
      </c>
      <c r="AC369">
        <v>5</v>
      </c>
    </row>
    <row r="370" spans="1:29" ht="15" hidden="1" x14ac:dyDescent="0.2">
      <c r="A370" s="33"/>
      <c r="B370" s="33"/>
      <c r="C370" s="34" t="s">
        <v>844</v>
      </c>
      <c r="D370" s="33"/>
      <c r="E370" s="33"/>
      <c r="F370" s="33"/>
      <c r="G370" s="33"/>
      <c r="H370" s="47">
        <f>I369+0</f>
        <v>364.96</v>
      </c>
      <c r="I370" s="47"/>
      <c r="J370" s="47">
        <f>K369+0</f>
        <v>2795.59</v>
      </c>
      <c r="K370" s="47"/>
      <c r="L370"/>
      <c r="O370" s="31">
        <f>I369+0</f>
        <v>364.96</v>
      </c>
      <c r="P370" s="31">
        <f>K369+0</f>
        <v>2795.59</v>
      </c>
    </row>
    <row r="371" spans="1:29" hidden="1" x14ac:dyDescent="0.2">
      <c r="J371"/>
      <c r="L371"/>
    </row>
    <row r="372" spans="1:29" ht="57" hidden="1" x14ac:dyDescent="0.2">
      <c r="A372" s="19">
        <v>39</v>
      </c>
      <c r="B372" s="19" t="str">
        <f>Source!F141</f>
        <v>4.37-18-4</v>
      </c>
      <c r="C372" s="19" t="s">
        <v>253</v>
      </c>
      <c r="D372" s="21" t="str">
        <f>Source!H141</f>
        <v>1  ШТ.</v>
      </c>
      <c r="E372" s="20">
        <f>Source!I141</f>
        <v>9</v>
      </c>
      <c r="F372" s="23"/>
      <c r="G372" s="22"/>
      <c r="H372" s="20"/>
      <c r="I372" s="23"/>
      <c r="J372" s="20"/>
      <c r="K372" s="23"/>
      <c r="L372"/>
      <c r="Q372">
        <f>Source!X141</f>
        <v>103.37</v>
      </c>
      <c r="R372">
        <f>Source!X142</f>
        <v>5824.97</v>
      </c>
      <c r="S372">
        <f>Source!Y141</f>
        <v>55.06</v>
      </c>
      <c r="T372">
        <f>Source!Y142</f>
        <v>3102.43</v>
      </c>
      <c r="U372">
        <f>ROUND((175/100)*ROUND(Source!R141, 2), 2)</f>
        <v>0</v>
      </c>
      <c r="V372">
        <f>ROUND((0/100)*ROUND(Source!R142, 2), 2)</f>
        <v>0</v>
      </c>
      <c r="AC372">
        <v>0</v>
      </c>
    </row>
    <row r="373" spans="1:29" hidden="1" x14ac:dyDescent="0.2">
      <c r="C373" s="32" t="str">
        <f>"Объем: "&amp;Source!I141&amp;"=3+"&amp;"2+"&amp;"2+"&amp;"2"</f>
        <v>Объем: 9=3+2+2+2</v>
      </c>
      <c r="J373"/>
      <c r="L373"/>
    </row>
    <row r="374" spans="1:29" ht="14.25" hidden="1" x14ac:dyDescent="0.2">
      <c r="A374" s="19"/>
      <c r="B374" s="19"/>
      <c r="C374" s="19" t="s">
        <v>833</v>
      </c>
      <c r="D374" s="21"/>
      <c r="E374" s="20"/>
      <c r="F374" s="23">
        <f>Source!AO141</f>
        <v>9.75</v>
      </c>
      <c r="G374" s="22" t="s">
        <v>187</v>
      </c>
      <c r="H374" s="20">
        <f>Source!AV142</f>
        <v>1.0669999999999999</v>
      </c>
      <c r="I374" s="23">
        <f>Source!S141</f>
        <v>112.36</v>
      </c>
      <c r="J374" s="20">
        <f>IF(Source!BA142&lt;&gt; 0, Source!BA142, 1)</f>
        <v>56.35</v>
      </c>
      <c r="K374" s="23">
        <f>Source!S142</f>
        <v>6331.49</v>
      </c>
      <c r="L374"/>
    </row>
    <row r="375" spans="1:29" ht="14.25" hidden="1" x14ac:dyDescent="0.2">
      <c r="A375" s="19"/>
      <c r="B375" s="19"/>
      <c r="C375" s="19" t="s">
        <v>835</v>
      </c>
      <c r="D375" s="21"/>
      <c r="E375" s="20"/>
      <c r="F375" s="23">
        <f>Source!AM141</f>
        <v>0.05</v>
      </c>
      <c r="G375" s="22" t="s">
        <v>187</v>
      </c>
      <c r="H375" s="20">
        <f>Source!AV142</f>
        <v>1.0669999999999999</v>
      </c>
      <c r="I375" s="23">
        <f>Source!Q141</f>
        <v>0.57999999999999996</v>
      </c>
      <c r="J375" s="20">
        <f>IF(Source!BB142&lt;&gt; 0, Source!BB142, 1)</f>
        <v>8.8000000000000007</v>
      </c>
      <c r="K375" s="23">
        <f>Source!Q142</f>
        <v>5.0999999999999996</v>
      </c>
      <c r="L375"/>
    </row>
    <row r="376" spans="1:29" ht="14.25" hidden="1" x14ac:dyDescent="0.2">
      <c r="A376" s="19"/>
      <c r="B376" s="19"/>
      <c r="C376" s="19" t="s">
        <v>847</v>
      </c>
      <c r="D376" s="21"/>
      <c r="E376" s="20"/>
      <c r="F376" s="23">
        <f>Source!AL141</f>
        <v>1.31</v>
      </c>
      <c r="G376" s="22"/>
      <c r="H376" s="20">
        <f>Source!AW142</f>
        <v>1.028</v>
      </c>
      <c r="I376" s="23">
        <f>Source!P141</f>
        <v>12.12</v>
      </c>
      <c r="J376" s="20">
        <f>IF(Source!BC142&lt;&gt; 0, Source!BC142, 1)</f>
        <v>2.9</v>
      </c>
      <c r="K376" s="23">
        <f>Source!P142</f>
        <v>35.15</v>
      </c>
      <c r="L376"/>
    </row>
    <row r="377" spans="1:29" ht="14.25" hidden="1" x14ac:dyDescent="0.2">
      <c r="A377" s="19"/>
      <c r="B377" s="19"/>
      <c r="C377" s="19" t="s">
        <v>837</v>
      </c>
      <c r="D377" s="21" t="s">
        <v>838</v>
      </c>
      <c r="E377" s="20">
        <f>Source!BZ142</f>
        <v>92</v>
      </c>
      <c r="F377" s="23"/>
      <c r="G377" s="22"/>
      <c r="H377" s="20"/>
      <c r="I377" s="23">
        <f>SUM(Q372:Q376)</f>
        <v>103.37</v>
      </c>
      <c r="J377" s="20">
        <f>Source!AT142</f>
        <v>92</v>
      </c>
      <c r="K377" s="23">
        <f>SUM(R372:R376)</f>
        <v>5824.97</v>
      </c>
      <c r="L377"/>
    </row>
    <row r="378" spans="1:29" ht="14.25" hidden="1" x14ac:dyDescent="0.2">
      <c r="A378" s="19"/>
      <c r="B378" s="19"/>
      <c r="C378" s="19" t="s">
        <v>839</v>
      </c>
      <c r="D378" s="21" t="s">
        <v>838</v>
      </c>
      <c r="E378" s="20">
        <f>Source!CA142</f>
        <v>49</v>
      </c>
      <c r="F378" s="23"/>
      <c r="G378" s="22"/>
      <c r="H378" s="20"/>
      <c r="I378" s="23">
        <f>SUM(S372:S377)</f>
        <v>55.06</v>
      </c>
      <c r="J378" s="20">
        <f>Source!AU142</f>
        <v>49</v>
      </c>
      <c r="K378" s="23">
        <f>SUM(T372:T377)</f>
        <v>3102.43</v>
      </c>
      <c r="L378"/>
    </row>
    <row r="379" spans="1:29" ht="14.25" hidden="1" x14ac:dyDescent="0.2">
      <c r="A379" s="25"/>
      <c r="B379" s="25"/>
      <c r="C379" s="25" t="s">
        <v>840</v>
      </c>
      <c r="D379" s="26" t="s">
        <v>841</v>
      </c>
      <c r="E379" s="27">
        <f>Source!AQ141</f>
        <v>0.6</v>
      </c>
      <c r="F379" s="28"/>
      <c r="G379" s="29" t="s">
        <v>187</v>
      </c>
      <c r="H379" s="27">
        <f>Source!AV142</f>
        <v>1.0669999999999999</v>
      </c>
      <c r="I379" s="28">
        <f>Source!U141</f>
        <v>6.914159999999999</v>
      </c>
      <c r="J379" s="27"/>
      <c r="K379" s="28"/>
      <c r="L379"/>
    </row>
    <row r="380" spans="1:29" ht="15" hidden="1" x14ac:dyDescent="0.2">
      <c r="C380" s="30" t="s">
        <v>842</v>
      </c>
      <c r="H380" s="48">
        <f>I374+I375+I376+I377+I378+0-0-0</f>
        <v>283.49</v>
      </c>
      <c r="I380" s="48"/>
      <c r="J380" s="48">
        <f>K374+K375+K376+K377+K378+0-0-0</f>
        <v>15299.14</v>
      </c>
      <c r="K380" s="48"/>
      <c r="L380"/>
    </row>
    <row r="381" spans="1:29" ht="15" hidden="1" x14ac:dyDescent="0.2">
      <c r="C381" s="30" t="s">
        <v>843</v>
      </c>
      <c r="H381" s="43">
        <f>0+0</f>
        <v>0</v>
      </c>
      <c r="I381" s="43"/>
      <c r="J381" s="43">
        <f>0+0</f>
        <v>0</v>
      </c>
      <c r="K381" s="43"/>
      <c r="L381"/>
    </row>
    <row r="382" spans="1:29" ht="15" hidden="1" x14ac:dyDescent="0.2">
      <c r="C382" s="30" t="s">
        <v>844</v>
      </c>
      <c r="H382" s="43">
        <f>I374+I375+I376+I377+I378+0</f>
        <v>283.49</v>
      </c>
      <c r="I382" s="43"/>
      <c r="J382" s="43">
        <f>K374+K375+K376+K377+K378+0</f>
        <v>15299.14</v>
      </c>
      <c r="K382" s="43"/>
      <c r="L382"/>
      <c r="O382" s="31">
        <f>I374+I375+I376+I377+I378+0</f>
        <v>283.49</v>
      </c>
      <c r="P382" s="31">
        <f>K374+K375+K376+K377+K378+0</f>
        <v>15299.14</v>
      </c>
    </row>
    <row r="383" spans="1:29" hidden="1" x14ac:dyDescent="0.2">
      <c r="J383"/>
      <c r="L383"/>
    </row>
    <row r="384" spans="1:29" ht="111" x14ac:dyDescent="0.2">
      <c r="A384" s="76">
        <v>40</v>
      </c>
      <c r="B384" s="76" t="str">
        <f>Source!F143</f>
        <v>КА, п.10</v>
      </c>
      <c r="C384" s="76" t="s">
        <v>863</v>
      </c>
      <c r="D384" s="77" t="str">
        <f>Source!H143</f>
        <v>ШТ</v>
      </c>
      <c r="E384" s="78">
        <f>Source!I143</f>
        <v>3</v>
      </c>
      <c r="F384" s="79">
        <f>Source!AL143</f>
        <v>23295.34</v>
      </c>
      <c r="G384" s="80"/>
      <c r="H384" s="78">
        <f>Source!AW144</f>
        <v>1</v>
      </c>
      <c r="I384" s="79">
        <f>Source!P143</f>
        <v>69886.02</v>
      </c>
      <c r="J384" s="88">
        <f>IF(Source!BC144&lt;&gt; 0, Source!BC144, 1)</f>
        <v>7.66</v>
      </c>
      <c r="K384" s="79">
        <f>Source!P144</f>
        <v>535326.91</v>
      </c>
      <c r="L384" s="90">
        <v>195723</v>
      </c>
      <c r="N384" s="81" t="s">
        <v>883</v>
      </c>
      <c r="Q384">
        <f>Source!X143</f>
        <v>0</v>
      </c>
      <c r="R384">
        <f>Source!X144</f>
        <v>0</v>
      </c>
      <c r="S384">
        <f>Source!Y143</f>
        <v>0</v>
      </c>
      <c r="T384">
        <f>Source!Y144</f>
        <v>0</v>
      </c>
      <c r="U384">
        <f>ROUND((175/100)*ROUND(Source!R143, 2), 2)</f>
        <v>0</v>
      </c>
      <c r="V384">
        <f>ROUND((0/100)*ROUND(Source!R144, 2), 2)</f>
        <v>0</v>
      </c>
      <c r="AC384">
        <v>5</v>
      </c>
    </row>
    <row r="385" spans="1:29" ht="15" hidden="1" x14ac:dyDescent="0.2">
      <c r="A385" s="33"/>
      <c r="B385" s="33"/>
      <c r="C385" s="34" t="s">
        <v>844</v>
      </c>
      <c r="D385" s="33"/>
      <c r="E385" s="33"/>
      <c r="F385" s="33"/>
      <c r="G385" s="33"/>
      <c r="H385" s="47">
        <f>I384+0</f>
        <v>69886.02</v>
      </c>
      <c r="I385" s="47"/>
      <c r="J385" s="47">
        <f>K384+0</f>
        <v>535326.91</v>
      </c>
      <c r="K385" s="47"/>
      <c r="L385"/>
      <c r="O385" s="31">
        <f>I384+0</f>
        <v>69886.02</v>
      </c>
      <c r="P385" s="31">
        <f>K384+0</f>
        <v>535326.91</v>
      </c>
    </row>
    <row r="386" spans="1:29" hidden="1" x14ac:dyDescent="0.2">
      <c r="J386"/>
      <c r="L386"/>
    </row>
    <row r="387" spans="1:29" ht="111" x14ac:dyDescent="0.2">
      <c r="A387" s="76">
        <v>41</v>
      </c>
      <c r="B387" s="76" t="str">
        <f>Source!F145</f>
        <v>КА, п.11</v>
      </c>
      <c r="C387" s="76" t="s">
        <v>864</v>
      </c>
      <c r="D387" s="77" t="str">
        <f>Source!H145</f>
        <v>ШТ</v>
      </c>
      <c r="E387" s="78">
        <f>Source!I145</f>
        <v>2</v>
      </c>
      <c r="F387" s="79">
        <f>Source!AL145</f>
        <v>19852.210000000003</v>
      </c>
      <c r="G387" s="80"/>
      <c r="H387" s="78">
        <f>Source!AW146</f>
        <v>1</v>
      </c>
      <c r="I387" s="79">
        <f>Source!P145</f>
        <v>39704.42</v>
      </c>
      <c r="J387" s="88">
        <f>IF(Source!BC146&lt;&gt; 0, Source!BC146, 1)</f>
        <v>7.66</v>
      </c>
      <c r="K387" s="79">
        <f>Source!P146</f>
        <v>304135.86</v>
      </c>
      <c r="L387" s="90" t="s">
        <v>882</v>
      </c>
      <c r="N387" s="81" t="s">
        <v>883</v>
      </c>
      <c r="Q387">
        <f>Source!X145</f>
        <v>0</v>
      </c>
      <c r="R387">
        <f>Source!X146</f>
        <v>0</v>
      </c>
      <c r="S387">
        <f>Source!Y145</f>
        <v>0</v>
      </c>
      <c r="T387">
        <f>Source!Y146</f>
        <v>0</v>
      </c>
      <c r="U387">
        <f>ROUND((175/100)*ROUND(Source!R145, 2), 2)</f>
        <v>0</v>
      </c>
      <c r="V387">
        <f>ROUND((0/100)*ROUND(Source!R146, 2), 2)</f>
        <v>0</v>
      </c>
      <c r="AC387">
        <v>5</v>
      </c>
    </row>
    <row r="388" spans="1:29" ht="15" hidden="1" x14ac:dyDescent="0.2">
      <c r="A388" s="33"/>
      <c r="B388" s="33"/>
      <c r="C388" s="34" t="s">
        <v>844</v>
      </c>
      <c r="D388" s="33"/>
      <c r="E388" s="33"/>
      <c r="F388" s="33"/>
      <c r="G388" s="33"/>
      <c r="H388" s="47">
        <f>I387+0</f>
        <v>39704.42</v>
      </c>
      <c r="I388" s="47"/>
      <c r="J388" s="47">
        <f>K387+0</f>
        <v>304135.86</v>
      </c>
      <c r="K388" s="47"/>
      <c r="L388"/>
      <c r="O388" s="31">
        <f>I387+0</f>
        <v>39704.42</v>
      </c>
      <c r="P388" s="31">
        <f>K387+0</f>
        <v>304135.86</v>
      </c>
    </row>
    <row r="389" spans="1:29" hidden="1" x14ac:dyDescent="0.2">
      <c r="J389"/>
      <c r="L389"/>
    </row>
    <row r="390" spans="1:29" ht="111" x14ac:dyDescent="0.2">
      <c r="A390" s="76">
        <v>42</v>
      </c>
      <c r="B390" s="76" t="str">
        <f>Source!F147</f>
        <v>КА, п.12</v>
      </c>
      <c r="C390" s="76" t="s">
        <v>865</v>
      </c>
      <c r="D390" s="77" t="str">
        <f>Source!H147</f>
        <v>ШТ</v>
      </c>
      <c r="E390" s="78">
        <f>Source!I147</f>
        <v>2</v>
      </c>
      <c r="F390" s="79">
        <f>Source!AL147</f>
        <v>24626.109999999997</v>
      </c>
      <c r="G390" s="80"/>
      <c r="H390" s="78">
        <f>Source!AW148</f>
        <v>1</v>
      </c>
      <c r="I390" s="79">
        <f>Source!P147</f>
        <v>49252.22</v>
      </c>
      <c r="J390" s="88">
        <f>IF(Source!BC148&lt;&gt; 0, Source!BC148, 1)</f>
        <v>7.66</v>
      </c>
      <c r="K390" s="79">
        <f>Source!P148</f>
        <v>377272.01</v>
      </c>
      <c r="L390" s="90" t="s">
        <v>882</v>
      </c>
      <c r="N390" s="81" t="s">
        <v>883</v>
      </c>
      <c r="Q390">
        <f>Source!X147</f>
        <v>0</v>
      </c>
      <c r="R390">
        <f>Source!X148</f>
        <v>0</v>
      </c>
      <c r="S390">
        <f>Source!Y147</f>
        <v>0</v>
      </c>
      <c r="T390">
        <f>Source!Y148</f>
        <v>0</v>
      </c>
      <c r="U390">
        <f>ROUND((175/100)*ROUND(Source!R147, 2), 2)</f>
        <v>0</v>
      </c>
      <c r="V390">
        <f>ROUND((0/100)*ROUND(Source!R148, 2), 2)</f>
        <v>0</v>
      </c>
      <c r="AC390">
        <v>5</v>
      </c>
    </row>
    <row r="391" spans="1:29" ht="15" hidden="1" x14ac:dyDescent="0.2">
      <c r="A391" s="33"/>
      <c r="B391" s="33"/>
      <c r="C391" s="34" t="s">
        <v>844</v>
      </c>
      <c r="D391" s="33"/>
      <c r="E391" s="33"/>
      <c r="F391" s="33"/>
      <c r="G391" s="33"/>
      <c r="H391" s="47">
        <f>I390+0</f>
        <v>49252.22</v>
      </c>
      <c r="I391" s="47"/>
      <c r="J391" s="47">
        <f>K390+0</f>
        <v>377272.01</v>
      </c>
      <c r="K391" s="47"/>
      <c r="L391"/>
      <c r="O391" s="31">
        <f>I390+0</f>
        <v>49252.22</v>
      </c>
      <c r="P391" s="31">
        <f>K390+0</f>
        <v>377272.01</v>
      </c>
    </row>
    <row r="392" spans="1:29" hidden="1" x14ac:dyDescent="0.2">
      <c r="J392"/>
      <c r="L392"/>
    </row>
    <row r="393" spans="1:29" ht="111" x14ac:dyDescent="0.2">
      <c r="A393" s="76">
        <v>43</v>
      </c>
      <c r="B393" s="76" t="str">
        <f>Source!F149</f>
        <v>КА, п.13</v>
      </c>
      <c r="C393" s="76" t="s">
        <v>866</v>
      </c>
      <c r="D393" s="77" t="str">
        <f>Source!H149</f>
        <v>ШТ</v>
      </c>
      <c r="E393" s="78">
        <f>Source!I149</f>
        <v>2</v>
      </c>
      <c r="F393" s="79">
        <f>Source!AL149</f>
        <v>23863.54</v>
      </c>
      <c r="G393" s="80"/>
      <c r="H393" s="78">
        <f>Source!AW150</f>
        <v>1</v>
      </c>
      <c r="I393" s="79">
        <f>Source!P149</f>
        <v>47727.08</v>
      </c>
      <c r="J393" s="88">
        <f>IF(Source!BC150&lt;&gt; 0, Source!BC150, 1)</f>
        <v>7.66</v>
      </c>
      <c r="K393" s="79">
        <f>Source!P150</f>
        <v>365589.43</v>
      </c>
      <c r="L393" s="90" t="s">
        <v>882</v>
      </c>
      <c r="N393" s="81" t="s">
        <v>883</v>
      </c>
      <c r="Q393">
        <f>Source!X149</f>
        <v>0</v>
      </c>
      <c r="R393">
        <f>Source!X150</f>
        <v>0</v>
      </c>
      <c r="S393">
        <f>Source!Y149</f>
        <v>0</v>
      </c>
      <c r="T393">
        <f>Source!Y150</f>
        <v>0</v>
      </c>
      <c r="U393">
        <f>ROUND((175/100)*ROUND(Source!R149, 2), 2)</f>
        <v>0</v>
      </c>
      <c r="V393">
        <f>ROUND((0/100)*ROUND(Source!R150, 2), 2)</f>
        <v>0</v>
      </c>
      <c r="AC393">
        <v>5</v>
      </c>
    </row>
    <row r="394" spans="1:29" ht="15" hidden="1" x14ac:dyDescent="0.2">
      <c r="A394" s="33"/>
      <c r="B394" s="33"/>
      <c r="C394" s="34" t="s">
        <v>844</v>
      </c>
      <c r="D394" s="33"/>
      <c r="E394" s="33"/>
      <c r="F394" s="33"/>
      <c r="G394" s="33"/>
      <c r="H394" s="47">
        <f>I393+0</f>
        <v>47727.08</v>
      </c>
      <c r="I394" s="47"/>
      <c r="J394" s="47">
        <f>K393+0</f>
        <v>365589.43</v>
      </c>
      <c r="K394" s="47"/>
      <c r="L394"/>
      <c r="O394" s="31">
        <f>I393+0</f>
        <v>47727.08</v>
      </c>
      <c r="P394" s="31">
        <f>K393+0</f>
        <v>365589.43</v>
      </c>
    </row>
    <row r="395" spans="1:29" hidden="1" x14ac:dyDescent="0.2">
      <c r="J395"/>
      <c r="L395"/>
    </row>
    <row r="396" spans="1:29" ht="99.75" x14ac:dyDescent="0.2">
      <c r="A396" s="76">
        <v>44</v>
      </c>
      <c r="B396" s="76" t="str">
        <f>Source!F151</f>
        <v>13.3-9-178</v>
      </c>
      <c r="C396" s="76" t="s">
        <v>867</v>
      </c>
      <c r="D396" s="77" t="str">
        <f>Source!H151</f>
        <v>шт.</v>
      </c>
      <c r="E396" s="78">
        <f>Source!I151</f>
        <v>2</v>
      </c>
      <c r="F396" s="79">
        <f>Source!AL151</f>
        <v>1160.49</v>
      </c>
      <c r="G396" s="80"/>
      <c r="H396" s="78">
        <f>Source!AW152</f>
        <v>1</v>
      </c>
      <c r="I396" s="79">
        <f>Source!P151</f>
        <v>2320.98</v>
      </c>
      <c r="J396" s="78">
        <f>IF(Source!BC152&lt;&gt; 0, Source!BC152, 1)</f>
        <v>4.66</v>
      </c>
      <c r="K396" s="79">
        <f>Source!P152</f>
        <v>10815.77</v>
      </c>
      <c r="L396" s="81" t="s">
        <v>882</v>
      </c>
      <c r="Q396">
        <f>Source!X151</f>
        <v>0</v>
      </c>
      <c r="R396">
        <f>Source!X152</f>
        <v>0</v>
      </c>
      <c r="S396">
        <f>Source!Y151</f>
        <v>0</v>
      </c>
      <c r="T396">
        <f>Source!Y152</f>
        <v>0</v>
      </c>
      <c r="U396">
        <f>ROUND((175/100)*ROUND(Source!R151, 2), 2)</f>
        <v>0</v>
      </c>
      <c r="V396">
        <f>ROUND((0/100)*ROUND(Source!R152, 2), 2)</f>
        <v>0</v>
      </c>
      <c r="AC396">
        <v>5</v>
      </c>
    </row>
    <row r="397" spans="1:29" ht="15" hidden="1" x14ac:dyDescent="0.2">
      <c r="A397" s="33"/>
      <c r="B397" s="33"/>
      <c r="C397" s="34" t="s">
        <v>844</v>
      </c>
      <c r="D397" s="33"/>
      <c r="E397" s="33"/>
      <c r="F397" s="33"/>
      <c r="G397" s="33"/>
      <c r="H397" s="47">
        <f>I396+0</f>
        <v>2320.98</v>
      </c>
      <c r="I397" s="47"/>
      <c r="J397" s="47">
        <f>K396+0</f>
        <v>10815.77</v>
      </c>
      <c r="K397" s="47"/>
      <c r="L397"/>
      <c r="O397" s="31">
        <f>I396+0</f>
        <v>2320.98</v>
      </c>
      <c r="P397" s="31">
        <f>K396+0</f>
        <v>10815.77</v>
      </c>
    </row>
    <row r="398" spans="1:29" hidden="1" x14ac:dyDescent="0.2">
      <c r="J398"/>
      <c r="L398"/>
    </row>
    <row r="399" spans="1:29" ht="68.25" x14ac:dyDescent="0.2">
      <c r="A399" s="76">
        <v>45</v>
      </c>
      <c r="B399" s="76" t="str">
        <f>Source!F153</f>
        <v>КА, п.14</v>
      </c>
      <c r="C399" s="76" t="s">
        <v>868</v>
      </c>
      <c r="D399" s="77" t="str">
        <f>Source!H153</f>
        <v>ШТ</v>
      </c>
      <c r="E399" s="78">
        <f>Source!I153</f>
        <v>1</v>
      </c>
      <c r="F399" s="79">
        <f>Source!AL153</f>
        <v>282.20000000000005</v>
      </c>
      <c r="G399" s="80"/>
      <c r="H399" s="78">
        <f>Source!AW154</f>
        <v>1</v>
      </c>
      <c r="I399" s="79">
        <f>Source!P153</f>
        <v>282.2</v>
      </c>
      <c r="J399" s="88">
        <f>IF(Source!BC154&lt;&gt; 0, Source!BC154, 1)</f>
        <v>7.66</v>
      </c>
      <c r="K399" s="79">
        <f>Source!P154</f>
        <v>2161.65</v>
      </c>
      <c r="L399" s="90" t="s">
        <v>882</v>
      </c>
      <c r="N399" s="81" t="s">
        <v>883</v>
      </c>
      <c r="Q399">
        <f>Source!X153</f>
        <v>0</v>
      </c>
      <c r="R399">
        <f>Source!X154</f>
        <v>0</v>
      </c>
      <c r="S399">
        <f>Source!Y153</f>
        <v>0</v>
      </c>
      <c r="T399">
        <f>Source!Y154</f>
        <v>0</v>
      </c>
      <c r="U399">
        <f>ROUND((175/100)*ROUND(Source!R153, 2), 2)</f>
        <v>0</v>
      </c>
      <c r="V399">
        <f>ROUND((0/100)*ROUND(Source!R154, 2), 2)</f>
        <v>0</v>
      </c>
      <c r="AC399">
        <v>5</v>
      </c>
    </row>
    <row r="400" spans="1:29" ht="15" hidden="1" x14ac:dyDescent="0.2">
      <c r="A400" s="33"/>
      <c r="B400" s="33"/>
      <c r="C400" s="34" t="s">
        <v>844</v>
      </c>
      <c r="D400" s="33"/>
      <c r="E400" s="33"/>
      <c r="F400" s="33"/>
      <c r="G400" s="33"/>
      <c r="H400" s="47">
        <f>I399+0</f>
        <v>282.2</v>
      </c>
      <c r="I400" s="47"/>
      <c r="J400" s="47">
        <f>K399+0</f>
        <v>2161.65</v>
      </c>
      <c r="K400" s="47"/>
      <c r="L400"/>
      <c r="O400" s="31">
        <f>I399+0</f>
        <v>282.2</v>
      </c>
      <c r="P400" s="31">
        <f>K399+0</f>
        <v>2161.65</v>
      </c>
    </row>
    <row r="401" spans="1:29" hidden="1" x14ac:dyDescent="0.2">
      <c r="J401"/>
      <c r="L401"/>
    </row>
    <row r="402" spans="1:29" ht="42.75" hidden="1" x14ac:dyDescent="0.2">
      <c r="A402" s="19">
        <v>46</v>
      </c>
      <c r="B402" s="19" t="str">
        <f>Source!F155</f>
        <v>3.9-74-1</v>
      </c>
      <c r="C402" s="19" t="s">
        <v>279</v>
      </c>
      <c r="D402" s="21" t="str">
        <f>Source!H155</f>
        <v>10 шт.</v>
      </c>
      <c r="E402" s="20">
        <f>Source!I155</f>
        <v>0.4</v>
      </c>
      <c r="F402" s="23"/>
      <c r="G402" s="22"/>
      <c r="H402" s="20"/>
      <c r="I402" s="23"/>
      <c r="J402" s="20"/>
      <c r="K402" s="23"/>
      <c r="L402"/>
      <c r="Q402">
        <f>Source!X155</f>
        <v>125.3</v>
      </c>
      <c r="R402">
        <f>Source!X156</f>
        <v>7060.6</v>
      </c>
      <c r="S402">
        <f>Source!Y155</f>
        <v>83.53</v>
      </c>
      <c r="T402">
        <f>Source!Y156</f>
        <v>4707.0600000000004</v>
      </c>
      <c r="U402">
        <f>ROUND((175/100)*ROUND(Source!R155, 2), 2)</f>
        <v>19.579999999999998</v>
      </c>
      <c r="V402">
        <f>ROUND((0/100)*ROUND(Source!R156, 2), 2)</f>
        <v>0</v>
      </c>
      <c r="AC402">
        <v>0</v>
      </c>
    </row>
    <row r="403" spans="1:29" hidden="1" x14ac:dyDescent="0.2">
      <c r="C403" s="32" t="str">
        <f>"Объем: "&amp;Source!I155&amp;"=4/"&amp;"10"</f>
        <v>Объем: 0,4=4/10</v>
      </c>
      <c r="J403"/>
      <c r="L403"/>
    </row>
    <row r="404" spans="1:29" ht="14.25" hidden="1" x14ac:dyDescent="0.2">
      <c r="A404" s="19"/>
      <c r="B404" s="19"/>
      <c r="C404" s="19" t="s">
        <v>833</v>
      </c>
      <c r="D404" s="21"/>
      <c r="E404" s="20"/>
      <c r="F404" s="23">
        <f>Source!AO155</f>
        <v>205.89</v>
      </c>
      <c r="G404" s="22" t="s">
        <v>869</v>
      </c>
      <c r="H404" s="20">
        <f>Source!AV156</f>
        <v>1.087</v>
      </c>
      <c r="I404" s="23">
        <f>Source!S155</f>
        <v>123.54</v>
      </c>
      <c r="J404" s="20">
        <f>IF(Source!BA156&lt;&gt; 0, Source!BA156, 1)</f>
        <v>56.35</v>
      </c>
      <c r="K404" s="23">
        <f>Source!S156</f>
        <v>6961.48</v>
      </c>
      <c r="L404"/>
    </row>
    <row r="405" spans="1:29" ht="14.25" hidden="1" x14ac:dyDescent="0.2">
      <c r="A405" s="19"/>
      <c r="B405" s="19"/>
      <c r="C405" s="19" t="s">
        <v>835</v>
      </c>
      <c r="D405" s="21"/>
      <c r="E405" s="20"/>
      <c r="F405" s="23">
        <f>Source!AM155</f>
        <v>113.73</v>
      </c>
      <c r="G405" s="22" t="s">
        <v>870</v>
      </c>
      <c r="H405" s="20">
        <f>Source!AV156</f>
        <v>1.087</v>
      </c>
      <c r="I405" s="23">
        <f>Source!Q155</f>
        <v>74.17</v>
      </c>
      <c r="J405" s="20">
        <f>IF(Source!BB156&lt;&gt; 0, Source!BB156, 1)</f>
        <v>17.02</v>
      </c>
      <c r="K405" s="23">
        <f>Source!Q156</f>
        <v>1262.3699999999999</v>
      </c>
      <c r="L405"/>
    </row>
    <row r="406" spans="1:29" ht="14.25" hidden="1" x14ac:dyDescent="0.2">
      <c r="A406" s="19"/>
      <c r="B406" s="19"/>
      <c r="C406" s="19" t="s">
        <v>836</v>
      </c>
      <c r="D406" s="21"/>
      <c r="E406" s="20"/>
      <c r="F406" s="23">
        <f>Source!AN155</f>
        <v>17.16</v>
      </c>
      <c r="G406" s="22" t="s">
        <v>870</v>
      </c>
      <c r="H406" s="20">
        <f>Source!AV156</f>
        <v>1.087</v>
      </c>
      <c r="I406" s="24">
        <f>Source!R155</f>
        <v>11.19</v>
      </c>
      <c r="J406" s="20">
        <f>IF(Source!BS156&lt;&gt; 0, Source!BS156, 1)</f>
        <v>56.35</v>
      </c>
      <c r="K406" s="24">
        <f>Source!R156</f>
        <v>630.55999999999995</v>
      </c>
      <c r="L406"/>
    </row>
    <row r="407" spans="1:29" ht="14.25" hidden="1" x14ac:dyDescent="0.2">
      <c r="A407" s="19"/>
      <c r="B407" s="19"/>
      <c r="C407" s="19" t="s">
        <v>847</v>
      </c>
      <c r="D407" s="21"/>
      <c r="E407" s="20"/>
      <c r="F407" s="23">
        <f>Source!AL155</f>
        <v>487.88</v>
      </c>
      <c r="G407" s="22"/>
      <c r="H407" s="20">
        <f>Source!AW156</f>
        <v>1</v>
      </c>
      <c r="I407" s="23">
        <f>Source!P155</f>
        <v>195.15</v>
      </c>
      <c r="J407" s="20">
        <f>IF(Source!BC156&lt;&gt; 0, Source!BC156, 1)</f>
        <v>6.4</v>
      </c>
      <c r="K407" s="23">
        <f>Source!P156</f>
        <v>1248.96</v>
      </c>
      <c r="L407"/>
    </row>
    <row r="408" spans="1:29" ht="99.75" hidden="1" x14ac:dyDescent="0.2">
      <c r="A408" s="19" t="s">
        <v>284</v>
      </c>
      <c r="B408" s="19" t="str">
        <f>Source!F157</f>
        <v>1.7-2-94</v>
      </c>
      <c r="C408" s="19" t="s">
        <v>286</v>
      </c>
      <c r="D408" s="21" t="str">
        <f>Source!H157</f>
        <v>т</v>
      </c>
      <c r="E408" s="20">
        <f>Source!I157</f>
        <v>0.45079999999999992</v>
      </c>
      <c r="F408" s="23">
        <f>Source!AK157</f>
        <v>45481.31</v>
      </c>
      <c r="G408" s="35" t="s">
        <v>3</v>
      </c>
      <c r="H408" s="20">
        <f>Source!AW158</f>
        <v>1</v>
      </c>
      <c r="I408" s="23">
        <f>Source!O157</f>
        <v>20502.97</v>
      </c>
      <c r="J408" s="20">
        <f>IF(Source!BC158&lt;&gt; 0, Source!BC158, 1)</f>
        <v>2.54</v>
      </c>
      <c r="K408" s="23">
        <f>Source!O158</f>
        <v>52077.54</v>
      </c>
      <c r="L408"/>
      <c r="Q408">
        <f>Source!X157</f>
        <v>0</v>
      </c>
      <c r="R408">
        <f>Source!X158</f>
        <v>0</v>
      </c>
      <c r="S408">
        <f>Source!Y157</f>
        <v>0</v>
      </c>
      <c r="T408">
        <f>Source!Y158</f>
        <v>0</v>
      </c>
      <c r="U408">
        <f>ROUND((175/100)*ROUND(Source!R157, 2), 2)</f>
        <v>0</v>
      </c>
      <c r="V408">
        <f>ROUND((0/100)*ROUND(Source!R158, 2), 2)</f>
        <v>0</v>
      </c>
      <c r="AC408">
        <v>3</v>
      </c>
    </row>
    <row r="409" spans="1:29" ht="14.25" hidden="1" x14ac:dyDescent="0.2">
      <c r="A409" s="19"/>
      <c r="B409" s="19"/>
      <c r="C409" s="19" t="s">
        <v>837</v>
      </c>
      <c r="D409" s="21" t="s">
        <v>838</v>
      </c>
      <c r="E409" s="20">
        <f>Source!BZ156</f>
        <v>93</v>
      </c>
      <c r="F409" s="23"/>
      <c r="G409" s="22"/>
      <c r="H409" s="20"/>
      <c r="I409" s="23">
        <f>SUM(Q402:Q408)</f>
        <v>125.3</v>
      </c>
      <c r="J409" s="20">
        <f>Source!AT156</f>
        <v>93</v>
      </c>
      <c r="K409" s="23">
        <f>SUM(R402:R408)</f>
        <v>7060.6</v>
      </c>
      <c r="L409"/>
    </row>
    <row r="410" spans="1:29" ht="14.25" hidden="1" x14ac:dyDescent="0.2">
      <c r="A410" s="19"/>
      <c r="B410" s="19"/>
      <c r="C410" s="19" t="s">
        <v>839</v>
      </c>
      <c r="D410" s="21" t="s">
        <v>838</v>
      </c>
      <c r="E410" s="20">
        <f>Source!CA156</f>
        <v>62</v>
      </c>
      <c r="F410" s="23"/>
      <c r="G410" s="22"/>
      <c r="H410" s="20"/>
      <c r="I410" s="23">
        <f>SUM(S402:S409)</f>
        <v>83.53</v>
      </c>
      <c r="J410" s="20">
        <f>Source!AU156</f>
        <v>62</v>
      </c>
      <c r="K410" s="23">
        <f>SUM(T402:T409)</f>
        <v>4707.0600000000004</v>
      </c>
      <c r="L410"/>
    </row>
    <row r="411" spans="1:29" ht="14.25" hidden="1" x14ac:dyDescent="0.2">
      <c r="A411" s="25"/>
      <c r="B411" s="25"/>
      <c r="C411" s="25" t="s">
        <v>840</v>
      </c>
      <c r="D411" s="26" t="s">
        <v>841</v>
      </c>
      <c r="E411" s="27">
        <f>Source!AQ155</f>
        <v>18.38</v>
      </c>
      <c r="F411" s="28"/>
      <c r="G411" s="29" t="s">
        <v>869</v>
      </c>
      <c r="H411" s="27">
        <f>Source!AV156</f>
        <v>1.087</v>
      </c>
      <c r="I411" s="28">
        <f>Source!U155</f>
        <v>11.028441119999998</v>
      </c>
      <c r="J411" s="27"/>
      <c r="K411" s="28"/>
      <c r="L411"/>
    </row>
    <row r="412" spans="1:29" ht="15" hidden="1" x14ac:dyDescent="0.2">
      <c r="C412" s="30" t="s">
        <v>842</v>
      </c>
      <c r="H412" s="48">
        <f>I404+I405+I407+I409+I410+SUM(I408:I408)-SUMIF(AC408:AC408, 5, I408:I408)-SUMIF(AC408:AC408, 6, I408:I408)</f>
        <v>21104.66</v>
      </c>
      <c r="I412" s="48"/>
      <c r="J412" s="48">
        <f>K404+K405+K407+K409+K410+SUM(K408:K408)-SUMIF(AC408:AC408, 5, K408:K408)-SUMIF(AC408:AC408, 6, K408:K408)</f>
        <v>73318.009999999995</v>
      </c>
      <c r="K412" s="48"/>
      <c r="L412"/>
    </row>
    <row r="413" spans="1:29" ht="15" hidden="1" x14ac:dyDescent="0.2">
      <c r="C413" s="30" t="s">
        <v>843</v>
      </c>
      <c r="H413" s="43">
        <f>SUMIF(AC408:AC408, 5, I408:I408)+SUMIF(AC408:AC408, 6, I408:I408)</f>
        <v>0</v>
      </c>
      <c r="I413" s="43"/>
      <c r="J413" s="43">
        <f>SUMIF(AC408:AC408, 5, K408:K408)+SUMIF(AC408:AC408, 6, K408:K408)</f>
        <v>0</v>
      </c>
      <c r="K413" s="43"/>
      <c r="L413"/>
    </row>
    <row r="414" spans="1:29" ht="15" hidden="1" x14ac:dyDescent="0.2">
      <c r="C414" s="30" t="s">
        <v>844</v>
      </c>
      <c r="H414" s="43">
        <f>I404+I405+I407+I409+I410+SUM(I408:I408)</f>
        <v>21104.66</v>
      </c>
      <c r="I414" s="43"/>
      <c r="J414" s="43">
        <f>K404+K405+K407+K409+K410+SUM(K408:K408)</f>
        <v>73318.009999999995</v>
      </c>
      <c r="K414" s="43"/>
      <c r="L414"/>
      <c r="O414" s="31">
        <f>I404+I405+I407+I409+I410+SUM(I408:I408)</f>
        <v>21104.66</v>
      </c>
      <c r="P414" s="31">
        <f>K404+K405+K407+K409+K410+SUM(K408:K408)</f>
        <v>73318.009999999995</v>
      </c>
    </row>
    <row r="415" spans="1:29" hidden="1" x14ac:dyDescent="0.2">
      <c r="J415"/>
      <c r="L415"/>
    </row>
    <row r="416" spans="1:29" ht="28.5" hidden="1" x14ac:dyDescent="0.2">
      <c r="A416" s="19">
        <v>47</v>
      </c>
      <c r="B416" s="19" t="str">
        <f>Source!F159</f>
        <v>4.10-1-12</v>
      </c>
      <c r="C416" s="19" t="s">
        <v>291</v>
      </c>
      <c r="D416" s="21" t="str">
        <f>Source!H159</f>
        <v>1 рамка</v>
      </c>
      <c r="E416" s="20">
        <f>Source!I159</f>
        <v>8</v>
      </c>
      <c r="F416" s="23"/>
      <c r="G416" s="22"/>
      <c r="H416" s="20"/>
      <c r="I416" s="23"/>
      <c r="J416" s="20"/>
      <c r="K416" s="23"/>
      <c r="L416"/>
      <c r="Q416">
        <f>Source!X159</f>
        <v>7.06</v>
      </c>
      <c r="R416">
        <f>Source!X160</f>
        <v>397.6</v>
      </c>
      <c r="S416">
        <f>Source!Y159</f>
        <v>3.61</v>
      </c>
      <c r="T416">
        <f>Source!Y160</f>
        <v>203.22</v>
      </c>
      <c r="U416">
        <f>ROUND((175/100)*ROUND(Source!R159, 2), 2)</f>
        <v>0</v>
      </c>
      <c r="V416">
        <f>ROUND((0/100)*ROUND(Source!R160, 2), 2)</f>
        <v>0</v>
      </c>
      <c r="AC416">
        <v>0</v>
      </c>
    </row>
    <row r="417" spans="1:29" hidden="1" x14ac:dyDescent="0.2">
      <c r="C417" s="32" t="str">
        <f>"Объем: "&amp;Source!I159&amp;"=4*"&amp;"2"</f>
        <v>Объем: 8=4*2</v>
      </c>
      <c r="J417"/>
      <c r="L417"/>
    </row>
    <row r="418" spans="1:29" ht="14.25" hidden="1" x14ac:dyDescent="0.2">
      <c r="A418" s="19"/>
      <c r="B418" s="19"/>
      <c r="C418" s="19" t="s">
        <v>833</v>
      </c>
      <c r="D418" s="21"/>
      <c r="E418" s="20"/>
      <c r="F418" s="23">
        <f>Source!AO159</f>
        <v>0.78</v>
      </c>
      <c r="G418" s="22" t="s">
        <v>187</v>
      </c>
      <c r="H418" s="20">
        <f>Source!AV160</f>
        <v>1.0469999999999999</v>
      </c>
      <c r="I418" s="23">
        <f>Source!S159</f>
        <v>7.84</v>
      </c>
      <c r="J418" s="20">
        <f>IF(Source!BA160&lt;&gt; 0, Source!BA160, 1)</f>
        <v>56.35</v>
      </c>
      <c r="K418" s="23">
        <f>Source!S160</f>
        <v>441.78</v>
      </c>
      <c r="L418"/>
    </row>
    <row r="419" spans="1:29" ht="71.25" hidden="1" x14ac:dyDescent="0.2">
      <c r="A419" s="19" t="s">
        <v>292</v>
      </c>
      <c r="B419" s="19" t="str">
        <f>Source!F161</f>
        <v>1.19-5-121</v>
      </c>
      <c r="C419" s="19" t="s">
        <v>294</v>
      </c>
      <c r="D419" s="21" t="str">
        <f>Source!H161</f>
        <v>шт.</v>
      </c>
      <c r="E419" s="20">
        <f>Source!I161</f>
        <v>8</v>
      </c>
      <c r="F419" s="23">
        <f>Source!AK161</f>
        <v>2740.08</v>
      </c>
      <c r="G419" s="35" t="s">
        <v>3</v>
      </c>
      <c r="H419" s="20">
        <f>Source!AW162</f>
        <v>1</v>
      </c>
      <c r="I419" s="23">
        <f>Source!O161</f>
        <v>21920.639999999999</v>
      </c>
      <c r="J419" s="20">
        <f>IF(Source!BC162&lt;&gt; 0, Source!BC162, 1)</f>
        <v>5.96</v>
      </c>
      <c r="K419" s="23">
        <f>Source!O162</f>
        <v>130647.01</v>
      </c>
      <c r="L419"/>
      <c r="Q419">
        <f>Source!X161</f>
        <v>0</v>
      </c>
      <c r="R419">
        <f>Source!X162</f>
        <v>0</v>
      </c>
      <c r="S419">
        <f>Source!Y161</f>
        <v>0</v>
      </c>
      <c r="T419">
        <f>Source!Y162</f>
        <v>0</v>
      </c>
      <c r="U419">
        <f>ROUND((175/100)*ROUND(Source!R161, 2), 2)</f>
        <v>0</v>
      </c>
      <c r="V419">
        <f>ROUND((0/100)*ROUND(Source!R162, 2), 2)</f>
        <v>0</v>
      </c>
      <c r="AC419">
        <v>3</v>
      </c>
    </row>
    <row r="420" spans="1:29" ht="14.25" hidden="1" x14ac:dyDescent="0.2">
      <c r="A420" s="19"/>
      <c r="B420" s="19"/>
      <c r="C420" s="19" t="s">
        <v>837</v>
      </c>
      <c r="D420" s="21" t="s">
        <v>838</v>
      </c>
      <c r="E420" s="20">
        <f>Source!BZ160</f>
        <v>90</v>
      </c>
      <c r="F420" s="23"/>
      <c r="G420" s="22"/>
      <c r="H420" s="20"/>
      <c r="I420" s="23">
        <f>SUM(Q416:Q419)</f>
        <v>7.06</v>
      </c>
      <c r="J420" s="20">
        <f>Source!AT160</f>
        <v>90</v>
      </c>
      <c r="K420" s="23">
        <f>SUM(R416:R419)</f>
        <v>397.6</v>
      </c>
      <c r="L420"/>
    </row>
    <row r="421" spans="1:29" ht="14.25" hidden="1" x14ac:dyDescent="0.2">
      <c r="A421" s="19"/>
      <c r="B421" s="19"/>
      <c r="C421" s="19" t="s">
        <v>839</v>
      </c>
      <c r="D421" s="21" t="s">
        <v>838</v>
      </c>
      <c r="E421" s="20">
        <f>Source!CA160</f>
        <v>46</v>
      </c>
      <c r="F421" s="23"/>
      <c r="G421" s="22"/>
      <c r="H421" s="20"/>
      <c r="I421" s="23">
        <f>SUM(S416:S420)</f>
        <v>3.61</v>
      </c>
      <c r="J421" s="20">
        <f>Source!AU160</f>
        <v>46</v>
      </c>
      <c r="K421" s="23">
        <f>SUM(T416:T420)</f>
        <v>203.22</v>
      </c>
      <c r="L421"/>
    </row>
    <row r="422" spans="1:29" ht="14.25" hidden="1" x14ac:dyDescent="0.2">
      <c r="A422" s="25"/>
      <c r="B422" s="25"/>
      <c r="C422" s="25" t="s">
        <v>840</v>
      </c>
      <c r="D422" s="26" t="s">
        <v>841</v>
      </c>
      <c r="E422" s="27">
        <f>Source!AQ159</f>
        <v>7.0000000000000007E-2</v>
      </c>
      <c r="F422" s="28"/>
      <c r="G422" s="29" t="s">
        <v>187</v>
      </c>
      <c r="H422" s="27">
        <f>Source!AV160</f>
        <v>1.0469999999999999</v>
      </c>
      <c r="I422" s="28">
        <f>Source!U159</f>
        <v>0.70358399999999999</v>
      </c>
      <c r="J422" s="27"/>
      <c r="K422" s="28"/>
      <c r="L422"/>
    </row>
    <row r="423" spans="1:29" ht="15" hidden="1" x14ac:dyDescent="0.2">
      <c r="C423" s="30" t="s">
        <v>842</v>
      </c>
      <c r="H423" s="48">
        <f>I418+I420+I421+SUM(I419:I419)-SUMIF(AC419:AC419, 5, I419:I419)-SUMIF(AC419:AC419, 6, I419:I419)</f>
        <v>21939.149999999998</v>
      </c>
      <c r="I423" s="48"/>
      <c r="J423" s="48">
        <f>K418+K420+K421+SUM(K419:K419)-SUMIF(AC419:AC419, 5, K419:K419)-SUMIF(AC419:AC419, 6, K419:K419)</f>
        <v>131689.60999999999</v>
      </c>
      <c r="K423" s="48"/>
      <c r="L423"/>
    </row>
    <row r="424" spans="1:29" ht="15" hidden="1" x14ac:dyDescent="0.2">
      <c r="C424" s="30" t="s">
        <v>843</v>
      </c>
      <c r="H424" s="43">
        <f>SUMIF(AC419:AC419, 5, I419:I419)+SUMIF(AC419:AC419, 6, I419:I419)</f>
        <v>0</v>
      </c>
      <c r="I424" s="43"/>
      <c r="J424" s="43">
        <f>SUMIF(AC419:AC419, 5, K419:K419)+SUMIF(AC419:AC419, 6, K419:K419)</f>
        <v>0</v>
      </c>
      <c r="K424" s="43"/>
      <c r="L424"/>
    </row>
    <row r="425" spans="1:29" ht="15" hidden="1" x14ac:dyDescent="0.2">
      <c r="C425" s="30" t="s">
        <v>844</v>
      </c>
      <c r="H425" s="43">
        <f>I418+I420+I421+SUM(I419:I419)</f>
        <v>21939.149999999998</v>
      </c>
      <c r="I425" s="43"/>
      <c r="J425" s="43">
        <f>K418+K420+K421+SUM(K419:K419)</f>
        <v>131689.60999999999</v>
      </c>
      <c r="K425" s="43"/>
      <c r="L425"/>
      <c r="O425" s="31">
        <f>I418+I420+I421+SUM(I419:I419)</f>
        <v>21939.149999999998</v>
      </c>
      <c r="P425" s="31">
        <f>K418+K420+K421+SUM(K419:K419)</f>
        <v>131689.60999999999</v>
      </c>
    </row>
    <row r="426" spans="1:29" hidden="1" x14ac:dyDescent="0.2">
      <c r="J426"/>
      <c r="L426"/>
    </row>
    <row r="427" spans="1:29" ht="42.75" hidden="1" x14ac:dyDescent="0.2">
      <c r="A427" s="19">
        <v>48</v>
      </c>
      <c r="B427" s="19" t="str">
        <f>Source!F163</f>
        <v>3.70-434-1</v>
      </c>
      <c r="C427" s="19" t="s">
        <v>297</v>
      </c>
      <c r="D427" s="21" t="str">
        <f>Source!H163</f>
        <v>100 шт.</v>
      </c>
      <c r="E427" s="20">
        <f>Source!I163</f>
        <v>0.04</v>
      </c>
      <c r="F427" s="23"/>
      <c r="G427" s="22"/>
      <c r="H427" s="20"/>
      <c r="I427" s="23"/>
      <c r="J427" s="20"/>
      <c r="K427" s="23"/>
      <c r="L427"/>
      <c r="Q427">
        <f>Source!X163</f>
        <v>10.92</v>
      </c>
      <c r="R427">
        <f>Source!X164</f>
        <v>615.24</v>
      </c>
      <c r="S427">
        <f>Source!Y163</f>
        <v>7.28</v>
      </c>
      <c r="T427">
        <f>Source!Y164</f>
        <v>410.16</v>
      </c>
      <c r="U427">
        <f>ROUND((175/100)*ROUND(Source!R163, 2), 2)</f>
        <v>0.26</v>
      </c>
      <c r="V427">
        <f>ROUND((0/100)*ROUND(Source!R164, 2), 2)</f>
        <v>0</v>
      </c>
      <c r="AC427">
        <v>0</v>
      </c>
    </row>
    <row r="428" spans="1:29" hidden="1" x14ac:dyDescent="0.2">
      <c r="C428" s="32" t="str">
        <f>"Объем: "&amp;Source!I163&amp;"=4/"&amp;"100"</f>
        <v>Объем: 0,04=4/100</v>
      </c>
      <c r="J428"/>
      <c r="L428"/>
    </row>
    <row r="429" spans="1:29" ht="14.25" hidden="1" x14ac:dyDescent="0.2">
      <c r="A429" s="19"/>
      <c r="B429" s="19"/>
      <c r="C429" s="19" t="s">
        <v>833</v>
      </c>
      <c r="D429" s="21"/>
      <c r="E429" s="20"/>
      <c r="F429" s="23">
        <f>Source!AO163</f>
        <v>193.13</v>
      </c>
      <c r="G429" s="22" t="s">
        <v>869</v>
      </c>
      <c r="H429" s="20">
        <f>Source!AV164</f>
        <v>1.087</v>
      </c>
      <c r="I429" s="23">
        <f>Source!S163</f>
        <v>11.59</v>
      </c>
      <c r="J429" s="20">
        <f>IF(Source!BA164&lt;&gt; 0, Source!BA164, 1)</f>
        <v>56.35</v>
      </c>
      <c r="K429" s="23">
        <f>Source!S164</f>
        <v>653.1</v>
      </c>
      <c r="L429"/>
    </row>
    <row r="430" spans="1:29" ht="14.25" hidden="1" x14ac:dyDescent="0.2">
      <c r="A430" s="19"/>
      <c r="B430" s="19"/>
      <c r="C430" s="19" t="s">
        <v>835</v>
      </c>
      <c r="D430" s="21"/>
      <c r="E430" s="20"/>
      <c r="F430" s="23">
        <f>Source!AM163</f>
        <v>18.690000000000001</v>
      </c>
      <c r="G430" s="22" t="s">
        <v>870</v>
      </c>
      <c r="H430" s="20">
        <f>Source!AV164</f>
        <v>1.087</v>
      </c>
      <c r="I430" s="23">
        <f>Source!Q163</f>
        <v>1.22</v>
      </c>
      <c r="J430" s="20">
        <f>IF(Source!BB164&lt;&gt; 0, Source!BB164, 1)</f>
        <v>15.58</v>
      </c>
      <c r="K430" s="23">
        <f>Source!Q164</f>
        <v>19.010000000000002</v>
      </c>
      <c r="L430"/>
    </row>
    <row r="431" spans="1:29" ht="14.25" hidden="1" x14ac:dyDescent="0.2">
      <c r="A431" s="19"/>
      <c r="B431" s="19"/>
      <c r="C431" s="19" t="s">
        <v>836</v>
      </c>
      <c r="D431" s="21"/>
      <c r="E431" s="20"/>
      <c r="F431" s="23">
        <f>Source!AN163</f>
        <v>2.27</v>
      </c>
      <c r="G431" s="22" t="s">
        <v>870</v>
      </c>
      <c r="H431" s="20">
        <f>Source!AV164</f>
        <v>1.087</v>
      </c>
      <c r="I431" s="24">
        <f>Source!R163</f>
        <v>0.15</v>
      </c>
      <c r="J431" s="20">
        <f>IF(Source!BS164&lt;&gt; 0, Source!BS164, 1)</f>
        <v>56.35</v>
      </c>
      <c r="K431" s="24">
        <f>Source!R164</f>
        <v>8.4499999999999993</v>
      </c>
      <c r="L431"/>
    </row>
    <row r="432" spans="1:29" ht="14.25" hidden="1" x14ac:dyDescent="0.2">
      <c r="A432" s="19"/>
      <c r="B432" s="19"/>
      <c r="C432" s="19" t="s">
        <v>847</v>
      </c>
      <c r="D432" s="21"/>
      <c r="E432" s="20"/>
      <c r="F432" s="23">
        <f>Source!AL163</f>
        <v>132.34</v>
      </c>
      <c r="G432" s="22"/>
      <c r="H432" s="20">
        <f>Source!AW164</f>
        <v>1</v>
      </c>
      <c r="I432" s="23">
        <f>Source!P163</f>
        <v>5.29</v>
      </c>
      <c r="J432" s="20">
        <f>IF(Source!BC164&lt;&gt; 0, Source!BC164, 1)</f>
        <v>3.46</v>
      </c>
      <c r="K432" s="23">
        <f>Source!P164</f>
        <v>18.3</v>
      </c>
      <c r="L432"/>
    </row>
    <row r="433" spans="1:29" ht="28.5" hidden="1" x14ac:dyDescent="0.2">
      <c r="A433" s="19" t="s">
        <v>298</v>
      </c>
      <c r="B433" s="19" t="str">
        <f>Source!F165</f>
        <v>1.8-1-74</v>
      </c>
      <c r="C433" s="19" t="s">
        <v>300</v>
      </c>
      <c r="D433" s="21" t="str">
        <f>Source!H165</f>
        <v>шт.</v>
      </c>
      <c r="E433" s="20">
        <f>Source!I165</f>
        <v>4</v>
      </c>
      <c r="F433" s="23">
        <f>Source!AK165</f>
        <v>269.43</v>
      </c>
      <c r="G433" s="35" t="s">
        <v>3</v>
      </c>
      <c r="H433" s="20">
        <f>Source!AW166</f>
        <v>1</v>
      </c>
      <c r="I433" s="23">
        <f>Source!O165</f>
        <v>1077.72</v>
      </c>
      <c r="J433" s="20">
        <f>IF(Source!BC166&lt;&gt; 0, Source!BC166, 1)</f>
        <v>9.3000000000000007</v>
      </c>
      <c r="K433" s="23">
        <f>Source!O166</f>
        <v>10022.799999999999</v>
      </c>
      <c r="L433"/>
      <c r="Q433">
        <f>Source!X165</f>
        <v>0</v>
      </c>
      <c r="R433">
        <f>Source!X166</f>
        <v>0</v>
      </c>
      <c r="S433">
        <f>Source!Y165</f>
        <v>0</v>
      </c>
      <c r="T433">
        <f>Source!Y166</f>
        <v>0</v>
      </c>
      <c r="U433">
        <f>ROUND((175/100)*ROUND(Source!R165, 2), 2)</f>
        <v>0</v>
      </c>
      <c r="V433">
        <f>ROUND((0/100)*ROUND(Source!R166, 2), 2)</f>
        <v>0</v>
      </c>
      <c r="AC433">
        <v>3</v>
      </c>
    </row>
    <row r="434" spans="1:29" ht="14.25" hidden="1" x14ac:dyDescent="0.2">
      <c r="A434" s="19"/>
      <c r="B434" s="19"/>
      <c r="C434" s="19" t="s">
        <v>837</v>
      </c>
      <c r="D434" s="21" t="s">
        <v>838</v>
      </c>
      <c r="E434" s="20">
        <f>Source!BZ164</f>
        <v>93</v>
      </c>
      <c r="F434" s="23"/>
      <c r="G434" s="22"/>
      <c r="H434" s="20"/>
      <c r="I434" s="23">
        <f>SUM(Q427:Q433)</f>
        <v>10.92</v>
      </c>
      <c r="J434" s="20">
        <f>Source!AT164</f>
        <v>93</v>
      </c>
      <c r="K434" s="23">
        <f>SUM(R427:R433)</f>
        <v>615.24</v>
      </c>
      <c r="L434"/>
    </row>
    <row r="435" spans="1:29" ht="14.25" hidden="1" x14ac:dyDescent="0.2">
      <c r="A435" s="19"/>
      <c r="B435" s="19"/>
      <c r="C435" s="19" t="s">
        <v>839</v>
      </c>
      <c r="D435" s="21" t="s">
        <v>838</v>
      </c>
      <c r="E435" s="20">
        <f>Source!CA164</f>
        <v>62</v>
      </c>
      <c r="F435" s="23"/>
      <c r="G435" s="22"/>
      <c r="H435" s="20"/>
      <c r="I435" s="23">
        <f>SUM(S427:S434)</f>
        <v>7.28</v>
      </c>
      <c r="J435" s="20">
        <f>Source!AU164</f>
        <v>62</v>
      </c>
      <c r="K435" s="23">
        <f>SUM(T427:T434)</f>
        <v>410.16</v>
      </c>
      <c r="L435"/>
    </row>
    <row r="436" spans="1:29" ht="14.25" hidden="1" x14ac:dyDescent="0.2">
      <c r="A436" s="25"/>
      <c r="B436" s="25"/>
      <c r="C436" s="25" t="s">
        <v>840</v>
      </c>
      <c r="D436" s="26" t="s">
        <v>841</v>
      </c>
      <c r="E436" s="27">
        <f>Source!AQ163</f>
        <v>11.57</v>
      </c>
      <c r="F436" s="28"/>
      <c r="G436" s="29" t="s">
        <v>869</v>
      </c>
      <c r="H436" s="27">
        <f>Source!AV164</f>
        <v>1.087</v>
      </c>
      <c r="I436" s="28">
        <f>Source!U163</f>
        <v>0.69422776799999997</v>
      </c>
      <c r="J436" s="27"/>
      <c r="K436" s="28"/>
      <c r="L436"/>
    </row>
    <row r="437" spans="1:29" ht="15" hidden="1" x14ac:dyDescent="0.2">
      <c r="C437" s="30" t="s">
        <v>842</v>
      </c>
      <c r="H437" s="48">
        <f>I429+I430+I432+I434+I435+SUM(I433:I433)-SUMIF(AC433:AC433, 5, I433:I433)-SUMIF(AC433:AC433, 6, I433:I433)</f>
        <v>1114.02</v>
      </c>
      <c r="I437" s="48"/>
      <c r="J437" s="48">
        <f>K429+K430+K432+K434+K435+SUM(K433:K433)-SUMIF(AC433:AC433, 5, K433:K433)-SUMIF(AC433:AC433, 6, K433:K433)</f>
        <v>11738.609999999999</v>
      </c>
      <c r="K437" s="48"/>
      <c r="L437"/>
    </row>
    <row r="438" spans="1:29" ht="15" hidden="1" x14ac:dyDescent="0.2">
      <c r="C438" s="30" t="s">
        <v>843</v>
      </c>
      <c r="H438" s="43">
        <f>SUMIF(AC433:AC433, 5, I433:I433)+SUMIF(AC433:AC433, 6, I433:I433)</f>
        <v>0</v>
      </c>
      <c r="I438" s="43"/>
      <c r="J438" s="43">
        <f>SUMIF(AC433:AC433, 5, K433:K433)+SUMIF(AC433:AC433, 6, K433:K433)</f>
        <v>0</v>
      </c>
      <c r="K438" s="43"/>
      <c r="L438"/>
    </row>
    <row r="439" spans="1:29" ht="15" hidden="1" x14ac:dyDescent="0.2">
      <c r="C439" s="30" t="s">
        <v>844</v>
      </c>
      <c r="H439" s="43">
        <f>I429+I430+I432+I434+I435+SUM(I433:I433)</f>
        <v>1114.02</v>
      </c>
      <c r="I439" s="43"/>
      <c r="J439" s="43">
        <f>K429+K430+K432+K434+K435+SUM(K433:K433)</f>
        <v>11738.609999999999</v>
      </c>
      <c r="K439" s="43"/>
      <c r="L439"/>
      <c r="O439" s="31">
        <f>I429+I430+I432+I434+I435+SUM(I433:I433)</f>
        <v>1114.02</v>
      </c>
      <c r="P439" s="31">
        <f>K429+K430+K432+K434+K435+SUM(K433:K433)</f>
        <v>11738.609999999999</v>
      </c>
    </row>
    <row r="440" spans="1:29" hidden="1" x14ac:dyDescent="0.2">
      <c r="J440"/>
      <c r="L440"/>
    </row>
    <row r="441" spans="1:29" ht="114" x14ac:dyDescent="0.2">
      <c r="A441" s="76">
        <v>49</v>
      </c>
      <c r="B441" s="76" t="str">
        <f>Source!F167</f>
        <v>13.1-8-99</v>
      </c>
      <c r="C441" s="76" t="s">
        <v>871</v>
      </c>
      <c r="D441" s="77" t="str">
        <f>Source!H167</f>
        <v>шт.</v>
      </c>
      <c r="E441" s="78">
        <f>Source!I167</f>
        <v>1</v>
      </c>
      <c r="F441" s="79">
        <f>Source!AL167</f>
        <v>12243</v>
      </c>
      <c r="G441" s="80"/>
      <c r="H441" s="78">
        <f>Source!AW168</f>
        <v>1</v>
      </c>
      <c r="I441" s="79">
        <f>Source!P167</f>
        <v>12243</v>
      </c>
      <c r="J441" s="78">
        <f>IF(Source!BC168&lt;&gt; 0, Source!BC168, 1)</f>
        <v>2.29</v>
      </c>
      <c r="K441" s="79">
        <f>Source!P168</f>
        <v>28036.47</v>
      </c>
      <c r="L441" s="81" t="s">
        <v>882</v>
      </c>
      <c r="Q441">
        <f>Source!X167</f>
        <v>0</v>
      </c>
      <c r="R441">
        <f>Source!X168</f>
        <v>0</v>
      </c>
      <c r="S441">
        <f>Source!Y167</f>
        <v>0</v>
      </c>
      <c r="T441">
        <f>Source!Y168</f>
        <v>0</v>
      </c>
      <c r="U441">
        <f>ROUND((175/100)*ROUND(Source!R167, 2), 2)</f>
        <v>0</v>
      </c>
      <c r="V441">
        <f>ROUND((0/100)*ROUND(Source!R168, 2), 2)</f>
        <v>0</v>
      </c>
      <c r="AC441">
        <v>5</v>
      </c>
    </row>
    <row r="442" spans="1:29" ht="15" hidden="1" x14ac:dyDescent="0.2">
      <c r="A442" s="33"/>
      <c r="B442" s="33"/>
      <c r="C442" s="34" t="s">
        <v>844</v>
      </c>
      <c r="D442" s="33"/>
      <c r="E442" s="33"/>
      <c r="F442" s="33"/>
      <c r="G442" s="33"/>
      <c r="H442" s="47">
        <f>I441+0</f>
        <v>12243</v>
      </c>
      <c r="I442" s="47"/>
      <c r="J442" s="47">
        <f>K441+0</f>
        <v>28036.47</v>
      </c>
      <c r="K442" s="47"/>
      <c r="L442"/>
      <c r="O442" s="31">
        <f>I441+0</f>
        <v>12243</v>
      </c>
      <c r="P442" s="31">
        <f>K441+0</f>
        <v>28036.47</v>
      </c>
    </row>
    <row r="443" spans="1:29" hidden="1" x14ac:dyDescent="0.2">
      <c r="J443"/>
      <c r="L443"/>
    </row>
    <row r="444" spans="1:29" ht="28.5" hidden="1" x14ac:dyDescent="0.2">
      <c r="A444" s="19">
        <v>50</v>
      </c>
      <c r="B444" s="19" t="str">
        <f>Source!F169</f>
        <v>3.20-11-1</v>
      </c>
      <c r="C444" s="19" t="s">
        <v>307</v>
      </c>
      <c r="D444" s="21" t="str">
        <f>Source!H169</f>
        <v>1 клапан</v>
      </c>
      <c r="E444" s="20">
        <f>Source!I169</f>
        <v>4</v>
      </c>
      <c r="F444" s="23"/>
      <c r="G444" s="22"/>
      <c r="H444" s="20"/>
      <c r="I444" s="23"/>
      <c r="J444" s="20"/>
      <c r="K444" s="23"/>
      <c r="L444"/>
      <c r="Q444">
        <f>Source!X169</f>
        <v>86.24</v>
      </c>
      <c r="R444">
        <f>Source!X170</f>
        <v>4859.43</v>
      </c>
      <c r="S444">
        <f>Source!Y169</f>
        <v>51.31</v>
      </c>
      <c r="T444">
        <f>Source!Y170</f>
        <v>2891.56</v>
      </c>
      <c r="U444">
        <f>ROUND((175/100)*ROUND(Source!R169, 2), 2)</f>
        <v>1.45</v>
      </c>
      <c r="V444">
        <f>ROUND((0/100)*ROUND(Source!R170, 2), 2)</f>
        <v>0</v>
      </c>
      <c r="AC444">
        <v>0</v>
      </c>
    </row>
    <row r="445" spans="1:29" ht="14.25" hidden="1" x14ac:dyDescent="0.2">
      <c r="A445" s="19"/>
      <c r="B445" s="19"/>
      <c r="C445" s="19" t="s">
        <v>833</v>
      </c>
      <c r="D445" s="21"/>
      <c r="E445" s="20"/>
      <c r="F445" s="23">
        <f>Source!AO169</f>
        <v>11.96</v>
      </c>
      <c r="G445" s="22" t="s">
        <v>869</v>
      </c>
      <c r="H445" s="20">
        <f>Source!AV170</f>
        <v>1.0669999999999999</v>
      </c>
      <c r="I445" s="23">
        <f>Source!S169</f>
        <v>70.44</v>
      </c>
      <c r="J445" s="20">
        <f>IF(Source!BA170&lt;&gt; 0, Source!BA170, 1)</f>
        <v>56.35</v>
      </c>
      <c r="K445" s="23">
        <f>Source!S170</f>
        <v>3969.29</v>
      </c>
      <c r="L445"/>
    </row>
    <row r="446" spans="1:29" ht="14.25" hidden="1" x14ac:dyDescent="0.2">
      <c r="A446" s="19"/>
      <c r="B446" s="19"/>
      <c r="C446" s="19" t="s">
        <v>835</v>
      </c>
      <c r="D446" s="21"/>
      <c r="E446" s="20"/>
      <c r="F446" s="23">
        <f>Source!AM169</f>
        <v>0.91</v>
      </c>
      <c r="G446" s="22" t="s">
        <v>870</v>
      </c>
      <c r="H446" s="20">
        <f>Source!AV170</f>
        <v>1.0669999999999999</v>
      </c>
      <c r="I446" s="23">
        <f>Source!Q169</f>
        <v>5.83</v>
      </c>
      <c r="J446" s="20">
        <f>IF(Source!BB170&lt;&gt; 0, Source!BB170, 1)</f>
        <v>16.43</v>
      </c>
      <c r="K446" s="23">
        <f>Source!Q170</f>
        <v>95.79</v>
      </c>
      <c r="L446"/>
    </row>
    <row r="447" spans="1:29" ht="14.25" hidden="1" x14ac:dyDescent="0.2">
      <c r="A447" s="19"/>
      <c r="B447" s="19"/>
      <c r="C447" s="19" t="s">
        <v>836</v>
      </c>
      <c r="D447" s="21"/>
      <c r="E447" s="20"/>
      <c r="F447" s="23">
        <f>Source!AN169</f>
        <v>0.13</v>
      </c>
      <c r="G447" s="22" t="s">
        <v>870</v>
      </c>
      <c r="H447" s="20">
        <f>Source!AV170</f>
        <v>1.0669999999999999</v>
      </c>
      <c r="I447" s="24">
        <f>Source!R169</f>
        <v>0.83</v>
      </c>
      <c r="J447" s="20">
        <f>IF(Source!BS170&lt;&gt; 0, Source!BS170, 1)</f>
        <v>56.35</v>
      </c>
      <c r="K447" s="24">
        <f>Source!R170</f>
        <v>46.77</v>
      </c>
      <c r="L447"/>
    </row>
    <row r="448" spans="1:29" ht="14.25" hidden="1" x14ac:dyDescent="0.2">
      <c r="A448" s="19"/>
      <c r="B448" s="19"/>
      <c r="C448" s="19" t="s">
        <v>847</v>
      </c>
      <c r="D448" s="21"/>
      <c r="E448" s="20"/>
      <c r="F448" s="23">
        <f>Source!AL169</f>
        <v>3.76</v>
      </c>
      <c r="G448" s="22"/>
      <c r="H448" s="20">
        <f>Source!AW170</f>
        <v>1</v>
      </c>
      <c r="I448" s="23">
        <f>Source!P169</f>
        <v>15.04</v>
      </c>
      <c r="J448" s="20">
        <f>IF(Source!BC170&lt;&gt; 0, Source!BC170, 1)</f>
        <v>6.54</v>
      </c>
      <c r="K448" s="23">
        <f>Source!P170</f>
        <v>98.36</v>
      </c>
      <c r="L448"/>
    </row>
    <row r="449" spans="1:29" ht="57" hidden="1" x14ac:dyDescent="0.2">
      <c r="A449" s="19" t="s">
        <v>308</v>
      </c>
      <c r="B449" s="19" t="str">
        <f>Source!F171</f>
        <v>1.1-1-8146</v>
      </c>
      <c r="C449" s="19" t="s">
        <v>310</v>
      </c>
      <c r="D449" s="21" t="str">
        <f>Source!H171</f>
        <v>кг</v>
      </c>
      <c r="E449" s="20">
        <f>Source!I171</f>
        <v>0.8</v>
      </c>
      <c r="F449" s="23">
        <f>Source!AK171</f>
        <v>31.08</v>
      </c>
      <c r="G449" s="35" t="s">
        <v>3</v>
      </c>
      <c r="H449" s="20">
        <f>Source!AW172</f>
        <v>1</v>
      </c>
      <c r="I449" s="23">
        <f>Source!O171</f>
        <v>24.86</v>
      </c>
      <c r="J449" s="20">
        <f>IF(Source!BC172&lt;&gt; 0, Source!BC172, 1)</f>
        <v>3.59</v>
      </c>
      <c r="K449" s="23">
        <f>Source!O172</f>
        <v>89.25</v>
      </c>
      <c r="L449"/>
      <c r="Q449">
        <f>Source!X171</f>
        <v>0</v>
      </c>
      <c r="R449">
        <f>Source!X172</f>
        <v>0</v>
      </c>
      <c r="S449">
        <f>Source!Y171</f>
        <v>0</v>
      </c>
      <c r="T449">
        <f>Source!Y172</f>
        <v>0</v>
      </c>
      <c r="U449">
        <f>ROUND((175/100)*ROUND(Source!R171, 2), 2)</f>
        <v>0</v>
      </c>
      <c r="V449">
        <f>ROUND((0/100)*ROUND(Source!R172, 2), 2)</f>
        <v>0</v>
      </c>
      <c r="AC449">
        <v>3</v>
      </c>
    </row>
    <row r="450" spans="1:29" ht="68.25" x14ac:dyDescent="0.2">
      <c r="A450" s="82" t="s">
        <v>313</v>
      </c>
      <c r="B450" s="82" t="str">
        <f>Source!F173</f>
        <v>КА, п.15</v>
      </c>
      <c r="C450" s="82" t="s">
        <v>885</v>
      </c>
      <c r="D450" s="83" t="str">
        <f>Source!H173</f>
        <v>ШТ</v>
      </c>
      <c r="E450" s="84">
        <f>Source!I173</f>
        <v>4</v>
      </c>
      <c r="F450" s="85">
        <f>Source!AK173</f>
        <v>2286.4500000000003</v>
      </c>
      <c r="G450" s="86" t="s">
        <v>3</v>
      </c>
      <c r="H450" s="84">
        <f>Source!AW174</f>
        <v>1</v>
      </c>
      <c r="I450" s="85">
        <f>Source!O173</f>
        <v>9145.7999999999993</v>
      </c>
      <c r="J450" s="89">
        <f>IF(Source!BC174&lt;&gt; 0, Source!BC174, 1)</f>
        <v>7.66</v>
      </c>
      <c r="K450" s="85">
        <f>Source!O174</f>
        <v>70056.83</v>
      </c>
      <c r="L450" s="90">
        <v>15800</v>
      </c>
      <c r="N450" s="81" t="s">
        <v>883</v>
      </c>
      <c r="Q450">
        <f>Source!X173</f>
        <v>0</v>
      </c>
      <c r="R450">
        <f>Source!X174</f>
        <v>0</v>
      </c>
      <c r="S450">
        <f>Source!Y173</f>
        <v>0</v>
      </c>
      <c r="T450">
        <f>Source!Y174</f>
        <v>0</v>
      </c>
      <c r="U450">
        <f>ROUND((175/100)*ROUND(Source!R173, 2), 2)</f>
        <v>0</v>
      </c>
      <c r="V450">
        <f>ROUND((0/100)*ROUND(Source!R174, 2), 2)</f>
        <v>0</v>
      </c>
      <c r="AC450">
        <v>5</v>
      </c>
    </row>
    <row r="451" spans="1:29" ht="14.25" hidden="1" x14ac:dyDescent="0.2">
      <c r="A451" s="19"/>
      <c r="B451" s="19"/>
      <c r="C451" s="19" t="s">
        <v>837</v>
      </c>
      <c r="D451" s="21" t="s">
        <v>838</v>
      </c>
      <c r="E451" s="20">
        <f>Source!BZ170</f>
        <v>121</v>
      </c>
      <c r="F451" s="23"/>
      <c r="G451" s="22"/>
      <c r="H451" s="20"/>
      <c r="I451" s="23">
        <f>SUM(Q444:Q450)</f>
        <v>86.24</v>
      </c>
      <c r="J451" s="20">
        <f>Source!AT170</f>
        <v>121</v>
      </c>
      <c r="K451" s="23">
        <f>SUM(R444:R450)</f>
        <v>4859.43</v>
      </c>
      <c r="L451"/>
    </row>
    <row r="452" spans="1:29" ht="14.25" hidden="1" x14ac:dyDescent="0.2">
      <c r="A452" s="19"/>
      <c r="B452" s="19"/>
      <c r="C452" s="19" t="s">
        <v>839</v>
      </c>
      <c r="D452" s="21" t="s">
        <v>838</v>
      </c>
      <c r="E452" s="20">
        <f>Source!CA170</f>
        <v>72</v>
      </c>
      <c r="F452" s="23"/>
      <c r="G452" s="22"/>
      <c r="H452" s="20"/>
      <c r="I452" s="23">
        <f>SUM(S444:S451)</f>
        <v>51.31</v>
      </c>
      <c r="J452" s="20">
        <f>Source!AU170</f>
        <v>72</v>
      </c>
      <c r="K452" s="23">
        <f>SUM(T444:T451)</f>
        <v>2891.56</v>
      </c>
      <c r="L452"/>
    </row>
    <row r="453" spans="1:29" ht="14.25" hidden="1" x14ac:dyDescent="0.2">
      <c r="A453" s="25"/>
      <c r="B453" s="25"/>
      <c r="C453" s="25" t="s">
        <v>840</v>
      </c>
      <c r="D453" s="26" t="s">
        <v>841</v>
      </c>
      <c r="E453" s="27">
        <f>Source!AQ169</f>
        <v>1.03</v>
      </c>
      <c r="F453" s="28"/>
      <c r="G453" s="29" t="s">
        <v>869</v>
      </c>
      <c r="H453" s="27">
        <f>Source!AV170</f>
        <v>1.0669999999999999</v>
      </c>
      <c r="I453" s="28">
        <f>Source!U169</f>
        <v>6.0665351999999988</v>
      </c>
      <c r="J453" s="27"/>
      <c r="K453" s="28"/>
      <c r="L453"/>
    </row>
    <row r="454" spans="1:29" ht="15" hidden="1" x14ac:dyDescent="0.2">
      <c r="C454" s="30" t="s">
        <v>842</v>
      </c>
      <c r="H454" s="48">
        <f>I445+I446+I448+I451+I452+SUM(I449:I450)-SUMIF(AC449:AC450, 5, I449:I450)-SUMIF(AC449:AC450, 6, I449:I450)</f>
        <v>253.72000000000116</v>
      </c>
      <c r="I454" s="48"/>
      <c r="J454" s="48">
        <f>K445+K446+K448+K451+K452+SUM(K449:K450)-SUMIF(AC449:AC450, 5, K449:K450)-SUMIF(AC449:AC450, 6, K449:K450)</f>
        <v>12003.679999999993</v>
      </c>
      <c r="K454" s="48"/>
      <c r="L454"/>
    </row>
    <row r="455" spans="1:29" ht="15" hidden="1" x14ac:dyDescent="0.2">
      <c r="C455" s="30" t="s">
        <v>843</v>
      </c>
      <c r="H455" s="43">
        <f>SUMIF(AC449:AC450, 5, I449:I450)+SUMIF(AC449:AC450, 6, I449:I450)</f>
        <v>9145.7999999999993</v>
      </c>
      <c r="I455" s="43"/>
      <c r="J455" s="43">
        <f>SUMIF(AC449:AC450, 5, K449:K450)+SUMIF(AC449:AC450, 6, K449:K450)</f>
        <v>70056.83</v>
      </c>
      <c r="K455" s="43"/>
      <c r="L455"/>
    </row>
    <row r="456" spans="1:29" ht="15" hidden="1" x14ac:dyDescent="0.2">
      <c r="C456" s="30" t="s">
        <v>844</v>
      </c>
      <c r="H456" s="43">
        <f>I445+I446+I448+I451+I452+SUM(I449:I450)</f>
        <v>9399.52</v>
      </c>
      <c r="I456" s="43"/>
      <c r="J456" s="43">
        <f>K445+K446+K448+K451+K452+SUM(K449:K450)</f>
        <v>82060.509999999995</v>
      </c>
      <c r="K456" s="43"/>
      <c r="L456"/>
      <c r="O456" s="31">
        <f>I445+I446+I448+I451+I452+SUM(I449:I450)</f>
        <v>9399.52</v>
      </c>
      <c r="P456" s="31">
        <f>K445+K446+K448+K451+K452+SUM(K449:K450)</f>
        <v>82060.509999999995</v>
      </c>
    </row>
    <row r="457" spans="1:29" hidden="1" x14ac:dyDescent="0.2">
      <c r="J457"/>
      <c r="L457"/>
    </row>
    <row r="458" spans="1:29" ht="28.5" hidden="1" x14ac:dyDescent="0.2">
      <c r="A458" s="19">
        <v>51</v>
      </c>
      <c r="B458" s="19" t="str">
        <f>Source!F175</f>
        <v>3.17-12-1</v>
      </c>
      <c r="C458" s="19" t="s">
        <v>318</v>
      </c>
      <c r="D458" s="21" t="str">
        <f>Source!H175</f>
        <v>100 шт.</v>
      </c>
      <c r="E458" s="20">
        <f>Source!I175</f>
        <v>0.04</v>
      </c>
      <c r="F458" s="23"/>
      <c r="G458" s="22"/>
      <c r="H458" s="20"/>
      <c r="I458" s="23"/>
      <c r="J458" s="20"/>
      <c r="K458" s="23"/>
      <c r="L458"/>
      <c r="Q458">
        <f>Source!X175</f>
        <v>19.78</v>
      </c>
      <c r="R458">
        <f>Source!X176</f>
        <v>1114.81</v>
      </c>
      <c r="S458">
        <f>Source!Y175</f>
        <v>11.77</v>
      </c>
      <c r="T458">
        <f>Source!Y176</f>
        <v>663.36</v>
      </c>
      <c r="U458">
        <f>ROUND((175/100)*ROUND(Source!R175, 2), 2)</f>
        <v>0.04</v>
      </c>
      <c r="V458">
        <f>ROUND((0/100)*ROUND(Source!R176, 2), 2)</f>
        <v>0</v>
      </c>
      <c r="AC458">
        <v>0</v>
      </c>
    </row>
    <row r="459" spans="1:29" hidden="1" x14ac:dyDescent="0.2">
      <c r="C459" s="32" t="str">
        <f>"Объем: "&amp;Source!I175&amp;"=4/"&amp;"100"</f>
        <v>Объем: 0,04=4/100</v>
      </c>
      <c r="J459"/>
      <c r="L459"/>
    </row>
    <row r="460" spans="1:29" ht="14.25" hidden="1" x14ac:dyDescent="0.2">
      <c r="A460" s="19"/>
      <c r="B460" s="19"/>
      <c r="C460" s="19" t="s">
        <v>833</v>
      </c>
      <c r="D460" s="21"/>
      <c r="E460" s="20"/>
      <c r="F460" s="23">
        <f>Source!AO175</f>
        <v>277.20999999999998</v>
      </c>
      <c r="G460" s="22" t="s">
        <v>869</v>
      </c>
      <c r="H460" s="20">
        <f>Source!AV176</f>
        <v>1.0669999999999999</v>
      </c>
      <c r="I460" s="23">
        <f>Source!S175</f>
        <v>16.329999999999998</v>
      </c>
      <c r="J460" s="20">
        <f>IF(Source!BA176&lt;&gt; 0, Source!BA176, 1)</f>
        <v>56.35</v>
      </c>
      <c r="K460" s="23">
        <f>Source!S176</f>
        <v>920.2</v>
      </c>
      <c r="L460"/>
    </row>
    <row r="461" spans="1:29" ht="14.25" hidden="1" x14ac:dyDescent="0.2">
      <c r="A461" s="19"/>
      <c r="B461" s="19"/>
      <c r="C461" s="19" t="s">
        <v>835</v>
      </c>
      <c r="D461" s="21"/>
      <c r="E461" s="20"/>
      <c r="F461" s="23">
        <f>Source!AM175</f>
        <v>7.82</v>
      </c>
      <c r="G461" s="22" t="s">
        <v>870</v>
      </c>
      <c r="H461" s="20">
        <f>Source!AV176</f>
        <v>1.0669999999999999</v>
      </c>
      <c r="I461" s="23">
        <f>Source!Q175</f>
        <v>0.5</v>
      </c>
      <c r="J461" s="20">
        <f>IF(Source!BB176&lt;&gt; 0, Source!BB176, 1)</f>
        <v>11.16</v>
      </c>
      <c r="K461" s="23">
        <f>Source!Q176</f>
        <v>5.58</v>
      </c>
      <c r="L461"/>
    </row>
    <row r="462" spans="1:29" ht="14.25" hidden="1" x14ac:dyDescent="0.2">
      <c r="A462" s="19"/>
      <c r="B462" s="19"/>
      <c r="C462" s="19" t="s">
        <v>836</v>
      </c>
      <c r="D462" s="21"/>
      <c r="E462" s="20"/>
      <c r="F462" s="23">
        <f>Source!AN175</f>
        <v>0.25</v>
      </c>
      <c r="G462" s="22" t="s">
        <v>870</v>
      </c>
      <c r="H462" s="20">
        <f>Source!AV176</f>
        <v>1.0669999999999999</v>
      </c>
      <c r="I462" s="24">
        <f>Source!R175</f>
        <v>0.02</v>
      </c>
      <c r="J462" s="20">
        <f>IF(Source!BS176&lt;&gt; 0, Source!BS176, 1)</f>
        <v>56.35</v>
      </c>
      <c r="K462" s="24">
        <f>Source!R176</f>
        <v>1.1299999999999999</v>
      </c>
      <c r="L462"/>
    </row>
    <row r="463" spans="1:29" ht="14.25" hidden="1" x14ac:dyDescent="0.2">
      <c r="A463" s="19"/>
      <c r="B463" s="19"/>
      <c r="C463" s="19" t="s">
        <v>847</v>
      </c>
      <c r="D463" s="21"/>
      <c r="E463" s="20"/>
      <c r="F463" s="23">
        <f>Source!AL175</f>
        <v>356.04</v>
      </c>
      <c r="G463" s="22"/>
      <c r="H463" s="20">
        <f>Source!AW176</f>
        <v>1</v>
      </c>
      <c r="I463" s="23">
        <f>Source!P175</f>
        <v>14.24</v>
      </c>
      <c r="J463" s="20">
        <f>IF(Source!BC176&lt;&gt; 0, Source!BC176, 1)</f>
        <v>3.42</v>
      </c>
      <c r="K463" s="23">
        <f>Source!P176</f>
        <v>48.7</v>
      </c>
      <c r="L463"/>
    </row>
    <row r="464" spans="1:29" ht="27" hidden="1" x14ac:dyDescent="0.2">
      <c r="A464" s="19" t="s">
        <v>319</v>
      </c>
      <c r="B464" s="19" t="str">
        <f>Source!F177</f>
        <v>КА, п.16</v>
      </c>
      <c r="C464" s="19" t="s">
        <v>872</v>
      </c>
      <c r="D464" s="21" t="str">
        <f>Source!H177</f>
        <v>ШТ</v>
      </c>
      <c r="E464" s="20">
        <f>Source!I177</f>
        <v>4</v>
      </c>
      <c r="F464" s="23">
        <f>Source!AK177</f>
        <v>254.38</v>
      </c>
      <c r="G464" s="35" t="s">
        <v>3</v>
      </c>
      <c r="H464" s="20">
        <f>Source!AW178</f>
        <v>1</v>
      </c>
      <c r="I464" s="23">
        <f>Source!O177</f>
        <v>1017.52</v>
      </c>
      <c r="J464" s="20">
        <f>IF(Source!BC178&lt;&gt; 0, Source!BC178, 1)</f>
        <v>9.86</v>
      </c>
      <c r="K464" s="23">
        <f>Source!O178</f>
        <v>10032.75</v>
      </c>
      <c r="L464"/>
      <c r="Q464">
        <f>Source!X177</f>
        <v>0</v>
      </c>
      <c r="R464">
        <f>Source!X178</f>
        <v>0</v>
      </c>
      <c r="S464">
        <f>Source!Y177</f>
        <v>0</v>
      </c>
      <c r="T464">
        <f>Source!Y178</f>
        <v>0</v>
      </c>
      <c r="U464">
        <f>ROUND((175/100)*ROUND(Source!R177, 2), 2)</f>
        <v>0</v>
      </c>
      <c r="V464">
        <f>ROUND((0/100)*ROUND(Source!R178, 2), 2)</f>
        <v>0</v>
      </c>
      <c r="AC464">
        <v>3</v>
      </c>
    </row>
    <row r="465" spans="1:29" ht="14.25" hidden="1" x14ac:dyDescent="0.2">
      <c r="A465" s="19"/>
      <c r="B465" s="19"/>
      <c r="C465" s="19" t="s">
        <v>837</v>
      </c>
      <c r="D465" s="21" t="s">
        <v>838</v>
      </c>
      <c r="E465" s="20">
        <f>Source!BZ176</f>
        <v>121</v>
      </c>
      <c r="F465" s="23"/>
      <c r="G465" s="22"/>
      <c r="H465" s="20"/>
      <c r="I465" s="23">
        <f>SUM(Q458:Q464)</f>
        <v>19.78</v>
      </c>
      <c r="J465" s="20">
        <f>Source!AT176</f>
        <v>121</v>
      </c>
      <c r="K465" s="23">
        <f>SUM(R458:R464)</f>
        <v>1114.81</v>
      </c>
      <c r="L465"/>
    </row>
    <row r="466" spans="1:29" ht="14.25" hidden="1" x14ac:dyDescent="0.2">
      <c r="A466" s="19"/>
      <c r="B466" s="19"/>
      <c r="C466" s="19" t="s">
        <v>839</v>
      </c>
      <c r="D466" s="21" t="s">
        <v>838</v>
      </c>
      <c r="E466" s="20">
        <f>Source!CA176</f>
        <v>72</v>
      </c>
      <c r="F466" s="23"/>
      <c r="G466" s="22"/>
      <c r="H466" s="20"/>
      <c r="I466" s="23">
        <f>SUM(S458:S465)</f>
        <v>11.77</v>
      </c>
      <c r="J466" s="20">
        <f>Source!AU176</f>
        <v>72</v>
      </c>
      <c r="K466" s="23">
        <f>SUM(T458:T465)</f>
        <v>663.36</v>
      </c>
      <c r="L466"/>
    </row>
    <row r="467" spans="1:29" ht="14.25" hidden="1" x14ac:dyDescent="0.2">
      <c r="A467" s="25"/>
      <c r="B467" s="25"/>
      <c r="C467" s="25" t="s">
        <v>840</v>
      </c>
      <c r="D467" s="26" t="s">
        <v>841</v>
      </c>
      <c r="E467" s="27">
        <f>Source!AQ175</f>
        <v>24.8</v>
      </c>
      <c r="F467" s="28"/>
      <c r="G467" s="29" t="s">
        <v>869</v>
      </c>
      <c r="H467" s="27">
        <f>Source!AV176</f>
        <v>1.0669999999999999</v>
      </c>
      <c r="I467" s="28">
        <f>Source!U175</f>
        <v>1.4606803199999998</v>
      </c>
      <c r="J467" s="27"/>
      <c r="K467" s="28"/>
      <c r="L467"/>
    </row>
    <row r="468" spans="1:29" ht="15" hidden="1" x14ac:dyDescent="0.2">
      <c r="C468" s="30" t="s">
        <v>842</v>
      </c>
      <c r="H468" s="48">
        <f>I460+I461+I463+I465+I466+SUM(I464:I464)-SUMIF(AC464:AC464, 5, I464:I464)-SUMIF(AC464:AC464, 6, I464:I464)</f>
        <v>1080.1399999999999</v>
      </c>
      <c r="I468" s="48"/>
      <c r="J468" s="48">
        <f>K460+K461+K463+K465+K466+SUM(K464:K464)-SUMIF(AC464:AC464, 5, K464:K464)-SUMIF(AC464:AC464, 6, K464:K464)</f>
        <v>12785.4</v>
      </c>
      <c r="K468" s="48"/>
      <c r="L468"/>
    </row>
    <row r="469" spans="1:29" ht="15" hidden="1" x14ac:dyDescent="0.2">
      <c r="C469" s="30" t="s">
        <v>843</v>
      </c>
      <c r="H469" s="43">
        <f>SUMIF(AC464:AC464, 5, I464:I464)+SUMIF(AC464:AC464, 6, I464:I464)</f>
        <v>0</v>
      </c>
      <c r="I469" s="43"/>
      <c r="J469" s="43">
        <f>SUMIF(AC464:AC464, 5, K464:K464)+SUMIF(AC464:AC464, 6, K464:K464)</f>
        <v>0</v>
      </c>
      <c r="K469" s="43"/>
      <c r="L469"/>
    </row>
    <row r="470" spans="1:29" ht="15" hidden="1" x14ac:dyDescent="0.2">
      <c r="C470" s="30" t="s">
        <v>844</v>
      </c>
      <c r="H470" s="43">
        <f>I460+I461+I463+I465+I466+SUM(I464:I464)</f>
        <v>1080.1399999999999</v>
      </c>
      <c r="I470" s="43"/>
      <c r="J470" s="43">
        <f>K460+K461+K463+K465+K466+SUM(K464:K464)</f>
        <v>12785.4</v>
      </c>
      <c r="K470" s="43"/>
      <c r="L470"/>
      <c r="O470" s="31">
        <f>I460+I461+I463+I465+I466+SUM(I464:I464)</f>
        <v>1080.1399999999999</v>
      </c>
      <c r="P470" s="31">
        <f>K460+K461+K463+K465+K466+SUM(K464:K464)</f>
        <v>12785.4</v>
      </c>
    </row>
    <row r="471" spans="1:29" hidden="1" x14ac:dyDescent="0.2">
      <c r="J471"/>
      <c r="L471"/>
    </row>
    <row r="472" spans="1:29" hidden="1" x14ac:dyDescent="0.2">
      <c r="J472"/>
      <c r="L472"/>
    </row>
    <row r="473" spans="1:29" ht="15" hidden="1" x14ac:dyDescent="0.25">
      <c r="A473" s="45" t="str">
        <f>CONCATENATE("Итого по разделу: ",IF(Source!G180&lt;&gt;"Новый раздел", Source!G180, ""))</f>
        <v>Итого по разделу: Оборудование</v>
      </c>
      <c r="B473" s="45"/>
      <c r="C473" s="45"/>
      <c r="D473" s="45"/>
      <c r="E473" s="45"/>
      <c r="F473" s="45"/>
      <c r="G473" s="45"/>
      <c r="H473" s="43">
        <f>SUM(O230:O472)</f>
        <v>303840.7300000001</v>
      </c>
      <c r="I473" s="44"/>
      <c r="J473" s="43">
        <f>SUM(P230:P472)</f>
        <v>2330131.31</v>
      </c>
      <c r="K473" s="44"/>
      <c r="L473"/>
    </row>
    <row r="474" spans="1:29" hidden="1" x14ac:dyDescent="0.2">
      <c r="A474" t="s">
        <v>849</v>
      </c>
      <c r="I474">
        <f>SUM(W230:W473)</f>
        <v>0</v>
      </c>
      <c r="J474">
        <f>SUM(X230:X473)</f>
        <v>0</v>
      </c>
      <c r="L474"/>
    </row>
    <row r="475" spans="1:29" hidden="1" x14ac:dyDescent="0.2">
      <c r="A475" t="s">
        <v>850</v>
      </c>
      <c r="I475">
        <f>SUM(Y230:Y474)</f>
        <v>0</v>
      </c>
      <c r="J475">
        <f>SUM(Z230:Z474)</f>
        <v>0</v>
      </c>
      <c r="L475"/>
    </row>
    <row r="476" spans="1:29" hidden="1" x14ac:dyDescent="0.2">
      <c r="J476"/>
      <c r="L476"/>
    </row>
    <row r="477" spans="1:29" ht="16.5" hidden="1" x14ac:dyDescent="0.2">
      <c r="A477" s="46" t="str">
        <f>CONCATENATE("Раздел: ",IF(Source!G210&lt;&gt;"Новый раздел", Source!G210, ""))</f>
        <v>Раздел: Кабельные изделия</v>
      </c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/>
    </row>
    <row r="478" spans="1:29" ht="71.25" hidden="1" x14ac:dyDescent="0.2">
      <c r="A478" s="19">
        <v>52</v>
      </c>
      <c r="B478" s="19" t="str">
        <f>Source!F222</f>
        <v>4.8-288-2</v>
      </c>
      <c r="C478" s="19" t="s">
        <v>340</v>
      </c>
      <c r="D478" s="21" t="str">
        <f>Source!H222</f>
        <v>100 м</v>
      </c>
      <c r="E478" s="20">
        <f>Source!I222</f>
        <v>6.42</v>
      </c>
      <c r="F478" s="23"/>
      <c r="G478" s="22"/>
      <c r="H478" s="20"/>
      <c r="I478" s="23"/>
      <c r="J478" s="20"/>
      <c r="K478" s="23"/>
      <c r="L478"/>
      <c r="Q478">
        <f>Source!X222</f>
        <v>1548.94</v>
      </c>
      <c r="R478">
        <f>Source!X223</f>
        <v>87283.03</v>
      </c>
      <c r="S478">
        <f>Source!Y222</f>
        <v>814.39</v>
      </c>
      <c r="T478">
        <f>Source!Y223</f>
        <v>45891.08</v>
      </c>
      <c r="U478">
        <f>ROUND((175/100)*ROUND(Source!R222, 2), 2)</f>
        <v>80.61</v>
      </c>
      <c r="V478">
        <f>ROUND((0/100)*ROUND(Source!R223, 2), 2)</f>
        <v>0</v>
      </c>
      <c r="AC478">
        <v>0</v>
      </c>
    </row>
    <row r="479" spans="1:29" hidden="1" x14ac:dyDescent="0.2">
      <c r="C479" s="32" t="str">
        <f>"Объем: "&amp;Source!I222&amp;"=(642)/"&amp;"100"</f>
        <v>Объем: 6,42=(642)/100</v>
      </c>
      <c r="J479"/>
      <c r="L479"/>
    </row>
    <row r="480" spans="1:29" ht="14.25" hidden="1" x14ac:dyDescent="0.2">
      <c r="A480" s="19"/>
      <c r="B480" s="19"/>
      <c r="C480" s="19" t="s">
        <v>833</v>
      </c>
      <c r="D480" s="21"/>
      <c r="E480" s="20"/>
      <c r="F480" s="23">
        <f>Source!AO222</f>
        <v>192.26</v>
      </c>
      <c r="G480" s="22" t="s">
        <v>187</v>
      </c>
      <c r="H480" s="20">
        <f>Source!AV223</f>
        <v>1.0469999999999999</v>
      </c>
      <c r="I480" s="23">
        <f>Source!S222</f>
        <v>1550.79</v>
      </c>
      <c r="J480" s="20">
        <f>IF(Source!BA223&lt;&gt; 0, Source!BA223, 1)</f>
        <v>56.35</v>
      </c>
      <c r="K480" s="23">
        <f>Source!S223</f>
        <v>87387.02</v>
      </c>
      <c r="L480"/>
    </row>
    <row r="481" spans="1:29" ht="14.25" hidden="1" x14ac:dyDescent="0.2">
      <c r="A481" s="19"/>
      <c r="B481" s="19"/>
      <c r="C481" s="19" t="s">
        <v>835</v>
      </c>
      <c r="D481" s="21"/>
      <c r="E481" s="20"/>
      <c r="F481" s="23">
        <f>Source!AM222</f>
        <v>32.869999999999997</v>
      </c>
      <c r="G481" s="22" t="s">
        <v>187</v>
      </c>
      <c r="H481" s="20">
        <f>Source!AV223</f>
        <v>1.0469999999999999</v>
      </c>
      <c r="I481" s="23">
        <f>Source!Q222</f>
        <v>265.13</v>
      </c>
      <c r="J481" s="20">
        <f>IF(Source!BB223&lt;&gt; 0, Source!BB223, 1)</f>
        <v>18.84</v>
      </c>
      <c r="K481" s="23">
        <f>Source!Q223</f>
        <v>4995.05</v>
      </c>
      <c r="L481"/>
    </row>
    <row r="482" spans="1:29" ht="14.25" hidden="1" x14ac:dyDescent="0.2">
      <c r="A482" s="19"/>
      <c r="B482" s="19"/>
      <c r="C482" s="19" t="s">
        <v>836</v>
      </c>
      <c r="D482" s="21"/>
      <c r="E482" s="20"/>
      <c r="F482" s="23">
        <f>Source!AN222</f>
        <v>5.71</v>
      </c>
      <c r="G482" s="22" t="s">
        <v>187</v>
      </c>
      <c r="H482" s="20">
        <f>Source!AV223</f>
        <v>1.0469999999999999</v>
      </c>
      <c r="I482" s="24">
        <f>Source!R222</f>
        <v>46.06</v>
      </c>
      <c r="J482" s="20">
        <f>IF(Source!BS223&lt;&gt; 0, Source!BS223, 1)</f>
        <v>56.35</v>
      </c>
      <c r="K482" s="24">
        <f>Source!R223</f>
        <v>2595.48</v>
      </c>
      <c r="L482"/>
    </row>
    <row r="483" spans="1:29" ht="14.25" hidden="1" x14ac:dyDescent="0.2">
      <c r="A483" s="19"/>
      <c r="B483" s="19"/>
      <c r="C483" s="19" t="s">
        <v>847</v>
      </c>
      <c r="D483" s="21"/>
      <c r="E483" s="20"/>
      <c r="F483" s="23">
        <f>Source!AL222</f>
        <v>314.29000000000002</v>
      </c>
      <c r="G483" s="22"/>
      <c r="H483" s="20">
        <f>Source!AW223</f>
        <v>1</v>
      </c>
      <c r="I483" s="23">
        <f>Source!P222</f>
        <v>2017.74</v>
      </c>
      <c r="J483" s="20">
        <f>IF(Source!BC223&lt;&gt; 0, Source!BC223, 1)</f>
        <v>9.84</v>
      </c>
      <c r="K483" s="23">
        <f>Source!P223</f>
        <v>19854.560000000001</v>
      </c>
      <c r="L483"/>
    </row>
    <row r="484" spans="1:29" ht="42.75" hidden="1" x14ac:dyDescent="0.2">
      <c r="A484" s="19" t="s">
        <v>342</v>
      </c>
      <c r="B484" s="19" t="str">
        <f>Source!F224</f>
        <v>1.12-5-372</v>
      </c>
      <c r="C484" s="19" t="s">
        <v>344</v>
      </c>
      <c r="D484" s="21" t="str">
        <f>Source!H224</f>
        <v>м</v>
      </c>
      <c r="E484" s="20">
        <f>Source!I224</f>
        <v>654.84</v>
      </c>
      <c r="F484" s="23">
        <f>Source!AK224</f>
        <v>3.45</v>
      </c>
      <c r="G484" s="35" t="s">
        <v>3</v>
      </c>
      <c r="H484" s="20">
        <f>Source!AW225</f>
        <v>1</v>
      </c>
      <c r="I484" s="23">
        <f>Source!O224</f>
        <v>2259.1999999999998</v>
      </c>
      <c r="J484" s="20">
        <f>IF(Source!BC225&lt;&gt; 0, Source!BC225, 1)</f>
        <v>3.79</v>
      </c>
      <c r="K484" s="23">
        <f>Source!O225</f>
        <v>8562.3700000000008</v>
      </c>
      <c r="L484"/>
      <c r="Q484">
        <f>Source!X224</f>
        <v>0</v>
      </c>
      <c r="R484">
        <f>Source!X225</f>
        <v>0</v>
      </c>
      <c r="S484">
        <f>Source!Y224</f>
        <v>0</v>
      </c>
      <c r="T484">
        <f>Source!Y225</f>
        <v>0</v>
      </c>
      <c r="U484">
        <f>ROUND((175/100)*ROUND(Source!R224, 2), 2)</f>
        <v>0</v>
      </c>
      <c r="V484">
        <f>ROUND((0/100)*ROUND(Source!R225, 2), 2)</f>
        <v>0</v>
      </c>
      <c r="AC484">
        <v>3</v>
      </c>
    </row>
    <row r="485" spans="1:29" ht="68.25" hidden="1" x14ac:dyDescent="0.2">
      <c r="A485" s="19" t="s">
        <v>346</v>
      </c>
      <c r="B485" s="19" t="str">
        <f>Source!F226</f>
        <v>КА, п.17</v>
      </c>
      <c r="C485" s="19" t="s">
        <v>873</v>
      </c>
      <c r="D485" s="21" t="str">
        <f>Source!H226</f>
        <v>ШТ</v>
      </c>
      <c r="E485" s="20">
        <f>Source!I226</f>
        <v>33</v>
      </c>
      <c r="F485" s="23">
        <f>Source!AK226</f>
        <v>208.77</v>
      </c>
      <c r="G485" s="35" t="s">
        <v>3</v>
      </c>
      <c r="H485" s="20">
        <f>Source!AW227</f>
        <v>1</v>
      </c>
      <c r="I485" s="23">
        <f>Source!O226</f>
        <v>6889.41</v>
      </c>
      <c r="J485" s="20">
        <f>IF(Source!BC227&lt;&gt; 0, Source!BC227, 1)</f>
        <v>9.86</v>
      </c>
      <c r="K485" s="23">
        <f>Source!O227</f>
        <v>67929.58</v>
      </c>
      <c r="L485"/>
      <c r="Q485">
        <f>Source!X226</f>
        <v>0</v>
      </c>
      <c r="R485">
        <f>Source!X227</f>
        <v>0</v>
      </c>
      <c r="S485">
        <f>Source!Y226</f>
        <v>0</v>
      </c>
      <c r="T485">
        <f>Source!Y227</f>
        <v>0</v>
      </c>
      <c r="U485">
        <f>ROUND((175/100)*ROUND(Source!R226, 2), 2)</f>
        <v>0</v>
      </c>
      <c r="V485">
        <f>ROUND((0/100)*ROUND(Source!R227, 2), 2)</f>
        <v>0</v>
      </c>
      <c r="AC485">
        <v>3</v>
      </c>
    </row>
    <row r="486" spans="1:29" ht="42.75" hidden="1" x14ac:dyDescent="0.2">
      <c r="A486" s="19" t="s">
        <v>350</v>
      </c>
      <c r="B486" s="19" t="str">
        <f>Source!F228</f>
        <v>1.21-5-1469</v>
      </c>
      <c r="C486" s="19" t="s">
        <v>352</v>
      </c>
      <c r="D486" s="21" t="str">
        <f>Source!H228</f>
        <v>1000 шт.</v>
      </c>
      <c r="E486" s="20">
        <f>Source!I228</f>
        <v>2.14</v>
      </c>
      <c r="F486" s="23">
        <f>Source!AK228</f>
        <v>396.59</v>
      </c>
      <c r="G486" s="35" t="s">
        <v>3</v>
      </c>
      <c r="H486" s="20">
        <f>Source!AW229</f>
        <v>1</v>
      </c>
      <c r="I486" s="23">
        <f>Source!O228</f>
        <v>848.7</v>
      </c>
      <c r="J486" s="20">
        <f>IF(Source!BC229&lt;&gt; 0, Source!BC229, 1)</f>
        <v>4.4000000000000004</v>
      </c>
      <c r="K486" s="23">
        <f>Source!O229</f>
        <v>3734.28</v>
      </c>
      <c r="L486"/>
      <c r="Q486">
        <f>Source!X228</f>
        <v>0</v>
      </c>
      <c r="R486">
        <f>Source!X229</f>
        <v>0</v>
      </c>
      <c r="S486">
        <f>Source!Y228</f>
        <v>0</v>
      </c>
      <c r="T486">
        <f>Source!Y229</f>
        <v>0</v>
      </c>
      <c r="U486">
        <f>ROUND((175/100)*ROUND(Source!R228, 2), 2)</f>
        <v>0</v>
      </c>
      <c r="V486">
        <f>ROUND((0/100)*ROUND(Source!R229, 2), 2)</f>
        <v>0</v>
      </c>
      <c r="AC486">
        <v>3</v>
      </c>
    </row>
    <row r="487" spans="1:29" ht="14.25" hidden="1" x14ac:dyDescent="0.2">
      <c r="A487" s="19"/>
      <c r="B487" s="19"/>
      <c r="C487" s="19" t="s">
        <v>837</v>
      </c>
      <c r="D487" s="21" t="s">
        <v>838</v>
      </c>
      <c r="E487" s="20">
        <f>Source!BZ223</f>
        <v>97</v>
      </c>
      <c r="F487" s="23"/>
      <c r="G487" s="22"/>
      <c r="H487" s="20"/>
      <c r="I487" s="23">
        <f>SUM(Q478:Q486)</f>
        <v>1548.94</v>
      </c>
      <c r="J487" s="20">
        <f>Source!AT223</f>
        <v>97</v>
      </c>
      <c r="K487" s="23">
        <f>SUM(R478:R486)</f>
        <v>87283.03</v>
      </c>
      <c r="L487"/>
    </row>
    <row r="488" spans="1:29" ht="14.25" hidden="1" x14ac:dyDescent="0.2">
      <c r="A488" s="19"/>
      <c r="B488" s="19"/>
      <c r="C488" s="19" t="s">
        <v>839</v>
      </c>
      <c r="D488" s="21" t="s">
        <v>838</v>
      </c>
      <c r="E488" s="20">
        <f>Source!CA223</f>
        <v>51</v>
      </c>
      <c r="F488" s="23"/>
      <c r="G488" s="22"/>
      <c r="H488" s="20"/>
      <c r="I488" s="23">
        <f>SUM(S478:S487)</f>
        <v>814.39</v>
      </c>
      <c r="J488" s="20">
        <f>Source!AU223</f>
        <v>51</v>
      </c>
      <c r="K488" s="23">
        <f>SUM(T478:T487)</f>
        <v>45891.08</v>
      </c>
      <c r="L488"/>
    </row>
    <row r="489" spans="1:29" ht="14.25" hidden="1" x14ac:dyDescent="0.2">
      <c r="A489" s="25"/>
      <c r="B489" s="25"/>
      <c r="C489" s="25" t="s">
        <v>840</v>
      </c>
      <c r="D489" s="26" t="s">
        <v>841</v>
      </c>
      <c r="E489" s="27">
        <f>Source!AQ222</f>
        <v>15</v>
      </c>
      <c r="F489" s="28"/>
      <c r="G489" s="29" t="s">
        <v>187</v>
      </c>
      <c r="H489" s="27">
        <f>Source!AV223</f>
        <v>1.0469999999999999</v>
      </c>
      <c r="I489" s="28">
        <f>Source!U222</f>
        <v>120.99132</v>
      </c>
      <c r="J489" s="27"/>
      <c r="K489" s="28"/>
      <c r="L489"/>
    </row>
    <row r="490" spans="1:29" ht="15" hidden="1" x14ac:dyDescent="0.2">
      <c r="C490" s="30" t="s">
        <v>842</v>
      </c>
      <c r="H490" s="48">
        <f>I480+I481+I483+I487+I488+SUM(I484:I486)-SUMIF(AC484:AC486, 5, I484:I486)-SUMIF(AC484:AC486, 6, I484:I486)</f>
        <v>16194.300000000003</v>
      </c>
      <c r="I490" s="48"/>
      <c r="J490" s="48">
        <f>K480+K481+K483+K487+K488+SUM(K484:K486)-SUMIF(AC484:AC486, 5, K484:K486)-SUMIF(AC484:AC486, 6, K484:K486)</f>
        <v>325636.96999999997</v>
      </c>
      <c r="K490" s="48"/>
      <c r="L490"/>
    </row>
    <row r="491" spans="1:29" ht="15" hidden="1" x14ac:dyDescent="0.2">
      <c r="C491" s="30" t="s">
        <v>843</v>
      </c>
      <c r="H491" s="43">
        <f>SUMIF(AC484:AC486, 5, I484:I486)+SUMIF(AC484:AC486, 6, I484:I486)</f>
        <v>0</v>
      </c>
      <c r="I491" s="43"/>
      <c r="J491" s="43">
        <f>SUMIF(AC484:AC486, 5, K484:K486)+SUMIF(AC484:AC486, 6, K484:K486)</f>
        <v>0</v>
      </c>
      <c r="K491" s="43"/>
      <c r="L491"/>
    </row>
    <row r="492" spans="1:29" ht="15" hidden="1" x14ac:dyDescent="0.2">
      <c r="C492" s="30" t="s">
        <v>844</v>
      </c>
      <c r="H492" s="43">
        <f>I480+I481+I483+I487+I488+SUM(I484:I486)</f>
        <v>16194.300000000003</v>
      </c>
      <c r="I492" s="43"/>
      <c r="J492" s="43">
        <f>K480+K481+K483+K487+K488+SUM(K484:K486)</f>
        <v>325636.96999999997</v>
      </c>
      <c r="K492" s="43"/>
      <c r="L492"/>
      <c r="O492" s="31">
        <f>I480+I481+I483+I487+I488+SUM(I484:I486)</f>
        <v>16194.300000000003</v>
      </c>
      <c r="P492" s="31">
        <f>K480+K481+K483+K487+K488+SUM(K484:K486)</f>
        <v>325636.96999999997</v>
      </c>
    </row>
    <row r="493" spans="1:29" hidden="1" x14ac:dyDescent="0.2">
      <c r="J493"/>
      <c r="L493"/>
    </row>
    <row r="494" spans="1:29" ht="42.75" hidden="1" x14ac:dyDescent="0.2">
      <c r="A494" s="19">
        <v>53</v>
      </c>
      <c r="B494" s="19" t="str">
        <f>Source!F230</f>
        <v>1.1-1-3383</v>
      </c>
      <c r="C494" s="19" t="s">
        <v>357</v>
      </c>
      <c r="D494" s="21" t="str">
        <f>Source!H230</f>
        <v>100 шт.</v>
      </c>
      <c r="E494" s="20">
        <f>Source!I230</f>
        <v>26.4</v>
      </c>
      <c r="F494" s="23">
        <f>Source!AL230</f>
        <v>94.93</v>
      </c>
      <c r="G494" s="22"/>
      <c r="H494" s="20">
        <f>Source!AW231</f>
        <v>1</v>
      </c>
      <c r="I494" s="23">
        <f>Source!P230</f>
        <v>2506.15</v>
      </c>
      <c r="J494" s="20">
        <f>IF(Source!BC231&lt;&gt; 0, Source!BC231, 1)</f>
        <v>3.7</v>
      </c>
      <c r="K494" s="23">
        <f>Source!P231</f>
        <v>9272.76</v>
      </c>
      <c r="L494"/>
      <c r="Q494">
        <f>Source!X230</f>
        <v>0</v>
      </c>
      <c r="R494">
        <f>Source!X231</f>
        <v>0</v>
      </c>
      <c r="S494">
        <f>Source!Y230</f>
        <v>0</v>
      </c>
      <c r="T494">
        <f>Source!Y231</f>
        <v>0</v>
      </c>
      <c r="U494">
        <f>ROUND((175/100)*ROUND(Source!R230, 2), 2)</f>
        <v>0</v>
      </c>
      <c r="V494">
        <f>ROUND((0/100)*ROUND(Source!R231, 2), 2)</f>
        <v>0</v>
      </c>
      <c r="AC494">
        <v>3</v>
      </c>
    </row>
    <row r="495" spans="1:29" hidden="1" x14ac:dyDescent="0.2">
      <c r="A495" s="36"/>
      <c r="B495" s="36"/>
      <c r="C495" s="37" t="str">
        <f>"Объем: "&amp;Source!I230&amp;"=2640/"&amp;"100"</f>
        <v>Объем: 26,4=2640/100</v>
      </c>
      <c r="D495" s="36"/>
      <c r="E495" s="36"/>
      <c r="F495" s="36"/>
      <c r="G495" s="36"/>
      <c r="H495" s="36"/>
      <c r="I495" s="36"/>
      <c r="J495" s="36"/>
      <c r="K495" s="36"/>
      <c r="L495"/>
    </row>
    <row r="496" spans="1:29" ht="15" hidden="1" x14ac:dyDescent="0.2">
      <c r="C496" s="30" t="s">
        <v>844</v>
      </c>
      <c r="H496" s="48">
        <f>I494+0</f>
        <v>2506.15</v>
      </c>
      <c r="I496" s="48"/>
      <c r="J496" s="48">
        <f>K494+0</f>
        <v>9272.76</v>
      </c>
      <c r="K496" s="48"/>
      <c r="L496"/>
      <c r="O496" s="31">
        <f>I494+0</f>
        <v>2506.15</v>
      </c>
      <c r="P496" s="31">
        <f>K494+0</f>
        <v>9272.76</v>
      </c>
    </row>
    <row r="497" spans="1:29" hidden="1" x14ac:dyDescent="0.2">
      <c r="J497"/>
      <c r="L497"/>
    </row>
    <row r="498" spans="1:29" ht="42.75" hidden="1" x14ac:dyDescent="0.2">
      <c r="A498" s="19">
        <v>54</v>
      </c>
      <c r="B498" s="19" t="str">
        <f>Source!F232</f>
        <v>1.1-1-3256</v>
      </c>
      <c r="C498" s="19" t="s">
        <v>364</v>
      </c>
      <c r="D498" s="21" t="str">
        <f>Source!H232</f>
        <v>100 шт.</v>
      </c>
      <c r="E498" s="20">
        <f>Source!I232</f>
        <v>26.4</v>
      </c>
      <c r="F498" s="23">
        <f>Source!AL232</f>
        <v>17.28</v>
      </c>
      <c r="G498" s="22"/>
      <c r="H498" s="20">
        <f>Source!AW233</f>
        <v>1</v>
      </c>
      <c r="I498" s="23">
        <f>Source!P232</f>
        <v>456.19</v>
      </c>
      <c r="J498" s="20">
        <f>IF(Source!BC233&lt;&gt; 0, Source!BC233, 1)</f>
        <v>6.49</v>
      </c>
      <c r="K498" s="23">
        <f>Source!P233</f>
        <v>2960.67</v>
      </c>
      <c r="L498"/>
      <c r="Q498">
        <f>Source!X232</f>
        <v>0</v>
      </c>
      <c r="R498">
        <f>Source!X233</f>
        <v>0</v>
      </c>
      <c r="S498">
        <f>Source!Y232</f>
        <v>0</v>
      </c>
      <c r="T498">
        <f>Source!Y233</f>
        <v>0</v>
      </c>
      <c r="U498">
        <f>ROUND((175/100)*ROUND(Source!R232, 2), 2)</f>
        <v>0</v>
      </c>
      <c r="V498">
        <f>ROUND((0/100)*ROUND(Source!R233, 2), 2)</f>
        <v>0</v>
      </c>
      <c r="AC498">
        <v>3</v>
      </c>
    </row>
    <row r="499" spans="1:29" hidden="1" x14ac:dyDescent="0.2">
      <c r="A499" s="36"/>
      <c r="B499" s="36"/>
      <c r="C499" s="37" t="str">
        <f>"Объем: "&amp;Source!I232&amp;"=2640/"&amp;"100"</f>
        <v>Объем: 26,4=2640/100</v>
      </c>
      <c r="D499" s="36"/>
      <c r="E499" s="36"/>
      <c r="F499" s="36"/>
      <c r="G499" s="36"/>
      <c r="H499" s="36"/>
      <c r="I499" s="36"/>
      <c r="J499" s="36"/>
      <c r="K499" s="36"/>
      <c r="L499"/>
    </row>
    <row r="500" spans="1:29" ht="15" hidden="1" x14ac:dyDescent="0.2">
      <c r="C500" s="30" t="s">
        <v>844</v>
      </c>
      <c r="H500" s="48">
        <f>I498+0</f>
        <v>456.19</v>
      </c>
      <c r="I500" s="48"/>
      <c r="J500" s="48">
        <f>K498+0</f>
        <v>2960.67</v>
      </c>
      <c r="K500" s="48"/>
      <c r="L500"/>
      <c r="O500" s="31">
        <f>I498+0</f>
        <v>456.19</v>
      </c>
      <c r="P500" s="31">
        <f>K498+0</f>
        <v>2960.67</v>
      </c>
    </row>
    <row r="501" spans="1:29" hidden="1" x14ac:dyDescent="0.2">
      <c r="J501"/>
      <c r="L501"/>
    </row>
    <row r="502" spans="1:29" ht="71.25" hidden="1" x14ac:dyDescent="0.2">
      <c r="A502" s="19">
        <v>55</v>
      </c>
      <c r="B502" s="19" t="str">
        <f>Source!F234</f>
        <v>4.8-288-3</v>
      </c>
      <c r="C502" s="19" t="s">
        <v>368</v>
      </c>
      <c r="D502" s="21" t="str">
        <f>Source!H234</f>
        <v>100 м</v>
      </c>
      <c r="E502" s="20">
        <f>Source!I234</f>
        <v>1.5</v>
      </c>
      <c r="F502" s="23"/>
      <c r="G502" s="22"/>
      <c r="H502" s="20"/>
      <c r="I502" s="23"/>
      <c r="J502" s="20"/>
      <c r="K502" s="23"/>
      <c r="L502"/>
      <c r="Q502">
        <f>Source!X234</f>
        <v>386.39</v>
      </c>
      <c r="R502">
        <f>Source!X235</f>
        <v>21773.07</v>
      </c>
      <c r="S502">
        <f>Source!Y234</f>
        <v>203.15</v>
      </c>
      <c r="T502">
        <f>Source!Y235</f>
        <v>11447.69</v>
      </c>
      <c r="U502">
        <f>ROUND((175/100)*ROUND(Source!R234, 2), 2)</f>
        <v>27.3</v>
      </c>
      <c r="V502">
        <f>ROUND((0/100)*ROUND(Source!R235, 2), 2)</f>
        <v>0</v>
      </c>
      <c r="AC502">
        <v>0</v>
      </c>
    </row>
    <row r="503" spans="1:29" hidden="1" x14ac:dyDescent="0.2">
      <c r="C503" s="32" t="str">
        <f>"Объем: "&amp;Source!I234&amp;"=150/"&amp;"100"</f>
        <v>Объем: 1,5=150/100</v>
      </c>
      <c r="J503"/>
      <c r="L503"/>
    </row>
    <row r="504" spans="1:29" ht="14.25" hidden="1" x14ac:dyDescent="0.2">
      <c r="A504" s="19"/>
      <c r="B504" s="19"/>
      <c r="C504" s="19" t="s">
        <v>833</v>
      </c>
      <c r="D504" s="21"/>
      <c r="E504" s="20"/>
      <c r="F504" s="23">
        <f>Source!AO234</f>
        <v>203.09</v>
      </c>
      <c r="G504" s="22" t="s">
        <v>187</v>
      </c>
      <c r="H504" s="20">
        <f>Source!AV235</f>
        <v>1.0469999999999999</v>
      </c>
      <c r="I504" s="23">
        <f>Source!S234</f>
        <v>382.74</v>
      </c>
      <c r="J504" s="20">
        <f>IF(Source!BA235&lt;&gt; 0, Source!BA235, 1)</f>
        <v>56.35</v>
      </c>
      <c r="K504" s="23">
        <f>Source!S235</f>
        <v>21567.4</v>
      </c>
      <c r="L504"/>
    </row>
    <row r="505" spans="1:29" ht="14.25" hidden="1" x14ac:dyDescent="0.2">
      <c r="A505" s="19"/>
      <c r="B505" s="19"/>
      <c r="C505" s="19" t="s">
        <v>835</v>
      </c>
      <c r="D505" s="21"/>
      <c r="E505" s="20"/>
      <c r="F505" s="23">
        <f>Source!AM234</f>
        <v>43.19</v>
      </c>
      <c r="G505" s="22" t="s">
        <v>187</v>
      </c>
      <c r="H505" s="20">
        <f>Source!AV235</f>
        <v>1.0469999999999999</v>
      </c>
      <c r="I505" s="23">
        <f>Source!Q234</f>
        <v>81.400000000000006</v>
      </c>
      <c r="J505" s="20">
        <f>IF(Source!BB235&lt;&gt; 0, Source!BB235, 1)</f>
        <v>19.66</v>
      </c>
      <c r="K505" s="23">
        <f>Source!Q235</f>
        <v>1600.32</v>
      </c>
      <c r="L505"/>
    </row>
    <row r="506" spans="1:29" ht="14.25" hidden="1" x14ac:dyDescent="0.2">
      <c r="A506" s="19"/>
      <c r="B506" s="19"/>
      <c r="C506" s="19" t="s">
        <v>836</v>
      </c>
      <c r="D506" s="21"/>
      <c r="E506" s="20"/>
      <c r="F506" s="23">
        <f>Source!AN234</f>
        <v>8.2799999999999994</v>
      </c>
      <c r="G506" s="22" t="s">
        <v>187</v>
      </c>
      <c r="H506" s="20">
        <f>Source!AV235</f>
        <v>1.0469999999999999</v>
      </c>
      <c r="I506" s="24">
        <f>Source!R234</f>
        <v>15.6</v>
      </c>
      <c r="J506" s="20">
        <f>IF(Source!BS235&lt;&gt; 0, Source!BS235, 1)</f>
        <v>56.35</v>
      </c>
      <c r="K506" s="24">
        <f>Source!R235</f>
        <v>879.06</v>
      </c>
      <c r="L506"/>
    </row>
    <row r="507" spans="1:29" ht="14.25" hidden="1" x14ac:dyDescent="0.2">
      <c r="A507" s="19"/>
      <c r="B507" s="19"/>
      <c r="C507" s="19" t="s">
        <v>847</v>
      </c>
      <c r="D507" s="21"/>
      <c r="E507" s="20"/>
      <c r="F507" s="23">
        <f>Source!AL234</f>
        <v>290.64999999999998</v>
      </c>
      <c r="G507" s="22"/>
      <c r="H507" s="20">
        <f>Source!AW235</f>
        <v>1</v>
      </c>
      <c r="I507" s="23">
        <f>Source!P234</f>
        <v>435.98</v>
      </c>
      <c r="J507" s="20">
        <f>IF(Source!BC235&lt;&gt; 0, Source!BC235, 1)</f>
        <v>9.84</v>
      </c>
      <c r="K507" s="23">
        <f>Source!P235</f>
        <v>4290.04</v>
      </c>
      <c r="L507"/>
    </row>
    <row r="508" spans="1:29" ht="42.75" hidden="1" x14ac:dyDescent="0.2">
      <c r="A508" s="19" t="s">
        <v>370</v>
      </c>
      <c r="B508" s="19" t="str">
        <f>Source!F236</f>
        <v>1.12-5-373</v>
      </c>
      <c r="C508" s="19" t="s">
        <v>372</v>
      </c>
      <c r="D508" s="21" t="str">
        <f>Source!H236</f>
        <v>м</v>
      </c>
      <c r="E508" s="20">
        <f>Source!I236</f>
        <v>153</v>
      </c>
      <c r="F508" s="23">
        <f>Source!AK236</f>
        <v>5.19</v>
      </c>
      <c r="G508" s="35" t="s">
        <v>3</v>
      </c>
      <c r="H508" s="20">
        <f>Source!AW237</f>
        <v>1</v>
      </c>
      <c r="I508" s="23">
        <f>Source!O236</f>
        <v>794.07</v>
      </c>
      <c r="J508" s="20">
        <f>IF(Source!BC237&lt;&gt; 0, Source!BC237, 1)</f>
        <v>3.66</v>
      </c>
      <c r="K508" s="23">
        <f>Source!O237</f>
        <v>2906.3</v>
      </c>
      <c r="L508"/>
      <c r="Q508">
        <f>Source!X236</f>
        <v>0</v>
      </c>
      <c r="R508">
        <f>Source!X237</f>
        <v>0</v>
      </c>
      <c r="S508">
        <f>Source!Y236</f>
        <v>0</v>
      </c>
      <c r="T508">
        <f>Source!Y237</f>
        <v>0</v>
      </c>
      <c r="U508">
        <f>ROUND((175/100)*ROUND(Source!R236, 2), 2)</f>
        <v>0</v>
      </c>
      <c r="V508">
        <f>ROUND((0/100)*ROUND(Source!R237, 2), 2)</f>
        <v>0</v>
      </c>
      <c r="AC508">
        <v>3</v>
      </c>
    </row>
    <row r="509" spans="1:29" ht="42.75" hidden="1" x14ac:dyDescent="0.2">
      <c r="A509" s="19" t="s">
        <v>374</v>
      </c>
      <c r="B509" s="19" t="str">
        <f>Source!F238</f>
        <v>1.21-5-1470</v>
      </c>
      <c r="C509" s="19" t="s">
        <v>376</v>
      </c>
      <c r="D509" s="21" t="str">
        <f>Source!H238</f>
        <v>1000 шт.</v>
      </c>
      <c r="E509" s="20">
        <f>Source!I238</f>
        <v>0.5</v>
      </c>
      <c r="F509" s="23">
        <f>Source!AK238</f>
        <v>594.33000000000004</v>
      </c>
      <c r="G509" s="35" t="s">
        <v>3</v>
      </c>
      <c r="H509" s="20">
        <f>Source!AW239</f>
        <v>1</v>
      </c>
      <c r="I509" s="23">
        <f>Source!O238</f>
        <v>297.17</v>
      </c>
      <c r="J509" s="20">
        <f>IF(Source!BC239&lt;&gt; 0, Source!BC239, 1)</f>
        <v>2.68</v>
      </c>
      <c r="K509" s="23">
        <f>Source!O239</f>
        <v>796.42</v>
      </c>
      <c r="L509"/>
      <c r="Q509">
        <f>Source!X238</f>
        <v>0</v>
      </c>
      <c r="R509">
        <f>Source!X239</f>
        <v>0</v>
      </c>
      <c r="S509">
        <f>Source!Y238</f>
        <v>0</v>
      </c>
      <c r="T509">
        <f>Source!Y239</f>
        <v>0</v>
      </c>
      <c r="U509">
        <f>ROUND((175/100)*ROUND(Source!R238, 2), 2)</f>
        <v>0</v>
      </c>
      <c r="V509">
        <f>ROUND((0/100)*ROUND(Source!R239, 2), 2)</f>
        <v>0</v>
      </c>
      <c r="AC509">
        <v>3</v>
      </c>
    </row>
    <row r="510" spans="1:29" ht="14.25" hidden="1" x14ac:dyDescent="0.2">
      <c r="A510" s="19"/>
      <c r="B510" s="19"/>
      <c r="C510" s="19" t="s">
        <v>837</v>
      </c>
      <c r="D510" s="21" t="s">
        <v>838</v>
      </c>
      <c r="E510" s="20">
        <f>Source!BZ235</f>
        <v>97</v>
      </c>
      <c r="F510" s="23"/>
      <c r="G510" s="22"/>
      <c r="H510" s="20"/>
      <c r="I510" s="23">
        <f>SUM(Q502:Q509)</f>
        <v>386.39</v>
      </c>
      <c r="J510" s="20">
        <f>Source!AT235</f>
        <v>97</v>
      </c>
      <c r="K510" s="23">
        <f>SUM(R502:R509)</f>
        <v>21773.07</v>
      </c>
      <c r="L510"/>
    </row>
    <row r="511" spans="1:29" ht="14.25" hidden="1" x14ac:dyDescent="0.2">
      <c r="A511" s="19"/>
      <c r="B511" s="19"/>
      <c r="C511" s="19" t="s">
        <v>839</v>
      </c>
      <c r="D511" s="21" t="s">
        <v>838</v>
      </c>
      <c r="E511" s="20">
        <f>Source!CA235</f>
        <v>51</v>
      </c>
      <c r="F511" s="23"/>
      <c r="G511" s="22"/>
      <c r="H511" s="20"/>
      <c r="I511" s="23">
        <f>SUM(S502:S510)</f>
        <v>203.15</v>
      </c>
      <c r="J511" s="20">
        <f>Source!AU235</f>
        <v>51</v>
      </c>
      <c r="K511" s="23">
        <f>SUM(T502:T510)</f>
        <v>11447.69</v>
      </c>
      <c r="L511"/>
    </row>
    <row r="512" spans="1:29" ht="14.25" hidden="1" x14ac:dyDescent="0.2">
      <c r="A512" s="25"/>
      <c r="B512" s="25"/>
      <c r="C512" s="25" t="s">
        <v>840</v>
      </c>
      <c r="D512" s="26" t="s">
        <v>841</v>
      </c>
      <c r="E512" s="27">
        <f>Source!AQ234</f>
        <v>15.93</v>
      </c>
      <c r="F512" s="28"/>
      <c r="G512" s="29" t="s">
        <v>187</v>
      </c>
      <c r="H512" s="27">
        <f>Source!AV235</f>
        <v>1.0469999999999999</v>
      </c>
      <c r="I512" s="28">
        <f>Source!U234</f>
        <v>30.021677999999998</v>
      </c>
      <c r="J512" s="27"/>
      <c r="K512" s="28"/>
      <c r="L512"/>
    </row>
    <row r="513" spans="1:29" ht="15" hidden="1" x14ac:dyDescent="0.2">
      <c r="C513" s="30" t="s">
        <v>842</v>
      </c>
      <c r="H513" s="48">
        <f>I504+I505+I507+I510+I511+SUM(I508:I509)-SUMIF(AC508:AC509, 5, I508:I509)-SUMIF(AC508:AC509, 6, I508:I509)</f>
        <v>2580.9</v>
      </c>
      <c r="I513" s="48"/>
      <c r="J513" s="48">
        <f>K504+K505+K507+K510+K511+SUM(K508:K509)-SUMIF(AC508:AC509, 5, K508:K509)-SUMIF(AC508:AC509, 6, K508:K509)</f>
        <v>64381.240000000005</v>
      </c>
      <c r="K513" s="48"/>
      <c r="L513"/>
    </row>
    <row r="514" spans="1:29" ht="15" hidden="1" x14ac:dyDescent="0.2">
      <c r="C514" s="30" t="s">
        <v>843</v>
      </c>
      <c r="H514" s="43">
        <f>SUMIF(AC508:AC509, 5, I508:I509)+SUMIF(AC508:AC509, 6, I508:I509)</f>
        <v>0</v>
      </c>
      <c r="I514" s="43"/>
      <c r="J514" s="43">
        <f>SUMIF(AC508:AC509, 5, K508:K509)+SUMIF(AC508:AC509, 6, K508:K509)</f>
        <v>0</v>
      </c>
      <c r="K514" s="43"/>
      <c r="L514"/>
    </row>
    <row r="515" spans="1:29" ht="15" hidden="1" x14ac:dyDescent="0.2">
      <c r="C515" s="30" t="s">
        <v>844</v>
      </c>
      <c r="H515" s="43">
        <f>I504+I505+I507+I510+I511+SUM(I508:I509)</f>
        <v>2580.9</v>
      </c>
      <c r="I515" s="43"/>
      <c r="J515" s="43">
        <f>K504+K505+K507+K510+K511+SUM(K508:K509)</f>
        <v>64381.240000000005</v>
      </c>
      <c r="K515" s="43"/>
      <c r="L515"/>
      <c r="O515" s="31">
        <f>I504+I505+I507+I510+I511+SUM(I508:I509)</f>
        <v>2580.9</v>
      </c>
      <c r="P515" s="31">
        <f>K504+K505+K507+K510+K511+SUM(K508:K509)</f>
        <v>64381.240000000005</v>
      </c>
    </row>
    <row r="516" spans="1:29" hidden="1" x14ac:dyDescent="0.2">
      <c r="J516"/>
      <c r="L516"/>
    </row>
    <row r="517" spans="1:29" ht="57" hidden="1" x14ac:dyDescent="0.2">
      <c r="A517" s="19">
        <v>56</v>
      </c>
      <c r="B517" s="19" t="str">
        <f>Source!F240</f>
        <v>4.8-170-6</v>
      </c>
      <c r="C517" s="19" t="s">
        <v>380</v>
      </c>
      <c r="D517" s="21" t="str">
        <f>Source!H240</f>
        <v>100 м</v>
      </c>
      <c r="E517" s="20">
        <f>Source!I240</f>
        <v>0.02</v>
      </c>
      <c r="F517" s="23"/>
      <c r="G517" s="22"/>
      <c r="H517" s="20"/>
      <c r="I517" s="23"/>
      <c r="J517" s="20"/>
      <c r="K517" s="23"/>
      <c r="L517"/>
      <c r="Q517">
        <f>Source!X240</f>
        <v>5.09</v>
      </c>
      <c r="R517">
        <f>Source!X241</f>
        <v>286.95999999999998</v>
      </c>
      <c r="S517">
        <f>Source!Y240</f>
        <v>2.68</v>
      </c>
      <c r="T517">
        <f>Source!Y241</f>
        <v>150.88</v>
      </c>
      <c r="U517">
        <f>ROUND((175/100)*ROUND(Source!R240, 2), 2)</f>
        <v>0.25</v>
      </c>
      <c r="V517">
        <f>ROUND((0/100)*ROUND(Source!R241, 2), 2)</f>
        <v>0</v>
      </c>
      <c r="AC517">
        <v>0</v>
      </c>
    </row>
    <row r="518" spans="1:29" hidden="1" x14ac:dyDescent="0.2">
      <c r="C518" s="32" t="str">
        <f>"Объем: "&amp;Source!I240&amp;"=2/"&amp;"100"</f>
        <v>Объем: 0,02=2/100</v>
      </c>
      <c r="J518"/>
      <c r="L518"/>
    </row>
    <row r="519" spans="1:29" ht="14.25" hidden="1" x14ac:dyDescent="0.2">
      <c r="A519" s="19"/>
      <c r="B519" s="19"/>
      <c r="C519" s="19" t="s">
        <v>833</v>
      </c>
      <c r="D519" s="21"/>
      <c r="E519" s="20"/>
      <c r="F519" s="23">
        <f>Source!AO240</f>
        <v>203.28</v>
      </c>
      <c r="G519" s="22" t="s">
        <v>187</v>
      </c>
      <c r="H519" s="20">
        <f>Source!AV241</f>
        <v>1.0469999999999999</v>
      </c>
      <c r="I519" s="23">
        <f>Source!S240</f>
        <v>5.1100000000000003</v>
      </c>
      <c r="J519" s="20">
        <f>IF(Source!BA241&lt;&gt; 0, Source!BA241, 1)</f>
        <v>56.35</v>
      </c>
      <c r="K519" s="23">
        <f>Source!S241</f>
        <v>287.95</v>
      </c>
      <c r="L519"/>
    </row>
    <row r="520" spans="1:29" ht="14.25" hidden="1" x14ac:dyDescent="0.2">
      <c r="A520" s="19"/>
      <c r="B520" s="19"/>
      <c r="C520" s="19" t="s">
        <v>835</v>
      </c>
      <c r="D520" s="21"/>
      <c r="E520" s="20"/>
      <c r="F520" s="23">
        <f>Source!AM240</f>
        <v>61.76</v>
      </c>
      <c r="G520" s="22" t="s">
        <v>187</v>
      </c>
      <c r="H520" s="20">
        <f>Source!AV241</f>
        <v>1.0469999999999999</v>
      </c>
      <c r="I520" s="23">
        <f>Source!Q240</f>
        <v>1.55</v>
      </c>
      <c r="J520" s="20">
        <f>IF(Source!BB241&lt;&gt; 0, Source!BB241, 1)</f>
        <v>15.55</v>
      </c>
      <c r="K520" s="23">
        <f>Source!Q241</f>
        <v>24.1</v>
      </c>
      <c r="L520"/>
    </row>
    <row r="521" spans="1:29" ht="14.25" hidden="1" x14ac:dyDescent="0.2">
      <c r="A521" s="19"/>
      <c r="B521" s="19"/>
      <c r="C521" s="19" t="s">
        <v>836</v>
      </c>
      <c r="D521" s="21"/>
      <c r="E521" s="20"/>
      <c r="F521" s="23">
        <f>Source!AN240</f>
        <v>5.43</v>
      </c>
      <c r="G521" s="22" t="s">
        <v>187</v>
      </c>
      <c r="H521" s="20">
        <f>Source!AV241</f>
        <v>1.0469999999999999</v>
      </c>
      <c r="I521" s="24">
        <f>Source!R240</f>
        <v>0.14000000000000001</v>
      </c>
      <c r="J521" s="20">
        <f>IF(Source!BS241&lt;&gt; 0, Source!BS241, 1)</f>
        <v>56.35</v>
      </c>
      <c r="K521" s="24">
        <f>Source!R241</f>
        <v>7.89</v>
      </c>
      <c r="L521"/>
    </row>
    <row r="522" spans="1:29" ht="14.25" hidden="1" x14ac:dyDescent="0.2">
      <c r="A522" s="19"/>
      <c r="B522" s="19"/>
      <c r="C522" s="19" t="s">
        <v>847</v>
      </c>
      <c r="D522" s="21"/>
      <c r="E522" s="20"/>
      <c r="F522" s="23">
        <f>Source!AL240</f>
        <v>1688.81</v>
      </c>
      <c r="G522" s="22"/>
      <c r="H522" s="20">
        <f>Source!AW241</f>
        <v>1</v>
      </c>
      <c r="I522" s="23">
        <f>Source!P240</f>
        <v>33.78</v>
      </c>
      <c r="J522" s="20">
        <f>IF(Source!BC241&lt;&gt; 0, Source!BC241, 1)</f>
        <v>4.8</v>
      </c>
      <c r="K522" s="23">
        <f>Source!P241</f>
        <v>162.13999999999999</v>
      </c>
      <c r="L522"/>
    </row>
    <row r="523" spans="1:29" ht="57" hidden="1" x14ac:dyDescent="0.2">
      <c r="A523" s="19" t="s">
        <v>382</v>
      </c>
      <c r="B523" s="19" t="str">
        <f>Source!F242</f>
        <v>1.12-1-29</v>
      </c>
      <c r="C523" s="19" t="s">
        <v>384</v>
      </c>
      <c r="D523" s="21" t="str">
        <f>Source!H242</f>
        <v>м</v>
      </c>
      <c r="E523" s="20">
        <f>Source!I242</f>
        <v>2.06</v>
      </c>
      <c r="F523" s="23">
        <f>Source!AK242</f>
        <v>32.96</v>
      </c>
      <c r="G523" s="35" t="s">
        <v>3</v>
      </c>
      <c r="H523" s="20">
        <f>Source!AW243</f>
        <v>1</v>
      </c>
      <c r="I523" s="23">
        <f>Source!O242</f>
        <v>67.900000000000006</v>
      </c>
      <c r="J523" s="20">
        <f>IF(Source!BC243&lt;&gt; 0, Source!BC243, 1)</f>
        <v>1.67</v>
      </c>
      <c r="K523" s="23">
        <f>Source!O243</f>
        <v>113.39</v>
      </c>
      <c r="L523"/>
      <c r="Q523">
        <f>Source!X242</f>
        <v>0</v>
      </c>
      <c r="R523">
        <f>Source!X243</f>
        <v>0</v>
      </c>
      <c r="S523">
        <f>Source!Y242</f>
        <v>0</v>
      </c>
      <c r="T523">
        <f>Source!Y243</f>
        <v>0</v>
      </c>
      <c r="U523">
        <f>ROUND((175/100)*ROUND(Source!R242, 2), 2)</f>
        <v>0</v>
      </c>
      <c r="V523">
        <f>ROUND((0/100)*ROUND(Source!R243, 2), 2)</f>
        <v>0</v>
      </c>
      <c r="AC523">
        <v>3</v>
      </c>
    </row>
    <row r="524" spans="1:29" ht="14.25" hidden="1" x14ac:dyDescent="0.2">
      <c r="A524" s="19"/>
      <c r="B524" s="19"/>
      <c r="C524" s="19" t="s">
        <v>837</v>
      </c>
      <c r="D524" s="21" t="s">
        <v>838</v>
      </c>
      <c r="E524" s="20">
        <f>Source!BZ241</f>
        <v>97</v>
      </c>
      <c r="F524" s="23"/>
      <c r="G524" s="22"/>
      <c r="H524" s="20"/>
      <c r="I524" s="23">
        <f>SUM(Q517:Q523)</f>
        <v>5.09</v>
      </c>
      <c r="J524" s="20">
        <f>Source!AT241</f>
        <v>97</v>
      </c>
      <c r="K524" s="23">
        <f>SUM(R517:R523)</f>
        <v>286.95999999999998</v>
      </c>
      <c r="L524"/>
    </row>
    <row r="525" spans="1:29" ht="14.25" hidden="1" x14ac:dyDescent="0.2">
      <c r="A525" s="19"/>
      <c r="B525" s="19"/>
      <c r="C525" s="19" t="s">
        <v>839</v>
      </c>
      <c r="D525" s="21" t="s">
        <v>838</v>
      </c>
      <c r="E525" s="20">
        <f>Source!CA241</f>
        <v>51</v>
      </c>
      <c r="F525" s="23"/>
      <c r="G525" s="22"/>
      <c r="H525" s="20"/>
      <c r="I525" s="23">
        <f>SUM(S517:S524)</f>
        <v>2.68</v>
      </c>
      <c r="J525" s="20">
        <f>Source!AU241</f>
        <v>51</v>
      </c>
      <c r="K525" s="23">
        <f>SUM(T517:T524)</f>
        <v>150.88</v>
      </c>
      <c r="L525"/>
    </row>
    <row r="526" spans="1:29" ht="14.25" hidden="1" x14ac:dyDescent="0.2">
      <c r="A526" s="25"/>
      <c r="B526" s="25"/>
      <c r="C526" s="25" t="s">
        <v>840</v>
      </c>
      <c r="D526" s="26" t="s">
        <v>841</v>
      </c>
      <c r="E526" s="27">
        <f>Source!AQ240</f>
        <v>16.5</v>
      </c>
      <c r="F526" s="28"/>
      <c r="G526" s="29" t="s">
        <v>187</v>
      </c>
      <c r="H526" s="27">
        <f>Source!AV241</f>
        <v>1.0469999999999999</v>
      </c>
      <c r="I526" s="28">
        <f>Source!U240</f>
        <v>0.41461199999999998</v>
      </c>
      <c r="J526" s="27"/>
      <c r="K526" s="28"/>
      <c r="L526"/>
    </row>
    <row r="527" spans="1:29" ht="15" hidden="1" x14ac:dyDescent="0.2">
      <c r="C527" s="30" t="s">
        <v>842</v>
      </c>
      <c r="H527" s="48">
        <f>I519+I520+I522+I524+I525+SUM(I523:I523)-SUMIF(AC523:AC523, 5, I523:I523)-SUMIF(AC523:AC523, 6, I523:I523)</f>
        <v>116.11000000000001</v>
      </c>
      <c r="I527" s="48"/>
      <c r="J527" s="48">
        <f>K519+K520+K522+K524+K525+SUM(K523:K523)-SUMIF(AC523:AC523, 5, K523:K523)-SUMIF(AC523:AC523, 6, K523:K523)</f>
        <v>1025.42</v>
      </c>
      <c r="K527" s="48"/>
      <c r="L527"/>
    </row>
    <row r="528" spans="1:29" ht="15" hidden="1" x14ac:dyDescent="0.2">
      <c r="C528" s="30" t="s">
        <v>843</v>
      </c>
      <c r="H528" s="43">
        <f>SUMIF(AC523:AC523, 5, I523:I523)+SUMIF(AC523:AC523, 6, I523:I523)</f>
        <v>0</v>
      </c>
      <c r="I528" s="43"/>
      <c r="J528" s="43">
        <f>SUMIF(AC523:AC523, 5, K523:K523)+SUMIF(AC523:AC523, 6, K523:K523)</f>
        <v>0</v>
      </c>
      <c r="K528" s="43"/>
      <c r="L528"/>
    </row>
    <row r="529" spans="1:29" ht="15" hidden="1" x14ac:dyDescent="0.2">
      <c r="C529" s="30" t="s">
        <v>844</v>
      </c>
      <c r="H529" s="43">
        <f>I519+I520+I522+I524+I525+SUM(I523:I523)</f>
        <v>116.11000000000001</v>
      </c>
      <c r="I529" s="43"/>
      <c r="J529" s="43">
        <f>K519+K520+K522+K524+K525+SUM(K523:K523)</f>
        <v>1025.42</v>
      </c>
      <c r="K529" s="43"/>
      <c r="L529"/>
      <c r="O529" s="31">
        <f>I519+I520+I522+I524+I525+SUM(I523:I523)</f>
        <v>116.11000000000001</v>
      </c>
      <c r="P529" s="31">
        <f>K519+K520+K522+K524+K525+SUM(K523:K523)</f>
        <v>1025.42</v>
      </c>
    </row>
    <row r="530" spans="1:29" hidden="1" x14ac:dyDescent="0.2">
      <c r="J530"/>
      <c r="L530"/>
    </row>
    <row r="531" spans="1:29" ht="71.25" hidden="1" x14ac:dyDescent="0.2">
      <c r="A531" s="19">
        <v>57</v>
      </c>
      <c r="B531" s="19" t="str">
        <f>Source!F244</f>
        <v>4.8-175-1</v>
      </c>
      <c r="C531" s="19" t="s">
        <v>388</v>
      </c>
      <c r="D531" s="21" t="str">
        <f>Source!H244</f>
        <v>100 м</v>
      </c>
      <c r="E531" s="20">
        <f>Source!I244</f>
        <v>7.94</v>
      </c>
      <c r="F531" s="23"/>
      <c r="G531" s="22"/>
      <c r="H531" s="20"/>
      <c r="I531" s="23"/>
      <c r="J531" s="20"/>
      <c r="K531" s="23"/>
      <c r="L531"/>
      <c r="Q531">
        <f>Source!X244</f>
        <v>537.33000000000004</v>
      </c>
      <c r="R531">
        <f>Source!X245</f>
        <v>30278.639999999999</v>
      </c>
      <c r="S531">
        <f>Source!Y244</f>
        <v>282.51</v>
      </c>
      <c r="T531">
        <f>Source!Y245</f>
        <v>15919.7</v>
      </c>
      <c r="U531">
        <f>ROUND((175/100)*ROUND(Source!R244, 2), 2)</f>
        <v>5.23</v>
      </c>
      <c r="V531">
        <f>ROUND((0/100)*ROUND(Source!R245, 2), 2)</f>
        <v>0</v>
      </c>
      <c r="AC531">
        <v>0</v>
      </c>
    </row>
    <row r="532" spans="1:29" hidden="1" x14ac:dyDescent="0.2">
      <c r="C532" s="32" t="str">
        <f>"Объем: "&amp;Source!I244&amp;"=(642+"&amp;"150+"&amp;"2)/"&amp;"100"</f>
        <v>Объем: 7,94=(642+150+2)/100</v>
      </c>
      <c r="J532"/>
      <c r="L532"/>
    </row>
    <row r="533" spans="1:29" ht="14.25" hidden="1" x14ac:dyDescent="0.2">
      <c r="A533" s="19"/>
      <c r="B533" s="19"/>
      <c r="C533" s="19" t="s">
        <v>833</v>
      </c>
      <c r="D533" s="21"/>
      <c r="E533" s="20"/>
      <c r="F533" s="23">
        <f>Source!AO244</f>
        <v>55.23</v>
      </c>
      <c r="G533" s="22" t="s">
        <v>187</v>
      </c>
      <c r="H533" s="20">
        <f>Source!AV245</f>
        <v>1.0469999999999999</v>
      </c>
      <c r="I533" s="23">
        <f>Source!S244</f>
        <v>550.96</v>
      </c>
      <c r="J533" s="20">
        <f>IF(Source!BA245&lt;&gt; 0, Source!BA245, 1)</f>
        <v>56.35</v>
      </c>
      <c r="K533" s="23">
        <f>Source!S245</f>
        <v>31046.6</v>
      </c>
      <c r="L533"/>
    </row>
    <row r="534" spans="1:29" ht="14.25" hidden="1" x14ac:dyDescent="0.2">
      <c r="A534" s="19"/>
      <c r="B534" s="19"/>
      <c r="C534" s="19" t="s">
        <v>835</v>
      </c>
      <c r="D534" s="21"/>
      <c r="E534" s="20"/>
      <c r="F534" s="23">
        <f>Source!AM244</f>
        <v>2.62</v>
      </c>
      <c r="G534" s="22" t="s">
        <v>187</v>
      </c>
      <c r="H534" s="20">
        <f>Source!AV245</f>
        <v>1.0469999999999999</v>
      </c>
      <c r="I534" s="23">
        <f>Source!Q244</f>
        <v>26.14</v>
      </c>
      <c r="J534" s="20">
        <f>IF(Source!BB245&lt;&gt; 0, Source!BB245, 1)</f>
        <v>15.28</v>
      </c>
      <c r="K534" s="23">
        <f>Source!Q245</f>
        <v>399.42</v>
      </c>
      <c r="L534"/>
    </row>
    <row r="535" spans="1:29" ht="14.25" hidden="1" x14ac:dyDescent="0.2">
      <c r="A535" s="19"/>
      <c r="B535" s="19"/>
      <c r="C535" s="19" t="s">
        <v>836</v>
      </c>
      <c r="D535" s="21"/>
      <c r="E535" s="20"/>
      <c r="F535" s="23">
        <f>Source!AN244</f>
        <v>0.3</v>
      </c>
      <c r="G535" s="22" t="s">
        <v>187</v>
      </c>
      <c r="H535" s="20">
        <f>Source!AV245</f>
        <v>1.0469999999999999</v>
      </c>
      <c r="I535" s="24">
        <f>Source!R244</f>
        <v>2.99</v>
      </c>
      <c r="J535" s="20">
        <f>IF(Source!BS245&lt;&gt; 0, Source!BS245, 1)</f>
        <v>56.35</v>
      </c>
      <c r="K535" s="24">
        <f>Source!R245</f>
        <v>168.49</v>
      </c>
      <c r="L535"/>
    </row>
    <row r="536" spans="1:29" ht="14.25" hidden="1" x14ac:dyDescent="0.2">
      <c r="A536" s="19"/>
      <c r="B536" s="19"/>
      <c r="C536" s="19" t="s">
        <v>847</v>
      </c>
      <c r="D536" s="21"/>
      <c r="E536" s="20"/>
      <c r="F536" s="23">
        <f>Source!AL244</f>
        <v>58.15</v>
      </c>
      <c r="G536" s="22"/>
      <c r="H536" s="20">
        <f>Source!AW245</f>
        <v>1</v>
      </c>
      <c r="I536" s="23">
        <f>Source!P244</f>
        <v>461.71</v>
      </c>
      <c r="J536" s="20">
        <f>IF(Source!BC245&lt;&gt; 0, Source!BC245, 1)</f>
        <v>3.71</v>
      </c>
      <c r="K536" s="23">
        <f>Source!P245</f>
        <v>1712.94</v>
      </c>
      <c r="L536"/>
    </row>
    <row r="537" spans="1:29" ht="14.25" hidden="1" x14ac:dyDescent="0.2">
      <c r="A537" s="19"/>
      <c r="B537" s="19"/>
      <c r="C537" s="19" t="s">
        <v>837</v>
      </c>
      <c r="D537" s="21" t="s">
        <v>838</v>
      </c>
      <c r="E537" s="20">
        <f>Source!BZ245</f>
        <v>97</v>
      </c>
      <c r="F537" s="23"/>
      <c r="G537" s="22"/>
      <c r="H537" s="20"/>
      <c r="I537" s="23">
        <f>SUM(Q531:Q536)</f>
        <v>537.33000000000004</v>
      </c>
      <c r="J537" s="20">
        <f>Source!AT245</f>
        <v>97</v>
      </c>
      <c r="K537" s="23">
        <f>SUM(R531:R536)</f>
        <v>30278.639999999999</v>
      </c>
      <c r="L537"/>
    </row>
    <row r="538" spans="1:29" ht="14.25" hidden="1" x14ac:dyDescent="0.2">
      <c r="A538" s="19"/>
      <c r="B538" s="19"/>
      <c r="C538" s="19" t="s">
        <v>839</v>
      </c>
      <c r="D538" s="21" t="s">
        <v>838</v>
      </c>
      <c r="E538" s="20">
        <f>Source!CA245</f>
        <v>51</v>
      </c>
      <c r="F538" s="23"/>
      <c r="G538" s="22"/>
      <c r="H538" s="20"/>
      <c r="I538" s="23">
        <f>SUM(S531:S537)</f>
        <v>282.51</v>
      </c>
      <c r="J538" s="20">
        <f>Source!AU245</f>
        <v>51</v>
      </c>
      <c r="K538" s="23">
        <f>SUM(T531:T537)</f>
        <v>15919.7</v>
      </c>
      <c r="L538"/>
    </row>
    <row r="539" spans="1:29" ht="14.25" hidden="1" x14ac:dyDescent="0.2">
      <c r="A539" s="25"/>
      <c r="B539" s="25"/>
      <c r="C539" s="25" t="s">
        <v>840</v>
      </c>
      <c r="D539" s="26" t="s">
        <v>841</v>
      </c>
      <c r="E539" s="27">
        <f>Source!AQ244</f>
        <v>4.49</v>
      </c>
      <c r="F539" s="28"/>
      <c r="G539" s="29" t="s">
        <v>187</v>
      </c>
      <c r="H539" s="27">
        <f>Source!AV245</f>
        <v>1.0469999999999999</v>
      </c>
      <c r="I539" s="28">
        <f>Source!U244</f>
        <v>44.791413839999997</v>
      </c>
      <c r="J539" s="27"/>
      <c r="K539" s="28"/>
      <c r="L539"/>
    </row>
    <row r="540" spans="1:29" ht="15" hidden="1" x14ac:dyDescent="0.2">
      <c r="C540" s="30" t="s">
        <v>842</v>
      </c>
      <c r="H540" s="48">
        <f>I533+I534+I536+I537+I538+0-0-0</f>
        <v>1858.6499999999999</v>
      </c>
      <c r="I540" s="48"/>
      <c r="J540" s="48">
        <f>K533+K534+K536+K537+K538+0-0-0</f>
        <v>79357.3</v>
      </c>
      <c r="K540" s="48"/>
      <c r="L540"/>
    </row>
    <row r="541" spans="1:29" ht="15" hidden="1" x14ac:dyDescent="0.2">
      <c r="C541" s="30" t="s">
        <v>843</v>
      </c>
      <c r="H541" s="43">
        <f>0+0</f>
        <v>0</v>
      </c>
      <c r="I541" s="43"/>
      <c r="J541" s="43">
        <f>0+0</f>
        <v>0</v>
      </c>
      <c r="K541" s="43"/>
      <c r="L541"/>
    </row>
    <row r="542" spans="1:29" ht="15" hidden="1" x14ac:dyDescent="0.2">
      <c r="C542" s="30" t="s">
        <v>844</v>
      </c>
      <c r="H542" s="43">
        <f>I533+I534+I536+I537+I538+0</f>
        <v>1858.6499999999999</v>
      </c>
      <c r="I542" s="43"/>
      <c r="J542" s="43">
        <f>K533+K534+K536+K537+K538+0</f>
        <v>79357.3</v>
      </c>
      <c r="K542" s="43"/>
      <c r="L542"/>
      <c r="O542" s="31">
        <f>I533+I534+I536+I537+I538+0</f>
        <v>1858.6499999999999</v>
      </c>
      <c r="P542" s="31">
        <f>K533+K534+K536+K537+K538+0</f>
        <v>79357.3</v>
      </c>
    </row>
    <row r="543" spans="1:29" hidden="1" x14ac:dyDescent="0.2">
      <c r="J543"/>
      <c r="L543"/>
    </row>
    <row r="544" spans="1:29" ht="27" hidden="1" x14ac:dyDescent="0.2">
      <c r="A544" s="19">
        <v>58</v>
      </c>
      <c r="B544" s="19" t="str">
        <f>Source!F246</f>
        <v>КА, п.18</v>
      </c>
      <c r="C544" s="19" t="s">
        <v>874</v>
      </c>
      <c r="D544" s="21" t="str">
        <f>Source!H246</f>
        <v>м</v>
      </c>
      <c r="E544" s="20">
        <f>Source!I246</f>
        <v>661.26</v>
      </c>
      <c r="F544" s="23">
        <f>Source!AL246</f>
        <v>3.55</v>
      </c>
      <c r="G544" s="22"/>
      <c r="H544" s="20">
        <f>Source!AW247</f>
        <v>1</v>
      </c>
      <c r="I544" s="23">
        <f>Source!P246</f>
        <v>2347.4699999999998</v>
      </c>
      <c r="J544" s="20">
        <f>IF(Source!BC247&lt;&gt; 0, Source!BC247, 1)</f>
        <v>9.86</v>
      </c>
      <c r="K544" s="23">
        <f>Source!P247</f>
        <v>23146.05</v>
      </c>
      <c r="L544"/>
      <c r="Q544">
        <f>Source!X246</f>
        <v>0</v>
      </c>
      <c r="R544">
        <f>Source!X247</f>
        <v>0</v>
      </c>
      <c r="S544">
        <f>Source!Y246</f>
        <v>0</v>
      </c>
      <c r="T544">
        <f>Source!Y247</f>
        <v>0</v>
      </c>
      <c r="U544">
        <f>ROUND((175/100)*ROUND(Source!R246, 2), 2)</f>
        <v>0</v>
      </c>
      <c r="V544">
        <f>ROUND((0/100)*ROUND(Source!R247, 2), 2)</f>
        <v>0</v>
      </c>
      <c r="AC544">
        <v>3</v>
      </c>
    </row>
    <row r="545" spans="1:29" hidden="1" x14ac:dyDescent="0.2">
      <c r="A545" s="36"/>
      <c r="B545" s="36"/>
      <c r="C545" s="37" t="str">
        <f>"Объем: "&amp;Source!I246&amp;"=642*"&amp;"1,03"</f>
        <v>Объем: 661,26=642*1,03</v>
      </c>
      <c r="D545" s="36"/>
      <c r="E545" s="36"/>
      <c r="F545" s="36"/>
      <c r="G545" s="36"/>
      <c r="H545" s="36"/>
      <c r="I545" s="36"/>
      <c r="J545" s="36"/>
      <c r="K545" s="36"/>
      <c r="L545"/>
    </row>
    <row r="546" spans="1:29" ht="15" hidden="1" x14ac:dyDescent="0.2">
      <c r="C546" s="30" t="s">
        <v>844</v>
      </c>
      <c r="H546" s="48">
        <f>I544+0</f>
        <v>2347.4699999999998</v>
      </c>
      <c r="I546" s="48"/>
      <c r="J546" s="48">
        <f>K544+0</f>
        <v>23146.05</v>
      </c>
      <c r="K546" s="48"/>
      <c r="L546"/>
      <c r="O546" s="31">
        <f>I544+0</f>
        <v>2347.4699999999998</v>
      </c>
      <c r="P546" s="31">
        <f>K544+0</f>
        <v>23146.05</v>
      </c>
    </row>
    <row r="547" spans="1:29" hidden="1" x14ac:dyDescent="0.2">
      <c r="J547"/>
      <c r="L547"/>
    </row>
    <row r="548" spans="1:29" ht="142.5" hidden="1" x14ac:dyDescent="0.2">
      <c r="A548" s="19">
        <v>59</v>
      </c>
      <c r="B548" s="19" t="str">
        <f>Source!F248</f>
        <v>1.23-8-770</v>
      </c>
      <c r="C548" s="19" t="s">
        <v>803</v>
      </c>
      <c r="D548" s="21" t="str">
        <f>Source!H248</f>
        <v>км</v>
      </c>
      <c r="E548" s="20">
        <f>Source!I248</f>
        <v>0.1545</v>
      </c>
      <c r="F548" s="23">
        <f>Source!AL248</f>
        <v>19717.37</v>
      </c>
      <c r="G548" s="22"/>
      <c r="H548" s="20">
        <f>Source!AW249</f>
        <v>1</v>
      </c>
      <c r="I548" s="23">
        <f>Source!P248</f>
        <v>3046.33</v>
      </c>
      <c r="J548" s="20">
        <f>IF(Source!BC249&lt;&gt; 0, Source!BC249, 1)</f>
        <v>3.25</v>
      </c>
      <c r="K548" s="23">
        <f>Source!P249</f>
        <v>9900.57</v>
      </c>
      <c r="L548"/>
      <c r="Q548">
        <f>Source!X248</f>
        <v>0</v>
      </c>
      <c r="R548">
        <f>Source!X249</f>
        <v>0</v>
      </c>
      <c r="S548">
        <f>Source!Y248</f>
        <v>0</v>
      </c>
      <c r="T548">
        <f>Source!Y249</f>
        <v>0</v>
      </c>
      <c r="U548">
        <f>ROUND((175/100)*ROUND(Source!R248, 2), 2)</f>
        <v>0</v>
      </c>
      <c r="V548">
        <f>ROUND((0/100)*ROUND(Source!R249, 2), 2)</f>
        <v>0</v>
      </c>
      <c r="AC548">
        <v>3</v>
      </c>
    </row>
    <row r="549" spans="1:29" hidden="1" x14ac:dyDescent="0.2">
      <c r="A549" s="36"/>
      <c r="B549" s="36"/>
      <c r="C549" s="37" t="str">
        <f>"Объем: "&amp;Source!I248&amp;"=150*"&amp;"1,03/"&amp;"1000"</f>
        <v>Объем: 0,1545=150*1,03/1000</v>
      </c>
      <c r="D549" s="36"/>
      <c r="E549" s="36"/>
      <c r="F549" s="36"/>
      <c r="G549" s="36"/>
      <c r="H549" s="36"/>
      <c r="I549" s="36"/>
      <c r="J549" s="36"/>
      <c r="K549" s="36"/>
      <c r="L549"/>
    </row>
    <row r="550" spans="1:29" ht="15" hidden="1" x14ac:dyDescent="0.2">
      <c r="C550" s="30" t="s">
        <v>844</v>
      </c>
      <c r="H550" s="48">
        <f>I548+0</f>
        <v>3046.33</v>
      </c>
      <c r="I550" s="48"/>
      <c r="J550" s="48">
        <f>K548+0</f>
        <v>9900.57</v>
      </c>
      <c r="K550" s="48"/>
      <c r="L550"/>
      <c r="O550" s="31">
        <f>I548+0</f>
        <v>3046.33</v>
      </c>
      <c r="P550" s="31">
        <f>K548+0</f>
        <v>9900.57</v>
      </c>
    </row>
    <row r="551" spans="1:29" hidden="1" x14ac:dyDescent="0.2">
      <c r="J551"/>
      <c r="L551"/>
    </row>
    <row r="552" spans="1:29" ht="41.25" hidden="1" x14ac:dyDescent="0.2">
      <c r="A552" s="19">
        <v>60</v>
      </c>
      <c r="B552" s="19" t="str">
        <f>Source!F250</f>
        <v>КА, п.19</v>
      </c>
      <c r="C552" s="19" t="s">
        <v>875</v>
      </c>
      <c r="D552" s="21" t="str">
        <f>Source!H250</f>
        <v>м</v>
      </c>
      <c r="E552" s="20">
        <f>Source!I250</f>
        <v>2.06</v>
      </c>
      <c r="F552" s="23">
        <f>Source!AL250</f>
        <v>11.620000000000001</v>
      </c>
      <c r="G552" s="22"/>
      <c r="H552" s="20">
        <f>Source!AW251</f>
        <v>1</v>
      </c>
      <c r="I552" s="23">
        <f>Source!P250</f>
        <v>23.94</v>
      </c>
      <c r="J552" s="20">
        <f>IF(Source!BC251&lt;&gt; 0, Source!BC251, 1)</f>
        <v>9.86</v>
      </c>
      <c r="K552" s="23">
        <f>Source!P251</f>
        <v>236.05</v>
      </c>
      <c r="L552"/>
      <c r="Q552">
        <f>Source!X250</f>
        <v>0</v>
      </c>
      <c r="R552">
        <f>Source!X251</f>
        <v>0</v>
      </c>
      <c r="S552">
        <f>Source!Y250</f>
        <v>0</v>
      </c>
      <c r="T552">
        <f>Source!Y251</f>
        <v>0</v>
      </c>
      <c r="U552">
        <f>ROUND((175/100)*ROUND(Source!R250, 2), 2)</f>
        <v>0</v>
      </c>
      <c r="V552">
        <f>ROUND((0/100)*ROUND(Source!R251, 2), 2)</f>
        <v>0</v>
      </c>
      <c r="AC552">
        <v>3</v>
      </c>
    </row>
    <row r="553" spans="1:29" hidden="1" x14ac:dyDescent="0.2">
      <c r="A553" s="36"/>
      <c r="B553" s="36"/>
      <c r="C553" s="37" t="str">
        <f>"Объем: "&amp;Source!I250&amp;"=2*"&amp;"1,03"</f>
        <v>Объем: 2,06=2*1,03</v>
      </c>
      <c r="D553" s="36"/>
      <c r="E553" s="36"/>
      <c r="F553" s="36"/>
      <c r="G553" s="36"/>
      <c r="H553" s="36"/>
      <c r="I553" s="36"/>
      <c r="J553" s="36"/>
      <c r="K553" s="36"/>
      <c r="L553"/>
    </row>
    <row r="554" spans="1:29" ht="15" hidden="1" x14ac:dyDescent="0.2">
      <c r="C554" s="30" t="s">
        <v>844</v>
      </c>
      <c r="H554" s="48">
        <f>I552+0</f>
        <v>23.94</v>
      </c>
      <c r="I554" s="48"/>
      <c r="J554" s="48">
        <f>K552+0</f>
        <v>236.05</v>
      </c>
      <c r="K554" s="48"/>
      <c r="L554"/>
      <c r="O554" s="31">
        <f>I552+0</f>
        <v>23.94</v>
      </c>
      <c r="P554" s="31">
        <f>K552+0</f>
        <v>236.05</v>
      </c>
    </row>
    <row r="555" spans="1:29" hidden="1" x14ac:dyDescent="0.2">
      <c r="J555"/>
      <c r="L555"/>
    </row>
    <row r="556" spans="1:29" ht="99.75" hidden="1" x14ac:dyDescent="0.2">
      <c r="A556" s="19">
        <v>61</v>
      </c>
      <c r="B556" s="19" t="str">
        <f>Source!F252</f>
        <v>4.8-175-9</v>
      </c>
      <c r="C556" s="19" t="s">
        <v>406</v>
      </c>
      <c r="D556" s="21" t="str">
        <f>Source!H252</f>
        <v>100 м</v>
      </c>
      <c r="E556" s="20">
        <f>Source!I252</f>
        <v>0.02</v>
      </c>
      <c r="F556" s="23"/>
      <c r="G556" s="22"/>
      <c r="H556" s="20"/>
      <c r="I556" s="23"/>
      <c r="J556" s="20"/>
      <c r="K556" s="23"/>
      <c r="L556"/>
      <c r="Q556">
        <f>Source!X252</f>
        <v>0.56000000000000005</v>
      </c>
      <c r="R556">
        <f>Source!X253</f>
        <v>31.7</v>
      </c>
      <c r="S556">
        <f>Source!Y252</f>
        <v>0.3</v>
      </c>
      <c r="T556">
        <f>Source!Y253</f>
        <v>16.670000000000002</v>
      </c>
      <c r="U556">
        <f>ROUND((175/100)*ROUND(Source!R252, 2), 2)</f>
        <v>0.02</v>
      </c>
      <c r="V556">
        <f>ROUND((0/100)*ROUND(Source!R253, 2), 2)</f>
        <v>0</v>
      </c>
      <c r="AC556">
        <v>0</v>
      </c>
    </row>
    <row r="557" spans="1:29" hidden="1" x14ac:dyDescent="0.2">
      <c r="C557" s="32" t="str">
        <f>"Объем: "&amp;Source!I252&amp;"=2/"&amp;"100"</f>
        <v>Объем: 0,02=2/100</v>
      </c>
      <c r="J557"/>
      <c r="L557"/>
    </row>
    <row r="558" spans="1:29" ht="14.25" hidden="1" x14ac:dyDescent="0.2">
      <c r="A558" s="19"/>
      <c r="B558" s="19"/>
      <c r="C558" s="19" t="s">
        <v>833</v>
      </c>
      <c r="D558" s="21"/>
      <c r="E558" s="20"/>
      <c r="F558" s="23">
        <f>Source!AO252</f>
        <v>22.51</v>
      </c>
      <c r="G558" s="22" t="s">
        <v>187</v>
      </c>
      <c r="H558" s="20">
        <f>Source!AV253</f>
        <v>1.0469999999999999</v>
      </c>
      <c r="I558" s="23">
        <f>Source!S252</f>
        <v>0.56999999999999995</v>
      </c>
      <c r="J558" s="20">
        <f>IF(Source!BA253&lt;&gt; 0, Source!BA253, 1)</f>
        <v>56.35</v>
      </c>
      <c r="K558" s="23">
        <f>Source!S253</f>
        <v>32.119999999999997</v>
      </c>
      <c r="L558"/>
    </row>
    <row r="559" spans="1:29" ht="14.25" hidden="1" x14ac:dyDescent="0.2">
      <c r="A559" s="19"/>
      <c r="B559" s="19"/>
      <c r="C559" s="19" t="s">
        <v>835</v>
      </c>
      <c r="D559" s="21"/>
      <c r="E559" s="20"/>
      <c r="F559" s="23">
        <f>Source!AM252</f>
        <v>2.62</v>
      </c>
      <c r="G559" s="22" t="s">
        <v>187</v>
      </c>
      <c r="H559" s="20">
        <f>Source!AV253</f>
        <v>1.0469999999999999</v>
      </c>
      <c r="I559" s="23">
        <f>Source!Q252</f>
        <v>7.0000000000000007E-2</v>
      </c>
      <c r="J559" s="20">
        <f>IF(Source!BB253&lt;&gt; 0, Source!BB253, 1)</f>
        <v>15.28</v>
      </c>
      <c r="K559" s="23">
        <f>Source!Q253</f>
        <v>1.07</v>
      </c>
      <c r="L559"/>
    </row>
    <row r="560" spans="1:29" ht="14.25" hidden="1" x14ac:dyDescent="0.2">
      <c r="A560" s="19"/>
      <c r="B560" s="19"/>
      <c r="C560" s="19" t="s">
        <v>836</v>
      </c>
      <c r="D560" s="21"/>
      <c r="E560" s="20"/>
      <c r="F560" s="23">
        <f>Source!AN252</f>
        <v>0.3</v>
      </c>
      <c r="G560" s="22" t="s">
        <v>187</v>
      </c>
      <c r="H560" s="20">
        <f>Source!AV253</f>
        <v>1.0469999999999999</v>
      </c>
      <c r="I560" s="24">
        <f>Source!R252</f>
        <v>0.01</v>
      </c>
      <c r="J560" s="20">
        <f>IF(Source!BS253&lt;&gt; 0, Source!BS253, 1)</f>
        <v>56.35</v>
      </c>
      <c r="K560" s="24">
        <f>Source!R253</f>
        <v>0.56000000000000005</v>
      </c>
      <c r="L560"/>
    </row>
    <row r="561" spans="1:29" ht="14.25" hidden="1" x14ac:dyDescent="0.2">
      <c r="A561" s="19"/>
      <c r="B561" s="19"/>
      <c r="C561" s="19" t="s">
        <v>847</v>
      </c>
      <c r="D561" s="21"/>
      <c r="E561" s="20"/>
      <c r="F561" s="23">
        <f>Source!AL252</f>
        <v>55.47</v>
      </c>
      <c r="G561" s="22"/>
      <c r="H561" s="20">
        <f>Source!AW253</f>
        <v>1</v>
      </c>
      <c r="I561" s="23">
        <f>Source!P252</f>
        <v>1.1100000000000001</v>
      </c>
      <c r="J561" s="20">
        <f>IF(Source!BC253&lt;&gt; 0, Source!BC253, 1)</f>
        <v>3.12</v>
      </c>
      <c r="K561" s="23">
        <f>Source!P253</f>
        <v>3.46</v>
      </c>
      <c r="L561"/>
    </row>
    <row r="562" spans="1:29" ht="14.25" hidden="1" x14ac:dyDescent="0.2">
      <c r="A562" s="19"/>
      <c r="B562" s="19"/>
      <c r="C562" s="19" t="s">
        <v>837</v>
      </c>
      <c r="D562" s="21" t="s">
        <v>838</v>
      </c>
      <c r="E562" s="20">
        <f>Source!BZ253</f>
        <v>97</v>
      </c>
      <c r="F562" s="23"/>
      <c r="G562" s="22"/>
      <c r="H562" s="20"/>
      <c r="I562" s="23">
        <f>SUM(Q556:Q561)</f>
        <v>0.56000000000000005</v>
      </c>
      <c r="J562" s="20">
        <f>Source!AT253</f>
        <v>97</v>
      </c>
      <c r="K562" s="23">
        <f>SUM(R556:R561)</f>
        <v>31.7</v>
      </c>
      <c r="L562"/>
    </row>
    <row r="563" spans="1:29" ht="14.25" hidden="1" x14ac:dyDescent="0.2">
      <c r="A563" s="19"/>
      <c r="B563" s="19"/>
      <c r="C563" s="19" t="s">
        <v>839</v>
      </c>
      <c r="D563" s="21" t="s">
        <v>838</v>
      </c>
      <c r="E563" s="20">
        <f>Source!CA253</f>
        <v>51</v>
      </c>
      <c r="F563" s="23"/>
      <c r="G563" s="22"/>
      <c r="H563" s="20"/>
      <c r="I563" s="23">
        <f>SUM(S556:S562)</f>
        <v>0.3</v>
      </c>
      <c r="J563" s="20">
        <f>Source!AU253</f>
        <v>51</v>
      </c>
      <c r="K563" s="23">
        <f>SUM(T556:T562)</f>
        <v>16.670000000000002</v>
      </c>
      <c r="L563"/>
    </row>
    <row r="564" spans="1:29" ht="14.25" hidden="1" x14ac:dyDescent="0.2">
      <c r="A564" s="25"/>
      <c r="B564" s="25"/>
      <c r="C564" s="25" t="s">
        <v>840</v>
      </c>
      <c r="D564" s="26" t="s">
        <v>841</v>
      </c>
      <c r="E564" s="27">
        <f>Source!AQ252</f>
        <v>1.83</v>
      </c>
      <c r="F564" s="28"/>
      <c r="G564" s="29" t="s">
        <v>187</v>
      </c>
      <c r="H564" s="27">
        <f>Source!AV253</f>
        <v>1.0469999999999999</v>
      </c>
      <c r="I564" s="28">
        <f>Source!U252</f>
        <v>4.5984239999999996E-2</v>
      </c>
      <c r="J564" s="27"/>
      <c r="K564" s="28"/>
      <c r="L564"/>
    </row>
    <row r="565" spans="1:29" ht="15" hidden="1" x14ac:dyDescent="0.2">
      <c r="C565" s="30" t="s">
        <v>842</v>
      </c>
      <c r="H565" s="48">
        <f>I558+I559+I561+I562+I563+0-0-0</f>
        <v>2.61</v>
      </c>
      <c r="I565" s="48"/>
      <c r="J565" s="48">
        <f>K558+K559+K561+K562+K563+0-0-0</f>
        <v>85.02</v>
      </c>
      <c r="K565" s="48"/>
      <c r="L565"/>
    </row>
    <row r="566" spans="1:29" ht="15" hidden="1" x14ac:dyDescent="0.2">
      <c r="C566" s="30" t="s">
        <v>843</v>
      </c>
      <c r="H566" s="43">
        <f>0+0</f>
        <v>0</v>
      </c>
      <c r="I566" s="43"/>
      <c r="J566" s="43">
        <f>0+0</f>
        <v>0</v>
      </c>
      <c r="K566" s="43"/>
      <c r="L566"/>
    </row>
    <row r="567" spans="1:29" ht="15" hidden="1" x14ac:dyDescent="0.2">
      <c r="C567" s="30" t="s">
        <v>844</v>
      </c>
      <c r="H567" s="43">
        <f>I558+I559+I561+I562+I563+0</f>
        <v>2.61</v>
      </c>
      <c r="I567" s="43"/>
      <c r="J567" s="43">
        <f>K558+K559+K561+K562+K563+0</f>
        <v>85.02</v>
      </c>
      <c r="K567" s="43"/>
      <c r="L567"/>
      <c r="O567" s="31">
        <f>I558+I559+I561+I562+I563+0</f>
        <v>2.61</v>
      </c>
      <c r="P567" s="31">
        <f>K558+K559+K561+K562+K563+0</f>
        <v>85.02</v>
      </c>
    </row>
    <row r="568" spans="1:29" hidden="1" x14ac:dyDescent="0.2">
      <c r="J568"/>
      <c r="L568"/>
    </row>
    <row r="569" spans="1:29" ht="41.25" hidden="1" x14ac:dyDescent="0.2">
      <c r="A569" s="19">
        <v>62</v>
      </c>
      <c r="B569" s="19" t="str">
        <f>Source!F254</f>
        <v>КА, п.19</v>
      </c>
      <c r="C569" s="19" t="s">
        <v>875</v>
      </c>
      <c r="D569" s="21" t="str">
        <f>Source!H254</f>
        <v>м</v>
      </c>
      <c r="E569" s="20">
        <f>Source!I254</f>
        <v>2.06</v>
      </c>
      <c r="F569" s="23">
        <f>Source!AL254</f>
        <v>11.620000000000001</v>
      </c>
      <c r="G569" s="22"/>
      <c r="H569" s="20">
        <f>Source!AW255</f>
        <v>1</v>
      </c>
      <c r="I569" s="23">
        <f>Source!P254</f>
        <v>23.94</v>
      </c>
      <c r="J569" s="20">
        <f>IF(Source!BC255&lt;&gt; 0, Source!BC255, 1)</f>
        <v>9.86</v>
      </c>
      <c r="K569" s="23">
        <f>Source!P255</f>
        <v>236.05</v>
      </c>
      <c r="L569"/>
      <c r="Q569">
        <f>Source!X254</f>
        <v>0</v>
      </c>
      <c r="R569">
        <f>Source!X255</f>
        <v>0</v>
      </c>
      <c r="S569">
        <f>Source!Y254</f>
        <v>0</v>
      </c>
      <c r="T569">
        <f>Source!Y255</f>
        <v>0</v>
      </c>
      <c r="U569">
        <f>ROUND((175/100)*ROUND(Source!R254, 2), 2)</f>
        <v>0</v>
      </c>
      <c r="V569">
        <f>ROUND((0/100)*ROUND(Source!R255, 2), 2)</f>
        <v>0</v>
      </c>
      <c r="AC569">
        <v>3</v>
      </c>
    </row>
    <row r="570" spans="1:29" hidden="1" x14ac:dyDescent="0.2">
      <c r="A570" s="36"/>
      <c r="B570" s="36"/>
      <c r="C570" s="37" t="str">
        <f>"Объем: "&amp;Source!I254&amp;"=2*"&amp;"1,03"</f>
        <v>Объем: 2,06=2*1,03</v>
      </c>
      <c r="D570" s="36"/>
      <c r="E570" s="36"/>
      <c r="F570" s="36"/>
      <c r="G570" s="36"/>
      <c r="H570" s="36"/>
      <c r="I570" s="36"/>
      <c r="J570" s="36"/>
      <c r="K570" s="36"/>
      <c r="L570"/>
    </row>
    <row r="571" spans="1:29" ht="15" hidden="1" x14ac:dyDescent="0.2">
      <c r="C571" s="30" t="s">
        <v>844</v>
      </c>
      <c r="H571" s="48">
        <f>I569+0</f>
        <v>23.94</v>
      </c>
      <c r="I571" s="48"/>
      <c r="J571" s="48">
        <f>K569+0</f>
        <v>236.05</v>
      </c>
      <c r="K571" s="48"/>
      <c r="L571"/>
      <c r="O571" s="31">
        <f>I569+0</f>
        <v>23.94</v>
      </c>
      <c r="P571" s="31">
        <f>K569+0</f>
        <v>236.05</v>
      </c>
    </row>
    <row r="572" spans="1:29" hidden="1" x14ac:dyDescent="0.2">
      <c r="J572"/>
      <c r="L572"/>
    </row>
    <row r="573" spans="1:29" ht="57" hidden="1" x14ac:dyDescent="0.2">
      <c r="A573" s="19">
        <v>63</v>
      </c>
      <c r="B573" s="19" t="str">
        <f>Source!F256</f>
        <v>4.8-187-10</v>
      </c>
      <c r="C573" s="19" t="s">
        <v>411</v>
      </c>
      <c r="D573" s="21" t="str">
        <f>Source!H256</f>
        <v>100 м</v>
      </c>
      <c r="E573" s="20">
        <f>Source!I256</f>
        <v>0.9</v>
      </c>
      <c r="F573" s="23"/>
      <c r="G573" s="22"/>
      <c r="H573" s="20"/>
      <c r="I573" s="23"/>
      <c r="J573" s="20"/>
      <c r="K573" s="23"/>
      <c r="L573"/>
      <c r="Q573">
        <f>Source!X256</f>
        <v>554.03</v>
      </c>
      <c r="R573">
        <f>Source!X257</f>
        <v>31219.31</v>
      </c>
      <c r="S573">
        <f>Source!Y256</f>
        <v>291.29000000000002</v>
      </c>
      <c r="T573">
        <f>Source!Y257</f>
        <v>16414.28</v>
      </c>
      <c r="U573">
        <f>ROUND((175/100)*ROUND(Source!R256, 2), 2)</f>
        <v>0.77</v>
      </c>
      <c r="V573">
        <f>ROUND((0/100)*ROUND(Source!R257, 2), 2)</f>
        <v>0</v>
      </c>
      <c r="AC573">
        <v>0</v>
      </c>
    </row>
    <row r="574" spans="1:29" hidden="1" x14ac:dyDescent="0.2">
      <c r="C574" s="32" t="str">
        <f>"Объем: "&amp;Source!I256&amp;"=90/"&amp;"100"</f>
        <v>Объем: 0,9=90/100</v>
      </c>
      <c r="J574"/>
      <c r="L574"/>
    </row>
    <row r="575" spans="1:29" ht="14.25" hidden="1" x14ac:dyDescent="0.2">
      <c r="A575" s="19"/>
      <c r="B575" s="19"/>
      <c r="C575" s="19" t="s">
        <v>833</v>
      </c>
      <c r="D575" s="21"/>
      <c r="E575" s="20"/>
      <c r="F575" s="23">
        <f>Source!AO256</f>
        <v>495.26</v>
      </c>
      <c r="G575" s="22" t="s">
        <v>187</v>
      </c>
      <c r="H575" s="20">
        <f>Source!AV257</f>
        <v>1.0669999999999999</v>
      </c>
      <c r="I575" s="23">
        <f>Source!S256</f>
        <v>570.72</v>
      </c>
      <c r="J575" s="20">
        <f>IF(Source!BA257&lt;&gt; 0, Source!BA257, 1)</f>
        <v>56.35</v>
      </c>
      <c r="K575" s="23">
        <f>Source!S257</f>
        <v>32160.07</v>
      </c>
      <c r="L575"/>
    </row>
    <row r="576" spans="1:29" ht="14.25" hidden="1" x14ac:dyDescent="0.2">
      <c r="A576" s="19"/>
      <c r="B576" s="19"/>
      <c r="C576" s="19" t="s">
        <v>835</v>
      </c>
      <c r="D576" s="21"/>
      <c r="E576" s="20"/>
      <c r="F576" s="23">
        <f>Source!AM256</f>
        <v>11.29</v>
      </c>
      <c r="G576" s="22" t="s">
        <v>187</v>
      </c>
      <c r="H576" s="20">
        <f>Source!AV257</f>
        <v>1.0669999999999999</v>
      </c>
      <c r="I576" s="23">
        <f>Source!Q256</f>
        <v>13.01</v>
      </c>
      <c r="J576" s="20">
        <f>IF(Source!BB257&lt;&gt; 0, Source!BB257, 1)</f>
        <v>11.15</v>
      </c>
      <c r="K576" s="23">
        <f>Source!Q257</f>
        <v>145.06</v>
      </c>
      <c r="L576"/>
    </row>
    <row r="577" spans="1:29" ht="14.25" hidden="1" x14ac:dyDescent="0.2">
      <c r="A577" s="19"/>
      <c r="B577" s="19"/>
      <c r="C577" s="19" t="s">
        <v>836</v>
      </c>
      <c r="D577" s="21"/>
      <c r="E577" s="20"/>
      <c r="F577" s="23">
        <f>Source!AN256</f>
        <v>0.38</v>
      </c>
      <c r="G577" s="22" t="s">
        <v>187</v>
      </c>
      <c r="H577" s="20">
        <f>Source!AV257</f>
        <v>1.0669999999999999</v>
      </c>
      <c r="I577" s="24">
        <f>Source!R256</f>
        <v>0.44</v>
      </c>
      <c r="J577" s="20">
        <f>IF(Source!BS257&lt;&gt; 0, Source!BS257, 1)</f>
        <v>56.35</v>
      </c>
      <c r="K577" s="24">
        <f>Source!R257</f>
        <v>24.79</v>
      </c>
      <c r="L577"/>
    </row>
    <row r="578" spans="1:29" ht="14.25" hidden="1" x14ac:dyDescent="0.2">
      <c r="A578" s="19"/>
      <c r="B578" s="19"/>
      <c r="C578" s="19" t="s">
        <v>847</v>
      </c>
      <c r="D578" s="21"/>
      <c r="E578" s="20"/>
      <c r="F578" s="23">
        <f>Source!AL256</f>
        <v>1177.69</v>
      </c>
      <c r="G578" s="22"/>
      <c r="H578" s="20">
        <f>Source!AW257</f>
        <v>1.081</v>
      </c>
      <c r="I578" s="23">
        <f>Source!P256</f>
        <v>1145.77</v>
      </c>
      <c r="J578" s="20">
        <f>IF(Source!BC257&lt;&gt; 0, Source!BC257, 1)</f>
        <v>5.89</v>
      </c>
      <c r="K578" s="23">
        <f>Source!P257</f>
        <v>6748.59</v>
      </c>
      <c r="L578"/>
    </row>
    <row r="579" spans="1:29" ht="128.25" hidden="1" x14ac:dyDescent="0.2">
      <c r="A579" s="19" t="s">
        <v>413</v>
      </c>
      <c r="B579" s="19" t="str">
        <f>Source!F258</f>
        <v>1.23-13-210</v>
      </c>
      <c r="C579" s="19" t="s">
        <v>804</v>
      </c>
      <c r="D579" s="21" t="str">
        <f>Source!H258</f>
        <v>км</v>
      </c>
      <c r="E579" s="20">
        <f>Source!I258</f>
        <v>9.1800000000000007E-2</v>
      </c>
      <c r="F579" s="23">
        <f>Source!AK258</f>
        <v>5272.11</v>
      </c>
      <c r="G579" s="35" t="s">
        <v>3</v>
      </c>
      <c r="H579" s="20">
        <f>Source!AW259</f>
        <v>1</v>
      </c>
      <c r="I579" s="23">
        <f>Source!O258</f>
        <v>483.98</v>
      </c>
      <c r="J579" s="20">
        <f>IF(Source!BC259&lt;&gt; 0, Source!BC259, 1)</f>
        <v>11.22</v>
      </c>
      <c r="K579" s="23">
        <f>Source!O259</f>
        <v>5430.26</v>
      </c>
      <c r="L579"/>
      <c r="Q579">
        <f>Source!X258</f>
        <v>0</v>
      </c>
      <c r="R579">
        <f>Source!X259</f>
        <v>0</v>
      </c>
      <c r="S579">
        <f>Source!Y258</f>
        <v>0</v>
      </c>
      <c r="T579">
        <f>Source!Y259</f>
        <v>0</v>
      </c>
      <c r="U579">
        <f>ROUND((175/100)*ROUND(Source!R258, 2), 2)</f>
        <v>0</v>
      </c>
      <c r="V579">
        <f>ROUND((0/100)*ROUND(Source!R259, 2), 2)</f>
        <v>0</v>
      </c>
      <c r="AC579">
        <v>3</v>
      </c>
    </row>
    <row r="580" spans="1:29" ht="14.25" hidden="1" x14ac:dyDescent="0.2">
      <c r="A580" s="19"/>
      <c r="B580" s="19"/>
      <c r="C580" s="19" t="s">
        <v>837</v>
      </c>
      <c r="D580" s="21" t="s">
        <v>838</v>
      </c>
      <c r="E580" s="20">
        <f>Source!BZ257</f>
        <v>97</v>
      </c>
      <c r="F580" s="23"/>
      <c r="G580" s="22"/>
      <c r="H580" s="20"/>
      <c r="I580" s="23">
        <f>SUM(Q573:Q579)</f>
        <v>554.03</v>
      </c>
      <c r="J580" s="20">
        <f>Source!AT257</f>
        <v>97</v>
      </c>
      <c r="K580" s="23">
        <f>SUM(R573:R579)</f>
        <v>31219.31</v>
      </c>
      <c r="L580"/>
    </row>
    <row r="581" spans="1:29" ht="14.25" hidden="1" x14ac:dyDescent="0.2">
      <c r="A581" s="19"/>
      <c r="B581" s="19"/>
      <c r="C581" s="19" t="s">
        <v>839</v>
      </c>
      <c r="D581" s="21" t="s">
        <v>838</v>
      </c>
      <c r="E581" s="20">
        <f>Source!CA257</f>
        <v>51</v>
      </c>
      <c r="F581" s="23"/>
      <c r="G581" s="22"/>
      <c r="H581" s="20"/>
      <c r="I581" s="23">
        <f>SUM(S573:S580)</f>
        <v>291.29000000000002</v>
      </c>
      <c r="J581" s="20">
        <f>Source!AU257</f>
        <v>51</v>
      </c>
      <c r="K581" s="23">
        <f>SUM(T573:T580)</f>
        <v>16414.28</v>
      </c>
      <c r="L581"/>
    </row>
    <row r="582" spans="1:29" ht="14.25" hidden="1" x14ac:dyDescent="0.2">
      <c r="A582" s="25"/>
      <c r="B582" s="25"/>
      <c r="C582" s="25" t="s">
        <v>840</v>
      </c>
      <c r="D582" s="26" t="s">
        <v>841</v>
      </c>
      <c r="E582" s="27">
        <f>Source!AQ256</f>
        <v>40.200000000000003</v>
      </c>
      <c r="F582" s="28"/>
      <c r="G582" s="29" t="s">
        <v>187</v>
      </c>
      <c r="H582" s="27">
        <f>Source!AV257</f>
        <v>1.0669999999999999</v>
      </c>
      <c r="I582" s="28">
        <f>Source!U256</f>
        <v>46.324871999999999</v>
      </c>
      <c r="J582" s="27"/>
      <c r="K582" s="28"/>
      <c r="L582"/>
    </row>
    <row r="583" spans="1:29" ht="15" hidden="1" x14ac:dyDescent="0.2">
      <c r="C583" s="30" t="s">
        <v>842</v>
      </c>
      <c r="H583" s="48">
        <f>I575+I576+I578+I580+I581+SUM(I579:I579)-SUMIF(AC579:AC579, 5, I579:I579)-SUMIF(AC579:AC579, 6, I579:I579)</f>
        <v>3058.7999999999997</v>
      </c>
      <c r="I583" s="48"/>
      <c r="J583" s="48">
        <f>K575+K576+K578+K580+K581+SUM(K579:K579)-SUMIF(AC579:AC579, 5, K579:K579)-SUMIF(AC579:AC579, 6, K579:K579)</f>
        <v>92117.569999999992</v>
      </c>
      <c r="K583" s="48"/>
      <c r="L583"/>
    </row>
    <row r="584" spans="1:29" ht="15" hidden="1" x14ac:dyDescent="0.2">
      <c r="C584" s="30" t="s">
        <v>843</v>
      </c>
      <c r="H584" s="43">
        <f>SUMIF(AC579:AC579, 5, I579:I579)+SUMIF(AC579:AC579, 6, I579:I579)</f>
        <v>0</v>
      </c>
      <c r="I584" s="43"/>
      <c r="J584" s="43">
        <f>SUMIF(AC579:AC579, 5, K579:K579)+SUMIF(AC579:AC579, 6, K579:K579)</f>
        <v>0</v>
      </c>
      <c r="K584" s="43"/>
      <c r="L584"/>
    </row>
    <row r="585" spans="1:29" ht="15" hidden="1" x14ac:dyDescent="0.2">
      <c r="C585" s="30" t="s">
        <v>844</v>
      </c>
      <c r="H585" s="43">
        <f>I575+I576+I578+I580+I581+SUM(I579:I579)</f>
        <v>3058.7999999999997</v>
      </c>
      <c r="I585" s="43"/>
      <c r="J585" s="43">
        <f>K575+K576+K578+K580+K581+SUM(K579:K579)</f>
        <v>92117.569999999992</v>
      </c>
      <c r="K585" s="43"/>
      <c r="L585"/>
      <c r="O585" s="31">
        <f>I575+I576+I578+I580+I581+SUM(I579:I579)</f>
        <v>3058.7999999999997</v>
      </c>
      <c r="P585" s="31">
        <f>K575+K576+K578+K580+K581+SUM(K579:K579)</f>
        <v>92117.569999999992</v>
      </c>
    </row>
    <row r="586" spans="1:29" hidden="1" x14ac:dyDescent="0.2">
      <c r="J586"/>
      <c r="L586"/>
    </row>
    <row r="587" spans="1:29" ht="57" hidden="1" x14ac:dyDescent="0.2">
      <c r="A587" s="19">
        <v>64</v>
      </c>
      <c r="B587" s="19" t="str">
        <f>Source!F260</f>
        <v>4.8-86-2</v>
      </c>
      <c r="C587" s="19" t="s">
        <v>418</v>
      </c>
      <c r="D587" s="21" t="str">
        <f>Source!H260</f>
        <v>100 М УЛОЖЕННОГО КАБЕЛЯ</v>
      </c>
      <c r="E587" s="20">
        <f>Source!I260</f>
        <v>7.96</v>
      </c>
      <c r="F587" s="23"/>
      <c r="G587" s="22"/>
      <c r="H587" s="20"/>
      <c r="I587" s="23"/>
      <c r="J587" s="20"/>
      <c r="K587" s="23"/>
      <c r="L587"/>
      <c r="Q587">
        <f>Source!X260</f>
        <v>150.55000000000001</v>
      </c>
      <c r="R587">
        <f>Source!X261</f>
        <v>8483.7000000000007</v>
      </c>
      <c r="S587">
        <f>Source!Y260</f>
        <v>79.16</v>
      </c>
      <c r="T587">
        <f>Source!Y261</f>
        <v>4460.5</v>
      </c>
      <c r="U587">
        <f>ROUND((175/100)*ROUND(Source!R260, 2), 2)</f>
        <v>0</v>
      </c>
      <c r="V587">
        <f>ROUND((0/100)*ROUND(Source!R261, 2), 2)</f>
        <v>0</v>
      </c>
      <c r="AC587">
        <v>0</v>
      </c>
    </row>
    <row r="588" spans="1:29" hidden="1" x14ac:dyDescent="0.2">
      <c r="C588" s="32" t="str">
        <f>"Объем: "&amp;Source!I260&amp;"=(642+"&amp;"4+"&amp;"150)/"&amp;"100"</f>
        <v>Объем: 7,96=(642+4+150)/100</v>
      </c>
      <c r="J588"/>
      <c r="L588"/>
    </row>
    <row r="589" spans="1:29" ht="14.25" hidden="1" x14ac:dyDescent="0.2">
      <c r="A589" s="19"/>
      <c r="B589" s="19"/>
      <c r="C589" s="19" t="s">
        <v>833</v>
      </c>
      <c r="D589" s="21"/>
      <c r="E589" s="20"/>
      <c r="F589" s="23">
        <f>Source!AO260</f>
        <v>15.52</v>
      </c>
      <c r="G589" s="22" t="s">
        <v>187</v>
      </c>
      <c r="H589" s="20">
        <f>Source!AV261</f>
        <v>1.0469999999999999</v>
      </c>
      <c r="I589" s="23">
        <f>Source!S260</f>
        <v>155.21</v>
      </c>
      <c r="J589" s="20">
        <f>IF(Source!BA261&lt;&gt; 0, Source!BA261, 1)</f>
        <v>56.35</v>
      </c>
      <c r="K589" s="23">
        <f>Source!S261</f>
        <v>8746.08</v>
      </c>
      <c r="L589"/>
    </row>
    <row r="590" spans="1:29" ht="14.25" hidden="1" x14ac:dyDescent="0.2">
      <c r="A590" s="19"/>
      <c r="B590" s="19"/>
      <c r="C590" s="19" t="s">
        <v>847</v>
      </c>
      <c r="D590" s="21"/>
      <c r="E590" s="20"/>
      <c r="F590" s="23">
        <f>Source!AL260</f>
        <v>0.56999999999999995</v>
      </c>
      <c r="G590" s="22"/>
      <c r="H590" s="20">
        <f>Source!AW261</f>
        <v>1</v>
      </c>
      <c r="I590" s="23">
        <f>Source!P260</f>
        <v>4.54</v>
      </c>
      <c r="J590" s="20">
        <f>IF(Source!BC261&lt;&gt; 0, Source!BC261, 1)</f>
        <v>18.190000000000001</v>
      </c>
      <c r="K590" s="23">
        <f>Source!P261</f>
        <v>82.58</v>
      </c>
      <c r="L590"/>
    </row>
    <row r="591" spans="1:29" ht="14.25" hidden="1" x14ac:dyDescent="0.2">
      <c r="A591" s="19"/>
      <c r="B591" s="19"/>
      <c r="C591" s="19" t="s">
        <v>837</v>
      </c>
      <c r="D591" s="21" t="s">
        <v>838</v>
      </c>
      <c r="E591" s="20">
        <f>Source!BZ261</f>
        <v>97</v>
      </c>
      <c r="F591" s="23"/>
      <c r="G591" s="22"/>
      <c r="H591" s="20"/>
      <c r="I591" s="23">
        <f>SUM(Q587:Q590)</f>
        <v>150.55000000000001</v>
      </c>
      <c r="J591" s="20">
        <f>Source!AT261</f>
        <v>97</v>
      </c>
      <c r="K591" s="23">
        <f>SUM(R587:R590)</f>
        <v>8483.7000000000007</v>
      </c>
      <c r="L591"/>
    </row>
    <row r="592" spans="1:29" ht="14.25" hidden="1" x14ac:dyDescent="0.2">
      <c r="A592" s="19"/>
      <c r="B592" s="19"/>
      <c r="C592" s="19" t="s">
        <v>839</v>
      </c>
      <c r="D592" s="21" t="s">
        <v>838</v>
      </c>
      <c r="E592" s="20">
        <f>Source!CA261</f>
        <v>51</v>
      </c>
      <c r="F592" s="23"/>
      <c r="G592" s="22"/>
      <c r="H592" s="20"/>
      <c r="I592" s="23">
        <f>SUM(S587:S591)</f>
        <v>79.16</v>
      </c>
      <c r="J592" s="20">
        <f>Source!AU261</f>
        <v>51</v>
      </c>
      <c r="K592" s="23">
        <f>SUM(T587:T591)</f>
        <v>4460.5</v>
      </c>
      <c r="L592"/>
    </row>
    <row r="593" spans="1:29" ht="14.25" hidden="1" x14ac:dyDescent="0.2">
      <c r="A593" s="25"/>
      <c r="B593" s="25"/>
      <c r="C593" s="25" t="s">
        <v>840</v>
      </c>
      <c r="D593" s="26" t="s">
        <v>841</v>
      </c>
      <c r="E593" s="27">
        <f>Source!AQ260</f>
        <v>1.26</v>
      </c>
      <c r="F593" s="28"/>
      <c r="G593" s="29" t="s">
        <v>187</v>
      </c>
      <c r="H593" s="27">
        <f>Source!AV261</f>
        <v>1.0469999999999999</v>
      </c>
      <c r="I593" s="28">
        <f>Source!U260</f>
        <v>12.601189439999999</v>
      </c>
      <c r="J593" s="27"/>
      <c r="K593" s="28"/>
      <c r="L593"/>
    </row>
    <row r="594" spans="1:29" ht="15" hidden="1" x14ac:dyDescent="0.2">
      <c r="C594" s="30" t="s">
        <v>842</v>
      </c>
      <c r="H594" s="48">
        <f>I589+I590+I591+I592+0-0-0</f>
        <v>389.46000000000004</v>
      </c>
      <c r="I594" s="48"/>
      <c r="J594" s="48">
        <f>K589+K590+K591+K592+0-0-0</f>
        <v>21772.86</v>
      </c>
      <c r="K594" s="48"/>
      <c r="L594"/>
    </row>
    <row r="595" spans="1:29" ht="15" hidden="1" x14ac:dyDescent="0.2">
      <c r="C595" s="30" t="s">
        <v>843</v>
      </c>
      <c r="H595" s="43">
        <f>0+0</f>
        <v>0</v>
      </c>
      <c r="I595" s="43"/>
      <c r="J595" s="43">
        <f>0+0</f>
        <v>0</v>
      </c>
      <c r="K595" s="43"/>
      <c r="L595"/>
    </row>
    <row r="596" spans="1:29" ht="15" hidden="1" x14ac:dyDescent="0.2">
      <c r="C596" s="30" t="s">
        <v>844</v>
      </c>
      <c r="H596" s="43">
        <f>I589+I590+I591+I592+0</f>
        <v>389.46000000000004</v>
      </c>
      <c r="I596" s="43"/>
      <c r="J596" s="43">
        <f>K589+K590+K591+K592+0</f>
        <v>21772.86</v>
      </c>
      <c r="K596" s="43"/>
      <c r="L596"/>
      <c r="O596" s="31">
        <f>I589+I590+I591+I592+0</f>
        <v>389.46000000000004</v>
      </c>
      <c r="P596" s="31">
        <f>K589+K590+K591+K592+0</f>
        <v>21772.86</v>
      </c>
    </row>
    <row r="597" spans="1:29" hidden="1" x14ac:dyDescent="0.2">
      <c r="J597"/>
      <c r="L597"/>
    </row>
    <row r="598" spans="1:29" ht="28.5" hidden="1" x14ac:dyDescent="0.2">
      <c r="A598" s="19">
        <v>65</v>
      </c>
      <c r="B598" s="19" t="str">
        <f>Source!F262</f>
        <v>1.1-1-7994</v>
      </c>
      <c r="C598" s="19" t="s">
        <v>423</v>
      </c>
      <c r="D598" s="21" t="str">
        <f>Source!H262</f>
        <v>т</v>
      </c>
      <c r="E598" s="20">
        <f>Source!I262</f>
        <v>-2.388E-4</v>
      </c>
      <c r="F598" s="23">
        <f>Source!AL262</f>
        <v>18995.22</v>
      </c>
      <c r="G598" s="22"/>
      <c r="H598" s="20">
        <f>Source!AW263</f>
        <v>1</v>
      </c>
      <c r="I598" s="23">
        <f>Source!P262</f>
        <v>-4.54</v>
      </c>
      <c r="J598" s="20">
        <f>IF(Source!BC263&lt;&gt; 0, Source!BC263, 1)</f>
        <v>18.190000000000001</v>
      </c>
      <c r="K598" s="23">
        <f>Source!P263</f>
        <v>-82.58</v>
      </c>
      <c r="L598"/>
      <c r="Q598">
        <f>Source!X262</f>
        <v>0</v>
      </c>
      <c r="R598">
        <f>Source!X263</f>
        <v>0</v>
      </c>
      <c r="S598">
        <f>Source!Y262</f>
        <v>0</v>
      </c>
      <c r="T598">
        <f>Source!Y263</f>
        <v>0</v>
      </c>
      <c r="U598">
        <f>ROUND((175/100)*ROUND(Source!R262, 2), 2)</f>
        <v>0</v>
      </c>
      <c r="V598">
        <f>ROUND((0/100)*ROUND(Source!R263, 2), 2)</f>
        <v>0</v>
      </c>
      <c r="AC598">
        <v>3</v>
      </c>
    </row>
    <row r="599" spans="1:29" hidden="1" x14ac:dyDescent="0.2">
      <c r="A599" s="36"/>
      <c r="B599" s="36"/>
      <c r="C599" s="37" t="str">
        <f>"Объем: "&amp;Source!I262&amp;"="&amp;Source!I260&amp;"*"&amp;"-"&amp;"0,00003"</f>
        <v>Объем: -0,0002388=7,96*-0,00003</v>
      </c>
      <c r="D599" s="36"/>
      <c r="E599" s="36"/>
      <c r="F599" s="36"/>
      <c r="G599" s="36"/>
      <c r="H599" s="36"/>
      <c r="I599" s="36"/>
      <c r="J599" s="36"/>
      <c r="K599" s="36"/>
      <c r="L599"/>
    </row>
    <row r="600" spans="1:29" ht="15" hidden="1" x14ac:dyDescent="0.2">
      <c r="C600" s="30" t="s">
        <v>844</v>
      </c>
      <c r="H600" s="48">
        <f>I598+0</f>
        <v>-4.54</v>
      </c>
      <c r="I600" s="48"/>
      <c r="J600" s="48">
        <f>K598+0</f>
        <v>-82.58</v>
      </c>
      <c r="K600" s="48"/>
      <c r="L600"/>
      <c r="O600" s="31">
        <f>I598+0</f>
        <v>-4.54</v>
      </c>
      <c r="P600" s="31">
        <f>K598+0</f>
        <v>-82.58</v>
      </c>
    </row>
    <row r="601" spans="1:29" hidden="1" x14ac:dyDescent="0.2">
      <c r="J601"/>
      <c r="L601"/>
    </row>
    <row r="602" spans="1:29" ht="54" hidden="1" x14ac:dyDescent="0.2">
      <c r="A602" s="25">
        <v>66</v>
      </c>
      <c r="B602" s="25" t="str">
        <f>Source!F264</f>
        <v>КА, п.20</v>
      </c>
      <c r="C602" s="25" t="s">
        <v>876</v>
      </c>
      <c r="D602" s="26" t="str">
        <f>Source!H264</f>
        <v>ШТ</v>
      </c>
      <c r="E602" s="27">
        <f>Source!I264</f>
        <v>1</v>
      </c>
      <c r="F602" s="28">
        <f>Source!AL264</f>
        <v>105.13</v>
      </c>
      <c r="G602" s="29"/>
      <c r="H602" s="27">
        <f>Source!AW265</f>
        <v>1</v>
      </c>
      <c r="I602" s="28">
        <f>Source!P264</f>
        <v>105.13</v>
      </c>
      <c r="J602" s="27">
        <f>IF(Source!BC265&lt;&gt; 0, Source!BC265, 1)</f>
        <v>9.86</v>
      </c>
      <c r="K602" s="28">
        <f>Source!P265</f>
        <v>1036.58</v>
      </c>
      <c r="L602"/>
      <c r="Q602">
        <f>Source!X264</f>
        <v>0</v>
      </c>
      <c r="R602">
        <f>Source!X265</f>
        <v>0</v>
      </c>
      <c r="S602">
        <f>Source!Y264</f>
        <v>0</v>
      </c>
      <c r="T602">
        <f>Source!Y265</f>
        <v>0</v>
      </c>
      <c r="U602">
        <f>ROUND((175/100)*ROUND(Source!R264, 2), 2)</f>
        <v>0</v>
      </c>
      <c r="V602">
        <f>ROUND((0/100)*ROUND(Source!R265, 2), 2)</f>
        <v>0</v>
      </c>
      <c r="AC602">
        <v>3</v>
      </c>
    </row>
    <row r="603" spans="1:29" ht="15" hidden="1" x14ac:dyDescent="0.2">
      <c r="C603" s="30" t="s">
        <v>844</v>
      </c>
      <c r="H603" s="48">
        <f>I602+0</f>
        <v>105.13</v>
      </c>
      <c r="I603" s="48"/>
      <c r="J603" s="48">
        <f>K602+0</f>
        <v>1036.58</v>
      </c>
      <c r="K603" s="48"/>
      <c r="L603"/>
      <c r="O603" s="31">
        <f>I602+0</f>
        <v>105.13</v>
      </c>
      <c r="P603" s="31">
        <f>K602+0</f>
        <v>1036.58</v>
      </c>
    </row>
    <row r="604" spans="1:29" hidden="1" x14ac:dyDescent="0.2">
      <c r="J604"/>
      <c r="L604"/>
    </row>
    <row r="605" spans="1:29" hidden="1" x14ac:dyDescent="0.2">
      <c r="J605"/>
      <c r="L605"/>
    </row>
    <row r="606" spans="1:29" ht="15" hidden="1" x14ac:dyDescent="0.25">
      <c r="A606" s="45" t="str">
        <f>CONCATENATE("Итого по разделу: ",IF(Source!G267&lt;&gt;"Новый раздел", Source!G267, ""))</f>
        <v>Итого по разделу: Кабельные изделия</v>
      </c>
      <c r="B606" s="45"/>
      <c r="C606" s="45"/>
      <c r="D606" s="45"/>
      <c r="E606" s="45"/>
      <c r="F606" s="45"/>
      <c r="G606" s="45"/>
      <c r="H606" s="43">
        <f>SUM(O477:O605)</f>
        <v>32705.440000000002</v>
      </c>
      <c r="I606" s="44"/>
      <c r="J606" s="43">
        <f>SUM(P477:P605)</f>
        <v>631082.52999999991</v>
      </c>
      <c r="K606" s="44"/>
      <c r="L606"/>
    </row>
    <row r="607" spans="1:29" hidden="1" x14ac:dyDescent="0.2">
      <c r="A607" t="s">
        <v>849</v>
      </c>
      <c r="I607">
        <f>SUM(W477:W606)</f>
        <v>0</v>
      </c>
      <c r="J607">
        <f>SUM(X477:X606)</f>
        <v>0</v>
      </c>
      <c r="L607"/>
    </row>
    <row r="608" spans="1:29" hidden="1" x14ac:dyDescent="0.2">
      <c r="A608" t="s">
        <v>850</v>
      </c>
      <c r="I608">
        <f>SUM(Y477:Y607)</f>
        <v>0</v>
      </c>
      <c r="J608">
        <f>SUM(Z477:Z607)</f>
        <v>0</v>
      </c>
      <c r="L608"/>
    </row>
    <row r="609" spans="1:43" hidden="1" x14ac:dyDescent="0.2">
      <c r="J609"/>
      <c r="L609"/>
    </row>
    <row r="610" spans="1:43" ht="16.5" hidden="1" x14ac:dyDescent="0.2">
      <c r="A610" s="46" t="str">
        <f>CONCATENATE("Раздел: ",IF(Source!G297&lt;&gt;"Новый раздел", Source!G297, ""))</f>
        <v>Раздел: Запас на складе</v>
      </c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/>
    </row>
    <row r="611" spans="1:43" ht="111" x14ac:dyDescent="0.2">
      <c r="A611" s="76">
        <v>67</v>
      </c>
      <c r="B611" s="76" t="str">
        <f>Source!F301</f>
        <v>КА, п.10</v>
      </c>
      <c r="C611" s="76" t="s">
        <v>863</v>
      </c>
      <c r="D611" s="77" t="str">
        <f>Source!H301</f>
        <v>ШТ</v>
      </c>
      <c r="E611" s="78">
        <f>Source!I301</f>
        <v>3</v>
      </c>
      <c r="F611" s="79">
        <f>Source!AL301</f>
        <v>23295.34</v>
      </c>
      <c r="G611" s="80"/>
      <c r="H611" s="78">
        <f>Source!AW302</f>
        <v>1</v>
      </c>
      <c r="I611" s="79">
        <f>Source!P301</f>
        <v>69886.02</v>
      </c>
      <c r="J611" s="88">
        <f>IF(Source!BC302&lt;&gt; 0, Source!BC302, 1)</f>
        <v>7.66</v>
      </c>
      <c r="K611" s="79">
        <f>Source!P302</f>
        <v>535326.91</v>
      </c>
      <c r="L611" s="90">
        <v>195723</v>
      </c>
      <c r="N611" s="81" t="s">
        <v>883</v>
      </c>
      <c r="Q611">
        <f>Source!X301</f>
        <v>0</v>
      </c>
      <c r="R611">
        <f>Source!X302</f>
        <v>0</v>
      </c>
      <c r="S611">
        <f>Source!Y301</f>
        <v>0</v>
      </c>
      <c r="T611">
        <f>Source!Y302</f>
        <v>0</v>
      </c>
      <c r="U611">
        <f>ROUND((175/100)*ROUND(Source!R301, 2), 2)</f>
        <v>0</v>
      </c>
      <c r="V611">
        <f>ROUND((0/100)*ROUND(Source!R302, 2), 2)</f>
        <v>0</v>
      </c>
      <c r="AC611">
        <v>5</v>
      </c>
    </row>
    <row r="612" spans="1:43" ht="15" hidden="1" x14ac:dyDescent="0.2">
      <c r="A612" s="33"/>
      <c r="B612" s="33"/>
      <c r="C612" s="34" t="s">
        <v>844</v>
      </c>
      <c r="D612" s="33"/>
      <c r="E612" s="33"/>
      <c r="F612" s="33"/>
      <c r="G612" s="33"/>
      <c r="H612" s="47">
        <f>I611+0</f>
        <v>69886.02</v>
      </c>
      <c r="I612" s="47"/>
      <c r="J612" s="47">
        <f>K611+0</f>
        <v>535326.91</v>
      </c>
      <c r="K612" s="47"/>
      <c r="L612"/>
      <c r="O612" s="31">
        <f>I611+0</f>
        <v>69886.02</v>
      </c>
      <c r="P612" s="31">
        <f>K611+0</f>
        <v>535326.91</v>
      </c>
    </row>
    <row r="613" spans="1:43" hidden="1" x14ac:dyDescent="0.2">
      <c r="J613"/>
      <c r="L613"/>
    </row>
    <row r="614" spans="1:43" hidden="1" x14ac:dyDescent="0.2">
      <c r="J614"/>
      <c r="L614"/>
    </row>
    <row r="615" spans="1:43" ht="15" hidden="1" x14ac:dyDescent="0.25">
      <c r="A615" s="45" t="str">
        <f>CONCATENATE("Итого по разделу: ",IF(Source!G304&lt;&gt;"Новый раздел", Source!G304, ""))</f>
        <v>Итого по разделу: Запас на складе</v>
      </c>
      <c r="B615" s="45"/>
      <c r="C615" s="45"/>
      <c r="D615" s="45"/>
      <c r="E615" s="45"/>
      <c r="F615" s="45"/>
      <c r="G615" s="45"/>
      <c r="H615" s="43">
        <f>SUM(O610:O614)</f>
        <v>69886.02</v>
      </c>
      <c r="I615" s="44"/>
      <c r="J615" s="43">
        <f>SUM(P610:P614)</f>
        <v>535326.91</v>
      </c>
      <c r="K615" s="44"/>
      <c r="L615"/>
    </row>
    <row r="616" spans="1:43" hidden="1" x14ac:dyDescent="0.2">
      <c r="A616" t="s">
        <v>849</v>
      </c>
      <c r="I616">
        <f>SUM(W610:W615)</f>
        <v>0</v>
      </c>
      <c r="J616">
        <f>SUM(X610:X615)</f>
        <v>0</v>
      </c>
      <c r="L616"/>
    </row>
    <row r="617" spans="1:43" hidden="1" x14ac:dyDescent="0.2">
      <c r="A617" t="s">
        <v>850</v>
      </c>
      <c r="I617">
        <f>SUM(Y610:Y616)</f>
        <v>0</v>
      </c>
      <c r="J617">
        <f>SUM(Z610:Z616)</f>
        <v>0</v>
      </c>
      <c r="L617"/>
    </row>
    <row r="618" spans="1:43" hidden="1" x14ac:dyDescent="0.2">
      <c r="J618"/>
      <c r="L618"/>
    </row>
    <row r="619" spans="1:43" ht="15" hidden="1" x14ac:dyDescent="0.25">
      <c r="A619" s="45" t="str">
        <f>CONCATENATE("Итого по локальной смете: ",IF(Source!G334&lt;&gt;"Новая локальная смета", Source!G334, ""))</f>
        <v>Итого по локальной смете: Автоматическая установка газового пожаротушения</v>
      </c>
      <c r="B619" s="45"/>
      <c r="C619" s="45"/>
      <c r="D619" s="45"/>
      <c r="E619" s="45"/>
      <c r="F619" s="45"/>
      <c r="G619" s="45"/>
      <c r="H619" s="43">
        <f>SUM(O36:O618)</f>
        <v>418413.2100000002</v>
      </c>
      <c r="I619" s="44"/>
      <c r="J619" s="43">
        <f>SUM(P36:P618)</f>
        <v>4162607.9499999983</v>
      </c>
      <c r="K619" s="44"/>
      <c r="L619"/>
      <c r="AQ619" s="38" t="str">
        <f>CONCATENATE("Итого по локальной смете: ",IF(Source!G334&lt;&gt;"Новая локальная смета", Source!G334, ""))</f>
        <v>Итого по локальной смете: Автоматическая установка газового пожаротушения</v>
      </c>
    </row>
    <row r="620" spans="1:43" hidden="1" x14ac:dyDescent="0.2">
      <c r="A620" t="s">
        <v>849</v>
      </c>
      <c r="I620">
        <f>SUM(W36:W619)</f>
        <v>0</v>
      </c>
      <c r="J620">
        <f>SUM(X36:X619)</f>
        <v>0</v>
      </c>
      <c r="L620"/>
    </row>
    <row r="621" spans="1:43" hidden="1" x14ac:dyDescent="0.2">
      <c r="A621" t="s">
        <v>850</v>
      </c>
      <c r="I621">
        <f>SUM(Y36:Y620)</f>
        <v>0</v>
      </c>
      <c r="J621">
        <f>SUM(Z36:Z620)</f>
        <v>0</v>
      </c>
      <c r="L621"/>
    </row>
    <row r="622" spans="1:43" hidden="1" x14ac:dyDescent="0.2">
      <c r="J622"/>
      <c r="L622"/>
    </row>
    <row r="623" spans="1:43" ht="15" hidden="1" x14ac:dyDescent="0.25">
      <c r="A623" s="45" t="str">
        <f>CONCATENATE("Итого по смете: ",IF(Source!G364&lt;&gt;"Новый объект", Source!G364, ""))</f>
        <v>Итого по смете: 02-01-19 АУГП</v>
      </c>
      <c r="B623" s="45"/>
      <c r="C623" s="45"/>
      <c r="D623" s="45"/>
      <c r="E623" s="45"/>
      <c r="F623" s="45"/>
      <c r="G623" s="45"/>
      <c r="H623" s="43">
        <f>SUM(O1:O622)</f>
        <v>418413.2100000002</v>
      </c>
      <c r="I623" s="44"/>
      <c r="J623" s="43">
        <f>SUM(P1:P622)</f>
        <v>4162607.9499999983</v>
      </c>
      <c r="K623" s="44"/>
      <c r="L623"/>
    </row>
    <row r="624" spans="1:43" hidden="1" x14ac:dyDescent="0.2">
      <c r="A624" t="s">
        <v>849</v>
      </c>
      <c r="I624">
        <f>SUM(W1:W623)</f>
        <v>0</v>
      </c>
      <c r="J624">
        <f>SUM(X1:X623)</f>
        <v>0</v>
      </c>
      <c r="L624"/>
    </row>
    <row r="625" spans="1:11" customFormat="1" hidden="1" x14ac:dyDescent="0.2">
      <c r="A625" t="s">
        <v>850</v>
      </c>
      <c r="I625">
        <f>SUM(Y1:Y624)</f>
        <v>0</v>
      </c>
      <c r="J625">
        <f>SUM(Z1:Z624)</f>
        <v>0</v>
      </c>
    </row>
    <row r="626" spans="1:11" customFormat="1" hidden="1" x14ac:dyDescent="0.2"/>
    <row r="627" spans="1:11" customFormat="1" hidden="1" x14ac:dyDescent="0.2"/>
    <row r="628" spans="1:11" customFormat="1" ht="14.25" hidden="1" x14ac:dyDescent="0.2">
      <c r="A628" s="40" t="s">
        <v>878</v>
      </c>
      <c r="B628" s="40"/>
      <c r="C628" s="39" t="str">
        <f>IF(Source!AC12&lt;&gt;"", Source!AC12," ")</f>
        <v xml:space="preserve"> </v>
      </c>
      <c r="D628" s="39"/>
      <c r="E628" s="39"/>
      <c r="F628" s="39"/>
      <c r="G628" s="39"/>
      <c r="H628" s="41" t="str">
        <f>IF(Source!AB12&lt;&gt;"", Source!AB12," ")</f>
        <v xml:space="preserve"> </v>
      </c>
      <c r="I628" s="41"/>
      <c r="J628" s="41"/>
      <c r="K628" s="41"/>
    </row>
    <row r="629" spans="1:11" customFormat="1" ht="14.25" hidden="1" x14ac:dyDescent="0.2">
      <c r="A629" s="16"/>
      <c r="B629" s="16"/>
      <c r="C629" s="42" t="s">
        <v>879</v>
      </c>
      <c r="D629" s="42"/>
      <c r="E629" s="42"/>
      <c r="F629" s="42"/>
      <c r="G629" s="42"/>
      <c r="H629" s="16"/>
      <c r="I629" s="16"/>
      <c r="J629" s="16"/>
      <c r="K629" s="16"/>
    </row>
    <row r="630" spans="1:11" customFormat="1" ht="14.25" hidden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</row>
    <row r="631" spans="1:11" customFormat="1" ht="14.25" hidden="1" x14ac:dyDescent="0.2">
      <c r="A631" s="40" t="s">
        <v>880</v>
      </c>
      <c r="B631" s="40"/>
      <c r="C631" s="39" t="str">
        <f>IF(Source!AE12&lt;&gt;"", Source!AE12," ")</f>
        <v xml:space="preserve"> </v>
      </c>
      <c r="D631" s="39"/>
      <c r="E631" s="39"/>
      <c r="F631" s="39"/>
      <c r="G631" s="39"/>
      <c r="H631" s="41" t="str">
        <f>IF(Source!AD12&lt;&gt;"", Source!AD12," ")</f>
        <v xml:space="preserve"> </v>
      </c>
      <c r="I631" s="41"/>
      <c r="J631" s="41"/>
      <c r="K631" s="41"/>
    </row>
    <row r="632" spans="1:11" customFormat="1" ht="14.25" hidden="1" x14ac:dyDescent="0.2">
      <c r="A632" s="16"/>
      <c r="B632" s="16"/>
      <c r="C632" s="42" t="s">
        <v>879</v>
      </c>
      <c r="D632" s="42"/>
      <c r="E632" s="42"/>
      <c r="F632" s="42"/>
      <c r="G632" s="42"/>
      <c r="H632" s="16"/>
      <c r="I632" s="16"/>
      <c r="J632" s="16"/>
      <c r="K632" s="16"/>
    </row>
  </sheetData>
  <autoFilter ref="A1:AU632" xr:uid="{FDF0E689-2BE0-4B75-A378-AAF8EABEE60F}">
    <filterColumn colId="10">
      <colorFilter dxfId="0"/>
    </filterColumn>
  </autoFilter>
  <mergeCells count="344">
    <mergeCell ref="A15:K15"/>
    <mergeCell ref="A16:K16"/>
    <mergeCell ref="A18:K18"/>
    <mergeCell ref="E21:H21"/>
    <mergeCell ref="E22:H22"/>
    <mergeCell ref="E23:H23"/>
    <mergeCell ref="B7:E7"/>
    <mergeCell ref="G7:K7"/>
    <mergeCell ref="J2:K2"/>
    <mergeCell ref="A10:K10"/>
    <mergeCell ref="A11:K11"/>
    <mergeCell ref="A13:K13"/>
    <mergeCell ref="B3:E3"/>
    <mergeCell ref="G3:K3"/>
    <mergeCell ref="B4:E4"/>
    <mergeCell ref="G4:K4"/>
    <mergeCell ref="B6:E6"/>
    <mergeCell ref="G6:K6"/>
    <mergeCell ref="A32:K32"/>
    <mergeCell ref="A36:K36"/>
    <mergeCell ref="A38:K38"/>
    <mergeCell ref="H46:I46"/>
    <mergeCell ref="J46:K46"/>
    <mergeCell ref="H47:I47"/>
    <mergeCell ref="J47:K47"/>
    <mergeCell ref="E24:H24"/>
    <mergeCell ref="E25:H25"/>
    <mergeCell ref="E26:H26"/>
    <mergeCell ref="E27:H27"/>
    <mergeCell ref="E28:H28"/>
    <mergeCell ref="E29:H29"/>
    <mergeCell ref="H58:I58"/>
    <mergeCell ref="J58:K58"/>
    <mergeCell ref="H66:I66"/>
    <mergeCell ref="J66:K66"/>
    <mergeCell ref="H67:I67"/>
    <mergeCell ref="J67:K67"/>
    <mergeCell ref="H48:I48"/>
    <mergeCell ref="J48:K48"/>
    <mergeCell ref="H56:I56"/>
    <mergeCell ref="J56:K56"/>
    <mergeCell ref="H57:I57"/>
    <mergeCell ref="J57:K57"/>
    <mergeCell ref="H79:I79"/>
    <mergeCell ref="J79:K79"/>
    <mergeCell ref="H88:I88"/>
    <mergeCell ref="J88:K88"/>
    <mergeCell ref="H89:I89"/>
    <mergeCell ref="J89:K89"/>
    <mergeCell ref="H68:I68"/>
    <mergeCell ref="J68:K68"/>
    <mergeCell ref="H77:I77"/>
    <mergeCell ref="J77:K77"/>
    <mergeCell ref="H78:I78"/>
    <mergeCell ref="J78:K78"/>
    <mergeCell ref="H99:I99"/>
    <mergeCell ref="J99:K99"/>
    <mergeCell ref="H106:I106"/>
    <mergeCell ref="J106:K106"/>
    <mergeCell ref="H107:I107"/>
    <mergeCell ref="J107:K107"/>
    <mergeCell ref="H90:I90"/>
    <mergeCell ref="J90:K90"/>
    <mergeCell ref="H97:I97"/>
    <mergeCell ref="J97:K97"/>
    <mergeCell ref="H98:I98"/>
    <mergeCell ref="J98:K98"/>
    <mergeCell ref="H120:I120"/>
    <mergeCell ref="J120:K120"/>
    <mergeCell ref="H129:I129"/>
    <mergeCell ref="J129:K129"/>
    <mergeCell ref="H130:I130"/>
    <mergeCell ref="J130:K130"/>
    <mergeCell ref="H108:I108"/>
    <mergeCell ref="J108:K108"/>
    <mergeCell ref="H118:I118"/>
    <mergeCell ref="J118:K118"/>
    <mergeCell ref="H119:I119"/>
    <mergeCell ref="J119:K119"/>
    <mergeCell ref="H142:I142"/>
    <mergeCell ref="J142:K142"/>
    <mergeCell ref="H153:I153"/>
    <mergeCell ref="J153:K153"/>
    <mergeCell ref="H154:I154"/>
    <mergeCell ref="J154:K154"/>
    <mergeCell ref="H131:I131"/>
    <mergeCell ref="J131:K131"/>
    <mergeCell ref="H140:I140"/>
    <mergeCell ref="J140:K140"/>
    <mergeCell ref="H141:I141"/>
    <mergeCell ref="J141:K141"/>
    <mergeCell ref="H165:I165"/>
    <mergeCell ref="J165:K165"/>
    <mergeCell ref="H176:I176"/>
    <mergeCell ref="J176:K176"/>
    <mergeCell ref="H177:I177"/>
    <mergeCell ref="J177:K177"/>
    <mergeCell ref="H155:I155"/>
    <mergeCell ref="J155:K155"/>
    <mergeCell ref="H163:I163"/>
    <mergeCell ref="J163:K163"/>
    <mergeCell ref="H164:I164"/>
    <mergeCell ref="J164:K164"/>
    <mergeCell ref="H190:I190"/>
    <mergeCell ref="J190:K190"/>
    <mergeCell ref="H201:I201"/>
    <mergeCell ref="J201:K201"/>
    <mergeCell ref="H202:I202"/>
    <mergeCell ref="J202:K202"/>
    <mergeCell ref="H178:I178"/>
    <mergeCell ref="J178:K178"/>
    <mergeCell ref="H188:I188"/>
    <mergeCell ref="J188:K188"/>
    <mergeCell ref="H189:I189"/>
    <mergeCell ref="J189:K189"/>
    <mergeCell ref="A226:G226"/>
    <mergeCell ref="A230:K230"/>
    <mergeCell ref="H213:I213"/>
    <mergeCell ref="J213:K213"/>
    <mergeCell ref="H221:I221"/>
    <mergeCell ref="J221:K221"/>
    <mergeCell ref="H222:I222"/>
    <mergeCell ref="J222:K222"/>
    <mergeCell ref="H203:I203"/>
    <mergeCell ref="J203:K203"/>
    <mergeCell ref="H211:I211"/>
    <mergeCell ref="J211:K211"/>
    <mergeCell ref="H212:I212"/>
    <mergeCell ref="J212:K212"/>
    <mergeCell ref="H239:I239"/>
    <mergeCell ref="J239:K239"/>
    <mergeCell ref="H240:I240"/>
    <mergeCell ref="J240:K240"/>
    <mergeCell ref="H241:I241"/>
    <mergeCell ref="J241:K241"/>
    <mergeCell ref="H223:I223"/>
    <mergeCell ref="J223:K223"/>
    <mergeCell ref="J226:K226"/>
    <mergeCell ref="H226:I226"/>
    <mergeCell ref="H256:I256"/>
    <mergeCell ref="J256:K256"/>
    <mergeCell ref="H259:I259"/>
    <mergeCell ref="J259:K259"/>
    <mergeCell ref="H269:I269"/>
    <mergeCell ref="J269:K269"/>
    <mergeCell ref="H244:I244"/>
    <mergeCell ref="J244:K244"/>
    <mergeCell ref="H254:I254"/>
    <mergeCell ref="J254:K254"/>
    <mergeCell ref="H255:I255"/>
    <mergeCell ref="J255:K255"/>
    <mergeCell ref="H282:I282"/>
    <mergeCell ref="J282:K282"/>
    <mergeCell ref="H283:I283"/>
    <mergeCell ref="J283:K283"/>
    <mergeCell ref="H286:I286"/>
    <mergeCell ref="J286:K286"/>
    <mergeCell ref="H270:I270"/>
    <mergeCell ref="J270:K270"/>
    <mergeCell ref="H271:I271"/>
    <mergeCell ref="J271:K271"/>
    <mergeCell ref="H281:I281"/>
    <mergeCell ref="J281:K281"/>
    <mergeCell ref="H298:I298"/>
    <mergeCell ref="J298:K298"/>
    <mergeCell ref="H308:I308"/>
    <mergeCell ref="J308:K308"/>
    <mergeCell ref="H309:I309"/>
    <mergeCell ref="J309:K309"/>
    <mergeCell ref="H289:I289"/>
    <mergeCell ref="J289:K289"/>
    <mergeCell ref="H292:I292"/>
    <mergeCell ref="J292:K292"/>
    <mergeCell ref="H295:I295"/>
    <mergeCell ref="J295:K295"/>
    <mergeCell ref="H322:I322"/>
    <mergeCell ref="J322:K322"/>
    <mergeCell ref="H323:I323"/>
    <mergeCell ref="J323:K323"/>
    <mergeCell ref="H326:I326"/>
    <mergeCell ref="J326:K326"/>
    <mergeCell ref="H310:I310"/>
    <mergeCell ref="J310:K310"/>
    <mergeCell ref="H313:I313"/>
    <mergeCell ref="J313:K313"/>
    <mergeCell ref="H321:I321"/>
    <mergeCell ref="J321:K321"/>
    <mergeCell ref="H339:I339"/>
    <mergeCell ref="J339:K339"/>
    <mergeCell ref="H350:I350"/>
    <mergeCell ref="J350:K350"/>
    <mergeCell ref="H351:I351"/>
    <mergeCell ref="J351:K351"/>
    <mergeCell ref="H334:I334"/>
    <mergeCell ref="J334:K334"/>
    <mergeCell ref="H335:I335"/>
    <mergeCell ref="J335:K335"/>
    <mergeCell ref="H336:I336"/>
    <mergeCell ref="J336:K336"/>
    <mergeCell ref="H366:I366"/>
    <mergeCell ref="J366:K366"/>
    <mergeCell ref="H367:I367"/>
    <mergeCell ref="J367:K367"/>
    <mergeCell ref="H370:I370"/>
    <mergeCell ref="J370:K370"/>
    <mergeCell ref="H352:I352"/>
    <mergeCell ref="J352:K352"/>
    <mergeCell ref="H355:I355"/>
    <mergeCell ref="J355:K355"/>
    <mergeCell ref="H365:I365"/>
    <mergeCell ref="J365:K365"/>
    <mergeCell ref="H385:I385"/>
    <mergeCell ref="J385:K385"/>
    <mergeCell ref="H388:I388"/>
    <mergeCell ref="J388:K388"/>
    <mergeCell ref="H391:I391"/>
    <mergeCell ref="J391:K391"/>
    <mergeCell ref="H380:I380"/>
    <mergeCell ref="J380:K380"/>
    <mergeCell ref="H381:I381"/>
    <mergeCell ref="J381:K381"/>
    <mergeCell ref="H382:I382"/>
    <mergeCell ref="J382:K382"/>
    <mergeCell ref="H412:I412"/>
    <mergeCell ref="J412:K412"/>
    <mergeCell ref="H413:I413"/>
    <mergeCell ref="J413:K413"/>
    <mergeCell ref="H414:I414"/>
    <mergeCell ref="J414:K414"/>
    <mergeCell ref="H394:I394"/>
    <mergeCell ref="J394:K394"/>
    <mergeCell ref="H397:I397"/>
    <mergeCell ref="J397:K397"/>
    <mergeCell ref="H400:I400"/>
    <mergeCell ref="J400:K400"/>
    <mergeCell ref="H437:I437"/>
    <mergeCell ref="J437:K437"/>
    <mergeCell ref="H438:I438"/>
    <mergeCell ref="J438:K438"/>
    <mergeCell ref="H439:I439"/>
    <mergeCell ref="J439:K439"/>
    <mergeCell ref="H423:I423"/>
    <mergeCell ref="J423:K423"/>
    <mergeCell ref="H424:I424"/>
    <mergeCell ref="J424:K424"/>
    <mergeCell ref="H425:I425"/>
    <mergeCell ref="J425:K425"/>
    <mergeCell ref="A473:G473"/>
    <mergeCell ref="A477:K477"/>
    <mergeCell ref="H456:I456"/>
    <mergeCell ref="J456:K456"/>
    <mergeCell ref="H468:I468"/>
    <mergeCell ref="J468:K468"/>
    <mergeCell ref="H469:I469"/>
    <mergeCell ref="J469:K469"/>
    <mergeCell ref="H442:I442"/>
    <mergeCell ref="J442:K442"/>
    <mergeCell ref="H454:I454"/>
    <mergeCell ref="J454:K454"/>
    <mergeCell ref="H455:I455"/>
    <mergeCell ref="J455:K455"/>
    <mergeCell ref="H490:I490"/>
    <mergeCell ref="J490:K490"/>
    <mergeCell ref="H491:I491"/>
    <mergeCell ref="J491:K491"/>
    <mergeCell ref="H492:I492"/>
    <mergeCell ref="J492:K492"/>
    <mergeCell ref="H470:I470"/>
    <mergeCell ref="J470:K470"/>
    <mergeCell ref="J473:K473"/>
    <mergeCell ref="H473:I473"/>
    <mergeCell ref="H514:I514"/>
    <mergeCell ref="J514:K514"/>
    <mergeCell ref="H515:I515"/>
    <mergeCell ref="J515:K515"/>
    <mergeCell ref="H527:I527"/>
    <mergeCell ref="J527:K527"/>
    <mergeCell ref="H496:I496"/>
    <mergeCell ref="J496:K496"/>
    <mergeCell ref="H500:I500"/>
    <mergeCell ref="J500:K500"/>
    <mergeCell ref="H513:I513"/>
    <mergeCell ref="J513:K513"/>
    <mergeCell ref="H541:I541"/>
    <mergeCell ref="J541:K541"/>
    <mergeCell ref="H542:I542"/>
    <mergeCell ref="J542:K542"/>
    <mergeCell ref="H546:I546"/>
    <mergeCell ref="J546:K546"/>
    <mergeCell ref="H528:I528"/>
    <mergeCell ref="J528:K528"/>
    <mergeCell ref="H529:I529"/>
    <mergeCell ref="J529:K529"/>
    <mergeCell ref="H540:I540"/>
    <mergeCell ref="J540:K540"/>
    <mergeCell ref="H566:I566"/>
    <mergeCell ref="J566:K566"/>
    <mergeCell ref="H567:I567"/>
    <mergeCell ref="J567:K567"/>
    <mergeCell ref="H571:I571"/>
    <mergeCell ref="J571:K571"/>
    <mergeCell ref="H550:I550"/>
    <mergeCell ref="J550:K550"/>
    <mergeCell ref="H554:I554"/>
    <mergeCell ref="J554:K554"/>
    <mergeCell ref="H565:I565"/>
    <mergeCell ref="J565:K565"/>
    <mergeCell ref="H594:I594"/>
    <mergeCell ref="J594:K594"/>
    <mergeCell ref="H595:I595"/>
    <mergeCell ref="J595:K595"/>
    <mergeCell ref="H596:I596"/>
    <mergeCell ref="J596:K596"/>
    <mergeCell ref="H583:I583"/>
    <mergeCell ref="J583:K583"/>
    <mergeCell ref="H584:I584"/>
    <mergeCell ref="J584:K584"/>
    <mergeCell ref="H585:I585"/>
    <mergeCell ref="J585:K585"/>
    <mergeCell ref="A606:G606"/>
    <mergeCell ref="A610:K610"/>
    <mergeCell ref="H612:I612"/>
    <mergeCell ref="J612:K612"/>
    <mergeCell ref="J615:K615"/>
    <mergeCell ref="H615:I615"/>
    <mergeCell ref="A615:G615"/>
    <mergeCell ref="H600:I600"/>
    <mergeCell ref="J600:K600"/>
    <mergeCell ref="H603:I603"/>
    <mergeCell ref="J603:K603"/>
    <mergeCell ref="J606:K606"/>
    <mergeCell ref="H606:I606"/>
    <mergeCell ref="A628:B628"/>
    <mergeCell ref="H628:K628"/>
    <mergeCell ref="C629:G629"/>
    <mergeCell ref="A631:B631"/>
    <mergeCell ref="H631:K631"/>
    <mergeCell ref="C632:G632"/>
    <mergeCell ref="J619:K619"/>
    <mergeCell ref="H619:I619"/>
    <mergeCell ref="A619:G619"/>
    <mergeCell ref="J623:K623"/>
    <mergeCell ref="H623:I623"/>
    <mergeCell ref="A623:G623"/>
  </mergeCells>
  <pageMargins left="0.4" right="0.2" top="0.2" bottom="0.4" header="0.2" footer="0.2"/>
  <pageSetup paperSize="9" scale="68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411"/>
  <sheetViews>
    <sheetView workbookViewId="0">
      <selection activeCell="A407" sqref="A407:AX407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74599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403</v>
      </c>
      <c r="C12" s="10">
        <v>0</v>
      </c>
      <c r="D12" s="10">
        <f>ROW(A364)</f>
        <v>364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8</v>
      </c>
      <c r="BI12" s="10" t="s">
        <v>9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10</v>
      </c>
      <c r="BZ12" s="10" t="s">
        <v>11</v>
      </c>
      <c r="CA12" s="10" t="s">
        <v>12</v>
      </c>
      <c r="CB12" s="10" t="s">
        <v>12</v>
      </c>
      <c r="CC12" s="10" t="s">
        <v>12</v>
      </c>
      <c r="CD12" s="10" t="s">
        <v>12</v>
      </c>
      <c r="CE12" s="10" t="s">
        <v>13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14</v>
      </c>
      <c r="CR12" s="10" t="s">
        <v>15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B364</f>
        <v>403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02-01-19</v>
      </c>
      <c r="G18" s="11" t="str">
        <f t="shared" si="0"/>
        <v>02-01-19 АУГП</v>
      </c>
      <c r="H18" s="11"/>
      <c r="I18" s="11"/>
      <c r="J18" s="11"/>
      <c r="K18" s="11"/>
      <c r="L18" s="11"/>
      <c r="M18" s="11"/>
      <c r="N18" s="11"/>
      <c r="O18" s="11">
        <f t="shared" ref="O18:AT18" si="1">O364</f>
        <v>404036.74</v>
      </c>
      <c r="P18" s="11">
        <f t="shared" si="1"/>
        <v>393519.72</v>
      </c>
      <c r="Q18" s="11">
        <f t="shared" si="1"/>
        <v>540.87</v>
      </c>
      <c r="R18" s="11">
        <f t="shared" si="1"/>
        <v>87.64</v>
      </c>
      <c r="S18" s="11">
        <f t="shared" si="1"/>
        <v>9976.15</v>
      </c>
      <c r="T18" s="11">
        <f t="shared" si="1"/>
        <v>0</v>
      </c>
      <c r="U18" s="11">
        <f t="shared" si="1"/>
        <v>856.39851670079997</v>
      </c>
      <c r="V18" s="11">
        <f t="shared" si="1"/>
        <v>0</v>
      </c>
      <c r="W18" s="11">
        <f t="shared" si="1"/>
        <v>0</v>
      </c>
      <c r="X18" s="11">
        <f t="shared" si="1"/>
        <v>9402.58</v>
      </c>
      <c r="Y18" s="11">
        <f t="shared" si="1"/>
        <v>4973.8900000000003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324219.95</v>
      </c>
      <c r="AQ18" s="11">
        <f t="shared" si="1"/>
        <v>0</v>
      </c>
      <c r="AR18" s="11">
        <f t="shared" si="1"/>
        <v>418413.21</v>
      </c>
      <c r="AS18" s="11">
        <f t="shared" si="1"/>
        <v>34366.339999999997</v>
      </c>
      <c r="AT18" s="11">
        <f t="shared" si="1"/>
        <v>59826.92</v>
      </c>
      <c r="AU18" s="11">
        <f t="shared" ref="AU18:BZ18" si="2">AU364</f>
        <v>0</v>
      </c>
      <c r="AV18" s="11">
        <f t="shared" si="2"/>
        <v>393519.72</v>
      </c>
      <c r="AW18" s="11">
        <f t="shared" si="2"/>
        <v>69299.77</v>
      </c>
      <c r="AX18" s="11">
        <f t="shared" si="2"/>
        <v>0</v>
      </c>
      <c r="AY18" s="11">
        <f t="shared" si="2"/>
        <v>69299.77</v>
      </c>
      <c r="AZ18" s="11">
        <f t="shared" si="2"/>
        <v>324219.95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CA364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DG364</f>
        <v>3352492.52</v>
      </c>
      <c r="DH18" s="12">
        <f t="shared" si="4"/>
        <v>2780597.17</v>
      </c>
      <c r="DI18" s="12">
        <f t="shared" si="4"/>
        <v>9739.2900000000009</v>
      </c>
      <c r="DJ18" s="12">
        <f t="shared" si="4"/>
        <v>4938.53</v>
      </c>
      <c r="DK18" s="12">
        <f t="shared" si="4"/>
        <v>562156.06000000006</v>
      </c>
      <c r="DL18" s="12">
        <f t="shared" si="4"/>
        <v>0</v>
      </c>
      <c r="DM18" s="12">
        <f t="shared" si="4"/>
        <v>856.39851670079997</v>
      </c>
      <c r="DN18" s="12">
        <f t="shared" si="4"/>
        <v>0</v>
      </c>
      <c r="DO18" s="12">
        <f t="shared" si="4"/>
        <v>0</v>
      </c>
      <c r="DP18" s="12">
        <f t="shared" si="4"/>
        <v>529835.63</v>
      </c>
      <c r="DQ18" s="12">
        <f t="shared" si="4"/>
        <v>280279.8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2405065.2000000002</v>
      </c>
      <c r="EI18" s="12">
        <f t="shared" si="4"/>
        <v>0</v>
      </c>
      <c r="EJ18" s="12">
        <f t="shared" si="4"/>
        <v>4162607.95</v>
      </c>
      <c r="EK18" s="12">
        <f t="shared" si="4"/>
        <v>710352.23</v>
      </c>
      <c r="EL18" s="12">
        <f t="shared" si="4"/>
        <v>1047190.52</v>
      </c>
      <c r="EM18" s="12">
        <f t="shared" ref="EM18:FR18" si="5">EM364</f>
        <v>0</v>
      </c>
      <c r="EN18" s="12">
        <f t="shared" si="5"/>
        <v>2780597.17</v>
      </c>
      <c r="EO18" s="12">
        <f t="shared" si="5"/>
        <v>375531.97</v>
      </c>
      <c r="EP18" s="12">
        <f t="shared" si="5"/>
        <v>0</v>
      </c>
      <c r="EQ18" s="12">
        <f t="shared" si="5"/>
        <v>375531.97</v>
      </c>
      <c r="ER18" s="12">
        <f t="shared" si="5"/>
        <v>2405065.2000000002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FS364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ROW(A334)</f>
        <v>334</v>
      </c>
      <c r="E20" s="10"/>
      <c r="F20" s="10" t="s">
        <v>5</v>
      </c>
      <c r="G20" s="10" t="s">
        <v>16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0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B334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02-01-19</v>
      </c>
      <c r="G22" s="11" t="str">
        <f t="shared" si="7"/>
        <v>Автоматическая установка газового пожаротушения</v>
      </c>
      <c r="H22" s="11"/>
      <c r="I22" s="11"/>
      <c r="J22" s="11"/>
      <c r="K22" s="11"/>
      <c r="L22" s="11"/>
      <c r="M22" s="11"/>
      <c r="N22" s="11"/>
      <c r="O22" s="11">
        <f t="shared" ref="O22:AT22" si="8">O334</f>
        <v>404036.74</v>
      </c>
      <c r="P22" s="11">
        <f t="shared" si="8"/>
        <v>393519.72</v>
      </c>
      <c r="Q22" s="11">
        <f t="shared" si="8"/>
        <v>540.87</v>
      </c>
      <c r="R22" s="11">
        <f t="shared" si="8"/>
        <v>87.64</v>
      </c>
      <c r="S22" s="11">
        <f t="shared" si="8"/>
        <v>9976.15</v>
      </c>
      <c r="T22" s="11">
        <f t="shared" si="8"/>
        <v>0</v>
      </c>
      <c r="U22" s="11">
        <f t="shared" si="8"/>
        <v>856.39851670079997</v>
      </c>
      <c r="V22" s="11">
        <f t="shared" si="8"/>
        <v>0</v>
      </c>
      <c r="W22" s="11">
        <f t="shared" si="8"/>
        <v>0</v>
      </c>
      <c r="X22" s="11">
        <f t="shared" si="8"/>
        <v>9402.58</v>
      </c>
      <c r="Y22" s="11">
        <f t="shared" si="8"/>
        <v>4973.8900000000003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324219.95</v>
      </c>
      <c r="AQ22" s="11">
        <f t="shared" si="8"/>
        <v>0</v>
      </c>
      <c r="AR22" s="11">
        <f t="shared" si="8"/>
        <v>418413.21</v>
      </c>
      <c r="AS22" s="11">
        <f t="shared" si="8"/>
        <v>34366.339999999997</v>
      </c>
      <c r="AT22" s="11">
        <f t="shared" si="8"/>
        <v>59826.92</v>
      </c>
      <c r="AU22" s="11">
        <f t="shared" ref="AU22:BZ22" si="9">AU334</f>
        <v>0</v>
      </c>
      <c r="AV22" s="11">
        <f t="shared" si="9"/>
        <v>393519.72</v>
      </c>
      <c r="AW22" s="11">
        <f t="shared" si="9"/>
        <v>69299.77</v>
      </c>
      <c r="AX22" s="11">
        <f t="shared" si="9"/>
        <v>0</v>
      </c>
      <c r="AY22" s="11">
        <f t="shared" si="9"/>
        <v>69299.77</v>
      </c>
      <c r="AZ22" s="11">
        <f t="shared" si="9"/>
        <v>324219.95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CA334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DG334</f>
        <v>3352492.52</v>
      </c>
      <c r="DH22" s="12">
        <f t="shared" si="11"/>
        <v>2780597.17</v>
      </c>
      <c r="DI22" s="12">
        <f t="shared" si="11"/>
        <v>9739.2900000000009</v>
      </c>
      <c r="DJ22" s="12">
        <f t="shared" si="11"/>
        <v>4938.53</v>
      </c>
      <c r="DK22" s="12">
        <f t="shared" si="11"/>
        <v>562156.06000000006</v>
      </c>
      <c r="DL22" s="12">
        <f t="shared" si="11"/>
        <v>0</v>
      </c>
      <c r="DM22" s="12">
        <f t="shared" si="11"/>
        <v>856.39851670079997</v>
      </c>
      <c r="DN22" s="12">
        <f t="shared" si="11"/>
        <v>0</v>
      </c>
      <c r="DO22" s="12">
        <f t="shared" si="11"/>
        <v>0</v>
      </c>
      <c r="DP22" s="12">
        <f t="shared" si="11"/>
        <v>529835.63</v>
      </c>
      <c r="DQ22" s="12">
        <f t="shared" si="11"/>
        <v>280279.8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2405065.2000000002</v>
      </c>
      <c r="EI22" s="12">
        <f t="shared" si="11"/>
        <v>0</v>
      </c>
      <c r="EJ22" s="12">
        <f t="shared" si="11"/>
        <v>4162607.95</v>
      </c>
      <c r="EK22" s="12">
        <f t="shared" si="11"/>
        <v>710352.23</v>
      </c>
      <c r="EL22" s="12">
        <f t="shared" si="11"/>
        <v>1047190.52</v>
      </c>
      <c r="EM22" s="12">
        <f t="shared" ref="EM22:FR22" si="12">EM334</f>
        <v>0</v>
      </c>
      <c r="EN22" s="12">
        <f t="shared" si="12"/>
        <v>2780597.17</v>
      </c>
      <c r="EO22" s="12">
        <f t="shared" si="12"/>
        <v>375531.97</v>
      </c>
      <c r="EP22" s="12">
        <f t="shared" si="12"/>
        <v>0</v>
      </c>
      <c r="EQ22" s="12">
        <f t="shared" si="12"/>
        <v>375531.97</v>
      </c>
      <c r="ER22" s="12">
        <f t="shared" si="12"/>
        <v>2405065.2000000002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FS334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ROW(A63)</f>
        <v>63</v>
      </c>
      <c r="E24" s="10"/>
      <c r="F24" s="10" t="s">
        <v>17</v>
      </c>
      <c r="G24" s="10" t="s">
        <v>18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0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B63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</v>
      </c>
      <c r="H26" s="11"/>
      <c r="I26" s="11"/>
      <c r="J26" s="11"/>
      <c r="K26" s="11"/>
      <c r="L26" s="11"/>
      <c r="M26" s="11"/>
      <c r="N26" s="11"/>
      <c r="O26" s="11">
        <f t="shared" ref="O26:AT26" si="15">O63</f>
        <v>5104.3100000000004</v>
      </c>
      <c r="P26" s="11">
        <f t="shared" si="15"/>
        <v>137.83000000000001</v>
      </c>
      <c r="Q26" s="11">
        <f t="shared" si="15"/>
        <v>54.29</v>
      </c>
      <c r="R26" s="11">
        <f t="shared" si="15"/>
        <v>7.99</v>
      </c>
      <c r="S26" s="11">
        <f t="shared" si="15"/>
        <v>4912.1899999999996</v>
      </c>
      <c r="T26" s="11">
        <f t="shared" si="15"/>
        <v>0</v>
      </c>
      <c r="U26" s="11">
        <f t="shared" si="15"/>
        <v>459.31589621279994</v>
      </c>
      <c r="V26" s="11">
        <f t="shared" si="15"/>
        <v>0</v>
      </c>
      <c r="W26" s="11">
        <f t="shared" si="15"/>
        <v>0</v>
      </c>
      <c r="X26" s="11">
        <f t="shared" si="15"/>
        <v>4495.1000000000004</v>
      </c>
      <c r="Y26" s="11">
        <f t="shared" si="15"/>
        <v>2381.61</v>
      </c>
      <c r="Z26" s="11">
        <f t="shared" si="15"/>
        <v>0</v>
      </c>
      <c r="AA26" s="11">
        <f t="shared" si="15"/>
        <v>0</v>
      </c>
      <c r="AB26" s="11">
        <f t="shared" si="15"/>
        <v>5104.3100000000004</v>
      </c>
      <c r="AC26" s="11">
        <f t="shared" si="15"/>
        <v>137.83000000000001</v>
      </c>
      <c r="AD26" s="11">
        <f t="shared" si="15"/>
        <v>54.29</v>
      </c>
      <c r="AE26" s="11">
        <f t="shared" si="15"/>
        <v>7.99</v>
      </c>
      <c r="AF26" s="11">
        <f t="shared" si="15"/>
        <v>4912.1899999999996</v>
      </c>
      <c r="AG26" s="11">
        <f t="shared" si="15"/>
        <v>0</v>
      </c>
      <c r="AH26" s="11">
        <f t="shared" si="15"/>
        <v>459.31589621279994</v>
      </c>
      <c r="AI26" s="11">
        <f t="shared" si="15"/>
        <v>0</v>
      </c>
      <c r="AJ26" s="11">
        <f t="shared" si="15"/>
        <v>0</v>
      </c>
      <c r="AK26" s="11">
        <f t="shared" si="15"/>
        <v>4495.1000000000004</v>
      </c>
      <c r="AL26" s="11">
        <f t="shared" si="15"/>
        <v>2381.61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11981.02</v>
      </c>
      <c r="AS26" s="11">
        <f t="shared" si="15"/>
        <v>10813.8</v>
      </c>
      <c r="AT26" s="11">
        <f t="shared" si="15"/>
        <v>1167.22</v>
      </c>
      <c r="AU26" s="11">
        <f t="shared" ref="AU26:BZ26" si="16">AU63</f>
        <v>0</v>
      </c>
      <c r="AV26" s="11">
        <f t="shared" si="16"/>
        <v>137.83000000000001</v>
      </c>
      <c r="AW26" s="11">
        <f t="shared" si="16"/>
        <v>137.83000000000001</v>
      </c>
      <c r="AX26" s="11">
        <f t="shared" si="16"/>
        <v>0</v>
      </c>
      <c r="AY26" s="11">
        <f t="shared" si="16"/>
        <v>137.83000000000001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CA63</f>
        <v>11981.02</v>
      </c>
      <c r="CB26" s="11">
        <f t="shared" si="17"/>
        <v>10813.8</v>
      </c>
      <c r="CC26" s="11">
        <f t="shared" si="17"/>
        <v>1167.22</v>
      </c>
      <c r="CD26" s="11">
        <f t="shared" si="17"/>
        <v>0</v>
      </c>
      <c r="CE26" s="11">
        <f t="shared" si="17"/>
        <v>137.83000000000001</v>
      </c>
      <c r="CF26" s="11">
        <f t="shared" si="17"/>
        <v>137.83000000000001</v>
      </c>
      <c r="CG26" s="11">
        <f t="shared" si="17"/>
        <v>0</v>
      </c>
      <c r="CH26" s="11">
        <f t="shared" si="17"/>
        <v>137.83000000000001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DG63</f>
        <v>278563.53999999998</v>
      </c>
      <c r="DH26" s="12">
        <f t="shared" si="18"/>
        <v>848.58</v>
      </c>
      <c r="DI26" s="12">
        <f t="shared" si="18"/>
        <v>913.05</v>
      </c>
      <c r="DJ26" s="12">
        <f t="shared" si="18"/>
        <v>450.24</v>
      </c>
      <c r="DK26" s="12">
        <f t="shared" si="18"/>
        <v>276801.90999999997</v>
      </c>
      <c r="DL26" s="12">
        <f t="shared" si="18"/>
        <v>0</v>
      </c>
      <c r="DM26" s="12">
        <f t="shared" si="18"/>
        <v>459.31589621279994</v>
      </c>
      <c r="DN26" s="12">
        <f t="shared" si="18"/>
        <v>0</v>
      </c>
      <c r="DO26" s="12">
        <f t="shared" si="18"/>
        <v>0</v>
      </c>
      <c r="DP26" s="12">
        <f t="shared" si="18"/>
        <v>253299.21</v>
      </c>
      <c r="DQ26" s="12">
        <f t="shared" si="18"/>
        <v>134204.45000000001</v>
      </c>
      <c r="DR26" s="12">
        <f t="shared" si="18"/>
        <v>0</v>
      </c>
      <c r="DS26" s="12">
        <f t="shared" si="18"/>
        <v>0</v>
      </c>
      <c r="DT26" s="12">
        <f t="shared" si="18"/>
        <v>278563.53999999998</v>
      </c>
      <c r="DU26" s="12">
        <f t="shared" si="18"/>
        <v>848.58</v>
      </c>
      <c r="DV26" s="12">
        <f t="shared" si="18"/>
        <v>913.05</v>
      </c>
      <c r="DW26" s="12">
        <f t="shared" si="18"/>
        <v>450.24</v>
      </c>
      <c r="DX26" s="12">
        <f t="shared" si="18"/>
        <v>276801.90999999997</v>
      </c>
      <c r="DY26" s="12">
        <f t="shared" si="18"/>
        <v>0</v>
      </c>
      <c r="DZ26" s="12">
        <f t="shared" si="18"/>
        <v>459.31589621279994</v>
      </c>
      <c r="EA26" s="12">
        <f t="shared" si="18"/>
        <v>0</v>
      </c>
      <c r="EB26" s="12">
        <f t="shared" si="18"/>
        <v>0</v>
      </c>
      <c r="EC26" s="12">
        <f t="shared" si="18"/>
        <v>253299.21</v>
      </c>
      <c r="ED26" s="12">
        <f t="shared" si="18"/>
        <v>134204.45000000001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666067.19999999995</v>
      </c>
      <c r="EK26" s="12">
        <f t="shared" si="18"/>
        <v>600506.53</v>
      </c>
      <c r="EL26" s="12">
        <f t="shared" si="18"/>
        <v>65560.67</v>
      </c>
      <c r="EM26" s="12">
        <f t="shared" ref="EM26:FR26" si="19">EM63</f>
        <v>0</v>
      </c>
      <c r="EN26" s="12">
        <f t="shared" si="19"/>
        <v>848.58</v>
      </c>
      <c r="EO26" s="12">
        <f t="shared" si="19"/>
        <v>848.58</v>
      </c>
      <c r="EP26" s="12">
        <f t="shared" si="19"/>
        <v>0</v>
      </c>
      <c r="EQ26" s="12">
        <f t="shared" si="19"/>
        <v>848.58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FS63</f>
        <v>666067.19999999995</v>
      </c>
      <c r="FT26" s="12">
        <f t="shared" si="20"/>
        <v>600506.53</v>
      </c>
      <c r="FU26" s="12">
        <f t="shared" si="20"/>
        <v>65560.67</v>
      </c>
      <c r="FV26" s="12">
        <f t="shared" si="20"/>
        <v>0</v>
      </c>
      <c r="FW26" s="12">
        <f t="shared" si="20"/>
        <v>848.58</v>
      </c>
      <c r="FX26" s="12">
        <f t="shared" si="20"/>
        <v>848.58</v>
      </c>
      <c r="FY26" s="12">
        <f t="shared" si="20"/>
        <v>0</v>
      </c>
      <c r="FZ26" s="12">
        <f t="shared" si="20"/>
        <v>848.58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v>8</v>
      </c>
      <c r="J28" s="2">
        <v>0</v>
      </c>
      <c r="K28" s="2">
        <v>8</v>
      </c>
      <c r="L28" s="2"/>
      <c r="M28" s="2"/>
      <c r="N28" s="2"/>
      <c r="O28" s="2">
        <f t="shared" ref="O28:O61" si="21">ROUND(CP28,2)</f>
        <v>69.62</v>
      </c>
      <c r="P28" s="2">
        <f t="shared" ref="P28:P61" si="22">ROUND((ROUND((AC28*AW28*I28),2)*BC28),2)</f>
        <v>0</v>
      </c>
      <c r="Q28" s="2">
        <f t="shared" ref="Q28:Q47" si="23">(ROUND((ROUND(((((ET28*1.2)*0.3))*AV28*I28),2)*BB28),2)+ROUND((ROUND(((AE28-(((EU28*1.2)*0.3)))*AV28*I28),2)*BS28),2))</f>
        <v>0.15</v>
      </c>
      <c r="R28" s="2">
        <f t="shared" ref="R28:R47" si="24">(ROUND((ROUND(((((EU28*1.2)*0.3))*AV28*I28),2)*BS28),2)+ROUND((ROUND(((AE28-(((EU28*1.2)*0.3)))*AV28*I28),2)*BS28),2))</f>
        <v>0.03</v>
      </c>
      <c r="S28" s="2">
        <f t="shared" ref="S28:S61" si="25">ROUND((ROUND((AF28*AV28*I28),2)*BA28),2)</f>
        <v>69.47</v>
      </c>
      <c r="T28" s="2">
        <f t="shared" ref="T28:T61" si="26">ROUND(CU28*I28,2)</f>
        <v>0</v>
      </c>
      <c r="U28" s="2">
        <f t="shared" ref="U28:U61" si="27">CV28*I28</f>
        <v>5.4276479999999996</v>
      </c>
      <c r="V28" s="2">
        <f t="shared" ref="V28:V61" si="28">CW28*I28</f>
        <v>0</v>
      </c>
      <c r="W28" s="2">
        <f t="shared" ref="W28:W61" si="29">ROUND(CX28*I28,2)</f>
        <v>0</v>
      </c>
      <c r="X28" s="2">
        <f t="shared" ref="X28:X47" si="30">(ROUND((((S28+ROUND((ROUND(((((EU28*1.2)*0.3))*AV28*I28),2)*BS28),2))*AT28)/100),2)+ROUND(((ROUND((ROUND(((AE28-(((EU28*1.2)*0.3)))*AV28*I28),2)*BS28),2)*AT28)/100),2))</f>
        <v>62.55</v>
      </c>
      <c r="Y28" s="2">
        <f t="shared" ref="Y28:Y47" si="31">(ROUND((((S28+ROUND((ROUND(((((EU28*1.2)*0.3))*AV28*I28),2)*BS28),2))*AU28)/100),2)+ROUND(((ROUND((ROUND(((AE28-(((EU28*1.2)*0.3)))*AV28*I28),2)*BS28),2)*AU28)/100),2))</f>
        <v>31.97</v>
      </c>
      <c r="Z28" s="2"/>
      <c r="AA28" s="2">
        <v>55937296</v>
      </c>
      <c r="AB28" s="2">
        <f t="shared" ref="AB28:AB61" si="32">ROUND((AC28+AD28+AF28),6)</f>
        <v>8.3124000000000002</v>
      </c>
      <c r="AC28" s="2">
        <f t="shared" ref="AC28:AC47" si="33">ROUND((((ES28*1)*0)),6)</f>
        <v>0</v>
      </c>
      <c r="AD28" s="2">
        <f t="shared" ref="AD28:AD47" si="34">ROUND((((((ET28*1.2)*0.3))-(((EU28*1.2)*0.3)))+AE28),6)</f>
        <v>1.7999999999999999E-2</v>
      </c>
      <c r="AE28" s="2">
        <f t="shared" ref="AE28:AE47" si="35">ROUND((((EU28*1.2)*0.3)),6)</f>
        <v>3.5999999999999999E-3</v>
      </c>
      <c r="AF28" s="2">
        <f t="shared" ref="AF28:AF47" si="36">ROUND((((EV28*1.2)*0.3)),6)</f>
        <v>8.2943999999999996</v>
      </c>
      <c r="AG28" s="2">
        <f t="shared" ref="AG28:AG61" si="37">ROUND((AP28),6)</f>
        <v>0</v>
      </c>
      <c r="AH28" s="2">
        <f t="shared" ref="AH28:AH47" si="38">(((EW28*1.2)*0.3))</f>
        <v>0.64800000000000002</v>
      </c>
      <c r="AI28" s="2">
        <f t="shared" ref="AI28:AI47" si="39">(((EX28*1.2)*0.3))</f>
        <v>0</v>
      </c>
      <c r="AJ28" s="2">
        <f t="shared" ref="AJ28:AJ61" si="40">(AS28)</f>
        <v>0</v>
      </c>
      <c r="AK28" s="2">
        <v>26.52</v>
      </c>
      <c r="AL28" s="2">
        <v>3.43</v>
      </c>
      <c r="AM28" s="2">
        <v>0.05</v>
      </c>
      <c r="AN28" s="2">
        <v>0.01</v>
      </c>
      <c r="AO28" s="2">
        <v>23.04</v>
      </c>
      <c r="AP28" s="2">
        <v>0</v>
      </c>
      <c r="AQ28" s="2">
        <v>1.8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23</v>
      </c>
      <c r="BK28" s="2"/>
      <c r="BL28" s="2"/>
      <c r="BM28" s="2">
        <v>68</v>
      </c>
      <c r="BN28" s="2">
        <v>0</v>
      </c>
      <c r="BO28" s="2" t="s">
        <v>20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795</v>
      </c>
      <c r="CO28" s="2">
        <v>0</v>
      </c>
      <c r="CP28" s="2">
        <f t="shared" ref="CP28:CP61" si="41">(P28+Q28+S28)</f>
        <v>69.62</v>
      </c>
      <c r="CQ28" s="2">
        <f t="shared" ref="CQ28:CQ61" si="42">ROUND((ROUND((AC28*AW28*1),2)*BC28),2)</f>
        <v>0</v>
      </c>
      <c r="CR28" s="2">
        <f t="shared" ref="CR28:CR47" si="43">(ROUND((ROUND(((((ET28*1.2)*0.3))*AV28*1),2)*BB28),2)+ROUND((ROUND(((AE28-(((EU28*1.2)*0.3)))*AV28*1),2)*BS28),2))</f>
        <v>0.02</v>
      </c>
      <c r="CS28" s="2">
        <f t="shared" ref="CS28:CS47" si="44">(ROUND((ROUND(((((EU28*1.2)*0.3))*AV28*1),2)*BS28),2)+ROUND((ROUND(((AE28-(((EU28*1.2)*0.3)))*AV28*1),2)*BS28),2))</f>
        <v>0</v>
      </c>
      <c r="CT28" s="2">
        <f t="shared" ref="CT28:CT61" si="45">ROUND((ROUND((AF28*AV28*1),2)*BA28),2)</f>
        <v>8.68</v>
      </c>
      <c r="CU28" s="2">
        <f t="shared" ref="CU28:CU61" si="46">AG28</f>
        <v>0</v>
      </c>
      <c r="CV28" s="2">
        <f t="shared" ref="CV28:CV61" si="47">(AH28*AV28)</f>
        <v>0.67845599999999995</v>
      </c>
      <c r="CW28" s="2">
        <f t="shared" ref="CW28:CW61" si="48">AI28</f>
        <v>0</v>
      </c>
      <c r="CX28" s="2">
        <f t="shared" ref="CX28:CX61" si="49">AJ28</f>
        <v>0</v>
      </c>
      <c r="CY28" s="2">
        <f t="shared" ref="CY28:CY47" si="50">(ROUND((((S28+ROUND((ROUND(((((EU28*1.2)*0.3))*AV28*1),2)*BS28),2))*AT28)/100),2)+ROUND(((ROUND((ROUND(((AE28-(((EU28*1.2)*0.3)))*AV28*1),2)*BS28),2)*AT28)/100),2))</f>
        <v>62.52</v>
      </c>
      <c r="CZ28" s="2">
        <f t="shared" ref="CZ28:CZ47" si="51">(ROUND((((S28+ROUND((ROUND(((((EU28*1.2)*0.3))*AV28*1),2)*BS28),2))*AU28)/100),2)+ROUND(((ROUND((ROUND(((AE28-(((EU28*1.2)*0.3)))*AV28*1),2)*BS28),2)*AU28)/100),2))</f>
        <v>31.96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22</v>
      </c>
      <c r="DW28" s="2" t="s">
        <v>22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55393700</v>
      </c>
      <c r="EF28" s="2">
        <v>40</v>
      </c>
      <c r="EG28" s="2" t="s">
        <v>26</v>
      </c>
      <c r="EH28" s="2">
        <v>0</v>
      </c>
      <c r="EI28" s="2" t="s">
        <v>3</v>
      </c>
      <c r="EJ28" s="2">
        <v>2</v>
      </c>
      <c r="EK28" s="2">
        <v>68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26.52</v>
      </c>
      <c r="ES28" s="2">
        <v>3.43</v>
      </c>
      <c r="ET28" s="2">
        <v>0.05</v>
      </c>
      <c r="EU28" s="2">
        <v>0.01</v>
      </c>
      <c r="EV28" s="2">
        <v>23.04</v>
      </c>
      <c r="EW28" s="2">
        <v>1.8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-2080333219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61" si="52">ROUND(IF(AND(BH28=3,BI28=3,FS28&lt;&gt;0),P28,0),2)</f>
        <v>0</v>
      </c>
      <c r="GM28" s="2">
        <f t="shared" ref="GM28:GM61" si="53">ROUND(O28+X28+Y28,2)+GX28</f>
        <v>164.14</v>
      </c>
      <c r="GN28" s="2">
        <f t="shared" ref="GN28:GN61" si="54">IF(OR(BI28=0,BI28=1),GM28-GX28,0)</f>
        <v>0</v>
      </c>
      <c r="GO28" s="2">
        <f t="shared" ref="GO28:GO61" si="55">IF(BI28=2,GM28-GX28,0)</f>
        <v>164.14</v>
      </c>
      <c r="GP28" s="2">
        <f t="shared" ref="GP28:GP61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61" si="57">ROUND((GT28),6)</f>
        <v>0</v>
      </c>
      <c r="GW28" s="2">
        <v>1</v>
      </c>
      <c r="GX28" s="2">
        <f t="shared" ref="GX28:GX61" si="58">ROUND(HC28*I28,2)</f>
        <v>0</v>
      </c>
      <c r="GY28" s="2"/>
      <c r="GZ28" s="2"/>
      <c r="HA28" s="2">
        <v>0</v>
      </c>
      <c r="HB28" s="2">
        <v>0</v>
      </c>
      <c r="HC28" s="2">
        <f t="shared" ref="HC28:HC61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ROW(SmtRes!A2)</f>
        <v>2</v>
      </c>
      <c r="D29" s="3">
        <f>ROW(EtalonRes!A2)</f>
        <v>2</v>
      </c>
      <c r="E29" s="3" t="s">
        <v>19</v>
      </c>
      <c r="F29" s="3" t="s">
        <v>20</v>
      </c>
      <c r="G29" s="3" t="s">
        <v>21</v>
      </c>
      <c r="H29" s="3" t="s">
        <v>22</v>
      </c>
      <c r="I29" s="3">
        <v>8</v>
      </c>
      <c r="J29" s="3">
        <v>0</v>
      </c>
      <c r="K29" s="3">
        <v>8</v>
      </c>
      <c r="O29" s="3">
        <f t="shared" si="21"/>
        <v>3917.63</v>
      </c>
      <c r="P29" s="3">
        <f t="shared" si="22"/>
        <v>0</v>
      </c>
      <c r="Q29" s="3">
        <f t="shared" si="23"/>
        <v>3</v>
      </c>
      <c r="R29" s="3">
        <f t="shared" si="24"/>
        <v>1.69</v>
      </c>
      <c r="S29" s="3">
        <f t="shared" si="25"/>
        <v>3914.63</v>
      </c>
      <c r="T29" s="3">
        <f t="shared" si="26"/>
        <v>0</v>
      </c>
      <c r="U29" s="3">
        <f t="shared" si="27"/>
        <v>5.4276479999999996</v>
      </c>
      <c r="V29" s="3">
        <f t="shared" si="28"/>
        <v>0</v>
      </c>
      <c r="W29" s="3">
        <f t="shared" si="29"/>
        <v>0</v>
      </c>
      <c r="X29" s="3">
        <f t="shared" si="30"/>
        <v>3524.69</v>
      </c>
      <c r="Y29" s="3">
        <f t="shared" si="31"/>
        <v>1801.51</v>
      </c>
      <c r="AA29" s="3">
        <v>55937298</v>
      </c>
      <c r="AB29" s="3">
        <f t="shared" si="32"/>
        <v>8.3124000000000002</v>
      </c>
      <c r="AC29" s="3">
        <f t="shared" si="33"/>
        <v>0</v>
      </c>
      <c r="AD29" s="3">
        <f t="shared" si="34"/>
        <v>1.7999999999999999E-2</v>
      </c>
      <c r="AE29" s="3">
        <f t="shared" si="35"/>
        <v>3.5999999999999999E-3</v>
      </c>
      <c r="AF29" s="3">
        <f t="shared" si="36"/>
        <v>8.2943999999999996</v>
      </c>
      <c r="AG29" s="3">
        <f t="shared" si="37"/>
        <v>0</v>
      </c>
      <c r="AH29" s="3">
        <f t="shared" si="38"/>
        <v>0.64800000000000002</v>
      </c>
      <c r="AI29" s="3">
        <f t="shared" si="39"/>
        <v>0</v>
      </c>
      <c r="AJ29" s="3">
        <f t="shared" si="40"/>
        <v>0</v>
      </c>
      <c r="AK29" s="3">
        <v>26.52</v>
      </c>
      <c r="AL29" s="3">
        <v>3.43</v>
      </c>
      <c r="AM29" s="3">
        <v>0.05</v>
      </c>
      <c r="AN29" s="3">
        <v>0.01</v>
      </c>
      <c r="AO29" s="3">
        <v>23.04</v>
      </c>
      <c r="AP29" s="3">
        <v>0</v>
      </c>
      <c r="AQ29" s="3">
        <v>1.8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20</v>
      </c>
      <c r="BC29" s="3">
        <v>9.84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23</v>
      </c>
      <c r="BM29" s="3">
        <v>68</v>
      </c>
      <c r="BN29" s="3">
        <v>0</v>
      </c>
      <c r="BO29" s="3" t="s">
        <v>20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795</v>
      </c>
      <c r="CO29" s="3">
        <v>0</v>
      </c>
      <c r="CP29" s="3">
        <f t="shared" si="41"/>
        <v>3917.63</v>
      </c>
      <c r="CQ29" s="3">
        <f t="shared" si="42"/>
        <v>0</v>
      </c>
      <c r="CR29" s="3">
        <f t="shared" si="43"/>
        <v>0.4</v>
      </c>
      <c r="CS29" s="3">
        <f t="shared" si="44"/>
        <v>0</v>
      </c>
      <c r="CT29" s="3">
        <f t="shared" si="45"/>
        <v>489.12</v>
      </c>
      <c r="CU29" s="3">
        <f t="shared" si="46"/>
        <v>0</v>
      </c>
      <c r="CV29" s="3">
        <f t="shared" si="47"/>
        <v>0.67845599999999995</v>
      </c>
      <c r="CW29" s="3">
        <f t="shared" si="48"/>
        <v>0</v>
      </c>
      <c r="CX29" s="3">
        <f t="shared" si="49"/>
        <v>0</v>
      </c>
      <c r="CY29" s="3">
        <f t="shared" si="50"/>
        <v>3523.17</v>
      </c>
      <c r="CZ29" s="3">
        <f t="shared" si="51"/>
        <v>1800.73</v>
      </c>
      <c r="DB29" s="3">
        <v>3</v>
      </c>
      <c r="DC29" s="3" t="s">
        <v>3</v>
      </c>
      <c r="DD29" s="3" t="s">
        <v>24</v>
      </c>
      <c r="DE29" s="3" t="s">
        <v>25</v>
      </c>
      <c r="DF29" s="3" t="s">
        <v>25</v>
      </c>
      <c r="DG29" s="3" t="s">
        <v>25</v>
      </c>
      <c r="DH29" s="3" t="s">
        <v>3</v>
      </c>
      <c r="DI29" s="3" t="s">
        <v>25</v>
      </c>
      <c r="DJ29" s="3" t="s">
        <v>25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22</v>
      </c>
      <c r="DW29" s="3" t="s">
        <v>22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55393700</v>
      </c>
      <c r="EF29" s="3">
        <v>40</v>
      </c>
      <c r="EG29" s="3" t="s">
        <v>26</v>
      </c>
      <c r="EH29" s="3">
        <v>0</v>
      </c>
      <c r="EI29" s="3" t="s">
        <v>3</v>
      </c>
      <c r="EJ29" s="3">
        <v>2</v>
      </c>
      <c r="EK29" s="3">
        <v>68</v>
      </c>
      <c r="EL29" s="3" t="s">
        <v>27</v>
      </c>
      <c r="EM29" s="3" t="s">
        <v>28</v>
      </c>
      <c r="EO29" s="3" t="s">
        <v>29</v>
      </c>
      <c r="EQ29" s="3">
        <v>0</v>
      </c>
      <c r="ER29" s="3">
        <v>26.52</v>
      </c>
      <c r="ES29" s="3">
        <v>3.43</v>
      </c>
      <c r="ET29" s="3">
        <v>0.05</v>
      </c>
      <c r="EU29" s="3">
        <v>0.01</v>
      </c>
      <c r="EV29" s="3">
        <v>23.04</v>
      </c>
      <c r="EW29" s="3">
        <v>1.8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-2080333219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9243.83</v>
      </c>
      <c r="GN29" s="3">
        <f t="shared" si="54"/>
        <v>0</v>
      </c>
      <c r="GO29" s="3">
        <f t="shared" si="55"/>
        <v>9243.83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ROW(SmtRes!A3)</f>
        <v>3</v>
      </c>
      <c r="D30" s="2">
        <f>ROW(EtalonRes!A3)</f>
        <v>3</v>
      </c>
      <c r="E30" s="2" t="s">
        <v>30</v>
      </c>
      <c r="F30" s="2" t="s">
        <v>31</v>
      </c>
      <c r="G30" s="2" t="s">
        <v>32</v>
      </c>
      <c r="H30" s="2" t="s">
        <v>22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58.23</v>
      </c>
      <c r="P30" s="2">
        <f t="shared" si="22"/>
        <v>0</v>
      </c>
      <c r="Q30" s="2">
        <f t="shared" si="23"/>
        <v>0.02</v>
      </c>
      <c r="R30" s="2">
        <f t="shared" si="24"/>
        <v>0</v>
      </c>
      <c r="S30" s="2">
        <f t="shared" si="25"/>
        <v>58.21</v>
      </c>
      <c r="T30" s="2">
        <f t="shared" si="26"/>
        <v>0</v>
      </c>
      <c r="U30" s="2">
        <f t="shared" si="27"/>
        <v>4.4099639999999996</v>
      </c>
      <c r="V30" s="2">
        <f t="shared" si="28"/>
        <v>0</v>
      </c>
      <c r="W30" s="2">
        <f t="shared" si="29"/>
        <v>0</v>
      </c>
      <c r="X30" s="2">
        <f t="shared" si="30"/>
        <v>52.39</v>
      </c>
      <c r="Y30" s="2">
        <f t="shared" si="31"/>
        <v>26.78</v>
      </c>
      <c r="Z30" s="2"/>
      <c r="AA30" s="2">
        <v>55937296</v>
      </c>
      <c r="AB30" s="2">
        <f t="shared" si="32"/>
        <v>55.62</v>
      </c>
      <c r="AC30" s="2">
        <f t="shared" si="33"/>
        <v>0</v>
      </c>
      <c r="AD30" s="2">
        <f t="shared" si="34"/>
        <v>2.1600000000000001E-2</v>
      </c>
      <c r="AE30" s="2">
        <f t="shared" si="35"/>
        <v>3.5999999999999999E-3</v>
      </c>
      <c r="AF30" s="2">
        <f t="shared" si="36"/>
        <v>55.598399999999998</v>
      </c>
      <c r="AG30" s="2">
        <f t="shared" si="37"/>
        <v>0</v>
      </c>
      <c r="AH30" s="2">
        <f t="shared" si="38"/>
        <v>4.2119999999999997</v>
      </c>
      <c r="AI30" s="2">
        <f t="shared" si="39"/>
        <v>0</v>
      </c>
      <c r="AJ30" s="2">
        <f t="shared" si="40"/>
        <v>0</v>
      </c>
      <c r="AK30" s="2">
        <v>175.43</v>
      </c>
      <c r="AL30" s="2">
        <v>20.93</v>
      </c>
      <c r="AM30" s="2">
        <v>0.06</v>
      </c>
      <c r="AN30" s="2">
        <v>0.01</v>
      </c>
      <c r="AO30" s="2">
        <v>154.44</v>
      </c>
      <c r="AP30" s="2">
        <v>0</v>
      </c>
      <c r="AQ30" s="2">
        <v>11.7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33</v>
      </c>
      <c r="BK30" s="2"/>
      <c r="BL30" s="2"/>
      <c r="BM30" s="2">
        <v>68</v>
      </c>
      <c r="BN30" s="2">
        <v>0</v>
      </c>
      <c r="BO30" s="2" t="s">
        <v>31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795</v>
      </c>
      <c r="CO30" s="2">
        <v>0</v>
      </c>
      <c r="CP30" s="2">
        <f t="shared" si="41"/>
        <v>58.230000000000004</v>
      </c>
      <c r="CQ30" s="2">
        <f t="shared" si="42"/>
        <v>0</v>
      </c>
      <c r="CR30" s="2">
        <f t="shared" si="43"/>
        <v>0.02</v>
      </c>
      <c r="CS30" s="2">
        <f t="shared" si="44"/>
        <v>0</v>
      </c>
      <c r="CT30" s="2">
        <f t="shared" si="45"/>
        <v>58.21</v>
      </c>
      <c r="CU30" s="2">
        <f t="shared" si="46"/>
        <v>0</v>
      </c>
      <c r="CV30" s="2">
        <f t="shared" si="47"/>
        <v>4.4099639999999996</v>
      </c>
      <c r="CW30" s="2">
        <f t="shared" si="48"/>
        <v>0</v>
      </c>
      <c r="CX30" s="2">
        <f t="shared" si="49"/>
        <v>0</v>
      </c>
      <c r="CY30" s="2">
        <f t="shared" si="50"/>
        <v>52.39</v>
      </c>
      <c r="CZ30" s="2">
        <f t="shared" si="51"/>
        <v>26.78</v>
      </c>
      <c r="DA30" s="2"/>
      <c r="DB30" s="2">
        <v>5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22</v>
      </c>
      <c r="DW30" s="2" t="s">
        <v>22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55393700</v>
      </c>
      <c r="EF30" s="2">
        <v>40</v>
      </c>
      <c r="EG30" s="2" t="s">
        <v>26</v>
      </c>
      <c r="EH30" s="2">
        <v>0</v>
      </c>
      <c r="EI30" s="2" t="s">
        <v>3</v>
      </c>
      <c r="EJ30" s="2">
        <v>2</v>
      </c>
      <c r="EK30" s="2">
        <v>68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175.43</v>
      </c>
      <c r="ES30" s="2">
        <v>20.93</v>
      </c>
      <c r="ET30" s="2">
        <v>0.06</v>
      </c>
      <c r="EU30" s="2">
        <v>0.01</v>
      </c>
      <c r="EV30" s="2">
        <v>154.44</v>
      </c>
      <c r="EW30" s="2">
        <v>11.7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625023618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137.4</v>
      </c>
      <c r="GN30" s="2">
        <f t="shared" si="54"/>
        <v>0</v>
      </c>
      <c r="GO30" s="2">
        <f t="shared" si="55"/>
        <v>137.4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ROW(SmtRes!A4)</f>
        <v>4</v>
      </c>
      <c r="D31" s="3">
        <f>ROW(EtalonRes!A4)</f>
        <v>4</v>
      </c>
      <c r="E31" s="3" t="s">
        <v>30</v>
      </c>
      <c r="F31" s="3" t="s">
        <v>31</v>
      </c>
      <c r="G31" s="3" t="s">
        <v>32</v>
      </c>
      <c r="H31" s="3" t="s">
        <v>22</v>
      </c>
      <c r="I31" s="3">
        <v>1</v>
      </c>
      <c r="J31" s="3">
        <v>0</v>
      </c>
      <c r="K31" s="3">
        <v>1</v>
      </c>
      <c r="O31" s="3">
        <f t="shared" si="21"/>
        <v>3280.5</v>
      </c>
      <c r="P31" s="3">
        <f t="shared" si="22"/>
        <v>0</v>
      </c>
      <c r="Q31" s="3">
        <f t="shared" si="23"/>
        <v>0.37</v>
      </c>
      <c r="R31" s="3">
        <f t="shared" si="24"/>
        <v>0</v>
      </c>
      <c r="S31" s="3">
        <f t="shared" si="25"/>
        <v>3280.13</v>
      </c>
      <c r="T31" s="3">
        <f t="shared" si="26"/>
        <v>0</v>
      </c>
      <c r="U31" s="3">
        <f t="shared" si="27"/>
        <v>4.4099639999999996</v>
      </c>
      <c r="V31" s="3">
        <f t="shared" si="28"/>
        <v>0</v>
      </c>
      <c r="W31" s="3">
        <f t="shared" si="29"/>
        <v>0</v>
      </c>
      <c r="X31" s="3">
        <f t="shared" si="30"/>
        <v>2952.12</v>
      </c>
      <c r="Y31" s="3">
        <f t="shared" si="31"/>
        <v>1508.86</v>
      </c>
      <c r="AA31" s="3">
        <v>55937298</v>
      </c>
      <c r="AB31" s="3">
        <f t="shared" si="32"/>
        <v>55.62</v>
      </c>
      <c r="AC31" s="3">
        <f t="shared" si="33"/>
        <v>0</v>
      </c>
      <c r="AD31" s="3">
        <f t="shared" si="34"/>
        <v>2.1600000000000001E-2</v>
      </c>
      <c r="AE31" s="3">
        <f t="shared" si="35"/>
        <v>3.5999999999999999E-3</v>
      </c>
      <c r="AF31" s="3">
        <f t="shared" si="36"/>
        <v>55.598399999999998</v>
      </c>
      <c r="AG31" s="3">
        <f t="shared" si="37"/>
        <v>0</v>
      </c>
      <c r="AH31" s="3">
        <f t="shared" si="38"/>
        <v>4.2119999999999997</v>
      </c>
      <c r="AI31" s="3">
        <f t="shared" si="39"/>
        <v>0</v>
      </c>
      <c r="AJ31" s="3">
        <f t="shared" si="40"/>
        <v>0</v>
      </c>
      <c r="AK31" s="3">
        <v>175.43</v>
      </c>
      <c r="AL31" s="3">
        <v>20.93</v>
      </c>
      <c r="AM31" s="3">
        <v>0.06</v>
      </c>
      <c r="AN31" s="3">
        <v>0.01</v>
      </c>
      <c r="AO31" s="3">
        <v>154.44</v>
      </c>
      <c r="AP31" s="3">
        <v>0</v>
      </c>
      <c r="AQ31" s="3">
        <v>11.7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18.5</v>
      </c>
      <c r="BC31" s="3">
        <v>9.84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33</v>
      </c>
      <c r="BM31" s="3">
        <v>68</v>
      </c>
      <c r="BN31" s="3">
        <v>0</v>
      </c>
      <c r="BO31" s="3" t="s">
        <v>31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795</v>
      </c>
      <c r="CO31" s="3">
        <v>0</v>
      </c>
      <c r="CP31" s="3">
        <f t="shared" si="41"/>
        <v>3280.5</v>
      </c>
      <c r="CQ31" s="3">
        <f t="shared" si="42"/>
        <v>0</v>
      </c>
      <c r="CR31" s="3">
        <f t="shared" si="43"/>
        <v>0.37</v>
      </c>
      <c r="CS31" s="3">
        <f t="shared" si="44"/>
        <v>0</v>
      </c>
      <c r="CT31" s="3">
        <f t="shared" si="45"/>
        <v>3280.13</v>
      </c>
      <c r="CU31" s="3">
        <f t="shared" si="46"/>
        <v>0</v>
      </c>
      <c r="CV31" s="3">
        <f t="shared" si="47"/>
        <v>4.4099639999999996</v>
      </c>
      <c r="CW31" s="3">
        <f t="shared" si="48"/>
        <v>0</v>
      </c>
      <c r="CX31" s="3">
        <f t="shared" si="49"/>
        <v>0</v>
      </c>
      <c r="CY31" s="3">
        <f t="shared" si="50"/>
        <v>2952.12</v>
      </c>
      <c r="CZ31" s="3">
        <f t="shared" si="51"/>
        <v>1508.86</v>
      </c>
      <c r="DB31" s="3">
        <v>7</v>
      </c>
      <c r="DC31" s="3" t="s">
        <v>3</v>
      </c>
      <c r="DD31" s="3" t="s">
        <v>24</v>
      </c>
      <c r="DE31" s="3" t="s">
        <v>25</v>
      </c>
      <c r="DF31" s="3" t="s">
        <v>25</v>
      </c>
      <c r="DG31" s="3" t="s">
        <v>25</v>
      </c>
      <c r="DH31" s="3" t="s">
        <v>3</v>
      </c>
      <c r="DI31" s="3" t="s">
        <v>25</v>
      </c>
      <c r="DJ31" s="3" t="s">
        <v>25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22</v>
      </c>
      <c r="DW31" s="3" t="s">
        <v>22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55393700</v>
      </c>
      <c r="EF31" s="3">
        <v>40</v>
      </c>
      <c r="EG31" s="3" t="s">
        <v>26</v>
      </c>
      <c r="EH31" s="3">
        <v>0</v>
      </c>
      <c r="EI31" s="3" t="s">
        <v>3</v>
      </c>
      <c r="EJ31" s="3">
        <v>2</v>
      </c>
      <c r="EK31" s="3">
        <v>68</v>
      </c>
      <c r="EL31" s="3" t="s">
        <v>27</v>
      </c>
      <c r="EM31" s="3" t="s">
        <v>28</v>
      </c>
      <c r="EO31" s="3" t="s">
        <v>29</v>
      </c>
      <c r="EQ31" s="3">
        <v>0</v>
      </c>
      <c r="ER31" s="3">
        <v>175.43</v>
      </c>
      <c r="ES31" s="3">
        <v>20.93</v>
      </c>
      <c r="ET31" s="3">
        <v>0.06</v>
      </c>
      <c r="EU31" s="3">
        <v>0.01</v>
      </c>
      <c r="EV31" s="3">
        <v>154.44</v>
      </c>
      <c r="EW31" s="3">
        <v>11.7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625023618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7741.48</v>
      </c>
      <c r="GN31" s="3">
        <f t="shared" si="54"/>
        <v>0</v>
      </c>
      <c r="GO31" s="3">
        <f t="shared" si="55"/>
        <v>7741.48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ROW(SmtRes!A13)</f>
        <v>13</v>
      </c>
      <c r="D32" s="2">
        <f>ROW(EtalonRes!A18)</f>
        <v>18</v>
      </c>
      <c r="E32" s="2" t="s">
        <v>34</v>
      </c>
      <c r="F32" s="2" t="s">
        <v>35</v>
      </c>
      <c r="G32" s="2" t="s">
        <v>36</v>
      </c>
      <c r="H32" s="2" t="s">
        <v>37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30.59</v>
      </c>
      <c r="P32" s="2">
        <f t="shared" si="22"/>
        <v>0</v>
      </c>
      <c r="Q32" s="2">
        <f t="shared" si="23"/>
        <v>0.31</v>
      </c>
      <c r="R32" s="2">
        <f t="shared" si="24"/>
        <v>0</v>
      </c>
      <c r="S32" s="2">
        <f t="shared" si="25"/>
        <v>30.28</v>
      </c>
      <c r="T32" s="2">
        <f t="shared" si="26"/>
        <v>0</v>
      </c>
      <c r="U32" s="2">
        <f t="shared" si="27"/>
        <v>2.2652891999999998</v>
      </c>
      <c r="V32" s="2">
        <f t="shared" si="28"/>
        <v>0</v>
      </c>
      <c r="W32" s="2">
        <f t="shared" si="29"/>
        <v>0</v>
      </c>
      <c r="X32" s="2">
        <f t="shared" si="30"/>
        <v>27.25</v>
      </c>
      <c r="Y32" s="2">
        <f t="shared" si="31"/>
        <v>13.93</v>
      </c>
      <c r="Z32" s="2"/>
      <c r="AA32" s="2">
        <v>55937296</v>
      </c>
      <c r="AB32" s="2">
        <f t="shared" si="32"/>
        <v>29.213999999999999</v>
      </c>
      <c r="AC32" s="2">
        <f t="shared" si="33"/>
        <v>0</v>
      </c>
      <c r="AD32" s="2">
        <f t="shared" si="34"/>
        <v>0.29520000000000002</v>
      </c>
      <c r="AE32" s="2">
        <f t="shared" si="35"/>
        <v>0</v>
      </c>
      <c r="AF32" s="2">
        <f t="shared" si="36"/>
        <v>28.918800000000001</v>
      </c>
      <c r="AG32" s="2">
        <f t="shared" si="37"/>
        <v>0</v>
      </c>
      <c r="AH32" s="2">
        <f t="shared" si="38"/>
        <v>2.1635999999999997</v>
      </c>
      <c r="AI32" s="2">
        <f t="shared" si="39"/>
        <v>0</v>
      </c>
      <c r="AJ32" s="2">
        <f t="shared" si="40"/>
        <v>0</v>
      </c>
      <c r="AK32" s="2">
        <v>90.3</v>
      </c>
      <c r="AL32" s="2">
        <v>9.15</v>
      </c>
      <c r="AM32" s="2">
        <v>0.82</v>
      </c>
      <c r="AN32" s="2">
        <v>0</v>
      </c>
      <c r="AO32" s="2">
        <v>80.33</v>
      </c>
      <c r="AP32" s="2">
        <v>0</v>
      </c>
      <c r="AQ32" s="2">
        <v>6.01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38</v>
      </c>
      <c r="BK32" s="2"/>
      <c r="BL32" s="2"/>
      <c r="BM32" s="2">
        <v>68</v>
      </c>
      <c r="BN32" s="2">
        <v>0</v>
      </c>
      <c r="BO32" s="2" t="s">
        <v>35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795</v>
      </c>
      <c r="CO32" s="2">
        <v>0</v>
      </c>
      <c r="CP32" s="2">
        <f t="shared" si="41"/>
        <v>30.59</v>
      </c>
      <c r="CQ32" s="2">
        <f t="shared" si="42"/>
        <v>0</v>
      </c>
      <c r="CR32" s="2">
        <f t="shared" si="43"/>
        <v>0.31</v>
      </c>
      <c r="CS32" s="2">
        <f t="shared" si="44"/>
        <v>0</v>
      </c>
      <c r="CT32" s="2">
        <f t="shared" si="45"/>
        <v>30.28</v>
      </c>
      <c r="CU32" s="2">
        <f t="shared" si="46"/>
        <v>0</v>
      </c>
      <c r="CV32" s="2">
        <f t="shared" si="47"/>
        <v>2.2652891999999998</v>
      </c>
      <c r="CW32" s="2">
        <f t="shared" si="48"/>
        <v>0</v>
      </c>
      <c r="CX32" s="2">
        <f t="shared" si="49"/>
        <v>0</v>
      </c>
      <c r="CY32" s="2">
        <f t="shared" si="50"/>
        <v>27.25</v>
      </c>
      <c r="CZ32" s="2">
        <f t="shared" si="51"/>
        <v>13.93</v>
      </c>
      <c r="DA32" s="2"/>
      <c r="DB32" s="2">
        <v>9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37</v>
      </c>
      <c r="DW32" s="2" t="s">
        <v>37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55393700</v>
      </c>
      <c r="EF32" s="2">
        <v>40</v>
      </c>
      <c r="EG32" s="2" t="s">
        <v>26</v>
      </c>
      <c r="EH32" s="2">
        <v>0</v>
      </c>
      <c r="EI32" s="2" t="s">
        <v>3</v>
      </c>
      <c r="EJ32" s="2">
        <v>2</v>
      </c>
      <c r="EK32" s="2">
        <v>68</v>
      </c>
      <c r="EL32" s="2" t="s">
        <v>27</v>
      </c>
      <c r="EM32" s="2" t="s">
        <v>28</v>
      </c>
      <c r="EN32" s="2"/>
      <c r="EO32" s="2" t="s">
        <v>29</v>
      </c>
      <c r="EP32" s="2"/>
      <c r="EQ32" s="2">
        <v>0</v>
      </c>
      <c r="ER32" s="2">
        <v>90.3</v>
      </c>
      <c r="ES32" s="2">
        <v>9.15</v>
      </c>
      <c r="ET32" s="2">
        <v>0.82</v>
      </c>
      <c r="EU32" s="2">
        <v>0</v>
      </c>
      <c r="EV32" s="2">
        <v>80.33</v>
      </c>
      <c r="EW32" s="2">
        <v>6.01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1335746288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71.77</v>
      </c>
      <c r="GN32" s="2">
        <f t="shared" si="54"/>
        <v>0</v>
      </c>
      <c r="GO32" s="2">
        <f t="shared" si="55"/>
        <v>71.77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ROW(SmtRes!A22)</f>
        <v>22</v>
      </c>
      <c r="D33" s="3">
        <f>ROW(EtalonRes!A32)</f>
        <v>32</v>
      </c>
      <c r="E33" s="3" t="s">
        <v>34</v>
      </c>
      <c r="F33" s="3" t="s">
        <v>35</v>
      </c>
      <c r="G33" s="3" t="s">
        <v>36</v>
      </c>
      <c r="H33" s="3" t="s">
        <v>37</v>
      </c>
      <c r="I33" s="3">
        <v>1</v>
      </c>
      <c r="J33" s="3">
        <v>0</v>
      </c>
      <c r="K33" s="3">
        <v>1</v>
      </c>
      <c r="O33" s="3">
        <f t="shared" si="21"/>
        <v>1709.23</v>
      </c>
      <c r="P33" s="3">
        <f t="shared" si="22"/>
        <v>0</v>
      </c>
      <c r="Q33" s="3">
        <f t="shared" si="23"/>
        <v>2.95</v>
      </c>
      <c r="R33" s="3">
        <f t="shared" si="24"/>
        <v>0</v>
      </c>
      <c r="S33" s="3">
        <f t="shared" si="25"/>
        <v>1706.28</v>
      </c>
      <c r="T33" s="3">
        <f t="shared" si="26"/>
        <v>0</v>
      </c>
      <c r="U33" s="3">
        <f t="shared" si="27"/>
        <v>2.2652891999999998</v>
      </c>
      <c r="V33" s="3">
        <f t="shared" si="28"/>
        <v>0</v>
      </c>
      <c r="W33" s="3">
        <f t="shared" si="29"/>
        <v>0</v>
      </c>
      <c r="X33" s="3">
        <f t="shared" si="30"/>
        <v>1535.65</v>
      </c>
      <c r="Y33" s="3">
        <f t="shared" si="31"/>
        <v>784.89</v>
      </c>
      <c r="AA33" s="3">
        <v>55937298</v>
      </c>
      <c r="AB33" s="3">
        <f t="shared" si="32"/>
        <v>29.213999999999999</v>
      </c>
      <c r="AC33" s="3">
        <f t="shared" si="33"/>
        <v>0</v>
      </c>
      <c r="AD33" s="3">
        <f t="shared" si="34"/>
        <v>0.29520000000000002</v>
      </c>
      <c r="AE33" s="3">
        <f t="shared" si="35"/>
        <v>0</v>
      </c>
      <c r="AF33" s="3">
        <f t="shared" si="36"/>
        <v>28.918800000000001</v>
      </c>
      <c r="AG33" s="3">
        <f t="shared" si="37"/>
        <v>0</v>
      </c>
      <c r="AH33" s="3">
        <f t="shared" si="38"/>
        <v>2.1635999999999997</v>
      </c>
      <c r="AI33" s="3">
        <f t="shared" si="39"/>
        <v>0</v>
      </c>
      <c r="AJ33" s="3">
        <f t="shared" si="40"/>
        <v>0</v>
      </c>
      <c r="AK33" s="3">
        <v>90.3</v>
      </c>
      <c r="AL33" s="3">
        <v>9.15</v>
      </c>
      <c r="AM33" s="3">
        <v>0.82</v>
      </c>
      <c r="AN33" s="3">
        <v>0</v>
      </c>
      <c r="AO33" s="3">
        <v>80.33</v>
      </c>
      <c r="AP33" s="3">
        <v>0</v>
      </c>
      <c r="AQ33" s="3">
        <v>6.01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9.52</v>
      </c>
      <c r="BC33" s="3">
        <v>6.42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38</v>
      </c>
      <c r="BM33" s="3">
        <v>68</v>
      </c>
      <c r="BN33" s="3">
        <v>0</v>
      </c>
      <c r="BO33" s="3" t="s">
        <v>35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795</v>
      </c>
      <c r="CO33" s="3">
        <v>0</v>
      </c>
      <c r="CP33" s="3">
        <f t="shared" si="41"/>
        <v>1709.23</v>
      </c>
      <c r="CQ33" s="3">
        <f t="shared" si="42"/>
        <v>0</v>
      </c>
      <c r="CR33" s="3">
        <f t="shared" si="43"/>
        <v>2.95</v>
      </c>
      <c r="CS33" s="3">
        <f t="shared" si="44"/>
        <v>0</v>
      </c>
      <c r="CT33" s="3">
        <f t="shared" si="45"/>
        <v>1706.28</v>
      </c>
      <c r="CU33" s="3">
        <f t="shared" si="46"/>
        <v>0</v>
      </c>
      <c r="CV33" s="3">
        <f t="shared" si="47"/>
        <v>2.2652891999999998</v>
      </c>
      <c r="CW33" s="3">
        <f t="shared" si="48"/>
        <v>0</v>
      </c>
      <c r="CX33" s="3">
        <f t="shared" si="49"/>
        <v>0</v>
      </c>
      <c r="CY33" s="3">
        <f t="shared" si="50"/>
        <v>1535.65</v>
      </c>
      <c r="CZ33" s="3">
        <f t="shared" si="51"/>
        <v>784.89</v>
      </c>
      <c r="DB33" s="3">
        <v>11</v>
      </c>
      <c r="DC33" s="3" t="s">
        <v>3</v>
      </c>
      <c r="DD33" s="3" t="s">
        <v>24</v>
      </c>
      <c r="DE33" s="3" t="s">
        <v>25</v>
      </c>
      <c r="DF33" s="3" t="s">
        <v>25</v>
      </c>
      <c r="DG33" s="3" t="s">
        <v>25</v>
      </c>
      <c r="DH33" s="3" t="s">
        <v>3</v>
      </c>
      <c r="DI33" s="3" t="s">
        <v>25</v>
      </c>
      <c r="DJ33" s="3" t="s">
        <v>25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37</v>
      </c>
      <c r="DW33" s="3" t="s">
        <v>37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55393700</v>
      </c>
      <c r="EF33" s="3">
        <v>40</v>
      </c>
      <c r="EG33" s="3" t="s">
        <v>26</v>
      </c>
      <c r="EH33" s="3">
        <v>0</v>
      </c>
      <c r="EI33" s="3" t="s">
        <v>3</v>
      </c>
      <c r="EJ33" s="3">
        <v>2</v>
      </c>
      <c r="EK33" s="3">
        <v>68</v>
      </c>
      <c r="EL33" s="3" t="s">
        <v>27</v>
      </c>
      <c r="EM33" s="3" t="s">
        <v>28</v>
      </c>
      <c r="EO33" s="3" t="s">
        <v>29</v>
      </c>
      <c r="EQ33" s="3">
        <v>0</v>
      </c>
      <c r="ER33" s="3">
        <v>90.3</v>
      </c>
      <c r="ES33" s="3">
        <v>9.15</v>
      </c>
      <c r="ET33" s="3">
        <v>0.82</v>
      </c>
      <c r="EU33" s="3">
        <v>0</v>
      </c>
      <c r="EV33" s="3">
        <v>80.33</v>
      </c>
      <c r="EW33" s="3">
        <v>6.01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1335746288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4029.77</v>
      </c>
      <c r="GN33" s="3">
        <f t="shared" si="54"/>
        <v>0</v>
      </c>
      <c r="GO33" s="3">
        <f t="shared" si="55"/>
        <v>4029.77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ROW(SmtRes!A28)</f>
        <v>28</v>
      </c>
      <c r="D34" s="2">
        <f>ROW(EtalonRes!A39)</f>
        <v>39</v>
      </c>
      <c r="E34" s="2" t="s">
        <v>39</v>
      </c>
      <c r="F34" s="2" t="s">
        <v>40</v>
      </c>
      <c r="G34" s="2" t="s">
        <v>41</v>
      </c>
      <c r="H34" s="2" t="s">
        <v>22</v>
      </c>
      <c r="I34" s="2">
        <f>ROUND(4+1+1+8+2,9)</f>
        <v>16</v>
      </c>
      <c r="J34" s="2">
        <v>0</v>
      </c>
      <c r="K34" s="2">
        <f>ROUND(4+1+1+8+2,9)</f>
        <v>16</v>
      </c>
      <c r="L34" s="2"/>
      <c r="M34" s="2"/>
      <c r="N34" s="2"/>
      <c r="O34" s="2">
        <f t="shared" si="21"/>
        <v>114.34</v>
      </c>
      <c r="P34" s="2">
        <f t="shared" si="22"/>
        <v>0</v>
      </c>
      <c r="Q34" s="2">
        <f t="shared" si="23"/>
        <v>0.12</v>
      </c>
      <c r="R34" s="2">
        <f t="shared" si="24"/>
        <v>0</v>
      </c>
      <c r="S34" s="2">
        <f t="shared" si="25"/>
        <v>114.22</v>
      </c>
      <c r="T34" s="2">
        <f t="shared" si="26"/>
        <v>0</v>
      </c>
      <c r="U34" s="2">
        <f t="shared" si="27"/>
        <v>8.2017792000000007</v>
      </c>
      <c r="V34" s="2">
        <f t="shared" si="28"/>
        <v>0</v>
      </c>
      <c r="W34" s="2">
        <f t="shared" si="29"/>
        <v>0</v>
      </c>
      <c r="X34" s="2">
        <f t="shared" si="30"/>
        <v>102.8</v>
      </c>
      <c r="Y34" s="2">
        <f t="shared" si="31"/>
        <v>52.54</v>
      </c>
      <c r="Z34" s="2"/>
      <c r="AA34" s="2">
        <v>55937296</v>
      </c>
      <c r="AB34" s="2">
        <f t="shared" si="32"/>
        <v>6.8255999999999997</v>
      </c>
      <c r="AC34" s="2">
        <f t="shared" si="33"/>
        <v>0</v>
      </c>
      <c r="AD34" s="2">
        <f t="shared" si="34"/>
        <v>7.1999999999999998E-3</v>
      </c>
      <c r="AE34" s="2">
        <f t="shared" si="35"/>
        <v>0</v>
      </c>
      <c r="AF34" s="2">
        <f t="shared" si="36"/>
        <v>6.8183999999999996</v>
      </c>
      <c r="AG34" s="2">
        <f t="shared" si="37"/>
        <v>0</v>
      </c>
      <c r="AH34" s="2">
        <f t="shared" si="38"/>
        <v>0.48960000000000004</v>
      </c>
      <c r="AI34" s="2">
        <f t="shared" si="39"/>
        <v>0</v>
      </c>
      <c r="AJ34" s="2">
        <f t="shared" si="40"/>
        <v>0</v>
      </c>
      <c r="AK34" s="2">
        <v>21.3</v>
      </c>
      <c r="AL34" s="2">
        <v>2.34</v>
      </c>
      <c r="AM34" s="2">
        <v>0.02</v>
      </c>
      <c r="AN34" s="2">
        <v>0</v>
      </c>
      <c r="AO34" s="2">
        <v>18.940000000000001</v>
      </c>
      <c r="AP34" s="2">
        <v>0</v>
      </c>
      <c r="AQ34" s="2">
        <v>1.36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42</v>
      </c>
      <c r="BK34" s="2"/>
      <c r="BL34" s="2"/>
      <c r="BM34" s="2">
        <v>68</v>
      </c>
      <c r="BN34" s="2">
        <v>0</v>
      </c>
      <c r="BO34" s="2" t="s">
        <v>40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795</v>
      </c>
      <c r="CO34" s="2">
        <v>0</v>
      </c>
      <c r="CP34" s="2">
        <f t="shared" si="41"/>
        <v>114.34</v>
      </c>
      <c r="CQ34" s="2">
        <f t="shared" si="42"/>
        <v>0</v>
      </c>
      <c r="CR34" s="2">
        <f t="shared" si="43"/>
        <v>0.01</v>
      </c>
      <c r="CS34" s="2">
        <f t="shared" si="44"/>
        <v>0</v>
      </c>
      <c r="CT34" s="2">
        <f t="shared" si="45"/>
        <v>7.14</v>
      </c>
      <c r="CU34" s="2">
        <f t="shared" si="46"/>
        <v>0</v>
      </c>
      <c r="CV34" s="2">
        <f t="shared" si="47"/>
        <v>0.51261120000000004</v>
      </c>
      <c r="CW34" s="2">
        <f t="shared" si="48"/>
        <v>0</v>
      </c>
      <c r="CX34" s="2">
        <f t="shared" si="49"/>
        <v>0</v>
      </c>
      <c r="CY34" s="2">
        <f t="shared" si="50"/>
        <v>102.8</v>
      </c>
      <c r="CZ34" s="2">
        <f t="shared" si="51"/>
        <v>52.54</v>
      </c>
      <c r="DA34" s="2"/>
      <c r="DB34" s="2">
        <v>13</v>
      </c>
      <c r="DC34" s="2" t="s">
        <v>3</v>
      </c>
      <c r="DD34" s="2" t="s">
        <v>24</v>
      </c>
      <c r="DE34" s="2" t="s">
        <v>25</v>
      </c>
      <c r="DF34" s="2" t="s">
        <v>25</v>
      </c>
      <c r="DG34" s="2" t="s">
        <v>25</v>
      </c>
      <c r="DH34" s="2" t="s">
        <v>3</v>
      </c>
      <c r="DI34" s="2" t="s">
        <v>25</v>
      </c>
      <c r="DJ34" s="2" t="s">
        <v>25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22</v>
      </c>
      <c r="DW34" s="2" t="s">
        <v>22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55393700</v>
      </c>
      <c r="EF34" s="2">
        <v>40</v>
      </c>
      <c r="EG34" s="2" t="s">
        <v>26</v>
      </c>
      <c r="EH34" s="2">
        <v>0</v>
      </c>
      <c r="EI34" s="2" t="s">
        <v>3</v>
      </c>
      <c r="EJ34" s="2">
        <v>2</v>
      </c>
      <c r="EK34" s="2">
        <v>68</v>
      </c>
      <c r="EL34" s="2" t="s">
        <v>27</v>
      </c>
      <c r="EM34" s="2" t="s">
        <v>28</v>
      </c>
      <c r="EN34" s="2"/>
      <c r="EO34" s="2" t="s">
        <v>29</v>
      </c>
      <c r="EP34" s="2"/>
      <c r="EQ34" s="2">
        <v>0</v>
      </c>
      <c r="ER34" s="2">
        <v>21.3</v>
      </c>
      <c r="ES34" s="2">
        <v>2.34</v>
      </c>
      <c r="ET34" s="2">
        <v>0.02</v>
      </c>
      <c r="EU34" s="2">
        <v>0</v>
      </c>
      <c r="EV34" s="2">
        <v>18.940000000000001</v>
      </c>
      <c r="EW34" s="2">
        <v>1.36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-1291988825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269.68</v>
      </c>
      <c r="GN34" s="2">
        <f t="shared" si="54"/>
        <v>0</v>
      </c>
      <c r="GO34" s="2">
        <f t="shared" si="55"/>
        <v>269.68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ROW(SmtRes!A34)</f>
        <v>34</v>
      </c>
      <c r="D35" s="3">
        <f>ROW(EtalonRes!A46)</f>
        <v>46</v>
      </c>
      <c r="E35" s="3" t="s">
        <v>39</v>
      </c>
      <c r="F35" s="3" t="s">
        <v>40</v>
      </c>
      <c r="G35" s="3" t="s">
        <v>41</v>
      </c>
      <c r="H35" s="3" t="s">
        <v>22</v>
      </c>
      <c r="I35" s="3">
        <f>ROUND(4+1+1+8+2,9)</f>
        <v>16</v>
      </c>
      <c r="J35" s="3">
        <v>0</v>
      </c>
      <c r="K35" s="3">
        <f>ROUND(4+1+1+8+2,9)</f>
        <v>16</v>
      </c>
      <c r="O35" s="3">
        <f t="shared" si="21"/>
        <v>6437.62</v>
      </c>
      <c r="P35" s="3">
        <f t="shared" si="22"/>
        <v>0</v>
      </c>
      <c r="Q35" s="3">
        <f t="shared" si="23"/>
        <v>1.32</v>
      </c>
      <c r="R35" s="3">
        <f t="shared" si="24"/>
        <v>0</v>
      </c>
      <c r="S35" s="3">
        <f t="shared" si="25"/>
        <v>6436.3</v>
      </c>
      <c r="T35" s="3">
        <f t="shared" si="26"/>
        <v>0</v>
      </c>
      <c r="U35" s="3">
        <f t="shared" si="27"/>
        <v>8.2017792000000007</v>
      </c>
      <c r="V35" s="3">
        <f t="shared" si="28"/>
        <v>0</v>
      </c>
      <c r="W35" s="3">
        <f t="shared" si="29"/>
        <v>0</v>
      </c>
      <c r="X35" s="3">
        <f t="shared" si="30"/>
        <v>5792.67</v>
      </c>
      <c r="Y35" s="3">
        <f t="shared" si="31"/>
        <v>2960.7</v>
      </c>
      <c r="AA35" s="3">
        <v>55937298</v>
      </c>
      <c r="AB35" s="3">
        <f t="shared" si="32"/>
        <v>6.8255999999999997</v>
      </c>
      <c r="AC35" s="3">
        <f t="shared" si="33"/>
        <v>0</v>
      </c>
      <c r="AD35" s="3">
        <f t="shared" si="34"/>
        <v>7.1999999999999998E-3</v>
      </c>
      <c r="AE35" s="3">
        <f t="shared" si="35"/>
        <v>0</v>
      </c>
      <c r="AF35" s="3">
        <f t="shared" si="36"/>
        <v>6.8183999999999996</v>
      </c>
      <c r="AG35" s="3">
        <f t="shared" si="37"/>
        <v>0</v>
      </c>
      <c r="AH35" s="3">
        <f t="shared" si="38"/>
        <v>0.48960000000000004</v>
      </c>
      <c r="AI35" s="3">
        <f t="shared" si="39"/>
        <v>0</v>
      </c>
      <c r="AJ35" s="3">
        <f t="shared" si="40"/>
        <v>0</v>
      </c>
      <c r="AK35" s="3">
        <v>21.3</v>
      </c>
      <c r="AL35" s="3">
        <v>2.34</v>
      </c>
      <c r="AM35" s="3">
        <v>0.02</v>
      </c>
      <c r="AN35" s="3">
        <v>0</v>
      </c>
      <c r="AO35" s="3">
        <v>18.940000000000001</v>
      </c>
      <c r="AP35" s="3">
        <v>0</v>
      </c>
      <c r="AQ35" s="3">
        <v>1.36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11</v>
      </c>
      <c r="BC35" s="3">
        <v>10.24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42</v>
      </c>
      <c r="BM35" s="3">
        <v>68</v>
      </c>
      <c r="BN35" s="3">
        <v>0</v>
      </c>
      <c r="BO35" s="3" t="s">
        <v>40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795</v>
      </c>
      <c r="CO35" s="3">
        <v>0</v>
      </c>
      <c r="CP35" s="3">
        <f t="shared" si="41"/>
        <v>6437.62</v>
      </c>
      <c r="CQ35" s="3">
        <f t="shared" si="42"/>
        <v>0</v>
      </c>
      <c r="CR35" s="3">
        <f t="shared" si="43"/>
        <v>0.11</v>
      </c>
      <c r="CS35" s="3">
        <f t="shared" si="44"/>
        <v>0</v>
      </c>
      <c r="CT35" s="3">
        <f t="shared" si="45"/>
        <v>402.34</v>
      </c>
      <c r="CU35" s="3">
        <f t="shared" si="46"/>
        <v>0</v>
      </c>
      <c r="CV35" s="3">
        <f t="shared" si="47"/>
        <v>0.51261120000000004</v>
      </c>
      <c r="CW35" s="3">
        <f t="shared" si="48"/>
        <v>0</v>
      </c>
      <c r="CX35" s="3">
        <f t="shared" si="49"/>
        <v>0</v>
      </c>
      <c r="CY35" s="3">
        <f t="shared" si="50"/>
        <v>5792.67</v>
      </c>
      <c r="CZ35" s="3">
        <f t="shared" si="51"/>
        <v>2960.7</v>
      </c>
      <c r="DB35" s="3">
        <v>15</v>
      </c>
      <c r="DC35" s="3" t="s">
        <v>3</v>
      </c>
      <c r="DD35" s="3" t="s">
        <v>24</v>
      </c>
      <c r="DE35" s="3" t="s">
        <v>25</v>
      </c>
      <c r="DF35" s="3" t="s">
        <v>25</v>
      </c>
      <c r="DG35" s="3" t="s">
        <v>25</v>
      </c>
      <c r="DH35" s="3" t="s">
        <v>3</v>
      </c>
      <c r="DI35" s="3" t="s">
        <v>25</v>
      </c>
      <c r="DJ35" s="3" t="s">
        <v>25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22</v>
      </c>
      <c r="DW35" s="3" t="s">
        <v>22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55393700</v>
      </c>
      <c r="EF35" s="3">
        <v>40</v>
      </c>
      <c r="EG35" s="3" t="s">
        <v>26</v>
      </c>
      <c r="EH35" s="3">
        <v>0</v>
      </c>
      <c r="EI35" s="3" t="s">
        <v>3</v>
      </c>
      <c r="EJ35" s="3">
        <v>2</v>
      </c>
      <c r="EK35" s="3">
        <v>68</v>
      </c>
      <c r="EL35" s="3" t="s">
        <v>27</v>
      </c>
      <c r="EM35" s="3" t="s">
        <v>28</v>
      </c>
      <c r="EO35" s="3" t="s">
        <v>29</v>
      </c>
      <c r="EQ35" s="3">
        <v>0</v>
      </c>
      <c r="ER35" s="3">
        <v>21.3</v>
      </c>
      <c r="ES35" s="3">
        <v>2.34</v>
      </c>
      <c r="ET35" s="3">
        <v>0.02</v>
      </c>
      <c r="EU35" s="3">
        <v>0</v>
      </c>
      <c r="EV35" s="3">
        <v>18.940000000000001</v>
      </c>
      <c r="EW35" s="3">
        <v>1.36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-1291988825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15190.99</v>
      </c>
      <c r="GN35" s="3">
        <f t="shared" si="54"/>
        <v>0</v>
      </c>
      <c r="GO35" s="3">
        <f t="shared" si="55"/>
        <v>15190.99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ROW(SmtRes!A35)</f>
        <v>35</v>
      </c>
      <c r="D36" s="2">
        <f>ROW(EtalonRes!A47)</f>
        <v>47</v>
      </c>
      <c r="E36" s="2" t="s">
        <v>43</v>
      </c>
      <c r="F36" s="2" t="s">
        <v>44</v>
      </c>
      <c r="G36" s="2" t="s">
        <v>45</v>
      </c>
      <c r="H36" s="2" t="s">
        <v>22</v>
      </c>
      <c r="I36" s="2">
        <v>8</v>
      </c>
      <c r="J36" s="2">
        <v>0</v>
      </c>
      <c r="K36" s="2">
        <v>8</v>
      </c>
      <c r="L36" s="2"/>
      <c r="M36" s="2"/>
      <c r="N36" s="2"/>
      <c r="O36" s="2">
        <f t="shared" si="21"/>
        <v>64.11</v>
      </c>
      <c r="P36" s="2">
        <f t="shared" si="22"/>
        <v>0</v>
      </c>
      <c r="Q36" s="2">
        <f t="shared" si="23"/>
        <v>0.18</v>
      </c>
      <c r="R36" s="2">
        <f t="shared" si="24"/>
        <v>0.03</v>
      </c>
      <c r="S36" s="2">
        <f t="shared" si="25"/>
        <v>63.93</v>
      </c>
      <c r="T36" s="2">
        <f t="shared" si="26"/>
        <v>0</v>
      </c>
      <c r="U36" s="2">
        <f t="shared" si="27"/>
        <v>5.0658047999999996</v>
      </c>
      <c r="V36" s="2">
        <f t="shared" si="28"/>
        <v>0</v>
      </c>
      <c r="W36" s="2">
        <f t="shared" si="29"/>
        <v>0</v>
      </c>
      <c r="X36" s="2">
        <f t="shared" si="30"/>
        <v>57.56</v>
      </c>
      <c r="Y36" s="2">
        <f t="shared" si="31"/>
        <v>29.42</v>
      </c>
      <c r="Z36" s="2"/>
      <c r="AA36" s="2">
        <v>55937296</v>
      </c>
      <c r="AB36" s="2">
        <f t="shared" si="32"/>
        <v>7.6536</v>
      </c>
      <c r="AC36" s="2">
        <f t="shared" si="33"/>
        <v>0</v>
      </c>
      <c r="AD36" s="2">
        <f t="shared" si="34"/>
        <v>2.1600000000000001E-2</v>
      </c>
      <c r="AE36" s="2">
        <f t="shared" si="35"/>
        <v>3.5999999999999999E-3</v>
      </c>
      <c r="AF36" s="2">
        <f t="shared" si="36"/>
        <v>7.6319999999999997</v>
      </c>
      <c r="AG36" s="2">
        <f t="shared" si="37"/>
        <v>0</v>
      </c>
      <c r="AH36" s="2">
        <f t="shared" si="38"/>
        <v>0.6048</v>
      </c>
      <c r="AI36" s="2">
        <f t="shared" si="39"/>
        <v>0</v>
      </c>
      <c r="AJ36" s="2">
        <f t="shared" si="40"/>
        <v>0</v>
      </c>
      <c r="AK36" s="2">
        <v>22.52</v>
      </c>
      <c r="AL36" s="2">
        <v>1.26</v>
      </c>
      <c r="AM36" s="2">
        <v>0.06</v>
      </c>
      <c r="AN36" s="2">
        <v>0.01</v>
      </c>
      <c r="AO36" s="2">
        <v>21.2</v>
      </c>
      <c r="AP36" s="2">
        <v>0</v>
      </c>
      <c r="AQ36" s="2">
        <v>1.68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46</v>
      </c>
      <c r="BK36" s="2"/>
      <c r="BL36" s="2"/>
      <c r="BM36" s="2">
        <v>68</v>
      </c>
      <c r="BN36" s="2">
        <v>0</v>
      </c>
      <c r="BO36" s="2" t="s">
        <v>44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795</v>
      </c>
      <c r="CO36" s="2">
        <v>0</v>
      </c>
      <c r="CP36" s="2">
        <f t="shared" si="41"/>
        <v>64.11</v>
      </c>
      <c r="CQ36" s="2">
        <f t="shared" si="42"/>
        <v>0</v>
      </c>
      <c r="CR36" s="2">
        <f t="shared" si="43"/>
        <v>0.02</v>
      </c>
      <c r="CS36" s="2">
        <f t="shared" si="44"/>
        <v>0</v>
      </c>
      <c r="CT36" s="2">
        <f t="shared" si="45"/>
        <v>7.99</v>
      </c>
      <c r="CU36" s="2">
        <f t="shared" si="46"/>
        <v>0</v>
      </c>
      <c r="CV36" s="2">
        <f t="shared" si="47"/>
        <v>0.63322559999999994</v>
      </c>
      <c r="CW36" s="2">
        <f t="shared" si="48"/>
        <v>0</v>
      </c>
      <c r="CX36" s="2">
        <f t="shared" si="49"/>
        <v>0</v>
      </c>
      <c r="CY36" s="2">
        <f t="shared" si="50"/>
        <v>57.54</v>
      </c>
      <c r="CZ36" s="2">
        <f t="shared" si="51"/>
        <v>29.41</v>
      </c>
      <c r="DA36" s="2"/>
      <c r="DB36" s="2">
        <v>17</v>
      </c>
      <c r="DC36" s="2" t="s">
        <v>3</v>
      </c>
      <c r="DD36" s="2" t="s">
        <v>24</v>
      </c>
      <c r="DE36" s="2" t="s">
        <v>25</v>
      </c>
      <c r="DF36" s="2" t="s">
        <v>25</v>
      </c>
      <c r="DG36" s="2" t="s">
        <v>25</v>
      </c>
      <c r="DH36" s="2" t="s">
        <v>3</v>
      </c>
      <c r="DI36" s="2" t="s">
        <v>25</v>
      </c>
      <c r="DJ36" s="2" t="s">
        <v>25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22</v>
      </c>
      <c r="DW36" s="2" t="s">
        <v>22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55393700</v>
      </c>
      <c r="EF36" s="2">
        <v>40</v>
      </c>
      <c r="EG36" s="2" t="s">
        <v>26</v>
      </c>
      <c r="EH36" s="2">
        <v>0</v>
      </c>
      <c r="EI36" s="2" t="s">
        <v>3</v>
      </c>
      <c r="EJ36" s="2">
        <v>2</v>
      </c>
      <c r="EK36" s="2">
        <v>68</v>
      </c>
      <c r="EL36" s="2" t="s">
        <v>27</v>
      </c>
      <c r="EM36" s="2" t="s">
        <v>28</v>
      </c>
      <c r="EN36" s="2"/>
      <c r="EO36" s="2" t="s">
        <v>29</v>
      </c>
      <c r="EP36" s="2"/>
      <c r="EQ36" s="2">
        <v>0</v>
      </c>
      <c r="ER36" s="2">
        <v>22.52</v>
      </c>
      <c r="ES36" s="2">
        <v>1.26</v>
      </c>
      <c r="ET36" s="2">
        <v>0.06</v>
      </c>
      <c r="EU36" s="2">
        <v>0.01</v>
      </c>
      <c r="EV36" s="2">
        <v>21.2</v>
      </c>
      <c r="EW36" s="2">
        <v>1.68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-1660079002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151.09</v>
      </c>
      <c r="GN36" s="2">
        <f t="shared" si="54"/>
        <v>0</v>
      </c>
      <c r="GO36" s="2">
        <f t="shared" si="55"/>
        <v>151.09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ROW(SmtRes!A36)</f>
        <v>36</v>
      </c>
      <c r="D37" s="3">
        <f>ROW(EtalonRes!A48)</f>
        <v>48</v>
      </c>
      <c r="E37" s="3" t="s">
        <v>43</v>
      </c>
      <c r="F37" s="3" t="s">
        <v>44</v>
      </c>
      <c r="G37" s="3" t="s">
        <v>45</v>
      </c>
      <c r="H37" s="3" t="s">
        <v>22</v>
      </c>
      <c r="I37" s="3">
        <v>8</v>
      </c>
      <c r="J37" s="3">
        <v>0</v>
      </c>
      <c r="K37" s="3">
        <v>8</v>
      </c>
      <c r="O37" s="3">
        <f t="shared" si="21"/>
        <v>3605.79</v>
      </c>
      <c r="P37" s="3">
        <f t="shared" si="22"/>
        <v>0</v>
      </c>
      <c r="Q37" s="3">
        <f t="shared" si="23"/>
        <v>3.33</v>
      </c>
      <c r="R37" s="3">
        <f t="shared" si="24"/>
        <v>1.69</v>
      </c>
      <c r="S37" s="3">
        <f t="shared" si="25"/>
        <v>3602.46</v>
      </c>
      <c r="T37" s="3">
        <f t="shared" si="26"/>
        <v>0</v>
      </c>
      <c r="U37" s="3">
        <f t="shared" si="27"/>
        <v>5.0658047999999996</v>
      </c>
      <c r="V37" s="3">
        <f t="shared" si="28"/>
        <v>0</v>
      </c>
      <c r="W37" s="3">
        <f t="shared" si="29"/>
        <v>0</v>
      </c>
      <c r="X37" s="3">
        <f t="shared" si="30"/>
        <v>3243.74</v>
      </c>
      <c r="Y37" s="3">
        <f t="shared" si="31"/>
        <v>1657.91</v>
      </c>
      <c r="AA37" s="3">
        <v>55937298</v>
      </c>
      <c r="AB37" s="3">
        <f t="shared" si="32"/>
        <v>7.6536</v>
      </c>
      <c r="AC37" s="3">
        <f t="shared" si="33"/>
        <v>0</v>
      </c>
      <c r="AD37" s="3">
        <f t="shared" si="34"/>
        <v>2.1600000000000001E-2</v>
      </c>
      <c r="AE37" s="3">
        <f t="shared" si="35"/>
        <v>3.5999999999999999E-3</v>
      </c>
      <c r="AF37" s="3">
        <f t="shared" si="36"/>
        <v>7.6319999999999997</v>
      </c>
      <c r="AG37" s="3">
        <f t="shared" si="37"/>
        <v>0</v>
      </c>
      <c r="AH37" s="3">
        <f t="shared" si="38"/>
        <v>0.6048</v>
      </c>
      <c r="AI37" s="3">
        <f t="shared" si="39"/>
        <v>0</v>
      </c>
      <c r="AJ37" s="3">
        <f t="shared" si="40"/>
        <v>0</v>
      </c>
      <c r="AK37" s="3">
        <v>22.52</v>
      </c>
      <c r="AL37" s="3">
        <v>1.26</v>
      </c>
      <c r="AM37" s="3">
        <v>0.06</v>
      </c>
      <c r="AN37" s="3">
        <v>0.01</v>
      </c>
      <c r="AO37" s="3">
        <v>21.2</v>
      </c>
      <c r="AP37" s="3">
        <v>0</v>
      </c>
      <c r="AQ37" s="3">
        <v>1.68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18.5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46</v>
      </c>
      <c r="BM37" s="3">
        <v>68</v>
      </c>
      <c r="BN37" s="3">
        <v>0</v>
      </c>
      <c r="BO37" s="3" t="s">
        <v>44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795</v>
      </c>
      <c r="CO37" s="3">
        <v>0</v>
      </c>
      <c r="CP37" s="3">
        <f t="shared" si="41"/>
        <v>3605.79</v>
      </c>
      <c r="CQ37" s="3">
        <f t="shared" si="42"/>
        <v>0</v>
      </c>
      <c r="CR37" s="3">
        <f t="shared" si="43"/>
        <v>0.37</v>
      </c>
      <c r="CS37" s="3">
        <f t="shared" si="44"/>
        <v>0</v>
      </c>
      <c r="CT37" s="3">
        <f t="shared" si="45"/>
        <v>450.24</v>
      </c>
      <c r="CU37" s="3">
        <f t="shared" si="46"/>
        <v>0</v>
      </c>
      <c r="CV37" s="3">
        <f t="shared" si="47"/>
        <v>0.63322559999999994</v>
      </c>
      <c r="CW37" s="3">
        <f t="shared" si="48"/>
        <v>0</v>
      </c>
      <c r="CX37" s="3">
        <f t="shared" si="49"/>
        <v>0</v>
      </c>
      <c r="CY37" s="3">
        <f t="shared" si="50"/>
        <v>3242.21</v>
      </c>
      <c r="CZ37" s="3">
        <f t="shared" si="51"/>
        <v>1657.13</v>
      </c>
      <c r="DB37" s="3">
        <v>19</v>
      </c>
      <c r="DC37" s="3" t="s">
        <v>3</v>
      </c>
      <c r="DD37" s="3" t="s">
        <v>24</v>
      </c>
      <c r="DE37" s="3" t="s">
        <v>25</v>
      </c>
      <c r="DF37" s="3" t="s">
        <v>25</v>
      </c>
      <c r="DG37" s="3" t="s">
        <v>25</v>
      </c>
      <c r="DH37" s="3" t="s">
        <v>3</v>
      </c>
      <c r="DI37" s="3" t="s">
        <v>25</v>
      </c>
      <c r="DJ37" s="3" t="s">
        <v>25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22</v>
      </c>
      <c r="DW37" s="3" t="s">
        <v>22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55393700</v>
      </c>
      <c r="EF37" s="3">
        <v>40</v>
      </c>
      <c r="EG37" s="3" t="s">
        <v>26</v>
      </c>
      <c r="EH37" s="3">
        <v>0</v>
      </c>
      <c r="EI37" s="3" t="s">
        <v>3</v>
      </c>
      <c r="EJ37" s="3">
        <v>2</v>
      </c>
      <c r="EK37" s="3">
        <v>68</v>
      </c>
      <c r="EL37" s="3" t="s">
        <v>27</v>
      </c>
      <c r="EM37" s="3" t="s">
        <v>28</v>
      </c>
      <c r="EO37" s="3" t="s">
        <v>29</v>
      </c>
      <c r="EQ37" s="3">
        <v>0</v>
      </c>
      <c r="ER37" s="3">
        <v>22.52</v>
      </c>
      <c r="ES37" s="3">
        <v>1.26</v>
      </c>
      <c r="ET37" s="3">
        <v>0.06</v>
      </c>
      <c r="EU37" s="3">
        <v>0.01</v>
      </c>
      <c r="EV37" s="3">
        <v>21.2</v>
      </c>
      <c r="EW37" s="3">
        <v>1.68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-1660079002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8507.44</v>
      </c>
      <c r="GN37" s="3">
        <f t="shared" si="54"/>
        <v>0</v>
      </c>
      <c r="GO37" s="3">
        <f t="shared" si="55"/>
        <v>8507.44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ROW(SmtRes!A39)</f>
        <v>39</v>
      </c>
      <c r="D38" s="2">
        <f>ROW(EtalonRes!A52)</f>
        <v>52</v>
      </c>
      <c r="E38" s="2" t="s">
        <v>47</v>
      </c>
      <c r="F38" s="2" t="s">
        <v>48</v>
      </c>
      <c r="G38" s="2" t="s">
        <v>49</v>
      </c>
      <c r="H38" s="2" t="s">
        <v>22</v>
      </c>
      <c r="I38" s="2">
        <v>4</v>
      </c>
      <c r="J38" s="2">
        <v>0</v>
      </c>
      <c r="K38" s="2">
        <v>4</v>
      </c>
      <c r="L38" s="2"/>
      <c r="M38" s="2"/>
      <c r="N38" s="2"/>
      <c r="O38" s="2">
        <f t="shared" si="21"/>
        <v>17.93</v>
      </c>
      <c r="P38" s="2">
        <f t="shared" si="22"/>
        <v>0</v>
      </c>
      <c r="Q38" s="2">
        <f t="shared" si="23"/>
        <v>0</v>
      </c>
      <c r="R38" s="2">
        <f t="shared" si="24"/>
        <v>0</v>
      </c>
      <c r="S38" s="2">
        <f t="shared" si="25"/>
        <v>17.93</v>
      </c>
      <c r="T38" s="2">
        <f t="shared" si="26"/>
        <v>0</v>
      </c>
      <c r="U38" s="2">
        <f t="shared" si="27"/>
        <v>1.5076799999999999</v>
      </c>
      <c r="V38" s="2">
        <f t="shared" si="28"/>
        <v>0</v>
      </c>
      <c r="W38" s="2">
        <f t="shared" si="29"/>
        <v>0</v>
      </c>
      <c r="X38" s="2">
        <f t="shared" si="30"/>
        <v>17.03</v>
      </c>
      <c r="Y38" s="2">
        <f t="shared" si="31"/>
        <v>9.5</v>
      </c>
      <c r="Z38" s="2"/>
      <c r="AA38" s="2">
        <v>55937296</v>
      </c>
      <c r="AB38" s="2">
        <f t="shared" si="32"/>
        <v>4.2804000000000002</v>
      </c>
      <c r="AC38" s="2">
        <f t="shared" si="33"/>
        <v>0</v>
      </c>
      <c r="AD38" s="2">
        <f t="shared" si="34"/>
        <v>0</v>
      </c>
      <c r="AE38" s="2">
        <f t="shared" si="35"/>
        <v>0</v>
      </c>
      <c r="AF38" s="2">
        <f t="shared" si="36"/>
        <v>4.2804000000000002</v>
      </c>
      <c r="AG38" s="2">
        <f t="shared" si="37"/>
        <v>0</v>
      </c>
      <c r="AH38" s="2">
        <f t="shared" si="38"/>
        <v>0.36</v>
      </c>
      <c r="AI38" s="2">
        <f t="shared" si="39"/>
        <v>0</v>
      </c>
      <c r="AJ38" s="2">
        <f t="shared" si="40"/>
        <v>0</v>
      </c>
      <c r="AK38" s="2">
        <v>13.56</v>
      </c>
      <c r="AL38" s="2">
        <v>1.67</v>
      </c>
      <c r="AM38" s="2">
        <v>0</v>
      </c>
      <c r="AN38" s="2">
        <v>0</v>
      </c>
      <c r="AO38" s="2">
        <v>11.89</v>
      </c>
      <c r="AP38" s="2">
        <v>0</v>
      </c>
      <c r="AQ38" s="2">
        <v>1</v>
      </c>
      <c r="AR38" s="2">
        <v>0</v>
      </c>
      <c r="AS38" s="2">
        <v>0</v>
      </c>
      <c r="AT38" s="2">
        <v>95</v>
      </c>
      <c r="AU38" s="2">
        <v>53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50</v>
      </c>
      <c r="BK38" s="2"/>
      <c r="BL38" s="2"/>
      <c r="BM38" s="2">
        <v>69</v>
      </c>
      <c r="BN38" s="2">
        <v>0</v>
      </c>
      <c r="BO38" s="2" t="s">
        <v>48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95</v>
      </c>
      <c r="CA38" s="2">
        <v>53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795</v>
      </c>
      <c r="CO38" s="2">
        <v>0</v>
      </c>
      <c r="CP38" s="2">
        <f t="shared" si="41"/>
        <v>17.93</v>
      </c>
      <c r="CQ38" s="2">
        <f t="shared" si="42"/>
        <v>0</v>
      </c>
      <c r="CR38" s="2">
        <f t="shared" si="43"/>
        <v>0</v>
      </c>
      <c r="CS38" s="2">
        <f t="shared" si="44"/>
        <v>0</v>
      </c>
      <c r="CT38" s="2">
        <f t="shared" si="45"/>
        <v>4.4800000000000004</v>
      </c>
      <c r="CU38" s="2">
        <f t="shared" si="46"/>
        <v>0</v>
      </c>
      <c r="CV38" s="2">
        <f t="shared" si="47"/>
        <v>0.37691999999999998</v>
      </c>
      <c r="CW38" s="2">
        <f t="shared" si="48"/>
        <v>0</v>
      </c>
      <c r="CX38" s="2">
        <f t="shared" si="49"/>
        <v>0</v>
      </c>
      <c r="CY38" s="2">
        <f t="shared" si="50"/>
        <v>17.03</v>
      </c>
      <c r="CZ38" s="2">
        <f t="shared" si="51"/>
        <v>9.5</v>
      </c>
      <c r="DA38" s="2"/>
      <c r="DB38" s="2">
        <v>21</v>
      </c>
      <c r="DC38" s="2" t="s">
        <v>3</v>
      </c>
      <c r="DD38" s="2" t="s">
        <v>24</v>
      </c>
      <c r="DE38" s="2" t="s">
        <v>25</v>
      </c>
      <c r="DF38" s="2" t="s">
        <v>25</v>
      </c>
      <c r="DG38" s="2" t="s">
        <v>25</v>
      </c>
      <c r="DH38" s="2" t="s">
        <v>3</v>
      </c>
      <c r="DI38" s="2" t="s">
        <v>25</v>
      </c>
      <c r="DJ38" s="2" t="s">
        <v>25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22</v>
      </c>
      <c r="DW38" s="2" t="s">
        <v>22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55393701</v>
      </c>
      <c r="EF38" s="2">
        <v>40</v>
      </c>
      <c r="EG38" s="2" t="s">
        <v>26</v>
      </c>
      <c r="EH38" s="2">
        <v>0</v>
      </c>
      <c r="EI38" s="2" t="s">
        <v>3</v>
      </c>
      <c r="EJ38" s="2">
        <v>2</v>
      </c>
      <c r="EK38" s="2">
        <v>69</v>
      </c>
      <c r="EL38" s="2" t="s">
        <v>51</v>
      </c>
      <c r="EM38" s="2" t="s">
        <v>52</v>
      </c>
      <c r="EN38" s="2"/>
      <c r="EO38" s="2" t="s">
        <v>29</v>
      </c>
      <c r="EP38" s="2"/>
      <c r="EQ38" s="2">
        <v>0</v>
      </c>
      <c r="ER38" s="2">
        <v>13.56</v>
      </c>
      <c r="ES38" s="2">
        <v>1.67</v>
      </c>
      <c r="ET38" s="2">
        <v>0</v>
      </c>
      <c r="EU38" s="2">
        <v>0</v>
      </c>
      <c r="EV38" s="2">
        <v>11.89</v>
      </c>
      <c r="EW38" s="2">
        <v>1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95</v>
      </c>
      <c r="FY38" s="2">
        <v>53</v>
      </c>
      <c r="FZ38" s="2"/>
      <c r="GA38" s="2" t="s">
        <v>3</v>
      </c>
      <c r="GB38" s="2"/>
      <c r="GC38" s="2"/>
      <c r="GD38" s="2">
        <v>1</v>
      </c>
      <c r="GE38" s="2"/>
      <c r="GF38" s="2">
        <v>205901832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44.46</v>
      </c>
      <c r="GN38" s="2">
        <f t="shared" si="54"/>
        <v>0</v>
      </c>
      <c r="GO38" s="2">
        <f t="shared" si="55"/>
        <v>44.46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ROW(SmtRes!A42)</f>
        <v>42</v>
      </c>
      <c r="D39" s="3">
        <f>ROW(EtalonRes!A56)</f>
        <v>56</v>
      </c>
      <c r="E39" s="3" t="s">
        <v>47</v>
      </c>
      <c r="F39" s="3" t="s">
        <v>48</v>
      </c>
      <c r="G39" s="3" t="s">
        <v>49</v>
      </c>
      <c r="H39" s="3" t="s">
        <v>22</v>
      </c>
      <c r="I39" s="3">
        <v>4</v>
      </c>
      <c r="J39" s="3">
        <v>0</v>
      </c>
      <c r="K39" s="3">
        <v>4</v>
      </c>
      <c r="O39" s="3">
        <f t="shared" si="21"/>
        <v>1010.36</v>
      </c>
      <c r="P39" s="3">
        <f t="shared" si="22"/>
        <v>0</v>
      </c>
      <c r="Q39" s="3">
        <f t="shared" si="23"/>
        <v>0</v>
      </c>
      <c r="R39" s="3">
        <f t="shared" si="24"/>
        <v>0</v>
      </c>
      <c r="S39" s="3">
        <f t="shared" si="25"/>
        <v>1010.36</v>
      </c>
      <c r="T39" s="3">
        <f t="shared" si="26"/>
        <v>0</v>
      </c>
      <c r="U39" s="3">
        <f t="shared" si="27"/>
        <v>1.5076799999999999</v>
      </c>
      <c r="V39" s="3">
        <f t="shared" si="28"/>
        <v>0</v>
      </c>
      <c r="W39" s="3">
        <f t="shared" si="29"/>
        <v>0</v>
      </c>
      <c r="X39" s="3">
        <f t="shared" si="30"/>
        <v>959.84</v>
      </c>
      <c r="Y39" s="3">
        <f t="shared" si="31"/>
        <v>535.49</v>
      </c>
      <c r="AA39" s="3">
        <v>55937298</v>
      </c>
      <c r="AB39" s="3">
        <f t="shared" si="32"/>
        <v>4.2804000000000002</v>
      </c>
      <c r="AC39" s="3">
        <f t="shared" si="33"/>
        <v>0</v>
      </c>
      <c r="AD39" s="3">
        <f t="shared" si="34"/>
        <v>0</v>
      </c>
      <c r="AE39" s="3">
        <f t="shared" si="35"/>
        <v>0</v>
      </c>
      <c r="AF39" s="3">
        <f t="shared" si="36"/>
        <v>4.2804000000000002</v>
      </c>
      <c r="AG39" s="3">
        <f t="shared" si="37"/>
        <v>0</v>
      </c>
      <c r="AH39" s="3">
        <f t="shared" si="38"/>
        <v>0.36</v>
      </c>
      <c r="AI39" s="3">
        <f t="shared" si="39"/>
        <v>0</v>
      </c>
      <c r="AJ39" s="3">
        <f t="shared" si="40"/>
        <v>0</v>
      </c>
      <c r="AK39" s="3">
        <v>13.56</v>
      </c>
      <c r="AL39" s="3">
        <v>1.67</v>
      </c>
      <c r="AM39" s="3">
        <v>0</v>
      </c>
      <c r="AN39" s="3">
        <v>0</v>
      </c>
      <c r="AO39" s="3">
        <v>11.89</v>
      </c>
      <c r="AP39" s="3">
        <v>0</v>
      </c>
      <c r="AQ39" s="3">
        <v>1</v>
      </c>
      <c r="AR39" s="3">
        <v>0</v>
      </c>
      <c r="AS39" s="3">
        <v>0</v>
      </c>
      <c r="AT39" s="3">
        <v>95</v>
      </c>
      <c r="AU39" s="3">
        <v>53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</v>
      </c>
      <c r="BC39" s="3">
        <v>17.87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50</v>
      </c>
      <c r="BM39" s="3">
        <v>69</v>
      </c>
      <c r="BN39" s="3">
        <v>0</v>
      </c>
      <c r="BO39" s="3" t="s">
        <v>48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95</v>
      </c>
      <c r="CA39" s="3">
        <v>53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795</v>
      </c>
      <c r="CO39" s="3">
        <v>0</v>
      </c>
      <c r="CP39" s="3">
        <f t="shared" si="41"/>
        <v>1010.36</v>
      </c>
      <c r="CQ39" s="3">
        <f t="shared" si="42"/>
        <v>0</v>
      </c>
      <c r="CR39" s="3">
        <f t="shared" si="43"/>
        <v>0</v>
      </c>
      <c r="CS39" s="3">
        <f t="shared" si="44"/>
        <v>0</v>
      </c>
      <c r="CT39" s="3">
        <f t="shared" si="45"/>
        <v>252.45</v>
      </c>
      <c r="CU39" s="3">
        <f t="shared" si="46"/>
        <v>0</v>
      </c>
      <c r="CV39" s="3">
        <f t="shared" si="47"/>
        <v>0.37691999999999998</v>
      </c>
      <c r="CW39" s="3">
        <f t="shared" si="48"/>
        <v>0</v>
      </c>
      <c r="CX39" s="3">
        <f t="shared" si="49"/>
        <v>0</v>
      </c>
      <c r="CY39" s="3">
        <f t="shared" si="50"/>
        <v>959.84</v>
      </c>
      <c r="CZ39" s="3">
        <f t="shared" si="51"/>
        <v>535.49</v>
      </c>
      <c r="DB39" s="3">
        <v>23</v>
      </c>
      <c r="DC39" s="3" t="s">
        <v>3</v>
      </c>
      <c r="DD39" s="3" t="s">
        <v>24</v>
      </c>
      <c r="DE39" s="3" t="s">
        <v>25</v>
      </c>
      <c r="DF39" s="3" t="s">
        <v>25</v>
      </c>
      <c r="DG39" s="3" t="s">
        <v>25</v>
      </c>
      <c r="DH39" s="3" t="s">
        <v>3</v>
      </c>
      <c r="DI39" s="3" t="s">
        <v>25</v>
      </c>
      <c r="DJ39" s="3" t="s">
        <v>25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22</v>
      </c>
      <c r="DW39" s="3" t="s">
        <v>22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55393701</v>
      </c>
      <c r="EF39" s="3">
        <v>40</v>
      </c>
      <c r="EG39" s="3" t="s">
        <v>26</v>
      </c>
      <c r="EH39" s="3">
        <v>0</v>
      </c>
      <c r="EI39" s="3" t="s">
        <v>3</v>
      </c>
      <c r="EJ39" s="3">
        <v>2</v>
      </c>
      <c r="EK39" s="3">
        <v>69</v>
      </c>
      <c r="EL39" s="3" t="s">
        <v>51</v>
      </c>
      <c r="EM39" s="3" t="s">
        <v>52</v>
      </c>
      <c r="EO39" s="3" t="s">
        <v>29</v>
      </c>
      <c r="EQ39" s="3">
        <v>0</v>
      </c>
      <c r="ER39" s="3">
        <v>13.56</v>
      </c>
      <c r="ES39" s="3">
        <v>1.67</v>
      </c>
      <c r="ET39" s="3">
        <v>0</v>
      </c>
      <c r="EU39" s="3">
        <v>0</v>
      </c>
      <c r="EV39" s="3">
        <v>11.89</v>
      </c>
      <c r="EW39" s="3">
        <v>1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95</v>
      </c>
      <c r="FY39" s="3">
        <v>53</v>
      </c>
      <c r="GA39" s="3" t="s">
        <v>3</v>
      </c>
      <c r="GD39" s="3">
        <v>1</v>
      </c>
      <c r="GF39" s="3">
        <v>205901832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2505.69</v>
      </c>
      <c r="GN39" s="3">
        <f t="shared" si="54"/>
        <v>0</v>
      </c>
      <c r="GO39" s="3">
        <f t="shared" si="55"/>
        <v>2505.69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ROW(SmtRes!A43)</f>
        <v>43</v>
      </c>
      <c r="D40" s="2">
        <f>ROW(EtalonRes!A57)</f>
        <v>57</v>
      </c>
      <c r="E40" s="2" t="s">
        <v>53</v>
      </c>
      <c r="F40" s="2" t="s">
        <v>54</v>
      </c>
      <c r="G40" s="2" t="s">
        <v>55</v>
      </c>
      <c r="H40" s="2" t="s">
        <v>22</v>
      </c>
      <c r="I40" s="2">
        <v>4</v>
      </c>
      <c r="J40" s="2">
        <v>0</v>
      </c>
      <c r="K40" s="2">
        <v>4</v>
      </c>
      <c r="L40" s="2"/>
      <c r="M40" s="2"/>
      <c r="N40" s="2"/>
      <c r="O40" s="2">
        <f t="shared" si="21"/>
        <v>15.98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15.98</v>
      </c>
      <c r="T40" s="2">
        <f t="shared" si="26"/>
        <v>0</v>
      </c>
      <c r="U40" s="2">
        <f t="shared" si="27"/>
        <v>1.2664511999999999</v>
      </c>
      <c r="V40" s="2">
        <f t="shared" si="28"/>
        <v>0</v>
      </c>
      <c r="W40" s="2">
        <f t="shared" si="29"/>
        <v>0</v>
      </c>
      <c r="X40" s="2">
        <f t="shared" si="30"/>
        <v>14.38</v>
      </c>
      <c r="Y40" s="2">
        <f t="shared" si="31"/>
        <v>7.35</v>
      </c>
      <c r="Z40" s="2"/>
      <c r="AA40" s="2">
        <v>55937296</v>
      </c>
      <c r="AB40" s="2">
        <f t="shared" si="32"/>
        <v>3.8159999999999998</v>
      </c>
      <c r="AC40" s="2">
        <f t="shared" si="33"/>
        <v>0</v>
      </c>
      <c r="AD40" s="2">
        <f t="shared" si="34"/>
        <v>0</v>
      </c>
      <c r="AE40" s="2">
        <f t="shared" si="35"/>
        <v>0</v>
      </c>
      <c r="AF40" s="2">
        <f t="shared" si="36"/>
        <v>3.8159999999999998</v>
      </c>
      <c r="AG40" s="2">
        <f t="shared" si="37"/>
        <v>0</v>
      </c>
      <c r="AH40" s="2">
        <f t="shared" si="38"/>
        <v>0.3024</v>
      </c>
      <c r="AI40" s="2">
        <f t="shared" si="39"/>
        <v>0</v>
      </c>
      <c r="AJ40" s="2">
        <f t="shared" si="40"/>
        <v>0</v>
      </c>
      <c r="AK40" s="2">
        <v>11.65</v>
      </c>
      <c r="AL40" s="2">
        <v>1.05</v>
      </c>
      <c r="AM40" s="2">
        <v>0</v>
      </c>
      <c r="AN40" s="2">
        <v>0</v>
      </c>
      <c r="AO40" s="2">
        <v>10.6</v>
      </c>
      <c r="AP40" s="2">
        <v>0</v>
      </c>
      <c r="AQ40" s="2">
        <v>0.84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56</v>
      </c>
      <c r="BK40" s="2"/>
      <c r="BL40" s="2"/>
      <c r="BM40" s="2">
        <v>68</v>
      </c>
      <c r="BN40" s="2">
        <v>0</v>
      </c>
      <c r="BO40" s="2" t="s">
        <v>54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795</v>
      </c>
      <c r="CO40" s="2">
        <v>0</v>
      </c>
      <c r="CP40" s="2">
        <f t="shared" si="41"/>
        <v>15.98</v>
      </c>
      <c r="CQ40" s="2">
        <f t="shared" si="42"/>
        <v>0</v>
      </c>
      <c r="CR40" s="2">
        <f t="shared" si="43"/>
        <v>0</v>
      </c>
      <c r="CS40" s="2">
        <f t="shared" si="44"/>
        <v>0</v>
      </c>
      <c r="CT40" s="2">
        <f t="shared" si="45"/>
        <v>4</v>
      </c>
      <c r="CU40" s="2">
        <f t="shared" si="46"/>
        <v>0</v>
      </c>
      <c r="CV40" s="2">
        <f t="shared" si="47"/>
        <v>0.31661279999999997</v>
      </c>
      <c r="CW40" s="2">
        <f t="shared" si="48"/>
        <v>0</v>
      </c>
      <c r="CX40" s="2">
        <f t="shared" si="49"/>
        <v>0</v>
      </c>
      <c r="CY40" s="2">
        <f t="shared" si="50"/>
        <v>14.38</v>
      </c>
      <c r="CZ40" s="2">
        <f t="shared" si="51"/>
        <v>7.35</v>
      </c>
      <c r="DA40" s="2"/>
      <c r="DB40" s="2">
        <v>25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22</v>
      </c>
      <c r="DW40" s="2" t="s">
        <v>22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55393700</v>
      </c>
      <c r="EF40" s="2">
        <v>40</v>
      </c>
      <c r="EG40" s="2" t="s">
        <v>26</v>
      </c>
      <c r="EH40" s="2">
        <v>0</v>
      </c>
      <c r="EI40" s="2" t="s">
        <v>3</v>
      </c>
      <c r="EJ40" s="2">
        <v>2</v>
      </c>
      <c r="EK40" s="2">
        <v>68</v>
      </c>
      <c r="EL40" s="2" t="s">
        <v>27</v>
      </c>
      <c r="EM40" s="2" t="s">
        <v>28</v>
      </c>
      <c r="EN40" s="2"/>
      <c r="EO40" s="2" t="s">
        <v>29</v>
      </c>
      <c r="EP40" s="2"/>
      <c r="EQ40" s="2">
        <v>0</v>
      </c>
      <c r="ER40" s="2">
        <v>11.65</v>
      </c>
      <c r="ES40" s="2">
        <v>1.05</v>
      </c>
      <c r="ET40" s="2">
        <v>0</v>
      </c>
      <c r="EU40" s="2">
        <v>0</v>
      </c>
      <c r="EV40" s="2">
        <v>10.6</v>
      </c>
      <c r="EW40" s="2">
        <v>0.84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-1537307853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37.71</v>
      </c>
      <c r="GN40" s="2">
        <f t="shared" si="54"/>
        <v>0</v>
      </c>
      <c r="GO40" s="2">
        <f t="shared" si="55"/>
        <v>37.71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ROW(SmtRes!A44)</f>
        <v>44</v>
      </c>
      <c r="D41" s="3">
        <f>ROW(EtalonRes!A58)</f>
        <v>58</v>
      </c>
      <c r="E41" s="3" t="s">
        <v>53</v>
      </c>
      <c r="F41" s="3" t="s">
        <v>54</v>
      </c>
      <c r="G41" s="3" t="s">
        <v>55</v>
      </c>
      <c r="H41" s="3" t="s">
        <v>22</v>
      </c>
      <c r="I41" s="3">
        <v>4</v>
      </c>
      <c r="J41" s="3">
        <v>0</v>
      </c>
      <c r="K41" s="3">
        <v>4</v>
      </c>
      <c r="O41" s="3">
        <f t="shared" si="21"/>
        <v>900.47</v>
      </c>
      <c r="P41" s="3">
        <f t="shared" si="22"/>
        <v>0</v>
      </c>
      <c r="Q41" s="3">
        <f t="shared" si="23"/>
        <v>0</v>
      </c>
      <c r="R41" s="3">
        <f t="shared" si="24"/>
        <v>0</v>
      </c>
      <c r="S41" s="3">
        <f t="shared" si="25"/>
        <v>900.47</v>
      </c>
      <c r="T41" s="3">
        <f t="shared" si="26"/>
        <v>0</v>
      </c>
      <c r="U41" s="3">
        <f t="shared" si="27"/>
        <v>1.2664511999999999</v>
      </c>
      <c r="V41" s="3">
        <f t="shared" si="28"/>
        <v>0</v>
      </c>
      <c r="W41" s="3">
        <f t="shared" si="29"/>
        <v>0</v>
      </c>
      <c r="X41" s="3">
        <f t="shared" si="30"/>
        <v>810.42</v>
      </c>
      <c r="Y41" s="3">
        <f t="shared" si="31"/>
        <v>414.22</v>
      </c>
      <c r="AA41" s="3">
        <v>55937298</v>
      </c>
      <c r="AB41" s="3">
        <f t="shared" si="32"/>
        <v>3.8159999999999998</v>
      </c>
      <c r="AC41" s="3">
        <f t="shared" si="33"/>
        <v>0</v>
      </c>
      <c r="AD41" s="3">
        <f t="shared" si="34"/>
        <v>0</v>
      </c>
      <c r="AE41" s="3">
        <f t="shared" si="35"/>
        <v>0</v>
      </c>
      <c r="AF41" s="3">
        <f t="shared" si="36"/>
        <v>3.8159999999999998</v>
      </c>
      <c r="AG41" s="3">
        <f t="shared" si="37"/>
        <v>0</v>
      </c>
      <c r="AH41" s="3">
        <f t="shared" si="38"/>
        <v>0.3024</v>
      </c>
      <c r="AI41" s="3">
        <f t="shared" si="39"/>
        <v>0</v>
      </c>
      <c r="AJ41" s="3">
        <f t="shared" si="40"/>
        <v>0</v>
      </c>
      <c r="AK41" s="3">
        <v>11.65</v>
      </c>
      <c r="AL41" s="3">
        <v>1.05</v>
      </c>
      <c r="AM41" s="3">
        <v>0</v>
      </c>
      <c r="AN41" s="3">
        <v>0</v>
      </c>
      <c r="AO41" s="3">
        <v>10.6</v>
      </c>
      <c r="AP41" s="3">
        <v>0</v>
      </c>
      <c r="AQ41" s="3">
        <v>0.84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9.84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56</v>
      </c>
      <c r="BM41" s="3">
        <v>68</v>
      </c>
      <c r="BN41" s="3">
        <v>0</v>
      </c>
      <c r="BO41" s="3" t="s">
        <v>54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795</v>
      </c>
      <c r="CO41" s="3">
        <v>0</v>
      </c>
      <c r="CP41" s="3">
        <f t="shared" si="41"/>
        <v>900.47</v>
      </c>
      <c r="CQ41" s="3">
        <f t="shared" si="42"/>
        <v>0</v>
      </c>
      <c r="CR41" s="3">
        <f t="shared" si="43"/>
        <v>0</v>
      </c>
      <c r="CS41" s="3">
        <f t="shared" si="44"/>
        <v>0</v>
      </c>
      <c r="CT41" s="3">
        <f t="shared" si="45"/>
        <v>225.4</v>
      </c>
      <c r="CU41" s="3">
        <f t="shared" si="46"/>
        <v>0</v>
      </c>
      <c r="CV41" s="3">
        <f t="shared" si="47"/>
        <v>0.31661279999999997</v>
      </c>
      <c r="CW41" s="3">
        <f t="shared" si="48"/>
        <v>0</v>
      </c>
      <c r="CX41" s="3">
        <f t="shared" si="49"/>
        <v>0</v>
      </c>
      <c r="CY41" s="3">
        <f t="shared" si="50"/>
        <v>810.42</v>
      </c>
      <c r="CZ41" s="3">
        <f t="shared" si="51"/>
        <v>414.22</v>
      </c>
      <c r="DB41" s="3">
        <v>27</v>
      </c>
      <c r="DC41" s="3" t="s">
        <v>3</v>
      </c>
      <c r="DD41" s="3" t="s">
        <v>24</v>
      </c>
      <c r="DE41" s="3" t="s">
        <v>25</v>
      </c>
      <c r="DF41" s="3" t="s">
        <v>25</v>
      </c>
      <c r="DG41" s="3" t="s">
        <v>25</v>
      </c>
      <c r="DH41" s="3" t="s">
        <v>3</v>
      </c>
      <c r="DI41" s="3" t="s">
        <v>25</v>
      </c>
      <c r="DJ41" s="3" t="s">
        <v>25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22</v>
      </c>
      <c r="DW41" s="3" t="s">
        <v>22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55393700</v>
      </c>
      <c r="EF41" s="3">
        <v>40</v>
      </c>
      <c r="EG41" s="3" t="s">
        <v>26</v>
      </c>
      <c r="EH41" s="3">
        <v>0</v>
      </c>
      <c r="EI41" s="3" t="s">
        <v>3</v>
      </c>
      <c r="EJ41" s="3">
        <v>2</v>
      </c>
      <c r="EK41" s="3">
        <v>68</v>
      </c>
      <c r="EL41" s="3" t="s">
        <v>27</v>
      </c>
      <c r="EM41" s="3" t="s">
        <v>28</v>
      </c>
      <c r="EO41" s="3" t="s">
        <v>29</v>
      </c>
      <c r="EQ41" s="3">
        <v>0</v>
      </c>
      <c r="ER41" s="3">
        <v>11.65</v>
      </c>
      <c r="ES41" s="3">
        <v>1.05</v>
      </c>
      <c r="ET41" s="3">
        <v>0</v>
      </c>
      <c r="EU41" s="3">
        <v>0</v>
      </c>
      <c r="EV41" s="3">
        <v>10.6</v>
      </c>
      <c r="EW41" s="3">
        <v>0.84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-1537307853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2125.11</v>
      </c>
      <c r="GN41" s="3">
        <f t="shared" si="54"/>
        <v>0</v>
      </c>
      <c r="GO41" s="3">
        <f t="shared" si="55"/>
        <v>2125.11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ROW(SmtRes!A50)</f>
        <v>50</v>
      </c>
      <c r="D42" s="2">
        <f>ROW(EtalonRes!A66)</f>
        <v>66</v>
      </c>
      <c r="E42" s="2" t="s">
        <v>57</v>
      </c>
      <c r="F42" s="2" t="s">
        <v>58</v>
      </c>
      <c r="G42" s="2" t="s">
        <v>59</v>
      </c>
      <c r="H42" s="2" t="s">
        <v>60</v>
      </c>
      <c r="I42" s="2">
        <f>ROUND((4+4+4)/100,9)</f>
        <v>0.12</v>
      </c>
      <c r="J42" s="2">
        <v>0</v>
      </c>
      <c r="K42" s="2">
        <f>ROUND((4+4+4)/100,9)</f>
        <v>0.12</v>
      </c>
      <c r="L42" s="2"/>
      <c r="M42" s="2"/>
      <c r="N42" s="2"/>
      <c r="O42" s="2">
        <f t="shared" si="21"/>
        <v>53.97</v>
      </c>
      <c r="P42" s="2">
        <f t="shared" si="22"/>
        <v>0</v>
      </c>
      <c r="Q42" s="2">
        <f t="shared" si="23"/>
        <v>4.22</v>
      </c>
      <c r="R42" s="2">
        <f t="shared" si="24"/>
        <v>0.59</v>
      </c>
      <c r="S42" s="2">
        <f t="shared" si="25"/>
        <v>49.75</v>
      </c>
      <c r="T42" s="2">
        <f t="shared" si="26"/>
        <v>0</v>
      </c>
      <c r="U42" s="2">
        <f t="shared" si="27"/>
        <v>3.8296579679999994</v>
      </c>
      <c r="V42" s="2">
        <f t="shared" si="28"/>
        <v>0</v>
      </c>
      <c r="W42" s="2">
        <f t="shared" si="29"/>
        <v>0</v>
      </c>
      <c r="X42" s="2">
        <f t="shared" si="30"/>
        <v>48.83</v>
      </c>
      <c r="Y42" s="2">
        <f t="shared" si="31"/>
        <v>25.67</v>
      </c>
      <c r="Z42" s="2"/>
      <c r="AA42" s="2">
        <v>55937296</v>
      </c>
      <c r="AB42" s="2">
        <f t="shared" si="32"/>
        <v>429.54480000000001</v>
      </c>
      <c r="AC42" s="2">
        <f t="shared" si="33"/>
        <v>0</v>
      </c>
      <c r="AD42" s="2">
        <f t="shared" si="34"/>
        <v>33.595199999999998</v>
      </c>
      <c r="AE42" s="2">
        <f t="shared" si="35"/>
        <v>4.68</v>
      </c>
      <c r="AF42" s="2">
        <f t="shared" si="36"/>
        <v>395.94959999999998</v>
      </c>
      <c r="AG42" s="2">
        <f t="shared" si="37"/>
        <v>0</v>
      </c>
      <c r="AH42" s="2">
        <f t="shared" si="38"/>
        <v>30.481199999999998</v>
      </c>
      <c r="AI42" s="2">
        <f t="shared" si="39"/>
        <v>0</v>
      </c>
      <c r="AJ42" s="2">
        <f t="shared" si="40"/>
        <v>0</v>
      </c>
      <c r="AK42" s="2">
        <v>1274.54</v>
      </c>
      <c r="AL42" s="2">
        <v>81.36</v>
      </c>
      <c r="AM42" s="2">
        <v>93.32</v>
      </c>
      <c r="AN42" s="2">
        <v>13</v>
      </c>
      <c r="AO42" s="2">
        <v>1099.8599999999999</v>
      </c>
      <c r="AP42" s="2">
        <v>0</v>
      </c>
      <c r="AQ42" s="2">
        <v>84.67</v>
      </c>
      <c r="AR42" s="2">
        <v>0</v>
      </c>
      <c r="AS42" s="2">
        <v>0</v>
      </c>
      <c r="AT42" s="2">
        <v>97</v>
      </c>
      <c r="AU42" s="2">
        <v>51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61</v>
      </c>
      <c r="BK42" s="2"/>
      <c r="BL42" s="2"/>
      <c r="BM42" s="2">
        <v>67</v>
      </c>
      <c r="BN42" s="2">
        <v>0</v>
      </c>
      <c r="BO42" s="2" t="s">
        <v>58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97</v>
      </c>
      <c r="CA42" s="2">
        <v>51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795</v>
      </c>
      <c r="CO42" s="2">
        <v>0</v>
      </c>
      <c r="CP42" s="2">
        <f t="shared" si="41"/>
        <v>53.97</v>
      </c>
      <c r="CQ42" s="2">
        <f t="shared" si="42"/>
        <v>0</v>
      </c>
      <c r="CR42" s="2">
        <f t="shared" si="43"/>
        <v>35.17</v>
      </c>
      <c r="CS42" s="2">
        <f t="shared" si="44"/>
        <v>4.9000000000000004</v>
      </c>
      <c r="CT42" s="2">
        <f t="shared" si="45"/>
        <v>414.56</v>
      </c>
      <c r="CU42" s="2">
        <f t="shared" si="46"/>
        <v>0</v>
      </c>
      <c r="CV42" s="2">
        <f t="shared" si="47"/>
        <v>31.913816399999995</v>
      </c>
      <c r="CW42" s="2">
        <f t="shared" si="48"/>
        <v>0</v>
      </c>
      <c r="CX42" s="2">
        <f t="shared" si="49"/>
        <v>0</v>
      </c>
      <c r="CY42" s="2">
        <f t="shared" si="50"/>
        <v>53.01</v>
      </c>
      <c r="CZ42" s="2">
        <f t="shared" si="51"/>
        <v>27.87</v>
      </c>
      <c r="DA42" s="2"/>
      <c r="DB42" s="2">
        <v>29</v>
      </c>
      <c r="DC42" s="2" t="s">
        <v>3</v>
      </c>
      <c r="DD42" s="2" t="s">
        <v>24</v>
      </c>
      <c r="DE42" s="2" t="s">
        <v>25</v>
      </c>
      <c r="DF42" s="2" t="s">
        <v>25</v>
      </c>
      <c r="DG42" s="2" t="s">
        <v>25</v>
      </c>
      <c r="DH42" s="2" t="s">
        <v>3</v>
      </c>
      <c r="DI42" s="2" t="s">
        <v>25</v>
      </c>
      <c r="DJ42" s="2" t="s">
        <v>25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60</v>
      </c>
      <c r="DW42" s="2" t="s">
        <v>60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55393699</v>
      </c>
      <c r="EF42" s="2">
        <v>40</v>
      </c>
      <c r="EG42" s="2" t="s">
        <v>26</v>
      </c>
      <c r="EH42" s="2">
        <v>0</v>
      </c>
      <c r="EI42" s="2" t="s">
        <v>3</v>
      </c>
      <c r="EJ42" s="2">
        <v>2</v>
      </c>
      <c r="EK42" s="2">
        <v>67</v>
      </c>
      <c r="EL42" s="2" t="s">
        <v>62</v>
      </c>
      <c r="EM42" s="2" t="s">
        <v>63</v>
      </c>
      <c r="EN42" s="2"/>
      <c r="EO42" s="2" t="s">
        <v>29</v>
      </c>
      <c r="EP42" s="2"/>
      <c r="EQ42" s="2">
        <v>0</v>
      </c>
      <c r="ER42" s="2">
        <v>1274.54</v>
      </c>
      <c r="ES42" s="2">
        <v>81.36</v>
      </c>
      <c r="ET42" s="2">
        <v>93.32</v>
      </c>
      <c r="EU42" s="2">
        <v>13</v>
      </c>
      <c r="EV42" s="2">
        <v>1099.8599999999999</v>
      </c>
      <c r="EW42" s="2">
        <v>84.67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97</v>
      </c>
      <c r="FY42" s="2">
        <v>51</v>
      </c>
      <c r="FZ42" s="2"/>
      <c r="GA42" s="2" t="s">
        <v>3</v>
      </c>
      <c r="GB42" s="2"/>
      <c r="GC42" s="2"/>
      <c r="GD42" s="2">
        <v>1</v>
      </c>
      <c r="GE42" s="2"/>
      <c r="GF42" s="2">
        <v>-1893547232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128.47</v>
      </c>
      <c r="GN42" s="2">
        <f t="shared" si="54"/>
        <v>0</v>
      </c>
      <c r="GO42" s="2">
        <f t="shared" si="55"/>
        <v>128.47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ROW(SmtRes!A56)</f>
        <v>56</v>
      </c>
      <c r="D43" s="3">
        <f>ROW(EtalonRes!A74)</f>
        <v>74</v>
      </c>
      <c r="E43" s="3" t="s">
        <v>57</v>
      </c>
      <c r="F43" s="3" t="s">
        <v>58</v>
      </c>
      <c r="G43" s="3" t="s">
        <v>59</v>
      </c>
      <c r="H43" s="3" t="s">
        <v>60</v>
      </c>
      <c r="I43" s="3">
        <f>ROUND((4+4+4)/100,9)</f>
        <v>0.12</v>
      </c>
      <c r="J43" s="3">
        <v>0</v>
      </c>
      <c r="K43" s="3">
        <f>ROUND((4+4+4)/100,9)</f>
        <v>0.12</v>
      </c>
      <c r="O43" s="3">
        <f t="shared" si="21"/>
        <v>2872.7</v>
      </c>
      <c r="P43" s="3">
        <f t="shared" si="22"/>
        <v>0</v>
      </c>
      <c r="Q43" s="3">
        <f t="shared" si="23"/>
        <v>69.290000000000006</v>
      </c>
      <c r="R43" s="3">
        <f t="shared" si="24"/>
        <v>33.25</v>
      </c>
      <c r="S43" s="3">
        <f t="shared" si="25"/>
        <v>2803.41</v>
      </c>
      <c r="T43" s="3">
        <f t="shared" si="26"/>
        <v>0</v>
      </c>
      <c r="U43" s="3">
        <f t="shared" si="27"/>
        <v>3.8296579679999994</v>
      </c>
      <c r="V43" s="3">
        <f t="shared" si="28"/>
        <v>0</v>
      </c>
      <c r="W43" s="3">
        <f t="shared" si="29"/>
        <v>0</v>
      </c>
      <c r="X43" s="3">
        <f t="shared" si="30"/>
        <v>2751.56</v>
      </c>
      <c r="Y43" s="3">
        <f t="shared" si="31"/>
        <v>1446.7</v>
      </c>
      <c r="AA43" s="3">
        <v>55937298</v>
      </c>
      <c r="AB43" s="3">
        <f t="shared" si="32"/>
        <v>429.54480000000001</v>
      </c>
      <c r="AC43" s="3">
        <f t="shared" si="33"/>
        <v>0</v>
      </c>
      <c r="AD43" s="3">
        <f t="shared" si="34"/>
        <v>33.595199999999998</v>
      </c>
      <c r="AE43" s="3">
        <f t="shared" si="35"/>
        <v>4.68</v>
      </c>
      <c r="AF43" s="3">
        <f t="shared" si="36"/>
        <v>395.94959999999998</v>
      </c>
      <c r="AG43" s="3">
        <f t="shared" si="37"/>
        <v>0</v>
      </c>
      <c r="AH43" s="3">
        <f t="shared" si="38"/>
        <v>30.481199999999998</v>
      </c>
      <c r="AI43" s="3">
        <f t="shared" si="39"/>
        <v>0</v>
      </c>
      <c r="AJ43" s="3">
        <f t="shared" si="40"/>
        <v>0</v>
      </c>
      <c r="AK43" s="3">
        <v>1274.54</v>
      </c>
      <c r="AL43" s="3">
        <v>81.36</v>
      </c>
      <c r="AM43" s="3">
        <v>93.32</v>
      </c>
      <c r="AN43" s="3">
        <v>13</v>
      </c>
      <c r="AO43" s="3">
        <v>1099.8599999999999</v>
      </c>
      <c r="AP43" s="3">
        <v>0</v>
      </c>
      <c r="AQ43" s="3">
        <v>84.67</v>
      </c>
      <c r="AR43" s="3">
        <v>0</v>
      </c>
      <c r="AS43" s="3">
        <v>0</v>
      </c>
      <c r="AT43" s="3">
        <v>97</v>
      </c>
      <c r="AU43" s="3">
        <v>51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16.420000000000002</v>
      </c>
      <c r="BC43" s="3">
        <v>10.65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61</v>
      </c>
      <c r="BM43" s="3">
        <v>67</v>
      </c>
      <c r="BN43" s="3">
        <v>0</v>
      </c>
      <c r="BO43" s="3" t="s">
        <v>58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97</v>
      </c>
      <c r="CA43" s="3">
        <v>51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795</v>
      </c>
      <c r="CO43" s="3">
        <v>0</v>
      </c>
      <c r="CP43" s="3">
        <f t="shared" si="41"/>
        <v>2872.7</v>
      </c>
      <c r="CQ43" s="3">
        <f t="shared" si="42"/>
        <v>0</v>
      </c>
      <c r="CR43" s="3">
        <f t="shared" si="43"/>
        <v>577.49</v>
      </c>
      <c r="CS43" s="3">
        <f t="shared" si="44"/>
        <v>276.12</v>
      </c>
      <c r="CT43" s="3">
        <f t="shared" si="45"/>
        <v>23360.46</v>
      </c>
      <c r="CU43" s="3">
        <f t="shared" si="46"/>
        <v>0</v>
      </c>
      <c r="CV43" s="3">
        <f t="shared" si="47"/>
        <v>31.913816399999995</v>
      </c>
      <c r="CW43" s="3">
        <f t="shared" si="48"/>
        <v>0</v>
      </c>
      <c r="CX43" s="3">
        <f t="shared" si="49"/>
        <v>0</v>
      </c>
      <c r="CY43" s="3">
        <f t="shared" si="50"/>
        <v>2987.14</v>
      </c>
      <c r="CZ43" s="3">
        <f t="shared" si="51"/>
        <v>1570.56</v>
      </c>
      <c r="DB43" s="3">
        <v>31</v>
      </c>
      <c r="DC43" s="3" t="s">
        <v>3</v>
      </c>
      <c r="DD43" s="3" t="s">
        <v>24</v>
      </c>
      <c r="DE43" s="3" t="s">
        <v>25</v>
      </c>
      <c r="DF43" s="3" t="s">
        <v>25</v>
      </c>
      <c r="DG43" s="3" t="s">
        <v>25</v>
      </c>
      <c r="DH43" s="3" t="s">
        <v>3</v>
      </c>
      <c r="DI43" s="3" t="s">
        <v>25</v>
      </c>
      <c r="DJ43" s="3" t="s">
        <v>25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1010</v>
      </c>
      <c r="DV43" s="3" t="s">
        <v>60</v>
      </c>
      <c r="DW43" s="3" t="s">
        <v>60</v>
      </c>
      <c r="DX43" s="3">
        <v>100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55393699</v>
      </c>
      <c r="EF43" s="3">
        <v>40</v>
      </c>
      <c r="EG43" s="3" t="s">
        <v>26</v>
      </c>
      <c r="EH43" s="3">
        <v>0</v>
      </c>
      <c r="EI43" s="3" t="s">
        <v>3</v>
      </c>
      <c r="EJ43" s="3">
        <v>2</v>
      </c>
      <c r="EK43" s="3">
        <v>67</v>
      </c>
      <c r="EL43" s="3" t="s">
        <v>62</v>
      </c>
      <c r="EM43" s="3" t="s">
        <v>63</v>
      </c>
      <c r="EO43" s="3" t="s">
        <v>29</v>
      </c>
      <c r="EQ43" s="3">
        <v>0</v>
      </c>
      <c r="ER43" s="3">
        <v>1274.54</v>
      </c>
      <c r="ES43" s="3">
        <v>81.36</v>
      </c>
      <c r="ET43" s="3">
        <v>93.32</v>
      </c>
      <c r="EU43" s="3">
        <v>13</v>
      </c>
      <c r="EV43" s="3">
        <v>1099.8599999999999</v>
      </c>
      <c r="EW43" s="3">
        <v>84.67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97</v>
      </c>
      <c r="FY43" s="3">
        <v>51</v>
      </c>
      <c r="GA43" s="3" t="s">
        <v>3</v>
      </c>
      <c r="GD43" s="3">
        <v>1</v>
      </c>
      <c r="GF43" s="3">
        <v>-1893547232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7070.96</v>
      </c>
      <c r="GN43" s="3">
        <f t="shared" si="54"/>
        <v>0</v>
      </c>
      <c r="GO43" s="3">
        <f t="shared" si="55"/>
        <v>7070.96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ROW(SmtRes!A57)</f>
        <v>57</v>
      </c>
      <c r="D44" s="2">
        <f>ROW(EtalonRes!A75)</f>
        <v>75</v>
      </c>
      <c r="E44" s="2" t="s">
        <v>64</v>
      </c>
      <c r="F44" s="2" t="s">
        <v>44</v>
      </c>
      <c r="G44" s="2" t="s">
        <v>65</v>
      </c>
      <c r="H44" s="2" t="s">
        <v>22</v>
      </c>
      <c r="I44" s="2">
        <v>4</v>
      </c>
      <c r="J44" s="2">
        <v>0</v>
      </c>
      <c r="K44" s="2">
        <v>4</v>
      </c>
      <c r="L44" s="2"/>
      <c r="M44" s="2"/>
      <c r="N44" s="2"/>
      <c r="O44" s="2">
        <f t="shared" si="21"/>
        <v>32.049999999999997</v>
      </c>
      <c r="P44" s="2">
        <f t="shared" si="22"/>
        <v>0</v>
      </c>
      <c r="Q44" s="2">
        <f t="shared" si="23"/>
        <v>0.09</v>
      </c>
      <c r="R44" s="2">
        <f t="shared" si="24"/>
        <v>0.02</v>
      </c>
      <c r="S44" s="2">
        <f t="shared" si="25"/>
        <v>31.96</v>
      </c>
      <c r="T44" s="2">
        <f t="shared" si="26"/>
        <v>0</v>
      </c>
      <c r="U44" s="2">
        <f t="shared" si="27"/>
        <v>2.5329023999999998</v>
      </c>
      <c r="V44" s="2">
        <f t="shared" si="28"/>
        <v>0</v>
      </c>
      <c r="W44" s="2">
        <f t="shared" si="29"/>
        <v>0</v>
      </c>
      <c r="X44" s="2">
        <f t="shared" si="30"/>
        <v>28.78</v>
      </c>
      <c r="Y44" s="2">
        <f t="shared" si="31"/>
        <v>14.71</v>
      </c>
      <c r="Z44" s="2"/>
      <c r="AA44" s="2">
        <v>55937296</v>
      </c>
      <c r="AB44" s="2">
        <f t="shared" si="32"/>
        <v>7.6536</v>
      </c>
      <c r="AC44" s="2">
        <f t="shared" si="33"/>
        <v>0</v>
      </c>
      <c r="AD44" s="2">
        <f t="shared" si="34"/>
        <v>2.1600000000000001E-2</v>
      </c>
      <c r="AE44" s="2">
        <f t="shared" si="35"/>
        <v>3.5999999999999999E-3</v>
      </c>
      <c r="AF44" s="2">
        <f t="shared" si="36"/>
        <v>7.6319999999999997</v>
      </c>
      <c r="AG44" s="2">
        <f t="shared" si="37"/>
        <v>0</v>
      </c>
      <c r="AH44" s="2">
        <f t="shared" si="38"/>
        <v>0.6048</v>
      </c>
      <c r="AI44" s="2">
        <f t="shared" si="39"/>
        <v>0</v>
      </c>
      <c r="AJ44" s="2">
        <f t="shared" si="40"/>
        <v>0</v>
      </c>
      <c r="AK44" s="2">
        <v>22.52</v>
      </c>
      <c r="AL44" s="2">
        <v>1.26</v>
      </c>
      <c r="AM44" s="2">
        <v>0.06</v>
      </c>
      <c r="AN44" s="2">
        <v>0.01</v>
      </c>
      <c r="AO44" s="2">
        <v>21.2</v>
      </c>
      <c r="AP44" s="2">
        <v>0</v>
      </c>
      <c r="AQ44" s="2">
        <v>1.68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46</v>
      </c>
      <c r="BK44" s="2"/>
      <c r="BL44" s="2"/>
      <c r="BM44" s="2">
        <v>68</v>
      </c>
      <c r="BN44" s="2">
        <v>0</v>
      </c>
      <c r="BO44" s="2" t="s">
        <v>44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795</v>
      </c>
      <c r="CO44" s="2">
        <v>0</v>
      </c>
      <c r="CP44" s="2">
        <f t="shared" si="41"/>
        <v>32.050000000000004</v>
      </c>
      <c r="CQ44" s="2">
        <f t="shared" si="42"/>
        <v>0</v>
      </c>
      <c r="CR44" s="2">
        <f t="shared" si="43"/>
        <v>0.02</v>
      </c>
      <c r="CS44" s="2">
        <f t="shared" si="44"/>
        <v>0</v>
      </c>
      <c r="CT44" s="2">
        <f t="shared" si="45"/>
        <v>7.99</v>
      </c>
      <c r="CU44" s="2">
        <f t="shared" si="46"/>
        <v>0</v>
      </c>
      <c r="CV44" s="2">
        <f t="shared" si="47"/>
        <v>0.63322559999999994</v>
      </c>
      <c r="CW44" s="2">
        <f t="shared" si="48"/>
        <v>0</v>
      </c>
      <c r="CX44" s="2">
        <f t="shared" si="49"/>
        <v>0</v>
      </c>
      <c r="CY44" s="2">
        <f t="shared" si="50"/>
        <v>28.76</v>
      </c>
      <c r="CZ44" s="2">
        <f t="shared" si="51"/>
        <v>14.7</v>
      </c>
      <c r="DA44" s="2"/>
      <c r="DB44" s="2">
        <v>33</v>
      </c>
      <c r="DC44" s="2" t="s">
        <v>3</v>
      </c>
      <c r="DD44" s="2" t="s">
        <v>24</v>
      </c>
      <c r="DE44" s="2" t="s">
        <v>25</v>
      </c>
      <c r="DF44" s="2" t="s">
        <v>25</v>
      </c>
      <c r="DG44" s="2" t="s">
        <v>25</v>
      </c>
      <c r="DH44" s="2" t="s">
        <v>3</v>
      </c>
      <c r="DI44" s="2" t="s">
        <v>25</v>
      </c>
      <c r="DJ44" s="2" t="s">
        <v>25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22</v>
      </c>
      <c r="DW44" s="2" t="s">
        <v>22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55393700</v>
      </c>
      <c r="EF44" s="2">
        <v>40</v>
      </c>
      <c r="EG44" s="2" t="s">
        <v>26</v>
      </c>
      <c r="EH44" s="2">
        <v>0</v>
      </c>
      <c r="EI44" s="2" t="s">
        <v>3</v>
      </c>
      <c r="EJ44" s="2">
        <v>2</v>
      </c>
      <c r="EK44" s="2">
        <v>68</v>
      </c>
      <c r="EL44" s="2" t="s">
        <v>27</v>
      </c>
      <c r="EM44" s="2" t="s">
        <v>28</v>
      </c>
      <c r="EN44" s="2"/>
      <c r="EO44" s="2" t="s">
        <v>29</v>
      </c>
      <c r="EP44" s="2"/>
      <c r="EQ44" s="2">
        <v>0</v>
      </c>
      <c r="ER44" s="2">
        <v>22.52</v>
      </c>
      <c r="ES44" s="2">
        <v>1.26</v>
      </c>
      <c r="ET44" s="2">
        <v>0.06</v>
      </c>
      <c r="EU44" s="2">
        <v>0.01</v>
      </c>
      <c r="EV44" s="2">
        <v>21.2</v>
      </c>
      <c r="EW44" s="2">
        <v>1.68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-324079866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75.540000000000006</v>
      </c>
      <c r="GN44" s="2">
        <f t="shared" si="54"/>
        <v>0</v>
      </c>
      <c r="GO44" s="2">
        <f t="shared" si="55"/>
        <v>75.540000000000006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ROW(SmtRes!A58)</f>
        <v>58</v>
      </c>
      <c r="D45" s="3">
        <f>ROW(EtalonRes!A76)</f>
        <v>76</v>
      </c>
      <c r="E45" s="3" t="s">
        <v>64</v>
      </c>
      <c r="F45" s="3" t="s">
        <v>44</v>
      </c>
      <c r="G45" s="3" t="s">
        <v>65</v>
      </c>
      <c r="H45" s="3" t="s">
        <v>22</v>
      </c>
      <c r="I45" s="3">
        <v>4</v>
      </c>
      <c r="J45" s="3">
        <v>0</v>
      </c>
      <c r="K45" s="3">
        <v>4</v>
      </c>
      <c r="O45" s="3">
        <f t="shared" si="21"/>
        <v>1802.62</v>
      </c>
      <c r="P45" s="3">
        <f t="shared" si="22"/>
        <v>0</v>
      </c>
      <c r="Q45" s="3">
        <f t="shared" si="23"/>
        <v>1.67</v>
      </c>
      <c r="R45" s="3">
        <f t="shared" si="24"/>
        <v>1.1299999999999999</v>
      </c>
      <c r="S45" s="3">
        <f t="shared" si="25"/>
        <v>1800.95</v>
      </c>
      <c r="T45" s="3">
        <f t="shared" si="26"/>
        <v>0</v>
      </c>
      <c r="U45" s="3">
        <f t="shared" si="27"/>
        <v>2.5329023999999998</v>
      </c>
      <c r="V45" s="3">
        <f t="shared" si="28"/>
        <v>0</v>
      </c>
      <c r="W45" s="3">
        <f t="shared" si="29"/>
        <v>0</v>
      </c>
      <c r="X45" s="3">
        <f t="shared" si="30"/>
        <v>1621.87</v>
      </c>
      <c r="Y45" s="3">
        <f t="shared" si="31"/>
        <v>828.96</v>
      </c>
      <c r="AA45" s="3">
        <v>55937298</v>
      </c>
      <c r="AB45" s="3">
        <f t="shared" si="32"/>
        <v>7.6536</v>
      </c>
      <c r="AC45" s="3">
        <f t="shared" si="33"/>
        <v>0</v>
      </c>
      <c r="AD45" s="3">
        <f t="shared" si="34"/>
        <v>2.1600000000000001E-2</v>
      </c>
      <c r="AE45" s="3">
        <f t="shared" si="35"/>
        <v>3.5999999999999999E-3</v>
      </c>
      <c r="AF45" s="3">
        <f t="shared" si="36"/>
        <v>7.6319999999999997</v>
      </c>
      <c r="AG45" s="3">
        <f t="shared" si="37"/>
        <v>0</v>
      </c>
      <c r="AH45" s="3">
        <f t="shared" si="38"/>
        <v>0.6048</v>
      </c>
      <c r="AI45" s="3">
        <f t="shared" si="39"/>
        <v>0</v>
      </c>
      <c r="AJ45" s="3">
        <f t="shared" si="40"/>
        <v>0</v>
      </c>
      <c r="AK45" s="3">
        <v>22.52</v>
      </c>
      <c r="AL45" s="3">
        <v>1.26</v>
      </c>
      <c r="AM45" s="3">
        <v>0.06</v>
      </c>
      <c r="AN45" s="3">
        <v>0.01</v>
      </c>
      <c r="AO45" s="3">
        <v>21.2</v>
      </c>
      <c r="AP45" s="3">
        <v>0</v>
      </c>
      <c r="AQ45" s="3">
        <v>1.68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18.5</v>
      </c>
      <c r="BC45" s="3">
        <v>9.84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46</v>
      </c>
      <c r="BM45" s="3">
        <v>68</v>
      </c>
      <c r="BN45" s="3">
        <v>0</v>
      </c>
      <c r="BO45" s="3" t="s">
        <v>44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795</v>
      </c>
      <c r="CO45" s="3">
        <v>0</v>
      </c>
      <c r="CP45" s="3">
        <f t="shared" si="41"/>
        <v>1802.6200000000001</v>
      </c>
      <c r="CQ45" s="3">
        <f t="shared" si="42"/>
        <v>0</v>
      </c>
      <c r="CR45" s="3">
        <f t="shared" si="43"/>
        <v>0.37</v>
      </c>
      <c r="CS45" s="3">
        <f t="shared" si="44"/>
        <v>0</v>
      </c>
      <c r="CT45" s="3">
        <f t="shared" si="45"/>
        <v>450.24</v>
      </c>
      <c r="CU45" s="3">
        <f t="shared" si="46"/>
        <v>0</v>
      </c>
      <c r="CV45" s="3">
        <f t="shared" si="47"/>
        <v>0.63322559999999994</v>
      </c>
      <c r="CW45" s="3">
        <f t="shared" si="48"/>
        <v>0</v>
      </c>
      <c r="CX45" s="3">
        <f t="shared" si="49"/>
        <v>0</v>
      </c>
      <c r="CY45" s="3">
        <f t="shared" si="50"/>
        <v>1620.86</v>
      </c>
      <c r="CZ45" s="3">
        <f t="shared" si="51"/>
        <v>828.44</v>
      </c>
      <c r="DB45" s="3">
        <v>35</v>
      </c>
      <c r="DC45" s="3" t="s">
        <v>3</v>
      </c>
      <c r="DD45" s="3" t="s">
        <v>24</v>
      </c>
      <c r="DE45" s="3" t="s">
        <v>25</v>
      </c>
      <c r="DF45" s="3" t="s">
        <v>25</v>
      </c>
      <c r="DG45" s="3" t="s">
        <v>25</v>
      </c>
      <c r="DH45" s="3" t="s">
        <v>3</v>
      </c>
      <c r="DI45" s="3" t="s">
        <v>25</v>
      </c>
      <c r="DJ45" s="3" t="s">
        <v>25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22</v>
      </c>
      <c r="DW45" s="3" t="s">
        <v>22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55393700</v>
      </c>
      <c r="EF45" s="3">
        <v>40</v>
      </c>
      <c r="EG45" s="3" t="s">
        <v>26</v>
      </c>
      <c r="EH45" s="3">
        <v>0</v>
      </c>
      <c r="EI45" s="3" t="s">
        <v>3</v>
      </c>
      <c r="EJ45" s="3">
        <v>2</v>
      </c>
      <c r="EK45" s="3">
        <v>68</v>
      </c>
      <c r="EL45" s="3" t="s">
        <v>27</v>
      </c>
      <c r="EM45" s="3" t="s">
        <v>28</v>
      </c>
      <c r="EO45" s="3" t="s">
        <v>29</v>
      </c>
      <c r="EQ45" s="3">
        <v>0</v>
      </c>
      <c r="ER45" s="3">
        <v>22.52</v>
      </c>
      <c r="ES45" s="3">
        <v>1.26</v>
      </c>
      <c r="ET45" s="3">
        <v>0.06</v>
      </c>
      <c r="EU45" s="3">
        <v>0.01</v>
      </c>
      <c r="EV45" s="3">
        <v>21.2</v>
      </c>
      <c r="EW45" s="3">
        <v>1.68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-324079866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4253.45</v>
      </c>
      <c r="GN45" s="3">
        <f t="shared" si="54"/>
        <v>0</v>
      </c>
      <c r="GO45" s="3">
        <f t="shared" si="55"/>
        <v>4253.45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ROW(SmtRes!A62)</f>
        <v>62</v>
      </c>
      <c r="D46" s="2">
        <f>ROW(EtalonRes!A82)</f>
        <v>82</v>
      </c>
      <c r="E46" s="2" t="s">
        <v>66</v>
      </c>
      <c r="F46" s="2" t="s">
        <v>67</v>
      </c>
      <c r="G46" s="2" t="s">
        <v>68</v>
      </c>
      <c r="H46" s="2" t="s">
        <v>22</v>
      </c>
      <c r="I46" s="2">
        <f>ROUND(3+2+2+2,9)</f>
        <v>9</v>
      </c>
      <c r="J46" s="2">
        <v>0</v>
      </c>
      <c r="K46" s="2">
        <f>ROUND(3+2+2+2,9)</f>
        <v>9</v>
      </c>
      <c r="L46" s="2"/>
      <c r="M46" s="2"/>
      <c r="N46" s="2"/>
      <c r="O46" s="2">
        <f t="shared" si="21"/>
        <v>33.880000000000003</v>
      </c>
      <c r="P46" s="2">
        <f t="shared" si="22"/>
        <v>0</v>
      </c>
      <c r="Q46" s="2">
        <f t="shared" si="23"/>
        <v>0.17</v>
      </c>
      <c r="R46" s="2">
        <f t="shared" si="24"/>
        <v>0</v>
      </c>
      <c r="S46" s="2">
        <f t="shared" si="25"/>
        <v>33.71</v>
      </c>
      <c r="T46" s="2">
        <f t="shared" si="26"/>
        <v>0</v>
      </c>
      <c r="U46" s="2">
        <f t="shared" si="27"/>
        <v>2.0742479999999999</v>
      </c>
      <c r="V46" s="2">
        <f t="shared" si="28"/>
        <v>0</v>
      </c>
      <c r="W46" s="2">
        <f t="shared" si="29"/>
        <v>0</v>
      </c>
      <c r="X46" s="2">
        <f t="shared" si="30"/>
        <v>31.01</v>
      </c>
      <c r="Y46" s="2">
        <f t="shared" si="31"/>
        <v>16.52</v>
      </c>
      <c r="Z46" s="2"/>
      <c r="AA46" s="2">
        <v>55937296</v>
      </c>
      <c r="AB46" s="2">
        <f t="shared" si="32"/>
        <v>3.528</v>
      </c>
      <c r="AC46" s="2">
        <f t="shared" si="33"/>
        <v>0</v>
      </c>
      <c r="AD46" s="2">
        <f t="shared" si="34"/>
        <v>1.7999999999999999E-2</v>
      </c>
      <c r="AE46" s="2">
        <f t="shared" si="35"/>
        <v>0</v>
      </c>
      <c r="AF46" s="2">
        <f t="shared" si="36"/>
        <v>3.51</v>
      </c>
      <c r="AG46" s="2">
        <f t="shared" si="37"/>
        <v>0</v>
      </c>
      <c r="AH46" s="2">
        <f t="shared" si="38"/>
        <v>0.216</v>
      </c>
      <c r="AI46" s="2">
        <f t="shared" si="39"/>
        <v>0</v>
      </c>
      <c r="AJ46" s="2">
        <f t="shared" si="40"/>
        <v>0</v>
      </c>
      <c r="AK46" s="2">
        <v>11.11</v>
      </c>
      <c r="AL46" s="2">
        <v>1.31</v>
      </c>
      <c r="AM46" s="2">
        <v>0.05</v>
      </c>
      <c r="AN46" s="2">
        <v>0</v>
      </c>
      <c r="AO46" s="2">
        <v>9.75</v>
      </c>
      <c r="AP46" s="2">
        <v>0</v>
      </c>
      <c r="AQ46" s="2">
        <v>0.6</v>
      </c>
      <c r="AR46" s="2">
        <v>0</v>
      </c>
      <c r="AS46" s="2">
        <v>0</v>
      </c>
      <c r="AT46" s="2">
        <v>92</v>
      </c>
      <c r="AU46" s="2">
        <v>49</v>
      </c>
      <c r="AV46" s="2">
        <v>1.0669999999999999</v>
      </c>
      <c r="AW46" s="2">
        <v>1.028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69</v>
      </c>
      <c r="BK46" s="2"/>
      <c r="BL46" s="2"/>
      <c r="BM46" s="2">
        <v>84</v>
      </c>
      <c r="BN46" s="2">
        <v>0</v>
      </c>
      <c r="BO46" s="2" t="s">
        <v>67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92</v>
      </c>
      <c r="CA46" s="2">
        <v>49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795</v>
      </c>
      <c r="CO46" s="2">
        <v>0</v>
      </c>
      <c r="CP46" s="2">
        <f t="shared" si="41"/>
        <v>33.880000000000003</v>
      </c>
      <c r="CQ46" s="2">
        <f t="shared" si="42"/>
        <v>0</v>
      </c>
      <c r="CR46" s="2">
        <f t="shared" si="43"/>
        <v>0.02</v>
      </c>
      <c r="CS46" s="2">
        <f t="shared" si="44"/>
        <v>0</v>
      </c>
      <c r="CT46" s="2">
        <f t="shared" si="45"/>
        <v>3.75</v>
      </c>
      <c r="CU46" s="2">
        <f t="shared" si="46"/>
        <v>0</v>
      </c>
      <c r="CV46" s="2">
        <f t="shared" si="47"/>
        <v>0.23047199999999998</v>
      </c>
      <c r="CW46" s="2">
        <f t="shared" si="48"/>
        <v>0</v>
      </c>
      <c r="CX46" s="2">
        <f t="shared" si="49"/>
        <v>0</v>
      </c>
      <c r="CY46" s="2">
        <f t="shared" si="50"/>
        <v>31.01</v>
      </c>
      <c r="CZ46" s="2">
        <f t="shared" si="51"/>
        <v>16.52</v>
      </c>
      <c r="DA46" s="2"/>
      <c r="DB46" s="2">
        <v>37</v>
      </c>
      <c r="DC46" s="2" t="s">
        <v>3</v>
      </c>
      <c r="DD46" s="2" t="s">
        <v>24</v>
      </c>
      <c r="DE46" s="2" t="s">
        <v>25</v>
      </c>
      <c r="DF46" s="2" t="s">
        <v>25</v>
      </c>
      <c r="DG46" s="2" t="s">
        <v>25</v>
      </c>
      <c r="DH46" s="2" t="s">
        <v>3</v>
      </c>
      <c r="DI46" s="2" t="s">
        <v>25</v>
      </c>
      <c r="DJ46" s="2" t="s">
        <v>25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22</v>
      </c>
      <c r="DW46" s="2" t="s">
        <v>22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55393716</v>
      </c>
      <c r="EF46" s="2">
        <v>40</v>
      </c>
      <c r="EG46" s="2" t="s">
        <v>26</v>
      </c>
      <c r="EH46" s="2">
        <v>0</v>
      </c>
      <c r="EI46" s="2" t="s">
        <v>3</v>
      </c>
      <c r="EJ46" s="2">
        <v>2</v>
      </c>
      <c r="EK46" s="2">
        <v>84</v>
      </c>
      <c r="EL46" s="2" t="s">
        <v>70</v>
      </c>
      <c r="EM46" s="2" t="s">
        <v>71</v>
      </c>
      <c r="EN46" s="2"/>
      <c r="EO46" s="2" t="s">
        <v>29</v>
      </c>
      <c r="EP46" s="2"/>
      <c r="EQ46" s="2">
        <v>0</v>
      </c>
      <c r="ER46" s="2">
        <v>11.11</v>
      </c>
      <c r="ES46" s="2">
        <v>1.31</v>
      </c>
      <c r="ET46" s="2">
        <v>0.05</v>
      </c>
      <c r="EU46" s="2">
        <v>0</v>
      </c>
      <c r="EV46" s="2">
        <v>9.75</v>
      </c>
      <c r="EW46" s="2">
        <v>0.6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2</v>
      </c>
      <c r="FT46" s="2"/>
      <c r="FU46" s="2"/>
      <c r="FV46" s="2"/>
      <c r="FW46" s="2"/>
      <c r="FX46" s="2">
        <v>92</v>
      </c>
      <c r="FY46" s="2">
        <v>49</v>
      </c>
      <c r="FZ46" s="2"/>
      <c r="GA46" s="2" t="s">
        <v>3</v>
      </c>
      <c r="GB46" s="2"/>
      <c r="GC46" s="2"/>
      <c r="GD46" s="2">
        <v>1</v>
      </c>
      <c r="GE46" s="2"/>
      <c r="GF46" s="2">
        <v>-1753372494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81.41</v>
      </c>
      <c r="GN46" s="2">
        <f t="shared" si="54"/>
        <v>0</v>
      </c>
      <c r="GO46" s="2">
        <f t="shared" si="55"/>
        <v>81.41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ROW(SmtRes!A66)</f>
        <v>66</v>
      </c>
      <c r="D47" s="3">
        <f>ROW(EtalonRes!A88)</f>
        <v>88</v>
      </c>
      <c r="E47" s="3" t="s">
        <v>66</v>
      </c>
      <c r="F47" s="3" t="s">
        <v>67</v>
      </c>
      <c r="G47" s="3" t="s">
        <v>68</v>
      </c>
      <c r="H47" s="3" t="s">
        <v>22</v>
      </c>
      <c r="I47" s="3">
        <f>ROUND(3+2+2+2,9)</f>
        <v>9</v>
      </c>
      <c r="J47" s="3">
        <v>0</v>
      </c>
      <c r="K47" s="3">
        <f>ROUND(3+2+2+2,9)</f>
        <v>9</v>
      </c>
      <c r="O47" s="3">
        <f t="shared" si="21"/>
        <v>1901.06</v>
      </c>
      <c r="P47" s="3">
        <f t="shared" si="22"/>
        <v>0</v>
      </c>
      <c r="Q47" s="3">
        <f t="shared" si="23"/>
        <v>1.5</v>
      </c>
      <c r="R47" s="3">
        <f t="shared" si="24"/>
        <v>0</v>
      </c>
      <c r="S47" s="3">
        <f t="shared" si="25"/>
        <v>1899.56</v>
      </c>
      <c r="T47" s="3">
        <f t="shared" si="26"/>
        <v>0</v>
      </c>
      <c r="U47" s="3">
        <f t="shared" si="27"/>
        <v>2.0742479999999999</v>
      </c>
      <c r="V47" s="3">
        <f t="shared" si="28"/>
        <v>0</v>
      </c>
      <c r="W47" s="3">
        <f t="shared" si="29"/>
        <v>0</v>
      </c>
      <c r="X47" s="3">
        <f t="shared" si="30"/>
        <v>1747.6</v>
      </c>
      <c r="Y47" s="3">
        <f t="shared" si="31"/>
        <v>930.78</v>
      </c>
      <c r="AA47" s="3">
        <v>55937298</v>
      </c>
      <c r="AB47" s="3">
        <f t="shared" si="32"/>
        <v>3.528</v>
      </c>
      <c r="AC47" s="3">
        <f t="shared" si="33"/>
        <v>0</v>
      </c>
      <c r="AD47" s="3">
        <f t="shared" si="34"/>
        <v>1.7999999999999999E-2</v>
      </c>
      <c r="AE47" s="3">
        <f t="shared" si="35"/>
        <v>0</v>
      </c>
      <c r="AF47" s="3">
        <f t="shared" si="36"/>
        <v>3.51</v>
      </c>
      <c r="AG47" s="3">
        <f t="shared" si="37"/>
        <v>0</v>
      </c>
      <c r="AH47" s="3">
        <f t="shared" si="38"/>
        <v>0.216</v>
      </c>
      <c r="AI47" s="3">
        <f t="shared" si="39"/>
        <v>0</v>
      </c>
      <c r="AJ47" s="3">
        <f t="shared" si="40"/>
        <v>0</v>
      </c>
      <c r="AK47" s="3">
        <v>11.11</v>
      </c>
      <c r="AL47" s="3">
        <v>1.31</v>
      </c>
      <c r="AM47" s="3">
        <v>0.05</v>
      </c>
      <c r="AN47" s="3">
        <v>0</v>
      </c>
      <c r="AO47" s="3">
        <v>9.75</v>
      </c>
      <c r="AP47" s="3">
        <v>0</v>
      </c>
      <c r="AQ47" s="3">
        <v>0.6</v>
      </c>
      <c r="AR47" s="3">
        <v>0</v>
      </c>
      <c r="AS47" s="3">
        <v>0</v>
      </c>
      <c r="AT47" s="3">
        <v>92</v>
      </c>
      <c r="AU47" s="3">
        <v>49</v>
      </c>
      <c r="AV47" s="3">
        <v>1.0669999999999999</v>
      </c>
      <c r="AW47" s="3">
        <v>1.028</v>
      </c>
      <c r="AZ47" s="3">
        <v>1</v>
      </c>
      <c r="BA47" s="3">
        <v>56.35</v>
      </c>
      <c r="BB47" s="3">
        <v>8.8000000000000007</v>
      </c>
      <c r="BC47" s="3">
        <v>2.9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69</v>
      </c>
      <c r="BM47" s="3">
        <v>84</v>
      </c>
      <c r="BN47" s="3">
        <v>0</v>
      </c>
      <c r="BO47" s="3" t="s">
        <v>67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92</v>
      </c>
      <c r="CA47" s="3">
        <v>49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795</v>
      </c>
      <c r="CO47" s="3">
        <v>0</v>
      </c>
      <c r="CP47" s="3">
        <f t="shared" si="41"/>
        <v>1901.06</v>
      </c>
      <c r="CQ47" s="3">
        <f t="shared" si="42"/>
        <v>0</v>
      </c>
      <c r="CR47" s="3">
        <f t="shared" si="43"/>
        <v>0.18</v>
      </c>
      <c r="CS47" s="3">
        <f t="shared" si="44"/>
        <v>0</v>
      </c>
      <c r="CT47" s="3">
        <f t="shared" si="45"/>
        <v>211.31</v>
      </c>
      <c r="CU47" s="3">
        <f t="shared" si="46"/>
        <v>0</v>
      </c>
      <c r="CV47" s="3">
        <f t="shared" si="47"/>
        <v>0.23047199999999998</v>
      </c>
      <c r="CW47" s="3">
        <f t="shared" si="48"/>
        <v>0</v>
      </c>
      <c r="CX47" s="3">
        <f t="shared" si="49"/>
        <v>0</v>
      </c>
      <c r="CY47" s="3">
        <f t="shared" si="50"/>
        <v>1747.6</v>
      </c>
      <c r="CZ47" s="3">
        <f t="shared" si="51"/>
        <v>930.78</v>
      </c>
      <c r="DB47" s="3">
        <v>39</v>
      </c>
      <c r="DC47" s="3" t="s">
        <v>3</v>
      </c>
      <c r="DD47" s="3" t="s">
        <v>24</v>
      </c>
      <c r="DE47" s="3" t="s">
        <v>25</v>
      </c>
      <c r="DF47" s="3" t="s">
        <v>25</v>
      </c>
      <c r="DG47" s="3" t="s">
        <v>25</v>
      </c>
      <c r="DH47" s="3" t="s">
        <v>3</v>
      </c>
      <c r="DI47" s="3" t="s">
        <v>25</v>
      </c>
      <c r="DJ47" s="3" t="s">
        <v>25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22</v>
      </c>
      <c r="DW47" s="3" t="s">
        <v>22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55393716</v>
      </c>
      <c r="EF47" s="3">
        <v>40</v>
      </c>
      <c r="EG47" s="3" t="s">
        <v>26</v>
      </c>
      <c r="EH47" s="3">
        <v>0</v>
      </c>
      <c r="EI47" s="3" t="s">
        <v>3</v>
      </c>
      <c r="EJ47" s="3">
        <v>2</v>
      </c>
      <c r="EK47" s="3">
        <v>84</v>
      </c>
      <c r="EL47" s="3" t="s">
        <v>70</v>
      </c>
      <c r="EM47" s="3" t="s">
        <v>71</v>
      </c>
      <c r="EO47" s="3" t="s">
        <v>29</v>
      </c>
      <c r="EQ47" s="3">
        <v>0</v>
      </c>
      <c r="ER47" s="3">
        <v>11.11</v>
      </c>
      <c r="ES47" s="3">
        <v>1.31</v>
      </c>
      <c r="ET47" s="3">
        <v>0.05</v>
      </c>
      <c r="EU47" s="3">
        <v>0</v>
      </c>
      <c r="EV47" s="3">
        <v>9.75</v>
      </c>
      <c r="EW47" s="3">
        <v>0.6</v>
      </c>
      <c r="EX47" s="3">
        <v>0</v>
      </c>
      <c r="EY47" s="3">
        <v>0</v>
      </c>
      <c r="FQ47" s="3">
        <v>0</v>
      </c>
      <c r="FR47" s="3">
        <v>0</v>
      </c>
      <c r="FS47" s="3">
        <v>2</v>
      </c>
      <c r="FX47" s="3">
        <v>92</v>
      </c>
      <c r="FY47" s="3">
        <v>49</v>
      </c>
      <c r="GA47" s="3" t="s">
        <v>3</v>
      </c>
      <c r="GD47" s="3">
        <v>1</v>
      </c>
      <c r="GF47" s="3">
        <v>-1753372494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4579.4399999999996</v>
      </c>
      <c r="GN47" s="3">
        <f t="shared" si="54"/>
        <v>0</v>
      </c>
      <c r="GO47" s="3">
        <f t="shared" si="55"/>
        <v>4579.4399999999996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>
        <f>ROW(SmtRes!A73)</f>
        <v>73</v>
      </c>
      <c r="D48" s="2">
        <f>ROW(EtalonRes!A96)</f>
        <v>96</v>
      </c>
      <c r="E48" s="2" t="s">
        <v>72</v>
      </c>
      <c r="F48" s="2" t="s">
        <v>73</v>
      </c>
      <c r="G48" s="2" t="s">
        <v>74</v>
      </c>
      <c r="H48" s="2" t="s">
        <v>75</v>
      </c>
      <c r="I48" s="2">
        <f>ROUND(4/10,9)</f>
        <v>0.4</v>
      </c>
      <c r="J48" s="2">
        <v>0</v>
      </c>
      <c r="K48" s="2">
        <f>ROUND(4/10,9)</f>
        <v>0.4</v>
      </c>
      <c r="L48" s="2"/>
      <c r="M48" s="2"/>
      <c r="N48" s="2"/>
      <c r="O48" s="2">
        <f t="shared" si="21"/>
        <v>235.71</v>
      </c>
      <c r="P48" s="2">
        <f t="shared" si="22"/>
        <v>117.09</v>
      </c>
      <c r="Q48" s="2">
        <f>(ROUND((ROUND((((((ET48*1.25)*1.2)*0.6))*AV48*I48),2)*BB48),2)+ROUND((ROUND(((AE48-((((EU48*1.25)*1.2)*0.6)))*AV48*I48),2)*BS48),2))</f>
        <v>44.5</v>
      </c>
      <c r="R48" s="2">
        <f>(ROUND((ROUND((((((EU48*1.25)*1.2)*0.6))*AV48*I48),2)*BS48),2)+ROUND((ROUND(((AE48-((((EU48*1.25)*1.2)*0.6)))*AV48*I48),2)*BS48),2))</f>
        <v>6.72</v>
      </c>
      <c r="S48" s="2">
        <f t="shared" si="25"/>
        <v>74.12</v>
      </c>
      <c r="T48" s="2">
        <f t="shared" si="26"/>
        <v>0</v>
      </c>
      <c r="U48" s="2">
        <f t="shared" si="27"/>
        <v>6.6170646719999979</v>
      </c>
      <c r="V48" s="2">
        <f t="shared" si="28"/>
        <v>0</v>
      </c>
      <c r="W48" s="2">
        <f t="shared" si="29"/>
        <v>0</v>
      </c>
      <c r="X48" s="2">
        <f>(ROUND((((S48+ROUND((ROUND((((((EU48*1.25)*1.2)*0.6))*AV48*I48),2)*BS48),2))*AT48)/100),2)+ROUND(((ROUND((ROUND(((AE48-((((EU48*1.25)*1.2)*0.6)))*AV48*I48),2)*BS48),2)*AT48)/100),2))</f>
        <v>75.180000000000007</v>
      </c>
      <c r="Y48" s="2">
        <f>(ROUND((((S48+ROUND((ROUND((((((EU48*1.25)*1.2)*0.6))*AV48*I48),2)*BS48),2))*AU48)/100),2)+ROUND(((ROUND((ROUND(((AE48-((((EU48*1.25)*1.2)*0.6)))*AV48*I48),2)*BS48),2)*AU48)/100),2))</f>
        <v>50.12</v>
      </c>
      <c r="Z48" s="2"/>
      <c r="AA48" s="2">
        <v>55937296</v>
      </c>
      <c r="AB48" s="2">
        <f t="shared" si="32"/>
        <v>565.56191999999999</v>
      </c>
      <c r="AC48" s="2">
        <f>ROUND(((((ES48*1)*1)*0.6)),6)</f>
        <v>292.72800000000001</v>
      </c>
      <c r="AD48" s="2">
        <f>ROUND(((((((ET48*1.25)*1.2)*0.6))-((((EU48*1.25)*1.2)*0.6)))+AE48),6)</f>
        <v>102.357</v>
      </c>
      <c r="AE48" s="2">
        <f>ROUND(((((EU48*1.25)*1.2)*0.6)),6)</f>
        <v>15.444000000000001</v>
      </c>
      <c r="AF48" s="2">
        <f>ROUND(((((EV48*1.15)*1.2)*0.6)),6)</f>
        <v>170.47692000000001</v>
      </c>
      <c r="AG48" s="2">
        <f t="shared" si="37"/>
        <v>0</v>
      </c>
      <c r="AH48" s="2">
        <f>((((EW48*1.15)*1.2)*0.6))</f>
        <v>15.218639999999997</v>
      </c>
      <c r="AI48" s="2">
        <f>((((EX48*1.25)*1.2)*0.6))</f>
        <v>0</v>
      </c>
      <c r="AJ48" s="2">
        <f t="shared" si="40"/>
        <v>0</v>
      </c>
      <c r="AK48" s="2">
        <v>807.5</v>
      </c>
      <c r="AL48" s="2">
        <v>487.88</v>
      </c>
      <c r="AM48" s="2">
        <v>113.73</v>
      </c>
      <c r="AN48" s="2">
        <v>17.16</v>
      </c>
      <c r="AO48" s="2">
        <v>205.89</v>
      </c>
      <c r="AP48" s="2">
        <v>0</v>
      </c>
      <c r="AQ48" s="2">
        <v>18.38</v>
      </c>
      <c r="AR48" s="2">
        <v>0</v>
      </c>
      <c r="AS48" s="2">
        <v>0</v>
      </c>
      <c r="AT48" s="2">
        <v>93</v>
      </c>
      <c r="AU48" s="2">
        <v>62</v>
      </c>
      <c r="AV48" s="2">
        <v>1.087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76</v>
      </c>
      <c r="BK48" s="2"/>
      <c r="BL48" s="2"/>
      <c r="BM48" s="2">
        <v>13</v>
      </c>
      <c r="BN48" s="2">
        <v>0</v>
      </c>
      <c r="BO48" s="2" t="s">
        <v>73</v>
      </c>
      <c r="BP48" s="2">
        <v>1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93</v>
      </c>
      <c r="CA48" s="2">
        <v>62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796</v>
      </c>
      <c r="CO48" s="2">
        <v>0</v>
      </c>
      <c r="CP48" s="2">
        <f t="shared" si="41"/>
        <v>235.71</v>
      </c>
      <c r="CQ48" s="2">
        <f t="shared" si="42"/>
        <v>292.73</v>
      </c>
      <c r="CR48" s="2">
        <f>(ROUND((ROUND((((((ET48*1.25)*1.2)*0.6))*AV48*1),2)*BB48),2)+ROUND((ROUND(((AE48-((((EU48*1.25)*1.2)*0.6)))*AV48*1),2)*BS48),2))</f>
        <v>111.26</v>
      </c>
      <c r="CS48" s="2">
        <f>(ROUND((ROUND((((((EU48*1.25)*1.2)*0.6))*AV48*1),2)*BS48),2)+ROUND((ROUND(((AE48-((((EU48*1.25)*1.2)*0.6)))*AV48*1),2)*BS48),2))</f>
        <v>16.79</v>
      </c>
      <c r="CT48" s="2">
        <f t="shared" si="45"/>
        <v>185.31</v>
      </c>
      <c r="CU48" s="2">
        <f t="shared" si="46"/>
        <v>0</v>
      </c>
      <c r="CV48" s="2">
        <f t="shared" si="47"/>
        <v>16.542661679999995</v>
      </c>
      <c r="CW48" s="2">
        <f t="shared" si="48"/>
        <v>0</v>
      </c>
      <c r="CX48" s="2">
        <f t="shared" si="49"/>
        <v>0</v>
      </c>
      <c r="CY48" s="2">
        <f>(ROUND((((S48+ROUND((ROUND((((((EU48*1.25)*1.2)*0.6))*AV48*1),2)*BS48),2))*AT48)/100),2)+ROUND(((ROUND((ROUND(((AE48-((((EU48*1.25)*1.2)*0.6)))*AV48*1),2)*BS48),2)*AT48)/100),2))</f>
        <v>84.55</v>
      </c>
      <c r="CZ48" s="2">
        <f>(ROUND((((S48+ROUND((ROUND((((((EU48*1.25)*1.2)*0.6))*AV48*1),2)*BS48),2))*AU48)/100),2)+ROUND(((ROUND((ROUND(((AE48-((((EU48*1.25)*1.2)*0.6)))*AV48*1),2)*BS48),2)*AU48)/100),2))</f>
        <v>56.36</v>
      </c>
      <c r="DA48" s="2"/>
      <c r="DB48" s="2">
        <v>41</v>
      </c>
      <c r="DC48" s="2" t="s">
        <v>3</v>
      </c>
      <c r="DD48" s="2" t="s">
        <v>77</v>
      </c>
      <c r="DE48" s="2" t="s">
        <v>78</v>
      </c>
      <c r="DF48" s="2" t="s">
        <v>78</v>
      </c>
      <c r="DG48" s="2" t="s">
        <v>79</v>
      </c>
      <c r="DH48" s="2" t="s">
        <v>3</v>
      </c>
      <c r="DI48" s="2" t="s">
        <v>79</v>
      </c>
      <c r="DJ48" s="2" t="s">
        <v>78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75</v>
      </c>
      <c r="DW48" s="2" t="s">
        <v>75</v>
      </c>
      <c r="DX48" s="2">
        <v>10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55393642</v>
      </c>
      <c r="EF48" s="2">
        <v>30</v>
      </c>
      <c r="EG48" s="2" t="s">
        <v>80</v>
      </c>
      <c r="EH48" s="2">
        <v>0</v>
      </c>
      <c r="EI48" s="2" t="s">
        <v>3</v>
      </c>
      <c r="EJ48" s="2">
        <v>1</v>
      </c>
      <c r="EK48" s="2">
        <v>13</v>
      </c>
      <c r="EL48" s="2" t="s">
        <v>81</v>
      </c>
      <c r="EM48" s="2" t="s">
        <v>82</v>
      </c>
      <c r="EN48" s="2"/>
      <c r="EO48" s="2" t="s">
        <v>83</v>
      </c>
      <c r="EP48" s="2"/>
      <c r="EQ48" s="2">
        <v>0</v>
      </c>
      <c r="ER48" s="2">
        <v>807.5</v>
      </c>
      <c r="ES48" s="2">
        <v>487.88</v>
      </c>
      <c r="ET48" s="2">
        <v>113.73</v>
      </c>
      <c r="EU48" s="2">
        <v>17.16</v>
      </c>
      <c r="EV48" s="2">
        <v>205.89</v>
      </c>
      <c r="EW48" s="2">
        <v>18.38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93</v>
      </c>
      <c r="FY48" s="2">
        <v>62</v>
      </c>
      <c r="FZ48" s="2"/>
      <c r="GA48" s="2" t="s">
        <v>3</v>
      </c>
      <c r="GB48" s="2"/>
      <c r="GC48" s="2"/>
      <c r="GD48" s="2">
        <v>1</v>
      </c>
      <c r="GE48" s="2"/>
      <c r="GF48" s="2">
        <v>-39335557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361.01</v>
      </c>
      <c r="GN48" s="2">
        <f t="shared" si="54"/>
        <v>361.01</v>
      </c>
      <c r="GO48" s="2">
        <f t="shared" si="55"/>
        <v>0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C49" s="3">
        <f>ROW(SmtRes!A80)</f>
        <v>80</v>
      </c>
      <c r="D49" s="3">
        <f>ROW(EtalonRes!A104)</f>
        <v>104</v>
      </c>
      <c r="E49" s="3" t="s">
        <v>72</v>
      </c>
      <c r="F49" s="3" t="s">
        <v>73</v>
      </c>
      <c r="G49" s="3" t="s">
        <v>74</v>
      </c>
      <c r="H49" s="3" t="s">
        <v>75</v>
      </c>
      <c r="I49" s="3">
        <f>ROUND(4/10,9)</f>
        <v>0.4</v>
      </c>
      <c r="J49" s="3">
        <v>0</v>
      </c>
      <c r="K49" s="3">
        <f>ROUND(4/10,9)</f>
        <v>0.4</v>
      </c>
      <c r="O49" s="3">
        <f t="shared" si="21"/>
        <v>5683.43</v>
      </c>
      <c r="P49" s="3">
        <f t="shared" si="22"/>
        <v>749.38</v>
      </c>
      <c r="Q49" s="3">
        <f>(ROUND((ROUND((((((ET49*1.25)*1.2)*0.6))*AV49*I49),2)*BB49),2)+ROUND((ROUND(((AE49-((((EU49*1.25)*1.2)*0.6)))*AV49*I49),2)*BS49),2))</f>
        <v>757.39</v>
      </c>
      <c r="R49" s="3">
        <f>(ROUND((ROUND((((((EU49*1.25)*1.2)*0.6))*AV49*I49),2)*BS49),2)+ROUND((ROUND(((AE49-((((EU49*1.25)*1.2)*0.6)))*AV49*I49),2)*BS49),2))</f>
        <v>378.67</v>
      </c>
      <c r="S49" s="3">
        <f t="shared" si="25"/>
        <v>4176.66</v>
      </c>
      <c r="T49" s="3">
        <f t="shared" si="26"/>
        <v>0</v>
      </c>
      <c r="U49" s="3">
        <f t="shared" si="27"/>
        <v>6.6170646719999979</v>
      </c>
      <c r="V49" s="3">
        <f t="shared" si="28"/>
        <v>0</v>
      </c>
      <c r="W49" s="3">
        <f t="shared" si="29"/>
        <v>0</v>
      </c>
      <c r="X49" s="3">
        <f>(ROUND((((S49+ROUND((ROUND((((((EU49*1.25)*1.2)*0.6))*AV49*I49),2)*BS49),2))*AT49)/100),2)+ROUND(((ROUND((ROUND(((AE49-((((EU49*1.25)*1.2)*0.6)))*AV49*I49),2)*BS49),2)*AT49)/100),2))</f>
        <v>4236.46</v>
      </c>
      <c r="Y49" s="3">
        <f>(ROUND((((S49+ROUND((ROUND((((((EU49*1.25)*1.2)*0.6))*AV49*I49),2)*BS49),2))*AU49)/100),2)+ROUND(((ROUND((ROUND(((AE49-((((EU49*1.25)*1.2)*0.6)))*AV49*I49),2)*BS49),2)*AU49)/100),2))</f>
        <v>2824.3</v>
      </c>
      <c r="AA49" s="3">
        <v>55937298</v>
      </c>
      <c r="AB49" s="3">
        <f t="shared" si="32"/>
        <v>565.56191999999999</v>
      </c>
      <c r="AC49" s="3">
        <f>ROUND(((((ES49*1)*1)*0.6)),6)</f>
        <v>292.72800000000001</v>
      </c>
      <c r="AD49" s="3">
        <f>ROUND(((((((ET49*1.25)*1.2)*0.6))-((((EU49*1.25)*1.2)*0.6)))+AE49),6)</f>
        <v>102.357</v>
      </c>
      <c r="AE49" s="3">
        <f>ROUND(((((EU49*1.25)*1.2)*0.6)),6)</f>
        <v>15.444000000000001</v>
      </c>
      <c r="AF49" s="3">
        <f>ROUND(((((EV49*1.15)*1.2)*0.6)),6)</f>
        <v>170.47692000000001</v>
      </c>
      <c r="AG49" s="3">
        <f t="shared" si="37"/>
        <v>0</v>
      </c>
      <c r="AH49" s="3">
        <f>((((EW49*1.15)*1.2)*0.6))</f>
        <v>15.218639999999997</v>
      </c>
      <c r="AI49" s="3">
        <f>((((EX49*1.25)*1.2)*0.6))</f>
        <v>0</v>
      </c>
      <c r="AJ49" s="3">
        <f t="shared" si="40"/>
        <v>0</v>
      </c>
      <c r="AK49" s="3">
        <v>807.5</v>
      </c>
      <c r="AL49" s="3">
        <v>487.88</v>
      </c>
      <c r="AM49" s="3">
        <v>113.73</v>
      </c>
      <c r="AN49" s="3">
        <v>17.16</v>
      </c>
      <c r="AO49" s="3">
        <v>205.89</v>
      </c>
      <c r="AP49" s="3">
        <v>0</v>
      </c>
      <c r="AQ49" s="3">
        <v>18.38</v>
      </c>
      <c r="AR49" s="3">
        <v>0</v>
      </c>
      <c r="AS49" s="3">
        <v>0</v>
      </c>
      <c r="AT49" s="3">
        <v>93</v>
      </c>
      <c r="AU49" s="3">
        <v>62</v>
      </c>
      <c r="AV49" s="3">
        <v>1.087</v>
      </c>
      <c r="AW49" s="3">
        <v>1</v>
      </c>
      <c r="AZ49" s="3">
        <v>1</v>
      </c>
      <c r="BA49" s="3">
        <v>56.35</v>
      </c>
      <c r="BB49" s="3">
        <v>17.02</v>
      </c>
      <c r="BC49" s="3">
        <v>6.4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1</v>
      </c>
      <c r="BJ49" s="3" t="s">
        <v>76</v>
      </c>
      <c r="BM49" s="3">
        <v>13</v>
      </c>
      <c r="BN49" s="3">
        <v>0</v>
      </c>
      <c r="BO49" s="3" t="s">
        <v>73</v>
      </c>
      <c r="BP49" s="3">
        <v>1</v>
      </c>
      <c r="BQ49" s="3">
        <v>30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93</v>
      </c>
      <c r="CA49" s="3">
        <v>62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796</v>
      </c>
      <c r="CO49" s="3">
        <v>0</v>
      </c>
      <c r="CP49" s="3">
        <f t="shared" si="41"/>
        <v>5683.43</v>
      </c>
      <c r="CQ49" s="3">
        <f t="shared" si="42"/>
        <v>1873.47</v>
      </c>
      <c r="CR49" s="3">
        <f>(ROUND((ROUND((((((ET49*1.25)*1.2)*0.6))*AV49*1),2)*BB49),2)+ROUND((ROUND(((AE49-((((EU49*1.25)*1.2)*0.6)))*AV49*1),2)*BS49),2))</f>
        <v>1893.65</v>
      </c>
      <c r="CS49" s="3">
        <f>(ROUND((ROUND((((((EU49*1.25)*1.2)*0.6))*AV49*1),2)*BS49),2)+ROUND((ROUND(((AE49-((((EU49*1.25)*1.2)*0.6)))*AV49*1),2)*BS49),2))</f>
        <v>946.12</v>
      </c>
      <c r="CT49" s="3">
        <f t="shared" si="45"/>
        <v>10442.219999999999</v>
      </c>
      <c r="CU49" s="3">
        <f t="shared" si="46"/>
        <v>0</v>
      </c>
      <c r="CV49" s="3">
        <f t="shared" si="47"/>
        <v>16.542661679999995</v>
      </c>
      <c r="CW49" s="3">
        <f t="shared" si="48"/>
        <v>0</v>
      </c>
      <c r="CX49" s="3">
        <f t="shared" si="49"/>
        <v>0</v>
      </c>
      <c r="CY49" s="3">
        <f>(ROUND((((S49+ROUND((ROUND((((((EU49*1.25)*1.2)*0.6))*AV49*1),2)*BS49),2))*AT49)/100),2)+ROUND(((ROUND((ROUND(((AE49-((((EU49*1.25)*1.2)*0.6)))*AV49*1),2)*BS49),2)*AT49)/100),2))</f>
        <v>4764.1899999999996</v>
      </c>
      <c r="CZ49" s="3">
        <f>(ROUND((((S49+ROUND((ROUND((((((EU49*1.25)*1.2)*0.6))*AV49*1),2)*BS49),2))*AU49)/100),2)+ROUND(((ROUND((ROUND(((AE49-((((EU49*1.25)*1.2)*0.6)))*AV49*1),2)*BS49),2)*AU49)/100),2))</f>
        <v>3176.12</v>
      </c>
      <c r="DB49" s="3">
        <v>44</v>
      </c>
      <c r="DC49" s="3" t="s">
        <v>3</v>
      </c>
      <c r="DD49" s="3" t="s">
        <v>77</v>
      </c>
      <c r="DE49" s="3" t="s">
        <v>78</v>
      </c>
      <c r="DF49" s="3" t="s">
        <v>78</v>
      </c>
      <c r="DG49" s="3" t="s">
        <v>79</v>
      </c>
      <c r="DH49" s="3" t="s">
        <v>3</v>
      </c>
      <c r="DI49" s="3" t="s">
        <v>79</v>
      </c>
      <c r="DJ49" s="3" t="s">
        <v>78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1010</v>
      </c>
      <c r="DV49" s="3" t="s">
        <v>75</v>
      </c>
      <c r="DW49" s="3" t="s">
        <v>75</v>
      </c>
      <c r="DX49" s="3">
        <v>10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55393642</v>
      </c>
      <c r="EF49" s="3">
        <v>30</v>
      </c>
      <c r="EG49" s="3" t="s">
        <v>80</v>
      </c>
      <c r="EH49" s="3">
        <v>0</v>
      </c>
      <c r="EI49" s="3" t="s">
        <v>3</v>
      </c>
      <c r="EJ49" s="3">
        <v>1</v>
      </c>
      <c r="EK49" s="3">
        <v>13</v>
      </c>
      <c r="EL49" s="3" t="s">
        <v>81</v>
      </c>
      <c r="EM49" s="3" t="s">
        <v>82</v>
      </c>
      <c r="EO49" s="3" t="s">
        <v>83</v>
      </c>
      <c r="EQ49" s="3">
        <v>0</v>
      </c>
      <c r="ER49" s="3">
        <v>807.5</v>
      </c>
      <c r="ES49" s="3">
        <v>487.88</v>
      </c>
      <c r="ET49" s="3">
        <v>113.73</v>
      </c>
      <c r="EU49" s="3">
        <v>17.16</v>
      </c>
      <c r="EV49" s="3">
        <v>205.89</v>
      </c>
      <c r="EW49" s="3">
        <v>18.38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93</v>
      </c>
      <c r="FY49" s="3">
        <v>62</v>
      </c>
      <c r="GA49" s="3" t="s">
        <v>3</v>
      </c>
      <c r="GD49" s="3">
        <v>1</v>
      </c>
      <c r="GF49" s="3">
        <v>-39335557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12744.19</v>
      </c>
      <c r="GN49" s="3">
        <f t="shared" si="54"/>
        <v>12744.19</v>
      </c>
      <c r="GO49" s="3">
        <f t="shared" si="55"/>
        <v>0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>
        <f>ROW(SmtRes!A81)</f>
        <v>81</v>
      </c>
      <c r="D50" s="2">
        <f>ROW(EtalonRes!A106)</f>
        <v>106</v>
      </c>
      <c r="E50" s="2" t="s">
        <v>84</v>
      </c>
      <c r="F50" s="2" t="s">
        <v>85</v>
      </c>
      <c r="G50" s="2" t="s">
        <v>86</v>
      </c>
      <c r="H50" s="2" t="s">
        <v>87</v>
      </c>
      <c r="I50" s="2">
        <f>ROUND(4*2,9)</f>
        <v>8</v>
      </c>
      <c r="J50" s="2">
        <v>0</v>
      </c>
      <c r="K50" s="2">
        <f>ROUND(4*2,9)</f>
        <v>8</v>
      </c>
      <c r="L50" s="2"/>
      <c r="M50" s="2"/>
      <c r="N50" s="2"/>
      <c r="O50" s="2">
        <f t="shared" si="21"/>
        <v>2.35</v>
      </c>
      <c r="P50" s="2">
        <f t="shared" si="22"/>
        <v>0</v>
      </c>
      <c r="Q50" s="2">
        <f>(ROUND((ROUND(((((ET50*1.2)*0.3))*AV50*I50),2)*BB50),2)+ROUND((ROUND(((AE50-(((EU50*1.2)*0.3)))*AV50*I50),2)*BS50),2))</f>
        <v>0</v>
      </c>
      <c r="R50" s="2">
        <f>(ROUND((ROUND(((((EU50*1.2)*0.3))*AV50*I50),2)*BS50),2)+ROUND((ROUND(((AE50-(((EU50*1.2)*0.3)))*AV50*I50),2)*BS50),2))</f>
        <v>0</v>
      </c>
      <c r="S50" s="2">
        <f t="shared" si="25"/>
        <v>2.35</v>
      </c>
      <c r="T50" s="2">
        <f t="shared" si="26"/>
        <v>0</v>
      </c>
      <c r="U50" s="2">
        <f t="shared" si="27"/>
        <v>0.21107519999999999</v>
      </c>
      <c r="V50" s="2">
        <f t="shared" si="28"/>
        <v>0</v>
      </c>
      <c r="W50" s="2">
        <f t="shared" si="29"/>
        <v>0</v>
      </c>
      <c r="X50" s="2">
        <f>(ROUND((((S50+ROUND((ROUND(((((EU50*1.2)*0.3))*AV50*I50),2)*BS50),2))*AT50)/100),2)+ROUND(((ROUND((ROUND(((AE50-(((EU50*1.2)*0.3)))*AV50*I50),2)*BS50),2)*AT50)/100),2))</f>
        <v>2.12</v>
      </c>
      <c r="Y50" s="2">
        <f>(ROUND((((S50+ROUND((ROUND(((((EU50*1.2)*0.3))*AV50*I50),2)*BS50),2))*AU50)/100),2)+ROUND(((ROUND((ROUND(((AE50-(((EU50*1.2)*0.3)))*AV50*I50),2)*BS50),2)*AU50)/100),2))</f>
        <v>1.08</v>
      </c>
      <c r="Z50" s="2"/>
      <c r="AA50" s="2">
        <v>55937296</v>
      </c>
      <c r="AB50" s="2">
        <f t="shared" si="32"/>
        <v>0.28079999999999999</v>
      </c>
      <c r="AC50" s="2">
        <f>ROUND((((ES50*1)*0)),6)</f>
        <v>0</v>
      </c>
      <c r="AD50" s="2">
        <f>ROUND((((((ET50*1.2)*0.3))-(((EU50*1.2)*0.3)))+AE50),6)</f>
        <v>0</v>
      </c>
      <c r="AE50" s="2">
        <f>ROUND((((EU50*1.2)*0.3)),6)</f>
        <v>0</v>
      </c>
      <c r="AF50" s="2">
        <f>ROUND((((EV50*1.2)*0.3)),6)</f>
        <v>0.28079999999999999</v>
      </c>
      <c r="AG50" s="2">
        <f t="shared" si="37"/>
        <v>0</v>
      </c>
      <c r="AH50" s="2">
        <f>(((EW50*1.2)*0.3))</f>
        <v>2.52E-2</v>
      </c>
      <c r="AI50" s="2">
        <f>(((EX50*1.2)*0.3))</f>
        <v>0</v>
      </c>
      <c r="AJ50" s="2">
        <f t="shared" si="40"/>
        <v>0</v>
      </c>
      <c r="AK50" s="2">
        <v>0.78</v>
      </c>
      <c r="AL50" s="2">
        <v>0</v>
      </c>
      <c r="AM50" s="2">
        <v>0</v>
      </c>
      <c r="AN50" s="2">
        <v>0</v>
      </c>
      <c r="AO50" s="2">
        <v>0.78</v>
      </c>
      <c r="AP50" s="2">
        <v>0</v>
      </c>
      <c r="AQ50" s="2">
        <v>7.0000000000000007E-2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88</v>
      </c>
      <c r="BK50" s="2"/>
      <c r="BL50" s="2"/>
      <c r="BM50" s="2">
        <v>68</v>
      </c>
      <c r="BN50" s="2">
        <v>0</v>
      </c>
      <c r="BO50" s="2" t="s">
        <v>85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795</v>
      </c>
      <c r="CO50" s="2">
        <v>0</v>
      </c>
      <c r="CP50" s="2">
        <f t="shared" si="41"/>
        <v>2.35</v>
      </c>
      <c r="CQ50" s="2">
        <f t="shared" si="42"/>
        <v>0</v>
      </c>
      <c r="CR50" s="2">
        <f>(ROUND((ROUND(((((ET50*1.2)*0.3))*AV50*1),2)*BB50),2)+ROUND((ROUND(((AE50-(((EU50*1.2)*0.3)))*AV50*1),2)*BS50),2))</f>
        <v>0</v>
      </c>
      <c r="CS50" s="2">
        <f>(ROUND((ROUND(((((EU50*1.2)*0.3))*AV50*1),2)*BS50),2)+ROUND((ROUND(((AE50-(((EU50*1.2)*0.3)))*AV50*1),2)*BS50),2))</f>
        <v>0</v>
      </c>
      <c r="CT50" s="2">
        <f t="shared" si="45"/>
        <v>0.28999999999999998</v>
      </c>
      <c r="CU50" s="2">
        <f t="shared" si="46"/>
        <v>0</v>
      </c>
      <c r="CV50" s="2">
        <f t="shared" si="47"/>
        <v>2.6384399999999999E-2</v>
      </c>
      <c r="CW50" s="2">
        <f t="shared" si="48"/>
        <v>0</v>
      </c>
      <c r="CX50" s="2">
        <f t="shared" si="49"/>
        <v>0</v>
      </c>
      <c r="CY50" s="2">
        <f>(ROUND((((S50+ROUND((ROUND(((((EU50*1.2)*0.3))*AV50*1),2)*BS50),2))*AT50)/100),2)+ROUND(((ROUND((ROUND(((AE50-(((EU50*1.2)*0.3)))*AV50*1),2)*BS50),2)*AT50)/100),2))</f>
        <v>2.12</v>
      </c>
      <c r="CZ50" s="2">
        <f>(ROUND((((S50+ROUND((ROUND(((((EU50*1.2)*0.3))*AV50*1),2)*BS50),2))*AU50)/100),2)+ROUND(((ROUND((ROUND(((AE50-(((EU50*1.2)*0.3)))*AV50*1),2)*BS50),2)*AU50)/100),2))</f>
        <v>1.08</v>
      </c>
      <c r="DA50" s="2"/>
      <c r="DB50" s="2">
        <v>47</v>
      </c>
      <c r="DC50" s="2" t="s">
        <v>3</v>
      </c>
      <c r="DD50" s="2" t="s">
        <v>24</v>
      </c>
      <c r="DE50" s="2" t="s">
        <v>25</v>
      </c>
      <c r="DF50" s="2" t="s">
        <v>25</v>
      </c>
      <c r="DG50" s="2" t="s">
        <v>25</v>
      </c>
      <c r="DH50" s="2" t="s">
        <v>3</v>
      </c>
      <c r="DI50" s="2" t="s">
        <v>25</v>
      </c>
      <c r="DJ50" s="2" t="s">
        <v>25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87</v>
      </c>
      <c r="DW50" s="2" t="s">
        <v>87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55393700</v>
      </c>
      <c r="EF50" s="2">
        <v>40</v>
      </c>
      <c r="EG50" s="2" t="s">
        <v>26</v>
      </c>
      <c r="EH50" s="2">
        <v>0</v>
      </c>
      <c r="EI50" s="2" t="s">
        <v>3</v>
      </c>
      <c r="EJ50" s="2">
        <v>2</v>
      </c>
      <c r="EK50" s="2">
        <v>68</v>
      </c>
      <c r="EL50" s="2" t="s">
        <v>27</v>
      </c>
      <c r="EM50" s="2" t="s">
        <v>28</v>
      </c>
      <c r="EN50" s="2"/>
      <c r="EO50" s="2" t="s">
        <v>29</v>
      </c>
      <c r="EP50" s="2"/>
      <c r="EQ50" s="2">
        <v>0</v>
      </c>
      <c r="ER50" s="2">
        <v>0.78</v>
      </c>
      <c r="ES50" s="2">
        <v>0</v>
      </c>
      <c r="ET50" s="2">
        <v>0</v>
      </c>
      <c r="EU50" s="2">
        <v>0</v>
      </c>
      <c r="EV50" s="2">
        <v>0.78</v>
      </c>
      <c r="EW50" s="2">
        <v>7.0000000000000007E-2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1577802063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5.55</v>
      </c>
      <c r="GN50" s="2">
        <f t="shared" si="54"/>
        <v>0</v>
      </c>
      <c r="GO50" s="2">
        <f t="shared" si="55"/>
        <v>5.55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C51" s="3">
        <f>ROW(SmtRes!A82)</f>
        <v>82</v>
      </c>
      <c r="D51" s="3">
        <f>ROW(EtalonRes!A108)</f>
        <v>108</v>
      </c>
      <c r="E51" s="3" t="s">
        <v>84</v>
      </c>
      <c r="F51" s="3" t="s">
        <v>85</v>
      </c>
      <c r="G51" s="3" t="s">
        <v>86</v>
      </c>
      <c r="H51" s="3" t="s">
        <v>87</v>
      </c>
      <c r="I51" s="3">
        <f>ROUND(4*2,9)</f>
        <v>8</v>
      </c>
      <c r="J51" s="3">
        <v>0</v>
      </c>
      <c r="K51" s="3">
        <f>ROUND(4*2,9)</f>
        <v>8</v>
      </c>
      <c r="O51" s="3">
        <f t="shared" si="21"/>
        <v>132.41999999999999</v>
      </c>
      <c r="P51" s="3">
        <f t="shared" si="22"/>
        <v>0</v>
      </c>
      <c r="Q51" s="3">
        <f>(ROUND((ROUND(((((ET51*1.2)*0.3))*AV51*I51),2)*BB51),2)+ROUND((ROUND(((AE51-(((EU51*1.2)*0.3)))*AV51*I51),2)*BS51),2))</f>
        <v>0</v>
      </c>
      <c r="R51" s="3">
        <f>(ROUND((ROUND(((((EU51*1.2)*0.3))*AV51*I51),2)*BS51),2)+ROUND((ROUND(((AE51-(((EU51*1.2)*0.3)))*AV51*I51),2)*BS51),2))</f>
        <v>0</v>
      </c>
      <c r="S51" s="3">
        <f t="shared" si="25"/>
        <v>132.41999999999999</v>
      </c>
      <c r="T51" s="3">
        <f t="shared" si="26"/>
        <v>0</v>
      </c>
      <c r="U51" s="3">
        <f t="shared" si="27"/>
        <v>0.21107519999999999</v>
      </c>
      <c r="V51" s="3">
        <f t="shared" si="28"/>
        <v>0</v>
      </c>
      <c r="W51" s="3">
        <f t="shared" si="29"/>
        <v>0</v>
      </c>
      <c r="X51" s="3">
        <f>(ROUND((((S51+ROUND((ROUND(((((EU51*1.2)*0.3))*AV51*I51),2)*BS51),2))*AT51)/100),2)+ROUND(((ROUND((ROUND(((AE51-(((EU51*1.2)*0.3)))*AV51*I51),2)*BS51),2)*AT51)/100),2))</f>
        <v>119.18</v>
      </c>
      <c r="Y51" s="3">
        <f>(ROUND((((S51+ROUND((ROUND(((((EU51*1.2)*0.3))*AV51*I51),2)*BS51),2))*AU51)/100),2)+ROUND(((ROUND((ROUND(((AE51-(((EU51*1.2)*0.3)))*AV51*I51),2)*BS51),2)*AU51)/100),2))</f>
        <v>60.91</v>
      </c>
      <c r="AA51" s="3">
        <v>55937298</v>
      </c>
      <c r="AB51" s="3">
        <f t="shared" si="32"/>
        <v>0.28079999999999999</v>
      </c>
      <c r="AC51" s="3">
        <f>ROUND((((ES51*1)*0)),6)</f>
        <v>0</v>
      </c>
      <c r="AD51" s="3">
        <f>ROUND((((((ET51*1.2)*0.3))-(((EU51*1.2)*0.3)))+AE51),6)</f>
        <v>0</v>
      </c>
      <c r="AE51" s="3">
        <f>ROUND((((EU51*1.2)*0.3)),6)</f>
        <v>0</v>
      </c>
      <c r="AF51" s="3">
        <f>ROUND((((EV51*1.2)*0.3)),6)</f>
        <v>0.28079999999999999</v>
      </c>
      <c r="AG51" s="3">
        <f t="shared" si="37"/>
        <v>0</v>
      </c>
      <c r="AH51" s="3">
        <f>(((EW51*1.2)*0.3))</f>
        <v>2.52E-2</v>
      </c>
      <c r="AI51" s="3">
        <f>(((EX51*1.2)*0.3))</f>
        <v>0</v>
      </c>
      <c r="AJ51" s="3">
        <f t="shared" si="40"/>
        <v>0</v>
      </c>
      <c r="AK51" s="3">
        <v>0.78</v>
      </c>
      <c r="AL51" s="3">
        <v>0</v>
      </c>
      <c r="AM51" s="3">
        <v>0</v>
      </c>
      <c r="AN51" s="3">
        <v>0</v>
      </c>
      <c r="AO51" s="3">
        <v>0.78</v>
      </c>
      <c r="AP51" s="3">
        <v>0</v>
      </c>
      <c r="AQ51" s="3">
        <v>7.0000000000000007E-2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</v>
      </c>
      <c r="BC51" s="3">
        <v>1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88</v>
      </c>
      <c r="BM51" s="3">
        <v>68</v>
      </c>
      <c r="BN51" s="3">
        <v>0</v>
      </c>
      <c r="BO51" s="3" t="s">
        <v>85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795</v>
      </c>
      <c r="CO51" s="3">
        <v>0</v>
      </c>
      <c r="CP51" s="3">
        <f t="shared" si="41"/>
        <v>132.41999999999999</v>
      </c>
      <c r="CQ51" s="3">
        <f t="shared" si="42"/>
        <v>0</v>
      </c>
      <c r="CR51" s="3">
        <f>(ROUND((ROUND(((((ET51*1.2)*0.3))*AV51*1),2)*BB51),2)+ROUND((ROUND(((AE51-(((EU51*1.2)*0.3)))*AV51*1),2)*BS51),2))</f>
        <v>0</v>
      </c>
      <c r="CS51" s="3">
        <f>(ROUND((ROUND(((((EU51*1.2)*0.3))*AV51*1),2)*BS51),2)+ROUND((ROUND(((AE51-(((EU51*1.2)*0.3)))*AV51*1),2)*BS51),2))</f>
        <v>0</v>
      </c>
      <c r="CT51" s="3">
        <f t="shared" si="45"/>
        <v>16.34</v>
      </c>
      <c r="CU51" s="3">
        <f t="shared" si="46"/>
        <v>0</v>
      </c>
      <c r="CV51" s="3">
        <f t="shared" si="47"/>
        <v>2.6384399999999999E-2</v>
      </c>
      <c r="CW51" s="3">
        <f t="shared" si="48"/>
        <v>0</v>
      </c>
      <c r="CX51" s="3">
        <f t="shared" si="49"/>
        <v>0</v>
      </c>
      <c r="CY51" s="3">
        <f>(ROUND((((S51+ROUND((ROUND(((((EU51*1.2)*0.3))*AV51*1),2)*BS51),2))*AT51)/100),2)+ROUND(((ROUND((ROUND(((AE51-(((EU51*1.2)*0.3)))*AV51*1),2)*BS51),2)*AT51)/100),2))</f>
        <v>119.18</v>
      </c>
      <c r="CZ51" s="3">
        <f>(ROUND((((S51+ROUND((ROUND(((((EU51*1.2)*0.3))*AV51*1),2)*BS51),2))*AU51)/100),2)+ROUND(((ROUND((ROUND(((AE51-(((EU51*1.2)*0.3)))*AV51*1),2)*BS51),2)*AU51)/100),2))</f>
        <v>60.91</v>
      </c>
      <c r="DB51" s="3">
        <v>49</v>
      </c>
      <c r="DC51" s="3" t="s">
        <v>3</v>
      </c>
      <c r="DD51" s="3" t="s">
        <v>24</v>
      </c>
      <c r="DE51" s="3" t="s">
        <v>25</v>
      </c>
      <c r="DF51" s="3" t="s">
        <v>25</v>
      </c>
      <c r="DG51" s="3" t="s">
        <v>25</v>
      </c>
      <c r="DH51" s="3" t="s">
        <v>3</v>
      </c>
      <c r="DI51" s="3" t="s">
        <v>25</v>
      </c>
      <c r="DJ51" s="3" t="s">
        <v>25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87</v>
      </c>
      <c r="DW51" s="3" t="s">
        <v>87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55393700</v>
      </c>
      <c r="EF51" s="3">
        <v>40</v>
      </c>
      <c r="EG51" s="3" t="s">
        <v>26</v>
      </c>
      <c r="EH51" s="3">
        <v>0</v>
      </c>
      <c r="EI51" s="3" t="s">
        <v>3</v>
      </c>
      <c r="EJ51" s="3">
        <v>2</v>
      </c>
      <c r="EK51" s="3">
        <v>68</v>
      </c>
      <c r="EL51" s="3" t="s">
        <v>27</v>
      </c>
      <c r="EM51" s="3" t="s">
        <v>28</v>
      </c>
      <c r="EO51" s="3" t="s">
        <v>29</v>
      </c>
      <c r="EQ51" s="3">
        <v>0</v>
      </c>
      <c r="ER51" s="3">
        <v>0.78</v>
      </c>
      <c r="ES51" s="3">
        <v>0</v>
      </c>
      <c r="ET51" s="3">
        <v>0</v>
      </c>
      <c r="EU51" s="3">
        <v>0</v>
      </c>
      <c r="EV51" s="3">
        <v>0.78</v>
      </c>
      <c r="EW51" s="3">
        <v>7.0000000000000007E-2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1577802063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312.51</v>
      </c>
      <c r="GN51" s="3">
        <f t="shared" si="54"/>
        <v>0</v>
      </c>
      <c r="GO51" s="3">
        <f t="shared" si="55"/>
        <v>312.51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>
        <f>ROW(SmtRes!A88)</f>
        <v>88</v>
      </c>
      <c r="D52" s="2">
        <f>ROW(EtalonRes!A115)</f>
        <v>115</v>
      </c>
      <c r="E52" s="2" t="s">
        <v>89</v>
      </c>
      <c r="F52" s="2" t="s">
        <v>90</v>
      </c>
      <c r="G52" s="2" t="s">
        <v>91</v>
      </c>
      <c r="H52" s="2" t="s">
        <v>60</v>
      </c>
      <c r="I52" s="2">
        <f>ROUND(4/100,9)</f>
        <v>0.04</v>
      </c>
      <c r="J52" s="2">
        <v>0</v>
      </c>
      <c r="K52" s="2">
        <f>ROUND(4/100,9)</f>
        <v>0.04</v>
      </c>
      <c r="L52" s="2"/>
      <c r="M52" s="2"/>
      <c r="N52" s="2"/>
      <c r="O52" s="2">
        <f t="shared" si="21"/>
        <v>10.86</v>
      </c>
      <c r="P52" s="2">
        <f t="shared" si="22"/>
        <v>3.18</v>
      </c>
      <c r="Q52" s="2">
        <f t="shared" ref="Q52:Q57" si="60">(ROUND((ROUND((((((ET52*1.25)*1.2)*0.6))*AV52*I52),2)*BB52),2)+ROUND((ROUND(((AE52-((((EU52*1.25)*1.2)*0.6)))*AV52*I52),2)*BS52),2))</f>
        <v>0.73</v>
      </c>
      <c r="R52" s="2">
        <f t="shared" ref="R52:R57" si="61">(ROUND((ROUND((((((EU52*1.25)*1.2)*0.6))*AV52*I52),2)*BS52),2)+ROUND((ROUND(((AE52-((((EU52*1.25)*1.2)*0.6)))*AV52*I52),2)*BS52),2))</f>
        <v>0.09</v>
      </c>
      <c r="S52" s="2">
        <f t="shared" si="25"/>
        <v>6.95</v>
      </c>
      <c r="T52" s="2">
        <f t="shared" si="26"/>
        <v>0</v>
      </c>
      <c r="U52" s="2">
        <f t="shared" si="27"/>
        <v>0.41653666079999996</v>
      </c>
      <c r="V52" s="2">
        <f t="shared" si="28"/>
        <v>0</v>
      </c>
      <c r="W52" s="2">
        <f t="shared" si="29"/>
        <v>0</v>
      </c>
      <c r="X52" s="2">
        <f t="shared" ref="X52:X57" si="62">(ROUND((((S52+ROUND((ROUND((((((EU52*1.25)*1.2)*0.6))*AV52*I52),2)*BS52),2))*AT52)/100),2)+ROUND(((ROUND((ROUND(((AE52-((((EU52*1.25)*1.2)*0.6)))*AV52*I52),2)*BS52),2)*AT52)/100),2))</f>
        <v>6.55</v>
      </c>
      <c r="Y52" s="2">
        <f t="shared" ref="Y52:Y57" si="63">(ROUND((((S52+ROUND((ROUND((((((EU52*1.25)*1.2)*0.6))*AV52*I52),2)*BS52),2))*AU52)/100),2)+ROUND(((ROUND((ROUND(((AE52-((((EU52*1.25)*1.2)*0.6)))*AV52*I52),2)*BS52),2)*AU52)/100),2))</f>
        <v>4.3600000000000003</v>
      </c>
      <c r="Z52" s="2"/>
      <c r="AA52" s="2">
        <v>55937296</v>
      </c>
      <c r="AB52" s="2">
        <f t="shared" si="32"/>
        <v>256.13664</v>
      </c>
      <c r="AC52" s="2">
        <f t="shared" ref="AC52:AC57" si="64">ROUND(((((ES52*1)*1)*0.6)),6)</f>
        <v>79.403999999999996</v>
      </c>
      <c r="AD52" s="2">
        <f t="shared" ref="AD52:AD57" si="65">ROUND(((((((ET52*1.25)*1.2)*0.6))-((((EU52*1.25)*1.2)*0.6)))+AE52),6)</f>
        <v>16.821000000000002</v>
      </c>
      <c r="AE52" s="2">
        <f t="shared" ref="AE52:AE57" si="66">ROUND(((((EU52*1.25)*1.2)*0.6)),6)</f>
        <v>2.0430000000000001</v>
      </c>
      <c r="AF52" s="2">
        <f t="shared" ref="AF52:AF57" si="67">ROUND(((((EV52*1.15)*1.2)*0.6)),6)</f>
        <v>159.91164000000001</v>
      </c>
      <c r="AG52" s="2">
        <f t="shared" si="37"/>
        <v>0</v>
      </c>
      <c r="AH52" s="2">
        <f t="shared" ref="AH52:AH57" si="68">((((EW52*1.15)*1.2)*0.6))</f>
        <v>9.579959999999998</v>
      </c>
      <c r="AI52" s="2">
        <f t="shared" ref="AI52:AI57" si="69">((((EX52*1.25)*1.2)*0.6))</f>
        <v>0</v>
      </c>
      <c r="AJ52" s="2">
        <f t="shared" si="40"/>
        <v>0</v>
      </c>
      <c r="AK52" s="2">
        <v>344.16</v>
      </c>
      <c r="AL52" s="2">
        <v>132.34</v>
      </c>
      <c r="AM52" s="2">
        <v>18.690000000000001</v>
      </c>
      <c r="AN52" s="2">
        <v>2.27</v>
      </c>
      <c r="AO52" s="2">
        <v>193.13</v>
      </c>
      <c r="AP52" s="2">
        <v>0</v>
      </c>
      <c r="AQ52" s="2">
        <v>11.57</v>
      </c>
      <c r="AR52" s="2">
        <v>0</v>
      </c>
      <c r="AS52" s="2">
        <v>0</v>
      </c>
      <c r="AT52" s="2">
        <v>93</v>
      </c>
      <c r="AU52" s="2">
        <v>62</v>
      </c>
      <c r="AV52" s="2">
        <v>1.087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1</v>
      </c>
      <c r="BJ52" s="2" t="s">
        <v>92</v>
      </c>
      <c r="BK52" s="2"/>
      <c r="BL52" s="2"/>
      <c r="BM52" s="2">
        <v>55</v>
      </c>
      <c r="BN52" s="2">
        <v>0</v>
      </c>
      <c r="BO52" s="2" t="s">
        <v>90</v>
      </c>
      <c r="BP52" s="2">
        <v>1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93</v>
      </c>
      <c r="CA52" s="2">
        <v>62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796</v>
      </c>
      <c r="CO52" s="2">
        <v>0</v>
      </c>
      <c r="CP52" s="2">
        <f t="shared" si="41"/>
        <v>10.86</v>
      </c>
      <c r="CQ52" s="2">
        <f t="shared" si="42"/>
        <v>79.400000000000006</v>
      </c>
      <c r="CR52" s="2">
        <f t="shared" ref="CR52:CR57" si="70">(ROUND((ROUND((((((ET52*1.25)*1.2)*0.6))*AV52*1),2)*BB52),2)+ROUND((ROUND(((AE52-((((EU52*1.25)*1.2)*0.6)))*AV52*1),2)*BS52),2))</f>
        <v>18.28</v>
      </c>
      <c r="CS52" s="2">
        <f t="shared" ref="CS52:CS57" si="71">(ROUND((ROUND((((((EU52*1.25)*1.2)*0.6))*AV52*1),2)*BS52),2)+ROUND((ROUND(((AE52-((((EU52*1.25)*1.2)*0.6)))*AV52*1),2)*BS52),2))</f>
        <v>2.2200000000000002</v>
      </c>
      <c r="CT52" s="2">
        <f t="shared" si="45"/>
        <v>173.82</v>
      </c>
      <c r="CU52" s="2">
        <f t="shared" si="46"/>
        <v>0</v>
      </c>
      <c r="CV52" s="2">
        <f t="shared" si="47"/>
        <v>10.413416519999998</v>
      </c>
      <c r="CW52" s="2">
        <f t="shared" si="48"/>
        <v>0</v>
      </c>
      <c r="CX52" s="2">
        <f t="shared" si="49"/>
        <v>0</v>
      </c>
      <c r="CY52" s="2">
        <f t="shared" ref="CY52:CY57" si="72">(ROUND((((S52+ROUND((ROUND((((((EU52*1.25)*1.2)*0.6))*AV52*1),2)*BS52),2))*AT52)/100),2)+ROUND(((ROUND((ROUND(((AE52-((((EU52*1.25)*1.2)*0.6)))*AV52*1),2)*BS52),2)*AT52)/100),2))</f>
        <v>8.5299999999999994</v>
      </c>
      <c r="CZ52" s="2">
        <f t="shared" ref="CZ52:CZ57" si="73">(ROUND((((S52+ROUND((ROUND((((((EU52*1.25)*1.2)*0.6))*AV52*1),2)*BS52),2))*AU52)/100),2)+ROUND(((ROUND((ROUND(((AE52-((((EU52*1.25)*1.2)*0.6)))*AV52*1),2)*BS52),2)*AU52)/100),2))</f>
        <v>5.69</v>
      </c>
      <c r="DA52" s="2"/>
      <c r="DB52" s="2">
        <v>51</v>
      </c>
      <c r="DC52" s="2" t="s">
        <v>3</v>
      </c>
      <c r="DD52" s="2" t="s">
        <v>77</v>
      </c>
      <c r="DE52" s="2" t="s">
        <v>78</v>
      </c>
      <c r="DF52" s="2" t="s">
        <v>78</v>
      </c>
      <c r="DG52" s="2" t="s">
        <v>79</v>
      </c>
      <c r="DH52" s="2" t="s">
        <v>3</v>
      </c>
      <c r="DI52" s="2" t="s">
        <v>79</v>
      </c>
      <c r="DJ52" s="2" t="s">
        <v>78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60</v>
      </c>
      <c r="DW52" s="2" t="s">
        <v>60</v>
      </c>
      <c r="DX52" s="2">
        <v>100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55393688</v>
      </c>
      <c r="EF52" s="2">
        <v>30</v>
      </c>
      <c r="EG52" s="2" t="s">
        <v>80</v>
      </c>
      <c r="EH52" s="2">
        <v>0</v>
      </c>
      <c r="EI52" s="2" t="s">
        <v>3</v>
      </c>
      <c r="EJ52" s="2">
        <v>1</v>
      </c>
      <c r="EK52" s="2">
        <v>55</v>
      </c>
      <c r="EL52" s="2" t="s">
        <v>93</v>
      </c>
      <c r="EM52" s="2" t="s">
        <v>94</v>
      </c>
      <c r="EN52" s="2"/>
      <c r="EO52" s="2" t="s">
        <v>83</v>
      </c>
      <c r="EP52" s="2"/>
      <c r="EQ52" s="2">
        <v>0</v>
      </c>
      <c r="ER52" s="2">
        <v>344.16</v>
      </c>
      <c r="ES52" s="2">
        <v>132.34</v>
      </c>
      <c r="ET52" s="2">
        <v>18.690000000000001</v>
      </c>
      <c r="EU52" s="2">
        <v>2.27</v>
      </c>
      <c r="EV52" s="2">
        <v>193.13</v>
      </c>
      <c r="EW52" s="2">
        <v>11.57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93</v>
      </c>
      <c r="FY52" s="2">
        <v>62</v>
      </c>
      <c r="FZ52" s="2"/>
      <c r="GA52" s="2" t="s">
        <v>3</v>
      </c>
      <c r="GB52" s="2"/>
      <c r="GC52" s="2"/>
      <c r="GD52" s="2">
        <v>1</v>
      </c>
      <c r="GE52" s="2"/>
      <c r="GF52" s="2">
        <v>-208235524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21.77</v>
      </c>
      <c r="GN52" s="2">
        <f t="shared" si="54"/>
        <v>21.77</v>
      </c>
      <c r="GO52" s="2">
        <f t="shared" si="55"/>
        <v>0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C53" s="3">
        <f>ROW(SmtRes!A94)</f>
        <v>94</v>
      </c>
      <c r="D53" s="3">
        <f>ROW(EtalonRes!A122)</f>
        <v>122</v>
      </c>
      <c r="E53" s="3" t="s">
        <v>89</v>
      </c>
      <c r="F53" s="3" t="s">
        <v>90</v>
      </c>
      <c r="G53" s="3" t="s">
        <v>91</v>
      </c>
      <c r="H53" s="3" t="s">
        <v>60</v>
      </c>
      <c r="I53" s="3">
        <f>ROUND(4/100,9)</f>
        <v>0.04</v>
      </c>
      <c r="J53" s="3">
        <v>0</v>
      </c>
      <c r="K53" s="3">
        <f>ROUND(4/100,9)</f>
        <v>0.04</v>
      </c>
      <c r="O53" s="3">
        <f t="shared" si="21"/>
        <v>414</v>
      </c>
      <c r="P53" s="3">
        <f t="shared" si="22"/>
        <v>11</v>
      </c>
      <c r="Q53" s="3">
        <f t="shared" si="60"/>
        <v>11.37</v>
      </c>
      <c r="R53" s="3">
        <f t="shared" si="61"/>
        <v>5.07</v>
      </c>
      <c r="S53" s="3">
        <f t="shared" si="25"/>
        <v>391.63</v>
      </c>
      <c r="T53" s="3">
        <f t="shared" si="26"/>
        <v>0</v>
      </c>
      <c r="U53" s="3">
        <f t="shared" si="27"/>
        <v>0.41653666079999996</v>
      </c>
      <c r="V53" s="3">
        <f t="shared" si="28"/>
        <v>0</v>
      </c>
      <c r="W53" s="3">
        <f t="shared" si="29"/>
        <v>0</v>
      </c>
      <c r="X53" s="3">
        <f t="shared" si="62"/>
        <v>368.93</v>
      </c>
      <c r="Y53" s="3">
        <f t="shared" si="63"/>
        <v>245.95</v>
      </c>
      <c r="AA53" s="3">
        <v>55937298</v>
      </c>
      <c r="AB53" s="3">
        <f t="shared" si="32"/>
        <v>256.13664</v>
      </c>
      <c r="AC53" s="3">
        <f t="shared" si="64"/>
        <v>79.403999999999996</v>
      </c>
      <c r="AD53" s="3">
        <f t="shared" si="65"/>
        <v>16.821000000000002</v>
      </c>
      <c r="AE53" s="3">
        <f t="shared" si="66"/>
        <v>2.0430000000000001</v>
      </c>
      <c r="AF53" s="3">
        <f t="shared" si="67"/>
        <v>159.91164000000001</v>
      </c>
      <c r="AG53" s="3">
        <f t="shared" si="37"/>
        <v>0</v>
      </c>
      <c r="AH53" s="3">
        <f t="shared" si="68"/>
        <v>9.579959999999998</v>
      </c>
      <c r="AI53" s="3">
        <f t="shared" si="69"/>
        <v>0</v>
      </c>
      <c r="AJ53" s="3">
        <f t="shared" si="40"/>
        <v>0</v>
      </c>
      <c r="AK53" s="3">
        <v>344.16</v>
      </c>
      <c r="AL53" s="3">
        <v>132.34</v>
      </c>
      <c r="AM53" s="3">
        <v>18.690000000000001</v>
      </c>
      <c r="AN53" s="3">
        <v>2.27</v>
      </c>
      <c r="AO53" s="3">
        <v>193.13</v>
      </c>
      <c r="AP53" s="3">
        <v>0</v>
      </c>
      <c r="AQ53" s="3">
        <v>11.57</v>
      </c>
      <c r="AR53" s="3">
        <v>0</v>
      </c>
      <c r="AS53" s="3">
        <v>0</v>
      </c>
      <c r="AT53" s="3">
        <v>93</v>
      </c>
      <c r="AU53" s="3">
        <v>62</v>
      </c>
      <c r="AV53" s="3">
        <v>1.087</v>
      </c>
      <c r="AW53" s="3">
        <v>1</v>
      </c>
      <c r="AZ53" s="3">
        <v>1</v>
      </c>
      <c r="BA53" s="3">
        <v>56.35</v>
      </c>
      <c r="BB53" s="3">
        <v>15.58</v>
      </c>
      <c r="BC53" s="3">
        <v>3.46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1</v>
      </c>
      <c r="BJ53" s="3" t="s">
        <v>92</v>
      </c>
      <c r="BM53" s="3">
        <v>55</v>
      </c>
      <c r="BN53" s="3">
        <v>0</v>
      </c>
      <c r="BO53" s="3" t="s">
        <v>90</v>
      </c>
      <c r="BP53" s="3">
        <v>1</v>
      </c>
      <c r="BQ53" s="3">
        <v>30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93</v>
      </c>
      <c r="CA53" s="3">
        <v>62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796</v>
      </c>
      <c r="CO53" s="3">
        <v>0</v>
      </c>
      <c r="CP53" s="3">
        <f t="shared" si="41"/>
        <v>414</v>
      </c>
      <c r="CQ53" s="3">
        <f t="shared" si="42"/>
        <v>274.72000000000003</v>
      </c>
      <c r="CR53" s="3">
        <f t="shared" si="70"/>
        <v>284.8</v>
      </c>
      <c r="CS53" s="3">
        <f t="shared" si="71"/>
        <v>125.1</v>
      </c>
      <c r="CT53" s="3">
        <f t="shared" si="45"/>
        <v>9794.76</v>
      </c>
      <c r="CU53" s="3">
        <f t="shared" si="46"/>
        <v>0</v>
      </c>
      <c r="CV53" s="3">
        <f t="shared" si="47"/>
        <v>10.413416519999998</v>
      </c>
      <c r="CW53" s="3">
        <f t="shared" si="48"/>
        <v>0</v>
      </c>
      <c r="CX53" s="3">
        <f t="shared" si="49"/>
        <v>0</v>
      </c>
      <c r="CY53" s="3">
        <f t="shared" si="72"/>
        <v>480.56</v>
      </c>
      <c r="CZ53" s="3">
        <f t="shared" si="73"/>
        <v>320.37</v>
      </c>
      <c r="DB53" s="3">
        <v>54</v>
      </c>
      <c r="DC53" s="3" t="s">
        <v>3</v>
      </c>
      <c r="DD53" s="3" t="s">
        <v>77</v>
      </c>
      <c r="DE53" s="3" t="s">
        <v>78</v>
      </c>
      <c r="DF53" s="3" t="s">
        <v>78</v>
      </c>
      <c r="DG53" s="3" t="s">
        <v>79</v>
      </c>
      <c r="DH53" s="3" t="s">
        <v>3</v>
      </c>
      <c r="DI53" s="3" t="s">
        <v>79</v>
      </c>
      <c r="DJ53" s="3" t="s">
        <v>78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1010</v>
      </c>
      <c r="DV53" s="3" t="s">
        <v>60</v>
      </c>
      <c r="DW53" s="3" t="s">
        <v>60</v>
      </c>
      <c r="DX53" s="3">
        <v>100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55393688</v>
      </c>
      <c r="EF53" s="3">
        <v>30</v>
      </c>
      <c r="EG53" s="3" t="s">
        <v>80</v>
      </c>
      <c r="EH53" s="3">
        <v>0</v>
      </c>
      <c r="EI53" s="3" t="s">
        <v>3</v>
      </c>
      <c r="EJ53" s="3">
        <v>1</v>
      </c>
      <c r="EK53" s="3">
        <v>55</v>
      </c>
      <c r="EL53" s="3" t="s">
        <v>93</v>
      </c>
      <c r="EM53" s="3" t="s">
        <v>94</v>
      </c>
      <c r="EO53" s="3" t="s">
        <v>83</v>
      </c>
      <c r="EQ53" s="3">
        <v>0</v>
      </c>
      <c r="ER53" s="3">
        <v>344.16</v>
      </c>
      <c r="ES53" s="3">
        <v>132.34</v>
      </c>
      <c r="ET53" s="3">
        <v>18.690000000000001</v>
      </c>
      <c r="EU53" s="3">
        <v>2.27</v>
      </c>
      <c r="EV53" s="3">
        <v>193.13</v>
      </c>
      <c r="EW53" s="3">
        <v>11.57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93</v>
      </c>
      <c r="FY53" s="3">
        <v>62</v>
      </c>
      <c r="GA53" s="3" t="s">
        <v>3</v>
      </c>
      <c r="GD53" s="3">
        <v>1</v>
      </c>
      <c r="GF53" s="3">
        <v>-208235524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1028.8800000000001</v>
      </c>
      <c r="GN53" s="3">
        <f t="shared" si="54"/>
        <v>1028.8800000000001</v>
      </c>
      <c r="GO53" s="3">
        <f t="shared" si="55"/>
        <v>0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17</v>
      </c>
      <c r="B54" s="2">
        <v>1</v>
      </c>
      <c r="C54" s="2">
        <f>ROW(SmtRes!A98)</f>
        <v>98</v>
      </c>
      <c r="D54" s="2">
        <f>ROW(EtalonRes!A128)</f>
        <v>128</v>
      </c>
      <c r="E54" s="2" t="s">
        <v>95</v>
      </c>
      <c r="F54" s="2" t="s">
        <v>96</v>
      </c>
      <c r="G54" s="2" t="s">
        <v>97</v>
      </c>
      <c r="H54" s="2" t="s">
        <v>98</v>
      </c>
      <c r="I54" s="2">
        <v>4</v>
      </c>
      <c r="J54" s="2">
        <v>0</v>
      </c>
      <c r="K54" s="2">
        <v>4</v>
      </c>
      <c r="L54" s="2"/>
      <c r="M54" s="2"/>
      <c r="N54" s="2"/>
      <c r="O54" s="2">
        <f t="shared" si="21"/>
        <v>54.79</v>
      </c>
      <c r="P54" s="2">
        <f t="shared" si="22"/>
        <v>9.02</v>
      </c>
      <c r="Q54" s="2">
        <f t="shared" si="60"/>
        <v>3.5</v>
      </c>
      <c r="R54" s="2">
        <f t="shared" si="61"/>
        <v>0.5</v>
      </c>
      <c r="S54" s="2">
        <f t="shared" si="25"/>
        <v>42.27</v>
      </c>
      <c r="T54" s="2">
        <f t="shared" si="26"/>
        <v>0</v>
      </c>
      <c r="U54" s="2">
        <f t="shared" si="27"/>
        <v>3.639921119999999</v>
      </c>
      <c r="V54" s="2">
        <f t="shared" si="28"/>
        <v>0</v>
      </c>
      <c r="W54" s="2">
        <f t="shared" si="29"/>
        <v>0</v>
      </c>
      <c r="X54" s="2">
        <f t="shared" si="62"/>
        <v>51.75</v>
      </c>
      <c r="Y54" s="2">
        <f t="shared" si="63"/>
        <v>30.79</v>
      </c>
      <c r="Z54" s="2"/>
      <c r="AA54" s="2">
        <v>55937296</v>
      </c>
      <c r="AB54" s="2">
        <f t="shared" si="32"/>
        <v>12.977880000000001</v>
      </c>
      <c r="AC54" s="2">
        <f t="shared" si="64"/>
        <v>2.2559999999999998</v>
      </c>
      <c r="AD54" s="2">
        <f t="shared" si="65"/>
        <v>0.81899999999999995</v>
      </c>
      <c r="AE54" s="2">
        <f t="shared" si="66"/>
        <v>0.11700000000000001</v>
      </c>
      <c r="AF54" s="2">
        <f t="shared" si="67"/>
        <v>9.9028799999999997</v>
      </c>
      <c r="AG54" s="2">
        <f t="shared" si="37"/>
        <v>0</v>
      </c>
      <c r="AH54" s="2">
        <f t="shared" si="68"/>
        <v>0.85283999999999982</v>
      </c>
      <c r="AI54" s="2">
        <f t="shared" si="69"/>
        <v>0</v>
      </c>
      <c r="AJ54" s="2">
        <f t="shared" si="40"/>
        <v>0</v>
      </c>
      <c r="AK54" s="2">
        <v>16.63</v>
      </c>
      <c r="AL54" s="2">
        <v>3.76</v>
      </c>
      <c r="AM54" s="2">
        <v>0.91</v>
      </c>
      <c r="AN54" s="2">
        <v>0.13</v>
      </c>
      <c r="AO54" s="2">
        <v>11.96</v>
      </c>
      <c r="AP54" s="2">
        <v>0</v>
      </c>
      <c r="AQ54" s="2">
        <v>1.03</v>
      </c>
      <c r="AR54" s="2">
        <v>0</v>
      </c>
      <c r="AS54" s="2">
        <v>0</v>
      </c>
      <c r="AT54" s="2">
        <v>121</v>
      </c>
      <c r="AU54" s="2">
        <v>72</v>
      </c>
      <c r="AV54" s="2">
        <v>1.0669999999999999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1</v>
      </c>
      <c r="BJ54" s="2" t="s">
        <v>99</v>
      </c>
      <c r="BK54" s="2"/>
      <c r="BL54" s="2"/>
      <c r="BM54" s="2">
        <v>25</v>
      </c>
      <c r="BN54" s="2">
        <v>0</v>
      </c>
      <c r="BO54" s="2" t="s">
        <v>96</v>
      </c>
      <c r="BP54" s="2">
        <v>1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121</v>
      </c>
      <c r="CA54" s="2">
        <v>72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796</v>
      </c>
      <c r="CO54" s="2">
        <v>0</v>
      </c>
      <c r="CP54" s="2">
        <f t="shared" si="41"/>
        <v>54.790000000000006</v>
      </c>
      <c r="CQ54" s="2">
        <f t="shared" si="42"/>
        <v>2.2599999999999998</v>
      </c>
      <c r="CR54" s="2">
        <f t="shared" si="70"/>
        <v>0.87</v>
      </c>
      <c r="CS54" s="2">
        <f t="shared" si="71"/>
        <v>0.12</v>
      </c>
      <c r="CT54" s="2">
        <f t="shared" si="45"/>
        <v>10.57</v>
      </c>
      <c r="CU54" s="2">
        <f t="shared" si="46"/>
        <v>0</v>
      </c>
      <c r="CV54" s="2">
        <f t="shared" si="47"/>
        <v>0.90998027999999975</v>
      </c>
      <c r="CW54" s="2">
        <f t="shared" si="48"/>
        <v>0</v>
      </c>
      <c r="CX54" s="2">
        <f t="shared" si="49"/>
        <v>0</v>
      </c>
      <c r="CY54" s="2">
        <f t="shared" si="72"/>
        <v>51.29</v>
      </c>
      <c r="CZ54" s="2">
        <f t="shared" si="73"/>
        <v>30.52</v>
      </c>
      <c r="DA54" s="2"/>
      <c r="DB54" s="2">
        <v>57</v>
      </c>
      <c r="DC54" s="2" t="s">
        <v>3</v>
      </c>
      <c r="DD54" s="2" t="s">
        <v>77</v>
      </c>
      <c r="DE54" s="2" t="s">
        <v>78</v>
      </c>
      <c r="DF54" s="2" t="s">
        <v>78</v>
      </c>
      <c r="DG54" s="2" t="s">
        <v>79</v>
      </c>
      <c r="DH54" s="2" t="s">
        <v>3</v>
      </c>
      <c r="DI54" s="2" t="s">
        <v>79</v>
      </c>
      <c r="DJ54" s="2" t="s">
        <v>78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98</v>
      </c>
      <c r="DW54" s="2" t="s">
        <v>98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55393654</v>
      </c>
      <c r="EF54" s="2">
        <v>30</v>
      </c>
      <c r="EG54" s="2" t="s">
        <v>80</v>
      </c>
      <c r="EH54" s="2">
        <v>0</v>
      </c>
      <c r="EI54" s="2" t="s">
        <v>3</v>
      </c>
      <c r="EJ54" s="2">
        <v>1</v>
      </c>
      <c r="EK54" s="2">
        <v>25</v>
      </c>
      <c r="EL54" s="2" t="s">
        <v>100</v>
      </c>
      <c r="EM54" s="2" t="s">
        <v>101</v>
      </c>
      <c r="EN54" s="2"/>
      <c r="EO54" s="2" t="s">
        <v>83</v>
      </c>
      <c r="EP54" s="2"/>
      <c r="EQ54" s="2">
        <v>0</v>
      </c>
      <c r="ER54" s="2">
        <v>16.63</v>
      </c>
      <c r="ES54" s="2">
        <v>3.76</v>
      </c>
      <c r="ET54" s="2">
        <v>0.91</v>
      </c>
      <c r="EU54" s="2">
        <v>0.13</v>
      </c>
      <c r="EV54" s="2">
        <v>11.96</v>
      </c>
      <c r="EW54" s="2">
        <v>1.03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121</v>
      </c>
      <c r="FY54" s="2">
        <v>72</v>
      </c>
      <c r="FZ54" s="2"/>
      <c r="GA54" s="2" t="s">
        <v>3</v>
      </c>
      <c r="GB54" s="2"/>
      <c r="GC54" s="2"/>
      <c r="GD54" s="2">
        <v>1</v>
      </c>
      <c r="GE54" s="2"/>
      <c r="GF54" s="2">
        <v>-2031960075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137.33000000000001</v>
      </c>
      <c r="GN54" s="2">
        <f t="shared" si="54"/>
        <v>137.33000000000001</v>
      </c>
      <c r="GO54" s="2">
        <f t="shared" si="55"/>
        <v>0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17</v>
      </c>
      <c r="B55" s="3">
        <v>1</v>
      </c>
      <c r="C55" s="3">
        <f>ROW(SmtRes!A102)</f>
        <v>102</v>
      </c>
      <c r="D55" s="3">
        <f>ROW(EtalonRes!A134)</f>
        <v>134</v>
      </c>
      <c r="E55" s="3" t="s">
        <v>95</v>
      </c>
      <c r="F55" s="3" t="s">
        <v>96</v>
      </c>
      <c r="G55" s="3" t="s">
        <v>97</v>
      </c>
      <c r="H55" s="3" t="s">
        <v>98</v>
      </c>
      <c r="I55" s="3">
        <v>4</v>
      </c>
      <c r="J55" s="3">
        <v>0</v>
      </c>
      <c r="K55" s="3">
        <v>4</v>
      </c>
      <c r="O55" s="3">
        <f t="shared" si="21"/>
        <v>2498.41</v>
      </c>
      <c r="P55" s="3">
        <f t="shared" si="22"/>
        <v>58.99</v>
      </c>
      <c r="Q55" s="3">
        <f t="shared" si="60"/>
        <v>57.51</v>
      </c>
      <c r="R55" s="3">
        <f t="shared" si="61"/>
        <v>28.18</v>
      </c>
      <c r="S55" s="3">
        <f t="shared" si="25"/>
        <v>2381.91</v>
      </c>
      <c r="T55" s="3">
        <f t="shared" si="26"/>
        <v>0</v>
      </c>
      <c r="U55" s="3">
        <f t="shared" si="27"/>
        <v>3.639921119999999</v>
      </c>
      <c r="V55" s="3">
        <f t="shared" si="28"/>
        <v>0</v>
      </c>
      <c r="W55" s="3">
        <f t="shared" si="29"/>
        <v>0</v>
      </c>
      <c r="X55" s="3">
        <f t="shared" si="62"/>
        <v>2916.21</v>
      </c>
      <c r="Y55" s="3">
        <f t="shared" si="63"/>
        <v>1735.26</v>
      </c>
      <c r="AA55" s="3">
        <v>55937298</v>
      </c>
      <c r="AB55" s="3">
        <f t="shared" si="32"/>
        <v>12.977880000000001</v>
      </c>
      <c r="AC55" s="3">
        <f t="shared" si="64"/>
        <v>2.2559999999999998</v>
      </c>
      <c r="AD55" s="3">
        <f t="shared" si="65"/>
        <v>0.81899999999999995</v>
      </c>
      <c r="AE55" s="3">
        <f t="shared" si="66"/>
        <v>0.11700000000000001</v>
      </c>
      <c r="AF55" s="3">
        <f t="shared" si="67"/>
        <v>9.9028799999999997</v>
      </c>
      <c r="AG55" s="3">
        <f t="shared" si="37"/>
        <v>0</v>
      </c>
      <c r="AH55" s="3">
        <f t="shared" si="68"/>
        <v>0.85283999999999982</v>
      </c>
      <c r="AI55" s="3">
        <f t="shared" si="69"/>
        <v>0</v>
      </c>
      <c r="AJ55" s="3">
        <f t="shared" si="40"/>
        <v>0</v>
      </c>
      <c r="AK55" s="3">
        <v>16.63</v>
      </c>
      <c r="AL55" s="3">
        <v>3.76</v>
      </c>
      <c r="AM55" s="3">
        <v>0.91</v>
      </c>
      <c r="AN55" s="3">
        <v>0.13</v>
      </c>
      <c r="AO55" s="3">
        <v>11.96</v>
      </c>
      <c r="AP55" s="3">
        <v>0</v>
      </c>
      <c r="AQ55" s="3">
        <v>1.03</v>
      </c>
      <c r="AR55" s="3">
        <v>0</v>
      </c>
      <c r="AS55" s="3">
        <v>0</v>
      </c>
      <c r="AT55" s="3">
        <v>121</v>
      </c>
      <c r="AU55" s="3">
        <v>72</v>
      </c>
      <c r="AV55" s="3">
        <v>1.0669999999999999</v>
      </c>
      <c r="AW55" s="3">
        <v>1</v>
      </c>
      <c r="AZ55" s="3">
        <v>1</v>
      </c>
      <c r="BA55" s="3">
        <v>56.35</v>
      </c>
      <c r="BB55" s="3">
        <v>16.43</v>
      </c>
      <c r="BC55" s="3">
        <v>6.54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1</v>
      </c>
      <c r="BJ55" s="3" t="s">
        <v>99</v>
      </c>
      <c r="BM55" s="3">
        <v>25</v>
      </c>
      <c r="BN55" s="3">
        <v>0</v>
      </c>
      <c r="BO55" s="3" t="s">
        <v>96</v>
      </c>
      <c r="BP55" s="3">
        <v>1</v>
      </c>
      <c r="BQ55" s="3">
        <v>30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121</v>
      </c>
      <c r="CA55" s="3">
        <v>72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796</v>
      </c>
      <c r="CO55" s="3">
        <v>0</v>
      </c>
      <c r="CP55" s="3">
        <f t="shared" si="41"/>
        <v>2498.41</v>
      </c>
      <c r="CQ55" s="3">
        <f t="shared" si="42"/>
        <v>14.78</v>
      </c>
      <c r="CR55" s="3">
        <f t="shared" si="70"/>
        <v>14.29</v>
      </c>
      <c r="CS55" s="3">
        <f t="shared" si="71"/>
        <v>6.76</v>
      </c>
      <c r="CT55" s="3">
        <f t="shared" si="45"/>
        <v>595.62</v>
      </c>
      <c r="CU55" s="3">
        <f t="shared" si="46"/>
        <v>0</v>
      </c>
      <c r="CV55" s="3">
        <f t="shared" si="47"/>
        <v>0.90998027999999975</v>
      </c>
      <c r="CW55" s="3">
        <f t="shared" si="48"/>
        <v>0</v>
      </c>
      <c r="CX55" s="3">
        <f t="shared" si="49"/>
        <v>0</v>
      </c>
      <c r="CY55" s="3">
        <f t="shared" si="72"/>
        <v>2890.29</v>
      </c>
      <c r="CZ55" s="3">
        <f t="shared" si="73"/>
        <v>1719.84</v>
      </c>
      <c r="DB55" s="3">
        <v>60</v>
      </c>
      <c r="DC55" s="3" t="s">
        <v>3</v>
      </c>
      <c r="DD55" s="3" t="s">
        <v>77</v>
      </c>
      <c r="DE55" s="3" t="s">
        <v>78</v>
      </c>
      <c r="DF55" s="3" t="s">
        <v>78</v>
      </c>
      <c r="DG55" s="3" t="s">
        <v>79</v>
      </c>
      <c r="DH55" s="3" t="s">
        <v>3</v>
      </c>
      <c r="DI55" s="3" t="s">
        <v>79</v>
      </c>
      <c r="DJ55" s="3" t="s">
        <v>78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98</v>
      </c>
      <c r="DW55" s="3" t="s">
        <v>98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55393654</v>
      </c>
      <c r="EF55" s="3">
        <v>30</v>
      </c>
      <c r="EG55" s="3" t="s">
        <v>80</v>
      </c>
      <c r="EH55" s="3">
        <v>0</v>
      </c>
      <c r="EI55" s="3" t="s">
        <v>3</v>
      </c>
      <c r="EJ55" s="3">
        <v>1</v>
      </c>
      <c r="EK55" s="3">
        <v>25</v>
      </c>
      <c r="EL55" s="3" t="s">
        <v>100</v>
      </c>
      <c r="EM55" s="3" t="s">
        <v>101</v>
      </c>
      <c r="EO55" s="3" t="s">
        <v>83</v>
      </c>
      <c r="EQ55" s="3">
        <v>0</v>
      </c>
      <c r="ER55" s="3">
        <v>16.63</v>
      </c>
      <c r="ES55" s="3">
        <v>3.76</v>
      </c>
      <c r="ET55" s="3">
        <v>0.91</v>
      </c>
      <c r="EU55" s="3">
        <v>0.13</v>
      </c>
      <c r="EV55" s="3">
        <v>11.96</v>
      </c>
      <c r="EW55" s="3">
        <v>1.03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121</v>
      </c>
      <c r="FY55" s="3">
        <v>72</v>
      </c>
      <c r="GA55" s="3" t="s">
        <v>3</v>
      </c>
      <c r="GD55" s="3">
        <v>1</v>
      </c>
      <c r="GF55" s="3">
        <v>-2031960075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7149.88</v>
      </c>
      <c r="GN55" s="3">
        <f t="shared" si="54"/>
        <v>7149.88</v>
      </c>
      <c r="GO55" s="3">
        <f t="shared" si="55"/>
        <v>0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>
        <f>ROW(SmtRes!A107)</f>
        <v>107</v>
      </c>
      <c r="D56" s="2">
        <f>ROW(EtalonRes!A141)</f>
        <v>141</v>
      </c>
      <c r="E56" s="2" t="s">
        <v>102</v>
      </c>
      <c r="F56" s="2" t="s">
        <v>103</v>
      </c>
      <c r="G56" s="2" t="s">
        <v>104</v>
      </c>
      <c r="H56" s="2" t="s">
        <v>60</v>
      </c>
      <c r="I56" s="2">
        <f>ROUND(4/100,9)</f>
        <v>0.04</v>
      </c>
      <c r="J56" s="2">
        <v>0</v>
      </c>
      <c r="K56" s="2">
        <f>ROUND(4/100,9)</f>
        <v>0.04</v>
      </c>
      <c r="L56" s="2"/>
      <c r="M56" s="2"/>
      <c r="N56" s="2"/>
      <c r="O56" s="2">
        <f t="shared" si="21"/>
        <v>18.64</v>
      </c>
      <c r="P56" s="2">
        <f t="shared" si="22"/>
        <v>8.5399999999999991</v>
      </c>
      <c r="Q56" s="2">
        <f t="shared" si="60"/>
        <v>0.3</v>
      </c>
      <c r="R56" s="2">
        <f t="shared" si="61"/>
        <v>0.01</v>
      </c>
      <c r="S56" s="2">
        <f t="shared" si="25"/>
        <v>9.8000000000000007</v>
      </c>
      <c r="T56" s="2">
        <f t="shared" si="26"/>
        <v>0</v>
      </c>
      <c r="U56" s="2">
        <f t="shared" si="27"/>
        <v>0.87640819199999986</v>
      </c>
      <c r="V56" s="2">
        <f t="shared" si="28"/>
        <v>0</v>
      </c>
      <c r="W56" s="2">
        <f t="shared" si="29"/>
        <v>0</v>
      </c>
      <c r="X56" s="2">
        <f t="shared" si="62"/>
        <v>11.87</v>
      </c>
      <c r="Y56" s="2">
        <f t="shared" si="63"/>
        <v>7.06</v>
      </c>
      <c r="Z56" s="2"/>
      <c r="AA56" s="2">
        <v>55937296</v>
      </c>
      <c r="AB56" s="2">
        <f t="shared" si="32"/>
        <v>450.19188000000003</v>
      </c>
      <c r="AC56" s="2">
        <f t="shared" si="64"/>
        <v>213.624</v>
      </c>
      <c r="AD56" s="2">
        <f t="shared" si="65"/>
        <v>7.0380000000000003</v>
      </c>
      <c r="AE56" s="2">
        <f t="shared" si="66"/>
        <v>0.22500000000000001</v>
      </c>
      <c r="AF56" s="2">
        <f t="shared" si="67"/>
        <v>229.52987999999999</v>
      </c>
      <c r="AG56" s="2">
        <f t="shared" si="37"/>
        <v>0</v>
      </c>
      <c r="AH56" s="2">
        <f t="shared" si="68"/>
        <v>20.534399999999998</v>
      </c>
      <c r="AI56" s="2">
        <f t="shared" si="69"/>
        <v>0</v>
      </c>
      <c r="AJ56" s="2">
        <f t="shared" si="40"/>
        <v>0</v>
      </c>
      <c r="AK56" s="2">
        <v>641.07000000000005</v>
      </c>
      <c r="AL56" s="2">
        <v>356.04</v>
      </c>
      <c r="AM56" s="2">
        <v>7.82</v>
      </c>
      <c r="AN56" s="2">
        <v>0.25</v>
      </c>
      <c r="AO56" s="2">
        <v>277.20999999999998</v>
      </c>
      <c r="AP56" s="2">
        <v>0</v>
      </c>
      <c r="AQ56" s="2">
        <v>24.8</v>
      </c>
      <c r="AR56" s="2">
        <v>0</v>
      </c>
      <c r="AS56" s="2">
        <v>0</v>
      </c>
      <c r="AT56" s="2">
        <v>121</v>
      </c>
      <c r="AU56" s="2">
        <v>72</v>
      </c>
      <c r="AV56" s="2">
        <v>1.0669999999999999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1</v>
      </c>
      <c r="BJ56" s="2" t="s">
        <v>105</v>
      </c>
      <c r="BK56" s="2"/>
      <c r="BL56" s="2"/>
      <c r="BM56" s="2">
        <v>22</v>
      </c>
      <c r="BN56" s="2">
        <v>0</v>
      </c>
      <c r="BO56" s="2" t="s">
        <v>103</v>
      </c>
      <c r="BP56" s="2">
        <v>1</v>
      </c>
      <c r="BQ56" s="2">
        <v>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121</v>
      </c>
      <c r="CA56" s="2">
        <v>72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796</v>
      </c>
      <c r="CO56" s="2">
        <v>0</v>
      </c>
      <c r="CP56" s="2">
        <f t="shared" si="41"/>
        <v>18.64</v>
      </c>
      <c r="CQ56" s="2">
        <f t="shared" si="42"/>
        <v>213.62</v>
      </c>
      <c r="CR56" s="2">
        <f t="shared" si="70"/>
        <v>7.51</v>
      </c>
      <c r="CS56" s="2">
        <f t="shared" si="71"/>
        <v>0.24</v>
      </c>
      <c r="CT56" s="2">
        <f t="shared" si="45"/>
        <v>244.91</v>
      </c>
      <c r="CU56" s="2">
        <f t="shared" si="46"/>
        <v>0</v>
      </c>
      <c r="CV56" s="2">
        <f t="shared" si="47"/>
        <v>21.910204799999995</v>
      </c>
      <c r="CW56" s="2">
        <f t="shared" si="48"/>
        <v>0</v>
      </c>
      <c r="CX56" s="2">
        <f t="shared" si="49"/>
        <v>0</v>
      </c>
      <c r="CY56" s="2">
        <f t="shared" si="72"/>
        <v>12.15</v>
      </c>
      <c r="CZ56" s="2">
        <f t="shared" si="73"/>
        <v>7.23</v>
      </c>
      <c r="DA56" s="2"/>
      <c r="DB56" s="2">
        <v>63</v>
      </c>
      <c r="DC56" s="2" t="s">
        <v>3</v>
      </c>
      <c r="DD56" s="2" t="s">
        <v>77</v>
      </c>
      <c r="DE56" s="2" t="s">
        <v>78</v>
      </c>
      <c r="DF56" s="2" t="s">
        <v>78</v>
      </c>
      <c r="DG56" s="2" t="s">
        <v>79</v>
      </c>
      <c r="DH56" s="2" t="s">
        <v>3</v>
      </c>
      <c r="DI56" s="2" t="s">
        <v>79</v>
      </c>
      <c r="DJ56" s="2" t="s">
        <v>78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60</v>
      </c>
      <c r="DW56" s="2" t="s">
        <v>60</v>
      </c>
      <c r="DX56" s="2">
        <v>100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55393651</v>
      </c>
      <c r="EF56" s="2">
        <v>30</v>
      </c>
      <c r="EG56" s="2" t="s">
        <v>80</v>
      </c>
      <c r="EH56" s="2">
        <v>0</v>
      </c>
      <c r="EI56" s="2" t="s">
        <v>3</v>
      </c>
      <c r="EJ56" s="2">
        <v>1</v>
      </c>
      <c r="EK56" s="2">
        <v>22</v>
      </c>
      <c r="EL56" s="2" t="s">
        <v>106</v>
      </c>
      <c r="EM56" s="2" t="s">
        <v>107</v>
      </c>
      <c r="EN56" s="2"/>
      <c r="EO56" s="2" t="s">
        <v>83</v>
      </c>
      <c r="EP56" s="2"/>
      <c r="EQ56" s="2">
        <v>0</v>
      </c>
      <c r="ER56" s="2">
        <v>641.07000000000005</v>
      </c>
      <c r="ES56" s="2">
        <v>356.04</v>
      </c>
      <c r="ET56" s="2">
        <v>7.82</v>
      </c>
      <c r="EU56" s="2">
        <v>0.25</v>
      </c>
      <c r="EV56" s="2">
        <v>277.20999999999998</v>
      </c>
      <c r="EW56" s="2">
        <v>24.8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121</v>
      </c>
      <c r="FY56" s="2">
        <v>72</v>
      </c>
      <c r="FZ56" s="2"/>
      <c r="GA56" s="2" t="s">
        <v>3</v>
      </c>
      <c r="GB56" s="2"/>
      <c r="GC56" s="2"/>
      <c r="GD56" s="2">
        <v>1</v>
      </c>
      <c r="GE56" s="2"/>
      <c r="GF56" s="2">
        <v>-1508474127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37.57</v>
      </c>
      <c r="GN56" s="2">
        <f t="shared" si="54"/>
        <v>37.57</v>
      </c>
      <c r="GO56" s="2">
        <f t="shared" si="55"/>
        <v>0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C57" s="3">
        <f>ROW(SmtRes!A112)</f>
        <v>112</v>
      </c>
      <c r="D57" s="3">
        <f>ROW(EtalonRes!A148)</f>
        <v>148</v>
      </c>
      <c r="E57" s="3" t="s">
        <v>102</v>
      </c>
      <c r="F57" s="3" t="s">
        <v>103</v>
      </c>
      <c r="G57" s="3" t="s">
        <v>104</v>
      </c>
      <c r="H57" s="3" t="s">
        <v>60</v>
      </c>
      <c r="I57" s="3">
        <f>ROUND(4/100,9)</f>
        <v>0.04</v>
      </c>
      <c r="J57" s="3">
        <v>0</v>
      </c>
      <c r="K57" s="3">
        <f>ROUND(4/100,9)</f>
        <v>0.04</v>
      </c>
      <c r="O57" s="3">
        <f t="shared" si="21"/>
        <v>584.79</v>
      </c>
      <c r="P57" s="3">
        <f t="shared" si="22"/>
        <v>29.21</v>
      </c>
      <c r="Q57" s="3">
        <f t="shared" si="60"/>
        <v>3.35</v>
      </c>
      <c r="R57" s="3">
        <f t="shared" si="61"/>
        <v>0.56000000000000005</v>
      </c>
      <c r="S57" s="3">
        <f t="shared" si="25"/>
        <v>552.23</v>
      </c>
      <c r="T57" s="3">
        <f t="shared" si="26"/>
        <v>0</v>
      </c>
      <c r="U57" s="3">
        <f t="shared" si="27"/>
        <v>0.87640819199999986</v>
      </c>
      <c r="V57" s="3">
        <f t="shared" si="28"/>
        <v>0</v>
      </c>
      <c r="W57" s="3">
        <f t="shared" si="29"/>
        <v>0</v>
      </c>
      <c r="X57" s="3">
        <f t="shared" si="62"/>
        <v>668.88</v>
      </c>
      <c r="Y57" s="3">
        <f t="shared" si="63"/>
        <v>398.01</v>
      </c>
      <c r="AA57" s="3">
        <v>55937298</v>
      </c>
      <c r="AB57" s="3">
        <f t="shared" si="32"/>
        <v>450.19188000000003</v>
      </c>
      <c r="AC57" s="3">
        <f t="shared" si="64"/>
        <v>213.624</v>
      </c>
      <c r="AD57" s="3">
        <f t="shared" si="65"/>
        <v>7.0380000000000003</v>
      </c>
      <c r="AE57" s="3">
        <f t="shared" si="66"/>
        <v>0.22500000000000001</v>
      </c>
      <c r="AF57" s="3">
        <f t="shared" si="67"/>
        <v>229.52987999999999</v>
      </c>
      <c r="AG57" s="3">
        <f t="shared" si="37"/>
        <v>0</v>
      </c>
      <c r="AH57" s="3">
        <f t="shared" si="68"/>
        <v>20.534399999999998</v>
      </c>
      <c r="AI57" s="3">
        <f t="shared" si="69"/>
        <v>0</v>
      </c>
      <c r="AJ57" s="3">
        <f t="shared" si="40"/>
        <v>0</v>
      </c>
      <c r="AK57" s="3">
        <v>641.07000000000005</v>
      </c>
      <c r="AL57" s="3">
        <v>356.04</v>
      </c>
      <c r="AM57" s="3">
        <v>7.82</v>
      </c>
      <c r="AN57" s="3">
        <v>0.25</v>
      </c>
      <c r="AO57" s="3">
        <v>277.20999999999998</v>
      </c>
      <c r="AP57" s="3">
        <v>0</v>
      </c>
      <c r="AQ57" s="3">
        <v>24.8</v>
      </c>
      <c r="AR57" s="3">
        <v>0</v>
      </c>
      <c r="AS57" s="3">
        <v>0</v>
      </c>
      <c r="AT57" s="3">
        <v>121</v>
      </c>
      <c r="AU57" s="3">
        <v>72</v>
      </c>
      <c r="AV57" s="3">
        <v>1.0669999999999999</v>
      </c>
      <c r="AW57" s="3">
        <v>1</v>
      </c>
      <c r="AZ57" s="3">
        <v>1</v>
      </c>
      <c r="BA57" s="3">
        <v>56.35</v>
      </c>
      <c r="BB57" s="3">
        <v>11.16</v>
      </c>
      <c r="BC57" s="3">
        <v>3.42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1</v>
      </c>
      <c r="BJ57" s="3" t="s">
        <v>105</v>
      </c>
      <c r="BM57" s="3">
        <v>22</v>
      </c>
      <c r="BN57" s="3">
        <v>0</v>
      </c>
      <c r="BO57" s="3" t="s">
        <v>103</v>
      </c>
      <c r="BP57" s="3">
        <v>1</v>
      </c>
      <c r="BQ57" s="3">
        <v>30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121</v>
      </c>
      <c r="CA57" s="3">
        <v>72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796</v>
      </c>
      <c r="CO57" s="3">
        <v>0</v>
      </c>
      <c r="CP57" s="3">
        <f t="shared" si="41"/>
        <v>584.79</v>
      </c>
      <c r="CQ57" s="3">
        <f t="shared" si="42"/>
        <v>730.58</v>
      </c>
      <c r="CR57" s="3">
        <f t="shared" si="70"/>
        <v>83.81</v>
      </c>
      <c r="CS57" s="3">
        <f t="shared" si="71"/>
        <v>13.52</v>
      </c>
      <c r="CT57" s="3">
        <f t="shared" si="45"/>
        <v>13800.68</v>
      </c>
      <c r="CU57" s="3">
        <f t="shared" si="46"/>
        <v>0</v>
      </c>
      <c r="CV57" s="3">
        <f t="shared" si="47"/>
        <v>21.910204799999995</v>
      </c>
      <c r="CW57" s="3">
        <f t="shared" si="48"/>
        <v>0</v>
      </c>
      <c r="CX57" s="3">
        <f t="shared" si="49"/>
        <v>0</v>
      </c>
      <c r="CY57" s="3">
        <f t="shared" si="72"/>
        <v>684.56</v>
      </c>
      <c r="CZ57" s="3">
        <f t="shared" si="73"/>
        <v>407.34</v>
      </c>
      <c r="DB57" s="3">
        <v>66</v>
      </c>
      <c r="DC57" s="3" t="s">
        <v>3</v>
      </c>
      <c r="DD57" s="3" t="s">
        <v>77</v>
      </c>
      <c r="DE57" s="3" t="s">
        <v>78</v>
      </c>
      <c r="DF57" s="3" t="s">
        <v>78</v>
      </c>
      <c r="DG57" s="3" t="s">
        <v>79</v>
      </c>
      <c r="DH57" s="3" t="s">
        <v>3</v>
      </c>
      <c r="DI57" s="3" t="s">
        <v>79</v>
      </c>
      <c r="DJ57" s="3" t="s">
        <v>78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1010</v>
      </c>
      <c r="DV57" s="3" t="s">
        <v>60</v>
      </c>
      <c r="DW57" s="3" t="s">
        <v>60</v>
      </c>
      <c r="DX57" s="3">
        <v>100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55393651</v>
      </c>
      <c r="EF57" s="3">
        <v>30</v>
      </c>
      <c r="EG57" s="3" t="s">
        <v>80</v>
      </c>
      <c r="EH57" s="3">
        <v>0</v>
      </c>
      <c r="EI57" s="3" t="s">
        <v>3</v>
      </c>
      <c r="EJ57" s="3">
        <v>1</v>
      </c>
      <c r="EK57" s="3">
        <v>22</v>
      </c>
      <c r="EL57" s="3" t="s">
        <v>106</v>
      </c>
      <c r="EM57" s="3" t="s">
        <v>107</v>
      </c>
      <c r="EO57" s="3" t="s">
        <v>83</v>
      </c>
      <c r="EQ57" s="3">
        <v>0</v>
      </c>
      <c r="ER57" s="3">
        <v>641.07000000000005</v>
      </c>
      <c r="ES57" s="3">
        <v>356.04</v>
      </c>
      <c r="ET57" s="3">
        <v>7.82</v>
      </c>
      <c r="EU57" s="3">
        <v>0.25</v>
      </c>
      <c r="EV57" s="3">
        <v>277.20999999999998</v>
      </c>
      <c r="EW57" s="3">
        <v>24.8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121</v>
      </c>
      <c r="FY57" s="3">
        <v>72</v>
      </c>
      <c r="GA57" s="3" t="s">
        <v>3</v>
      </c>
      <c r="GD57" s="3">
        <v>1</v>
      </c>
      <c r="GF57" s="3">
        <v>-1508474127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1651.68</v>
      </c>
      <c r="GN57" s="3">
        <f t="shared" si="54"/>
        <v>1651.68</v>
      </c>
      <c r="GO57" s="3">
        <f t="shared" si="55"/>
        <v>0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17</v>
      </c>
      <c r="B58" s="2">
        <v>1</v>
      </c>
      <c r="C58" s="2">
        <f>ROW(SmtRes!A113)</f>
        <v>113</v>
      </c>
      <c r="D58" s="2">
        <f>ROW(EtalonRes!A149)</f>
        <v>149</v>
      </c>
      <c r="E58" s="2" t="s">
        <v>108</v>
      </c>
      <c r="F58" s="2" t="s">
        <v>109</v>
      </c>
      <c r="G58" s="2" t="s">
        <v>110</v>
      </c>
      <c r="H58" s="2" t="s">
        <v>111</v>
      </c>
      <c r="I58" s="2">
        <f>ROUND((642+4+150+90)/100,9)</f>
        <v>8.86</v>
      </c>
      <c r="J58" s="2">
        <v>0</v>
      </c>
      <c r="K58" s="2">
        <f>ROUND((642+4+150+90)/100,9)</f>
        <v>8.86</v>
      </c>
      <c r="L58" s="2"/>
      <c r="M58" s="2"/>
      <c r="N58" s="2"/>
      <c r="O58" s="2">
        <f t="shared" si="21"/>
        <v>1096.7</v>
      </c>
      <c r="P58" s="2">
        <f t="shared" si="22"/>
        <v>0</v>
      </c>
      <c r="Q58" s="2">
        <f>(ROUND((ROUND((((ET58*1.2))*AV58*I58),2)*BB58),2)+ROUND((ROUND(((AE58-((EU58*1.2)))*AV58*I58),2)*BS58),2))</f>
        <v>0</v>
      </c>
      <c r="R58" s="2">
        <f>(ROUND((ROUND((((EU58*1.2))*AV58*I58),2)*BS58),2)+ROUND((ROUND(((AE58-((EU58*1.2)))*AV58*I58),2)*BS58),2))</f>
        <v>0</v>
      </c>
      <c r="S58" s="2">
        <f t="shared" si="25"/>
        <v>1096.7</v>
      </c>
      <c r="T58" s="2">
        <f t="shared" si="26"/>
        <v>0</v>
      </c>
      <c r="U58" s="2">
        <f t="shared" si="27"/>
        <v>107.30962655999998</v>
      </c>
      <c r="V58" s="2">
        <f t="shared" si="28"/>
        <v>0</v>
      </c>
      <c r="W58" s="2">
        <f t="shared" si="29"/>
        <v>0</v>
      </c>
      <c r="X58" s="2">
        <f>(ROUND((((S58+ROUND((ROUND((((EU58*1.2))*AV58*I58),2)*BS58),2))*AT58)/100),2)+ROUND(((ROUND((ROUND(((AE58-((EU58*1.2)))*AV58*I58),2)*BS58),2)*AT58)/100),2))</f>
        <v>998</v>
      </c>
      <c r="Y58" s="2">
        <f>(ROUND((((S58+ROUND((ROUND((((EU58*1.2))*AV58*I58),2)*BS58),2))*AU58)/100),2)+ROUND(((ROUND((ROUND(((AE58-((EU58*1.2)))*AV58*I58),2)*BS58),2)*AU58)/100),2))</f>
        <v>526.41999999999996</v>
      </c>
      <c r="Z58" s="2"/>
      <c r="AA58" s="2">
        <v>55937296</v>
      </c>
      <c r="AB58" s="2">
        <f t="shared" si="32"/>
        <v>118.224</v>
      </c>
      <c r="AC58" s="2">
        <f>ROUND(((ES58*1)),6)</f>
        <v>0</v>
      </c>
      <c r="AD58" s="2">
        <f>ROUND(((((ET58*1.2))-((EU58*1.2)))+AE58),6)</f>
        <v>0</v>
      </c>
      <c r="AE58" s="2">
        <f t="shared" ref="AE58:AF61" si="74">ROUND(((EU58*1.2)),6)</f>
        <v>0</v>
      </c>
      <c r="AF58" s="2">
        <f t="shared" si="74"/>
        <v>118.224</v>
      </c>
      <c r="AG58" s="2">
        <f t="shared" si="37"/>
        <v>0</v>
      </c>
      <c r="AH58" s="2">
        <f t="shared" ref="AH58:AI61" si="75">((EW58*1.2))</f>
        <v>11.568</v>
      </c>
      <c r="AI58" s="2">
        <f t="shared" si="75"/>
        <v>0</v>
      </c>
      <c r="AJ58" s="2">
        <f t="shared" si="40"/>
        <v>0</v>
      </c>
      <c r="AK58" s="2">
        <v>98.52</v>
      </c>
      <c r="AL58" s="2">
        <v>0</v>
      </c>
      <c r="AM58" s="2">
        <v>0</v>
      </c>
      <c r="AN58" s="2">
        <v>0</v>
      </c>
      <c r="AO58" s="2">
        <v>98.52</v>
      </c>
      <c r="AP58" s="2">
        <v>0</v>
      </c>
      <c r="AQ58" s="2">
        <v>9.64</v>
      </c>
      <c r="AR58" s="2">
        <v>0</v>
      </c>
      <c r="AS58" s="2">
        <v>0</v>
      </c>
      <c r="AT58" s="2">
        <v>91</v>
      </c>
      <c r="AU58" s="2">
        <v>48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112</v>
      </c>
      <c r="BK58" s="2"/>
      <c r="BL58" s="2"/>
      <c r="BM58" s="2">
        <v>106</v>
      </c>
      <c r="BN58" s="2">
        <v>0</v>
      </c>
      <c r="BO58" s="2" t="s">
        <v>109</v>
      </c>
      <c r="BP58" s="2">
        <v>1</v>
      </c>
      <c r="BQ58" s="2">
        <v>60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91</v>
      </c>
      <c r="CA58" s="2">
        <v>48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797</v>
      </c>
      <c r="CO58" s="2">
        <v>0</v>
      </c>
      <c r="CP58" s="2">
        <f t="shared" si="41"/>
        <v>1096.7</v>
      </c>
      <c r="CQ58" s="2">
        <f t="shared" si="42"/>
        <v>0</v>
      </c>
      <c r="CR58" s="2">
        <f>(ROUND((ROUND((((ET58*1.2))*AV58*1),2)*BB58),2)+ROUND((ROUND(((AE58-((EU58*1.2)))*AV58*1),2)*BS58),2))</f>
        <v>0</v>
      </c>
      <c r="CS58" s="2">
        <f>(ROUND((ROUND((((EU58*1.2))*AV58*1),2)*BS58),2)+ROUND((ROUND(((AE58-((EU58*1.2)))*AV58*1),2)*BS58),2))</f>
        <v>0</v>
      </c>
      <c r="CT58" s="2">
        <f t="shared" si="45"/>
        <v>123.78</v>
      </c>
      <c r="CU58" s="2">
        <f t="shared" si="46"/>
        <v>0</v>
      </c>
      <c r="CV58" s="2">
        <f t="shared" si="47"/>
        <v>12.111695999999998</v>
      </c>
      <c r="CW58" s="2">
        <f t="shared" si="48"/>
        <v>0</v>
      </c>
      <c r="CX58" s="2">
        <f t="shared" si="49"/>
        <v>0</v>
      </c>
      <c r="CY58" s="2">
        <f>(ROUND((((S58+ROUND((ROUND((((EU58*1.2))*AV58*1),2)*BS58),2))*AT58)/100),2)+ROUND(((ROUND((ROUND(((AE58-((EU58*1.2)))*AV58*1),2)*BS58),2)*AT58)/100),2))</f>
        <v>998</v>
      </c>
      <c r="CZ58" s="2">
        <f>(ROUND((((S58+ROUND((ROUND((((EU58*1.2))*AV58*1),2)*BS58),2))*AU58)/100),2)+ROUND(((ROUND((ROUND(((AE58-((EU58*1.2)))*AV58*1),2)*BS58),2)*AU58)/100),2))</f>
        <v>526.41999999999996</v>
      </c>
      <c r="DA58" s="2"/>
      <c r="DB58" s="2">
        <v>69</v>
      </c>
      <c r="DC58" s="2" t="s">
        <v>3</v>
      </c>
      <c r="DD58" s="2" t="s">
        <v>113</v>
      </c>
      <c r="DE58" s="2" t="s">
        <v>114</v>
      </c>
      <c r="DF58" s="2" t="s">
        <v>114</v>
      </c>
      <c r="DG58" s="2" t="s">
        <v>114</v>
      </c>
      <c r="DH58" s="2" t="s">
        <v>3</v>
      </c>
      <c r="DI58" s="2" t="s">
        <v>114</v>
      </c>
      <c r="DJ58" s="2" t="s">
        <v>114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1003</v>
      </c>
      <c r="DV58" s="2" t="s">
        <v>111</v>
      </c>
      <c r="DW58" s="2" t="s">
        <v>111</v>
      </c>
      <c r="DX58" s="2">
        <v>100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55393738</v>
      </c>
      <c r="EF58" s="2">
        <v>60</v>
      </c>
      <c r="EG58" s="2" t="s">
        <v>115</v>
      </c>
      <c r="EH58" s="2">
        <v>0</v>
      </c>
      <c r="EI58" s="2" t="s">
        <v>3</v>
      </c>
      <c r="EJ58" s="2">
        <v>1</v>
      </c>
      <c r="EK58" s="2">
        <v>106</v>
      </c>
      <c r="EL58" s="2" t="s">
        <v>116</v>
      </c>
      <c r="EM58" s="2" t="s">
        <v>117</v>
      </c>
      <c r="EN58" s="2"/>
      <c r="EO58" s="2" t="s">
        <v>118</v>
      </c>
      <c r="EP58" s="2"/>
      <c r="EQ58" s="2">
        <v>0</v>
      </c>
      <c r="ER58" s="2">
        <v>98.52</v>
      </c>
      <c r="ES58" s="2">
        <v>0</v>
      </c>
      <c r="ET58" s="2">
        <v>0</v>
      </c>
      <c r="EU58" s="2">
        <v>0</v>
      </c>
      <c r="EV58" s="2">
        <v>98.52</v>
      </c>
      <c r="EW58" s="2">
        <v>9.64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91</v>
      </c>
      <c r="FY58" s="2">
        <v>48</v>
      </c>
      <c r="FZ58" s="2"/>
      <c r="GA58" s="2" t="s">
        <v>3</v>
      </c>
      <c r="GB58" s="2"/>
      <c r="GC58" s="2"/>
      <c r="GD58" s="2">
        <v>1</v>
      </c>
      <c r="GE58" s="2"/>
      <c r="GF58" s="2">
        <v>1114236003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2621.12</v>
      </c>
      <c r="GN58" s="2">
        <f t="shared" si="54"/>
        <v>2621.12</v>
      </c>
      <c r="GO58" s="2">
        <f t="shared" si="55"/>
        <v>0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17</v>
      </c>
      <c r="B59" s="3">
        <v>1</v>
      </c>
      <c r="C59" s="3">
        <f>ROW(SmtRes!A114)</f>
        <v>114</v>
      </c>
      <c r="D59" s="3">
        <f>ROW(EtalonRes!A150)</f>
        <v>150</v>
      </c>
      <c r="E59" s="3" t="s">
        <v>108</v>
      </c>
      <c r="F59" s="3" t="s">
        <v>109</v>
      </c>
      <c r="G59" s="3" t="s">
        <v>110</v>
      </c>
      <c r="H59" s="3" t="s">
        <v>111</v>
      </c>
      <c r="I59" s="3">
        <f>ROUND((642+4+150+90)/100,9)</f>
        <v>8.86</v>
      </c>
      <c r="J59" s="3">
        <v>0</v>
      </c>
      <c r="K59" s="3">
        <f>ROUND((642+4+150+90)/100,9)</f>
        <v>8.86</v>
      </c>
      <c r="O59" s="3">
        <f t="shared" si="21"/>
        <v>61799.05</v>
      </c>
      <c r="P59" s="3">
        <f t="shared" si="22"/>
        <v>0</v>
      </c>
      <c r="Q59" s="3">
        <f>(ROUND((ROUND((((ET59*1.2))*AV59*I59),2)*BB59),2)+ROUND((ROUND(((AE59-((EU59*1.2)))*AV59*I59),2)*BS59),2))</f>
        <v>0</v>
      </c>
      <c r="R59" s="3">
        <f>(ROUND((ROUND((((EU59*1.2))*AV59*I59),2)*BS59),2)+ROUND((ROUND(((AE59-((EU59*1.2)))*AV59*I59),2)*BS59),2))</f>
        <v>0</v>
      </c>
      <c r="S59" s="3">
        <f t="shared" si="25"/>
        <v>61799.05</v>
      </c>
      <c r="T59" s="3">
        <f t="shared" si="26"/>
        <v>0</v>
      </c>
      <c r="U59" s="3">
        <f t="shared" si="27"/>
        <v>107.30962655999998</v>
      </c>
      <c r="V59" s="3">
        <f t="shared" si="28"/>
        <v>0</v>
      </c>
      <c r="W59" s="3">
        <f t="shared" si="29"/>
        <v>0</v>
      </c>
      <c r="X59" s="3">
        <f>(ROUND((((S59+ROUND((ROUND((((EU59*1.2))*AV59*I59),2)*BS59),2))*AT59)/100),2)+ROUND(((ROUND((ROUND(((AE59-((EU59*1.2)))*AV59*I59),2)*BS59),2)*AT59)/100),2))</f>
        <v>56237.14</v>
      </c>
      <c r="Y59" s="3">
        <f>(ROUND((((S59+ROUND((ROUND((((EU59*1.2))*AV59*I59),2)*BS59),2))*AU59)/100),2)+ROUND(((ROUND((ROUND(((AE59-((EU59*1.2)))*AV59*I59),2)*BS59),2)*AU59)/100),2))</f>
        <v>29663.54</v>
      </c>
      <c r="AA59" s="3">
        <v>55937298</v>
      </c>
      <c r="AB59" s="3">
        <f t="shared" si="32"/>
        <v>118.224</v>
      </c>
      <c r="AC59" s="3">
        <f>ROUND(((ES59*1)),6)</f>
        <v>0</v>
      </c>
      <c r="AD59" s="3">
        <f>ROUND(((((ET59*1.2))-((EU59*1.2)))+AE59),6)</f>
        <v>0</v>
      </c>
      <c r="AE59" s="3">
        <f t="shared" si="74"/>
        <v>0</v>
      </c>
      <c r="AF59" s="3">
        <f t="shared" si="74"/>
        <v>118.224</v>
      </c>
      <c r="AG59" s="3">
        <f t="shared" si="37"/>
        <v>0</v>
      </c>
      <c r="AH59" s="3">
        <f t="shared" si="75"/>
        <v>11.568</v>
      </c>
      <c r="AI59" s="3">
        <f t="shared" si="75"/>
        <v>0</v>
      </c>
      <c r="AJ59" s="3">
        <f t="shared" si="40"/>
        <v>0</v>
      </c>
      <c r="AK59" s="3">
        <v>98.52</v>
      </c>
      <c r="AL59" s="3">
        <v>0</v>
      </c>
      <c r="AM59" s="3">
        <v>0</v>
      </c>
      <c r="AN59" s="3">
        <v>0</v>
      </c>
      <c r="AO59" s="3">
        <v>98.52</v>
      </c>
      <c r="AP59" s="3">
        <v>0</v>
      </c>
      <c r="AQ59" s="3">
        <v>9.64</v>
      </c>
      <c r="AR59" s="3">
        <v>0</v>
      </c>
      <c r="AS59" s="3">
        <v>0</v>
      </c>
      <c r="AT59" s="3">
        <v>91</v>
      </c>
      <c r="AU59" s="3">
        <v>48</v>
      </c>
      <c r="AV59" s="3">
        <v>1.0469999999999999</v>
      </c>
      <c r="AW59" s="3">
        <v>1</v>
      </c>
      <c r="AZ59" s="3">
        <v>1</v>
      </c>
      <c r="BA59" s="3">
        <v>56.35</v>
      </c>
      <c r="BB59" s="3">
        <v>1</v>
      </c>
      <c r="BC59" s="3">
        <v>1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0</v>
      </c>
      <c r="BI59" s="3">
        <v>1</v>
      </c>
      <c r="BJ59" s="3" t="s">
        <v>112</v>
      </c>
      <c r="BM59" s="3">
        <v>106</v>
      </c>
      <c r="BN59" s="3">
        <v>0</v>
      </c>
      <c r="BO59" s="3" t="s">
        <v>109</v>
      </c>
      <c r="BP59" s="3">
        <v>1</v>
      </c>
      <c r="BQ59" s="3">
        <v>60</v>
      </c>
      <c r="BR59" s="3">
        <v>0</v>
      </c>
      <c r="BS59" s="3">
        <v>56.35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91</v>
      </c>
      <c r="CA59" s="3">
        <v>48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797</v>
      </c>
      <c r="CO59" s="3">
        <v>0</v>
      </c>
      <c r="CP59" s="3">
        <f t="shared" si="41"/>
        <v>61799.05</v>
      </c>
      <c r="CQ59" s="3">
        <f t="shared" si="42"/>
        <v>0</v>
      </c>
      <c r="CR59" s="3">
        <f>(ROUND((ROUND((((ET59*1.2))*AV59*1),2)*BB59),2)+ROUND((ROUND(((AE59-((EU59*1.2)))*AV59*1),2)*BS59),2))</f>
        <v>0</v>
      </c>
      <c r="CS59" s="3">
        <f>(ROUND((ROUND((((EU59*1.2))*AV59*1),2)*BS59),2)+ROUND((ROUND(((AE59-((EU59*1.2)))*AV59*1),2)*BS59),2))</f>
        <v>0</v>
      </c>
      <c r="CT59" s="3">
        <f t="shared" si="45"/>
        <v>6975</v>
      </c>
      <c r="CU59" s="3">
        <f t="shared" si="46"/>
        <v>0</v>
      </c>
      <c r="CV59" s="3">
        <f t="shared" si="47"/>
        <v>12.111695999999998</v>
      </c>
      <c r="CW59" s="3">
        <f t="shared" si="48"/>
        <v>0</v>
      </c>
      <c r="CX59" s="3">
        <f t="shared" si="49"/>
        <v>0</v>
      </c>
      <c r="CY59" s="3">
        <f>(ROUND((((S59+ROUND((ROUND((((EU59*1.2))*AV59*1),2)*BS59),2))*AT59)/100),2)+ROUND(((ROUND((ROUND(((AE59-((EU59*1.2)))*AV59*1),2)*BS59),2)*AT59)/100),2))</f>
        <v>56237.14</v>
      </c>
      <c r="CZ59" s="3">
        <f>(ROUND((((S59+ROUND((ROUND((((EU59*1.2))*AV59*1),2)*BS59),2))*AU59)/100),2)+ROUND(((ROUND((ROUND(((AE59-((EU59*1.2)))*AV59*1),2)*BS59),2)*AU59)/100),2))</f>
        <v>29663.54</v>
      </c>
      <c r="DB59" s="3">
        <v>70</v>
      </c>
      <c r="DC59" s="3" t="s">
        <v>3</v>
      </c>
      <c r="DD59" s="3" t="s">
        <v>113</v>
      </c>
      <c r="DE59" s="3" t="s">
        <v>114</v>
      </c>
      <c r="DF59" s="3" t="s">
        <v>114</v>
      </c>
      <c r="DG59" s="3" t="s">
        <v>114</v>
      </c>
      <c r="DH59" s="3" t="s">
        <v>3</v>
      </c>
      <c r="DI59" s="3" t="s">
        <v>114</v>
      </c>
      <c r="DJ59" s="3" t="s">
        <v>114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1003</v>
      </c>
      <c r="DV59" s="3" t="s">
        <v>111</v>
      </c>
      <c r="DW59" s="3" t="s">
        <v>111</v>
      </c>
      <c r="DX59" s="3">
        <v>100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55393738</v>
      </c>
      <c r="EF59" s="3">
        <v>60</v>
      </c>
      <c r="EG59" s="3" t="s">
        <v>115</v>
      </c>
      <c r="EH59" s="3">
        <v>0</v>
      </c>
      <c r="EI59" s="3" t="s">
        <v>3</v>
      </c>
      <c r="EJ59" s="3">
        <v>1</v>
      </c>
      <c r="EK59" s="3">
        <v>106</v>
      </c>
      <c r="EL59" s="3" t="s">
        <v>116</v>
      </c>
      <c r="EM59" s="3" t="s">
        <v>117</v>
      </c>
      <c r="EO59" s="3" t="s">
        <v>118</v>
      </c>
      <c r="EQ59" s="3">
        <v>0</v>
      </c>
      <c r="ER59" s="3">
        <v>98.52</v>
      </c>
      <c r="ES59" s="3">
        <v>0</v>
      </c>
      <c r="ET59" s="3">
        <v>0</v>
      </c>
      <c r="EU59" s="3">
        <v>0</v>
      </c>
      <c r="EV59" s="3">
        <v>98.52</v>
      </c>
      <c r="EW59" s="3">
        <v>9.64</v>
      </c>
      <c r="EX59" s="3">
        <v>0</v>
      </c>
      <c r="EY59" s="3">
        <v>0</v>
      </c>
      <c r="FQ59" s="3">
        <v>0</v>
      </c>
      <c r="FR59" s="3">
        <v>0</v>
      </c>
      <c r="FS59" s="3">
        <v>0</v>
      </c>
      <c r="FX59" s="3">
        <v>91</v>
      </c>
      <c r="FY59" s="3">
        <v>48</v>
      </c>
      <c r="GA59" s="3" t="s">
        <v>3</v>
      </c>
      <c r="GD59" s="3">
        <v>1</v>
      </c>
      <c r="GF59" s="3">
        <v>1114236003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52"/>
        <v>0</v>
      </c>
      <c r="GM59" s="3">
        <f t="shared" si="53"/>
        <v>147699.73000000001</v>
      </c>
      <c r="GN59" s="3">
        <f t="shared" si="54"/>
        <v>147699.73000000001</v>
      </c>
      <c r="GO59" s="3">
        <f t="shared" si="55"/>
        <v>0</v>
      </c>
      <c r="GP59" s="3">
        <f t="shared" si="56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57"/>
        <v>0</v>
      </c>
      <c r="GW59" s="3">
        <v>1</v>
      </c>
      <c r="GX59" s="3">
        <f t="shared" si="58"/>
        <v>0</v>
      </c>
      <c r="HA59" s="3">
        <v>0</v>
      </c>
      <c r="HB59" s="3">
        <v>0</v>
      </c>
      <c r="HC59" s="3">
        <f t="shared" si="59"/>
        <v>0</v>
      </c>
      <c r="HE59" s="3" t="s">
        <v>3</v>
      </c>
      <c r="HF59" s="3" t="s">
        <v>3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17</v>
      </c>
      <c r="B60" s="2">
        <v>1</v>
      </c>
      <c r="C60" s="2">
        <f>ROW(SmtRes!A116)</f>
        <v>116</v>
      </c>
      <c r="D60" s="2">
        <f>ROW(EtalonRes!A152)</f>
        <v>152</v>
      </c>
      <c r="E60" s="2" t="s">
        <v>119</v>
      </c>
      <c r="F60" s="2" t="s">
        <v>120</v>
      </c>
      <c r="G60" s="2" t="s">
        <v>121</v>
      </c>
      <c r="H60" s="2" t="s">
        <v>111</v>
      </c>
      <c r="I60" s="2">
        <f>ROUND((642+150+2)/100,9)</f>
        <v>7.94</v>
      </c>
      <c r="J60" s="2">
        <v>0</v>
      </c>
      <c r="K60" s="2">
        <f>ROUND((642+150+2)/100,9)</f>
        <v>7.94</v>
      </c>
      <c r="L60" s="2"/>
      <c r="M60" s="2"/>
      <c r="N60" s="2"/>
      <c r="O60" s="2">
        <f t="shared" si="21"/>
        <v>3194.56</v>
      </c>
      <c r="P60" s="2">
        <f t="shared" si="22"/>
        <v>0</v>
      </c>
      <c r="Q60" s="2">
        <f>(ROUND((ROUND((((ET60*1.2))*AV60*I60),2)*BB60),2)+ROUND((ROUND(((AE60-((EU60*1.2)))*AV60*I60),2)*BS60),2))</f>
        <v>0</v>
      </c>
      <c r="R60" s="2">
        <f>(ROUND((ROUND((((EU60*1.2))*AV60*I60),2)*BS60),2)+ROUND((ROUND(((AE60-((EU60*1.2)))*AV60*I60),2)*BS60),2))</f>
        <v>0</v>
      </c>
      <c r="S60" s="2">
        <f t="shared" si="25"/>
        <v>3194.56</v>
      </c>
      <c r="T60" s="2">
        <f t="shared" si="26"/>
        <v>0</v>
      </c>
      <c r="U60" s="2">
        <f t="shared" si="27"/>
        <v>303.66383903999997</v>
      </c>
      <c r="V60" s="2">
        <f t="shared" si="28"/>
        <v>0</v>
      </c>
      <c r="W60" s="2">
        <f t="shared" si="29"/>
        <v>0</v>
      </c>
      <c r="X60" s="2">
        <f>(ROUND((((S60+ROUND((ROUND((((EU60*1.2))*AV60*I60),2)*BS60),2))*AT60)/100),2)+ROUND(((ROUND((ROUND(((AE60-((EU60*1.2)))*AV60*I60),2)*BS60),2)*AT60)/100),2))</f>
        <v>2907.05</v>
      </c>
      <c r="Y60" s="2">
        <f>(ROUND((((S60+ROUND((ROUND((((EU60*1.2))*AV60*I60),2)*BS60),2))*AU60)/100),2)+ROUND(((ROUND((ROUND(((AE60-((EU60*1.2)))*AV60*I60),2)*BS60),2)*AU60)/100),2))</f>
        <v>1533.39</v>
      </c>
      <c r="Z60" s="2"/>
      <c r="AA60" s="2">
        <v>55937296</v>
      </c>
      <c r="AB60" s="2">
        <f t="shared" si="32"/>
        <v>384.27600000000001</v>
      </c>
      <c r="AC60" s="2">
        <f>ROUND(((ES60*1)),6)</f>
        <v>0</v>
      </c>
      <c r="AD60" s="2">
        <f>ROUND(((((ET60*1.2))-((EU60*1.2)))+AE60),6)</f>
        <v>0</v>
      </c>
      <c r="AE60" s="2">
        <f t="shared" si="74"/>
        <v>0</v>
      </c>
      <c r="AF60" s="2">
        <f t="shared" si="74"/>
        <v>384.27600000000001</v>
      </c>
      <c r="AG60" s="2">
        <f t="shared" si="37"/>
        <v>0</v>
      </c>
      <c r="AH60" s="2">
        <f t="shared" si="75"/>
        <v>36.527999999999999</v>
      </c>
      <c r="AI60" s="2">
        <f t="shared" si="75"/>
        <v>0</v>
      </c>
      <c r="AJ60" s="2">
        <f t="shared" si="40"/>
        <v>0</v>
      </c>
      <c r="AK60" s="2">
        <v>320.23</v>
      </c>
      <c r="AL60" s="2">
        <v>0</v>
      </c>
      <c r="AM60" s="2">
        <v>0</v>
      </c>
      <c r="AN60" s="2">
        <v>0</v>
      </c>
      <c r="AO60" s="2">
        <v>320.23</v>
      </c>
      <c r="AP60" s="2">
        <v>0</v>
      </c>
      <c r="AQ60" s="2">
        <v>30.44</v>
      </c>
      <c r="AR60" s="2">
        <v>0</v>
      </c>
      <c r="AS60" s="2">
        <v>0</v>
      </c>
      <c r="AT60" s="2">
        <v>91</v>
      </c>
      <c r="AU60" s="2">
        <v>48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1</v>
      </c>
      <c r="BJ60" s="2" t="s">
        <v>122</v>
      </c>
      <c r="BK60" s="2"/>
      <c r="BL60" s="2"/>
      <c r="BM60" s="2">
        <v>106</v>
      </c>
      <c r="BN60" s="2">
        <v>0</v>
      </c>
      <c r="BO60" s="2" t="s">
        <v>120</v>
      </c>
      <c r="BP60" s="2">
        <v>1</v>
      </c>
      <c r="BQ60" s="2">
        <v>60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91</v>
      </c>
      <c r="CA60" s="2">
        <v>48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797</v>
      </c>
      <c r="CO60" s="2">
        <v>0</v>
      </c>
      <c r="CP60" s="2">
        <f t="shared" si="41"/>
        <v>3194.56</v>
      </c>
      <c r="CQ60" s="2">
        <f t="shared" si="42"/>
        <v>0</v>
      </c>
      <c r="CR60" s="2">
        <f>(ROUND((ROUND((((ET60*1.2))*AV60*1),2)*BB60),2)+ROUND((ROUND(((AE60-((EU60*1.2)))*AV60*1),2)*BS60),2))</f>
        <v>0</v>
      </c>
      <c r="CS60" s="2">
        <f>(ROUND((ROUND((((EU60*1.2))*AV60*1),2)*BS60),2)+ROUND((ROUND(((AE60-((EU60*1.2)))*AV60*1),2)*BS60),2))</f>
        <v>0</v>
      </c>
      <c r="CT60" s="2">
        <f t="shared" si="45"/>
        <v>402.34</v>
      </c>
      <c r="CU60" s="2">
        <f t="shared" si="46"/>
        <v>0</v>
      </c>
      <c r="CV60" s="2">
        <f t="shared" si="47"/>
        <v>38.244815999999993</v>
      </c>
      <c r="CW60" s="2">
        <f t="shared" si="48"/>
        <v>0</v>
      </c>
      <c r="CX60" s="2">
        <f t="shared" si="49"/>
        <v>0</v>
      </c>
      <c r="CY60" s="2">
        <f>(ROUND((((S60+ROUND((ROUND((((EU60*1.2))*AV60*1),2)*BS60),2))*AT60)/100),2)+ROUND(((ROUND((ROUND(((AE60-((EU60*1.2)))*AV60*1),2)*BS60),2)*AT60)/100),2))</f>
        <v>2907.05</v>
      </c>
      <c r="CZ60" s="2">
        <f>(ROUND((((S60+ROUND((ROUND((((EU60*1.2))*AV60*1),2)*BS60),2))*AU60)/100),2)+ROUND(((ROUND((ROUND(((AE60-((EU60*1.2)))*AV60*1),2)*BS60),2)*AU60)/100),2))</f>
        <v>1533.39</v>
      </c>
      <c r="DA60" s="2"/>
      <c r="DB60" s="2">
        <v>71</v>
      </c>
      <c r="DC60" s="2" t="s">
        <v>3</v>
      </c>
      <c r="DD60" s="2" t="s">
        <v>113</v>
      </c>
      <c r="DE60" s="2" t="s">
        <v>114</v>
      </c>
      <c r="DF60" s="2" t="s">
        <v>114</v>
      </c>
      <c r="DG60" s="2" t="s">
        <v>114</v>
      </c>
      <c r="DH60" s="2" t="s">
        <v>3</v>
      </c>
      <c r="DI60" s="2" t="s">
        <v>114</v>
      </c>
      <c r="DJ60" s="2" t="s">
        <v>114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1003</v>
      </c>
      <c r="DV60" s="2" t="s">
        <v>111</v>
      </c>
      <c r="DW60" s="2" t="s">
        <v>111</v>
      </c>
      <c r="DX60" s="2">
        <v>100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55393738</v>
      </c>
      <c r="EF60" s="2">
        <v>60</v>
      </c>
      <c r="EG60" s="2" t="s">
        <v>115</v>
      </c>
      <c r="EH60" s="2">
        <v>0</v>
      </c>
      <c r="EI60" s="2" t="s">
        <v>3</v>
      </c>
      <c r="EJ60" s="2">
        <v>1</v>
      </c>
      <c r="EK60" s="2">
        <v>106</v>
      </c>
      <c r="EL60" s="2" t="s">
        <v>116</v>
      </c>
      <c r="EM60" s="2" t="s">
        <v>117</v>
      </c>
      <c r="EN60" s="2"/>
      <c r="EO60" s="2" t="s">
        <v>118</v>
      </c>
      <c r="EP60" s="2"/>
      <c r="EQ60" s="2">
        <v>0</v>
      </c>
      <c r="ER60" s="2">
        <v>320.23</v>
      </c>
      <c r="ES60" s="2">
        <v>0</v>
      </c>
      <c r="ET60" s="2">
        <v>0</v>
      </c>
      <c r="EU60" s="2">
        <v>0</v>
      </c>
      <c r="EV60" s="2">
        <v>320.23</v>
      </c>
      <c r="EW60" s="2">
        <v>30.44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91</v>
      </c>
      <c r="FY60" s="2">
        <v>48</v>
      </c>
      <c r="FZ60" s="2"/>
      <c r="GA60" s="2" t="s">
        <v>3</v>
      </c>
      <c r="GB60" s="2"/>
      <c r="GC60" s="2"/>
      <c r="GD60" s="2">
        <v>1</v>
      </c>
      <c r="GE60" s="2"/>
      <c r="GF60" s="2">
        <v>-1527708470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si="52"/>
        <v>0</v>
      </c>
      <c r="GM60" s="2">
        <f t="shared" si="53"/>
        <v>7635</v>
      </c>
      <c r="GN60" s="2">
        <f t="shared" si="54"/>
        <v>7635</v>
      </c>
      <c r="GO60" s="2">
        <f t="shared" si="55"/>
        <v>0</v>
      </c>
      <c r="GP60" s="2">
        <f t="shared" si="56"/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si="57"/>
        <v>0</v>
      </c>
      <c r="GW60" s="2">
        <v>1</v>
      </c>
      <c r="GX60" s="2">
        <f t="shared" si="58"/>
        <v>0</v>
      </c>
      <c r="GY60" s="2"/>
      <c r="GZ60" s="2"/>
      <c r="HA60" s="2">
        <v>0</v>
      </c>
      <c r="HB60" s="2">
        <v>0</v>
      </c>
      <c r="HC60" s="2">
        <f t="shared" si="59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17</v>
      </c>
      <c r="B61" s="3">
        <v>1</v>
      </c>
      <c r="C61" s="3">
        <f>ROW(SmtRes!A118)</f>
        <v>118</v>
      </c>
      <c r="D61" s="3">
        <f>ROW(EtalonRes!A154)</f>
        <v>154</v>
      </c>
      <c r="E61" s="3" t="s">
        <v>119</v>
      </c>
      <c r="F61" s="3" t="s">
        <v>120</v>
      </c>
      <c r="G61" s="3" t="s">
        <v>121</v>
      </c>
      <c r="H61" s="3" t="s">
        <v>111</v>
      </c>
      <c r="I61" s="3">
        <f>ROUND((642+150+2)/100,9)</f>
        <v>7.94</v>
      </c>
      <c r="J61" s="3">
        <v>0</v>
      </c>
      <c r="K61" s="3">
        <f>ROUND((642+150+2)/100,9)</f>
        <v>7.94</v>
      </c>
      <c r="O61" s="3">
        <f t="shared" si="21"/>
        <v>180013.46</v>
      </c>
      <c r="P61" s="3">
        <f t="shared" si="22"/>
        <v>0</v>
      </c>
      <c r="Q61" s="3">
        <f>(ROUND((ROUND((((ET61*1.2))*AV61*I61),2)*BB61),2)+ROUND((ROUND(((AE61-((EU61*1.2)))*AV61*I61),2)*BS61),2))</f>
        <v>0</v>
      </c>
      <c r="R61" s="3">
        <f>(ROUND((ROUND((((EU61*1.2))*AV61*I61),2)*BS61),2)+ROUND((ROUND(((AE61-((EU61*1.2)))*AV61*I61),2)*BS61),2))</f>
        <v>0</v>
      </c>
      <c r="S61" s="3">
        <f t="shared" si="25"/>
        <v>180013.46</v>
      </c>
      <c r="T61" s="3">
        <f t="shared" si="26"/>
        <v>0</v>
      </c>
      <c r="U61" s="3">
        <f t="shared" si="27"/>
        <v>303.66383903999997</v>
      </c>
      <c r="V61" s="3">
        <f t="shared" si="28"/>
        <v>0</v>
      </c>
      <c r="W61" s="3">
        <f t="shared" si="29"/>
        <v>0</v>
      </c>
      <c r="X61" s="3">
        <f>(ROUND((((S61+ROUND((ROUND((((EU61*1.2))*AV61*I61),2)*BS61),2))*AT61)/100),2)+ROUND(((ROUND((ROUND(((AE61-((EU61*1.2)))*AV61*I61),2)*BS61),2)*AT61)/100),2))</f>
        <v>163812.25</v>
      </c>
      <c r="Y61" s="3">
        <f>(ROUND((((S61+ROUND((ROUND((((EU61*1.2))*AV61*I61),2)*BS61),2))*AU61)/100),2)+ROUND(((ROUND((ROUND(((AE61-((EU61*1.2)))*AV61*I61),2)*BS61),2)*AU61)/100),2))</f>
        <v>86406.46</v>
      </c>
      <c r="AA61" s="3">
        <v>55937298</v>
      </c>
      <c r="AB61" s="3">
        <f t="shared" si="32"/>
        <v>384.27600000000001</v>
      </c>
      <c r="AC61" s="3">
        <f>ROUND(((ES61*1)),6)</f>
        <v>0</v>
      </c>
      <c r="AD61" s="3">
        <f>ROUND(((((ET61*1.2))-((EU61*1.2)))+AE61),6)</f>
        <v>0</v>
      </c>
      <c r="AE61" s="3">
        <f t="shared" si="74"/>
        <v>0</v>
      </c>
      <c r="AF61" s="3">
        <f t="shared" si="74"/>
        <v>384.27600000000001</v>
      </c>
      <c r="AG61" s="3">
        <f t="shared" si="37"/>
        <v>0</v>
      </c>
      <c r="AH61" s="3">
        <f t="shared" si="75"/>
        <v>36.527999999999999</v>
      </c>
      <c r="AI61" s="3">
        <f t="shared" si="75"/>
        <v>0</v>
      </c>
      <c r="AJ61" s="3">
        <f t="shared" si="40"/>
        <v>0</v>
      </c>
      <c r="AK61" s="3">
        <v>320.23</v>
      </c>
      <c r="AL61" s="3">
        <v>0</v>
      </c>
      <c r="AM61" s="3">
        <v>0</v>
      </c>
      <c r="AN61" s="3">
        <v>0</v>
      </c>
      <c r="AO61" s="3">
        <v>320.23</v>
      </c>
      <c r="AP61" s="3">
        <v>0</v>
      </c>
      <c r="AQ61" s="3">
        <v>30.44</v>
      </c>
      <c r="AR61" s="3">
        <v>0</v>
      </c>
      <c r="AS61" s="3">
        <v>0</v>
      </c>
      <c r="AT61" s="3">
        <v>91</v>
      </c>
      <c r="AU61" s="3">
        <v>48</v>
      </c>
      <c r="AV61" s="3">
        <v>1.0469999999999999</v>
      </c>
      <c r="AW61" s="3">
        <v>1</v>
      </c>
      <c r="AZ61" s="3">
        <v>1</v>
      </c>
      <c r="BA61" s="3">
        <v>56.35</v>
      </c>
      <c r="BB61" s="3">
        <v>1</v>
      </c>
      <c r="BC61" s="3">
        <v>1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1</v>
      </c>
      <c r="BJ61" s="3" t="s">
        <v>122</v>
      </c>
      <c r="BM61" s="3">
        <v>106</v>
      </c>
      <c r="BN61" s="3">
        <v>0</v>
      </c>
      <c r="BO61" s="3" t="s">
        <v>120</v>
      </c>
      <c r="BP61" s="3">
        <v>1</v>
      </c>
      <c r="BQ61" s="3">
        <v>60</v>
      </c>
      <c r="BR61" s="3">
        <v>0</v>
      </c>
      <c r="BS61" s="3">
        <v>56.35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91</v>
      </c>
      <c r="CA61" s="3">
        <v>48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797</v>
      </c>
      <c r="CO61" s="3">
        <v>0</v>
      </c>
      <c r="CP61" s="3">
        <f t="shared" si="41"/>
        <v>180013.46</v>
      </c>
      <c r="CQ61" s="3">
        <f t="shared" si="42"/>
        <v>0</v>
      </c>
      <c r="CR61" s="3">
        <f>(ROUND((ROUND((((ET61*1.2))*AV61*1),2)*BB61),2)+ROUND((ROUND(((AE61-((EU61*1.2)))*AV61*1),2)*BS61),2))</f>
        <v>0</v>
      </c>
      <c r="CS61" s="3">
        <f>(ROUND((ROUND((((EU61*1.2))*AV61*1),2)*BS61),2)+ROUND((ROUND(((AE61-((EU61*1.2)))*AV61*1),2)*BS61),2))</f>
        <v>0</v>
      </c>
      <c r="CT61" s="3">
        <f t="shared" si="45"/>
        <v>22671.86</v>
      </c>
      <c r="CU61" s="3">
        <f t="shared" si="46"/>
        <v>0</v>
      </c>
      <c r="CV61" s="3">
        <f t="shared" si="47"/>
        <v>38.244815999999993</v>
      </c>
      <c r="CW61" s="3">
        <f t="shared" si="48"/>
        <v>0</v>
      </c>
      <c r="CX61" s="3">
        <f t="shared" si="49"/>
        <v>0</v>
      </c>
      <c r="CY61" s="3">
        <f>(ROUND((((S61+ROUND((ROUND((((EU61*1.2))*AV61*1),2)*BS61),2))*AT61)/100),2)+ROUND(((ROUND((ROUND(((AE61-((EU61*1.2)))*AV61*1),2)*BS61),2)*AT61)/100),2))</f>
        <v>163812.25</v>
      </c>
      <c r="CZ61" s="3">
        <f>(ROUND((((S61+ROUND((ROUND((((EU61*1.2))*AV61*1),2)*BS61),2))*AU61)/100),2)+ROUND(((ROUND((ROUND(((AE61-((EU61*1.2)))*AV61*1),2)*BS61),2)*AU61)/100),2))</f>
        <v>86406.46</v>
      </c>
      <c r="DB61" s="3">
        <v>72</v>
      </c>
      <c r="DC61" s="3" t="s">
        <v>3</v>
      </c>
      <c r="DD61" s="3" t="s">
        <v>113</v>
      </c>
      <c r="DE61" s="3" t="s">
        <v>114</v>
      </c>
      <c r="DF61" s="3" t="s">
        <v>114</v>
      </c>
      <c r="DG61" s="3" t="s">
        <v>114</v>
      </c>
      <c r="DH61" s="3" t="s">
        <v>3</v>
      </c>
      <c r="DI61" s="3" t="s">
        <v>114</v>
      </c>
      <c r="DJ61" s="3" t="s">
        <v>114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1003</v>
      </c>
      <c r="DV61" s="3" t="s">
        <v>111</v>
      </c>
      <c r="DW61" s="3" t="s">
        <v>111</v>
      </c>
      <c r="DX61" s="3">
        <v>100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55393738</v>
      </c>
      <c r="EF61" s="3">
        <v>60</v>
      </c>
      <c r="EG61" s="3" t="s">
        <v>115</v>
      </c>
      <c r="EH61" s="3">
        <v>0</v>
      </c>
      <c r="EI61" s="3" t="s">
        <v>3</v>
      </c>
      <c r="EJ61" s="3">
        <v>1</v>
      </c>
      <c r="EK61" s="3">
        <v>106</v>
      </c>
      <c r="EL61" s="3" t="s">
        <v>116</v>
      </c>
      <c r="EM61" s="3" t="s">
        <v>117</v>
      </c>
      <c r="EO61" s="3" t="s">
        <v>118</v>
      </c>
      <c r="EQ61" s="3">
        <v>0</v>
      </c>
      <c r="ER61" s="3">
        <v>320.23</v>
      </c>
      <c r="ES61" s="3">
        <v>0</v>
      </c>
      <c r="ET61" s="3">
        <v>0</v>
      </c>
      <c r="EU61" s="3">
        <v>0</v>
      </c>
      <c r="EV61" s="3">
        <v>320.23</v>
      </c>
      <c r="EW61" s="3">
        <v>30.44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91</v>
      </c>
      <c r="FY61" s="3">
        <v>48</v>
      </c>
      <c r="GA61" s="3" t="s">
        <v>3</v>
      </c>
      <c r="GD61" s="3">
        <v>1</v>
      </c>
      <c r="GF61" s="3">
        <v>-1527708470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52"/>
        <v>0</v>
      </c>
      <c r="GM61" s="3">
        <f t="shared" si="53"/>
        <v>430232.17</v>
      </c>
      <c r="GN61" s="3">
        <f t="shared" si="54"/>
        <v>430232.17</v>
      </c>
      <c r="GO61" s="3">
        <f t="shared" si="55"/>
        <v>0</v>
      </c>
      <c r="GP61" s="3">
        <f t="shared" si="56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57"/>
        <v>0</v>
      </c>
      <c r="GW61" s="3">
        <v>1</v>
      </c>
      <c r="GX61" s="3">
        <f t="shared" si="58"/>
        <v>0</v>
      </c>
      <c r="HA61" s="3">
        <v>0</v>
      </c>
      <c r="HB61" s="3">
        <v>0</v>
      </c>
      <c r="HC61" s="3">
        <f t="shared" si="59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3" spans="1:255" x14ac:dyDescent="0.2">
      <c r="A63" s="11">
        <v>51</v>
      </c>
      <c r="B63" s="11">
        <f>B24</f>
        <v>1</v>
      </c>
      <c r="C63" s="11">
        <f>A24</f>
        <v>4</v>
      </c>
      <c r="D63" s="11">
        <f>ROW(A24)</f>
        <v>24</v>
      </c>
      <c r="E63" s="11"/>
      <c r="F63" s="11" t="str">
        <f>IF(F24&lt;&gt;"",F24,"")</f>
        <v>Новый раздел</v>
      </c>
      <c r="G63" s="11" t="str">
        <f>IF(G24&lt;&gt;"",G24,"")</f>
        <v>Демонтажные работы</v>
      </c>
      <c r="H63" s="11">
        <v>0</v>
      </c>
      <c r="I63" s="11"/>
      <c r="J63" s="11"/>
      <c r="K63" s="11"/>
      <c r="L63" s="11"/>
      <c r="M63" s="11"/>
      <c r="N63" s="11"/>
      <c r="O63" s="11">
        <f t="shared" ref="O63:T63" si="76">ROUND(AB63,2)</f>
        <v>5104.3100000000004</v>
      </c>
      <c r="P63" s="11">
        <f t="shared" si="76"/>
        <v>137.83000000000001</v>
      </c>
      <c r="Q63" s="11">
        <f t="shared" si="76"/>
        <v>54.29</v>
      </c>
      <c r="R63" s="11">
        <f t="shared" si="76"/>
        <v>7.99</v>
      </c>
      <c r="S63" s="11">
        <f t="shared" si="76"/>
        <v>4912.1899999999996</v>
      </c>
      <c r="T63" s="11">
        <f t="shared" si="76"/>
        <v>0</v>
      </c>
      <c r="U63" s="11">
        <f>AH63</f>
        <v>459.31589621279994</v>
      </c>
      <c r="V63" s="11">
        <f>AI63</f>
        <v>0</v>
      </c>
      <c r="W63" s="11">
        <f>ROUND(AJ63,2)</f>
        <v>0</v>
      </c>
      <c r="X63" s="11">
        <f>ROUND(AK63,2)</f>
        <v>4495.1000000000004</v>
      </c>
      <c r="Y63" s="11">
        <f>ROUND(AL63,2)</f>
        <v>2381.61</v>
      </c>
      <c r="Z63" s="11"/>
      <c r="AA63" s="11"/>
      <c r="AB63" s="11">
        <f>ROUND(SUMIF(AA28:AA61,"=55937296",O28:O61),2)</f>
        <v>5104.3100000000004</v>
      </c>
      <c r="AC63" s="11">
        <f>ROUND(SUMIF(AA28:AA61,"=55937296",P28:P61),2)</f>
        <v>137.83000000000001</v>
      </c>
      <c r="AD63" s="11">
        <f>ROUND(SUMIF(AA28:AA61,"=55937296",Q28:Q61),2)</f>
        <v>54.29</v>
      </c>
      <c r="AE63" s="11">
        <f>ROUND(SUMIF(AA28:AA61,"=55937296",R28:R61),2)</f>
        <v>7.99</v>
      </c>
      <c r="AF63" s="11">
        <f>ROUND(SUMIF(AA28:AA61,"=55937296",S28:S61),2)</f>
        <v>4912.1899999999996</v>
      </c>
      <c r="AG63" s="11">
        <f>ROUND(SUMIF(AA28:AA61,"=55937296",T28:T61),2)</f>
        <v>0</v>
      </c>
      <c r="AH63" s="11">
        <f>SUMIF(AA28:AA61,"=55937296",U28:U61)</f>
        <v>459.31589621279994</v>
      </c>
      <c r="AI63" s="11">
        <f>SUMIF(AA28:AA61,"=55937296",V28:V61)</f>
        <v>0</v>
      </c>
      <c r="AJ63" s="11">
        <f>ROUND(SUMIF(AA28:AA61,"=55937296",W28:W61),2)</f>
        <v>0</v>
      </c>
      <c r="AK63" s="11">
        <f>ROUND(SUMIF(AA28:AA61,"=55937296",X28:X61),2)</f>
        <v>4495.1000000000004</v>
      </c>
      <c r="AL63" s="11">
        <f>ROUND(SUMIF(AA28:AA61,"=55937296",Y28:Y61),2)</f>
        <v>2381.61</v>
      </c>
      <c r="AM63" s="11"/>
      <c r="AN63" s="11"/>
      <c r="AO63" s="11">
        <f t="shared" ref="AO63:BD63" si="77">ROUND(BX63,2)</f>
        <v>0</v>
      </c>
      <c r="AP63" s="11">
        <f t="shared" si="77"/>
        <v>0</v>
      </c>
      <c r="AQ63" s="11">
        <f t="shared" si="77"/>
        <v>0</v>
      </c>
      <c r="AR63" s="11">
        <f t="shared" si="77"/>
        <v>11981.02</v>
      </c>
      <c r="AS63" s="11">
        <f t="shared" si="77"/>
        <v>10813.8</v>
      </c>
      <c r="AT63" s="11">
        <f t="shared" si="77"/>
        <v>1167.22</v>
      </c>
      <c r="AU63" s="11">
        <f t="shared" si="77"/>
        <v>0</v>
      </c>
      <c r="AV63" s="11">
        <f t="shared" si="77"/>
        <v>137.83000000000001</v>
      </c>
      <c r="AW63" s="11">
        <f t="shared" si="77"/>
        <v>137.83000000000001</v>
      </c>
      <c r="AX63" s="11">
        <f t="shared" si="77"/>
        <v>0</v>
      </c>
      <c r="AY63" s="11">
        <f t="shared" si="77"/>
        <v>137.83000000000001</v>
      </c>
      <c r="AZ63" s="11">
        <f t="shared" si="77"/>
        <v>0</v>
      </c>
      <c r="BA63" s="11">
        <f t="shared" si="77"/>
        <v>0</v>
      </c>
      <c r="BB63" s="11">
        <f t="shared" si="77"/>
        <v>0</v>
      </c>
      <c r="BC63" s="11">
        <f t="shared" si="77"/>
        <v>0</v>
      </c>
      <c r="BD63" s="11">
        <f t="shared" si="77"/>
        <v>0</v>
      </c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>
        <f>ROUND(SUMIF(AA28:AA61,"=55937296",FQ28:FQ61),2)</f>
        <v>0</v>
      </c>
      <c r="BY63" s="11">
        <f>ROUND(SUMIF(AA28:AA61,"=55937296",FR28:FR61),2)</f>
        <v>0</v>
      </c>
      <c r="BZ63" s="11">
        <f>ROUND(SUMIF(AA28:AA61,"=55937296",GL28:GL61),2)</f>
        <v>0</v>
      </c>
      <c r="CA63" s="11">
        <f>ROUND(SUMIF(AA28:AA61,"=55937296",GM28:GM61),2)</f>
        <v>11981.02</v>
      </c>
      <c r="CB63" s="11">
        <f>ROUND(SUMIF(AA28:AA61,"=55937296",GN28:GN61),2)</f>
        <v>10813.8</v>
      </c>
      <c r="CC63" s="11">
        <f>ROUND(SUMIF(AA28:AA61,"=55937296",GO28:GO61),2)</f>
        <v>1167.22</v>
      </c>
      <c r="CD63" s="11">
        <f>ROUND(SUMIF(AA28:AA61,"=55937296",GP28:GP61),2)</f>
        <v>0</v>
      </c>
      <c r="CE63" s="11">
        <f>AC63-BX63</f>
        <v>137.83000000000001</v>
      </c>
      <c r="CF63" s="11">
        <f>AC63-BY63</f>
        <v>137.83000000000001</v>
      </c>
      <c r="CG63" s="11">
        <f>BX63-BZ63</f>
        <v>0</v>
      </c>
      <c r="CH63" s="11">
        <f>AC63-BX63-BY63+BZ63</f>
        <v>137.83000000000001</v>
      </c>
      <c r="CI63" s="11">
        <f>BY63-BZ63</f>
        <v>0</v>
      </c>
      <c r="CJ63" s="11">
        <f>ROUND(SUMIF(AA28:AA61,"=55937296",GX28:GX61),2)</f>
        <v>0</v>
      </c>
      <c r="CK63" s="11">
        <f>ROUND(SUMIF(AA28:AA61,"=55937296",GY28:GY61),2)</f>
        <v>0</v>
      </c>
      <c r="CL63" s="11">
        <f>ROUND(SUMIF(AA28:AA61,"=55937296",GZ28:GZ61),2)</f>
        <v>0</v>
      </c>
      <c r="CM63" s="11">
        <f>ROUND(SUMIF(AA28:AA61,"=55937296",HD28:HD61),2)</f>
        <v>0</v>
      </c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2">
        <f t="shared" ref="DG63:DL63" si="78">ROUND(DT63,2)</f>
        <v>278563.53999999998</v>
      </c>
      <c r="DH63" s="12">
        <f t="shared" si="78"/>
        <v>848.58</v>
      </c>
      <c r="DI63" s="12">
        <f t="shared" si="78"/>
        <v>913.05</v>
      </c>
      <c r="DJ63" s="12">
        <f t="shared" si="78"/>
        <v>450.24</v>
      </c>
      <c r="DK63" s="12">
        <f t="shared" si="78"/>
        <v>276801.90999999997</v>
      </c>
      <c r="DL63" s="12">
        <f t="shared" si="78"/>
        <v>0</v>
      </c>
      <c r="DM63" s="12">
        <f>DZ63</f>
        <v>459.31589621279994</v>
      </c>
      <c r="DN63" s="12">
        <f>EA63</f>
        <v>0</v>
      </c>
      <c r="DO63" s="12">
        <f>ROUND(EB63,2)</f>
        <v>0</v>
      </c>
      <c r="DP63" s="12">
        <f>ROUND(EC63,2)</f>
        <v>253299.21</v>
      </c>
      <c r="DQ63" s="12">
        <f>ROUND(ED63,2)</f>
        <v>134204.45000000001</v>
      </c>
      <c r="DR63" s="12"/>
      <c r="DS63" s="12"/>
      <c r="DT63" s="12">
        <f>ROUND(SUMIF(AA28:AA61,"=55937298",O28:O61),2)</f>
        <v>278563.53999999998</v>
      </c>
      <c r="DU63" s="12">
        <f>ROUND(SUMIF(AA28:AA61,"=55937298",P28:P61),2)</f>
        <v>848.58</v>
      </c>
      <c r="DV63" s="12">
        <f>ROUND(SUMIF(AA28:AA61,"=55937298",Q28:Q61),2)</f>
        <v>913.05</v>
      </c>
      <c r="DW63" s="12">
        <f>ROUND(SUMIF(AA28:AA61,"=55937298",R28:R61),2)</f>
        <v>450.24</v>
      </c>
      <c r="DX63" s="12">
        <f>ROUND(SUMIF(AA28:AA61,"=55937298",S28:S61),2)</f>
        <v>276801.90999999997</v>
      </c>
      <c r="DY63" s="12">
        <f>ROUND(SUMIF(AA28:AA61,"=55937298",T28:T61),2)</f>
        <v>0</v>
      </c>
      <c r="DZ63" s="12">
        <f>SUMIF(AA28:AA61,"=55937298",U28:U61)</f>
        <v>459.31589621279994</v>
      </c>
      <c r="EA63" s="12">
        <f>SUMIF(AA28:AA61,"=55937298",V28:V61)</f>
        <v>0</v>
      </c>
      <c r="EB63" s="12">
        <f>ROUND(SUMIF(AA28:AA61,"=55937298",W28:W61),2)</f>
        <v>0</v>
      </c>
      <c r="EC63" s="12">
        <f>ROUND(SUMIF(AA28:AA61,"=55937298",X28:X61),2)</f>
        <v>253299.21</v>
      </c>
      <c r="ED63" s="12">
        <f>ROUND(SUMIF(AA28:AA61,"=55937298",Y28:Y61),2)</f>
        <v>134204.45000000001</v>
      </c>
      <c r="EE63" s="12"/>
      <c r="EF63" s="12"/>
      <c r="EG63" s="12">
        <f t="shared" ref="EG63:EV63" si="79">ROUND(FP63,2)</f>
        <v>0</v>
      </c>
      <c r="EH63" s="12">
        <f t="shared" si="79"/>
        <v>0</v>
      </c>
      <c r="EI63" s="12">
        <f t="shared" si="79"/>
        <v>0</v>
      </c>
      <c r="EJ63" s="12">
        <f t="shared" si="79"/>
        <v>666067.19999999995</v>
      </c>
      <c r="EK63" s="12">
        <f t="shared" si="79"/>
        <v>600506.53</v>
      </c>
      <c r="EL63" s="12">
        <f t="shared" si="79"/>
        <v>65560.67</v>
      </c>
      <c r="EM63" s="12">
        <f t="shared" si="79"/>
        <v>0</v>
      </c>
      <c r="EN63" s="12">
        <f t="shared" si="79"/>
        <v>848.58</v>
      </c>
      <c r="EO63" s="12">
        <f t="shared" si="79"/>
        <v>848.58</v>
      </c>
      <c r="EP63" s="12">
        <f t="shared" si="79"/>
        <v>0</v>
      </c>
      <c r="EQ63" s="12">
        <f t="shared" si="79"/>
        <v>848.58</v>
      </c>
      <c r="ER63" s="12">
        <f t="shared" si="79"/>
        <v>0</v>
      </c>
      <c r="ES63" s="12">
        <f t="shared" si="79"/>
        <v>0</v>
      </c>
      <c r="ET63" s="12">
        <f t="shared" si="79"/>
        <v>0</v>
      </c>
      <c r="EU63" s="12">
        <f t="shared" si="79"/>
        <v>0</v>
      </c>
      <c r="EV63" s="12">
        <f t="shared" si="79"/>
        <v>0</v>
      </c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>
        <f>ROUND(SUMIF(AA28:AA61,"=55937298",FQ28:FQ61),2)</f>
        <v>0</v>
      </c>
      <c r="FQ63" s="12">
        <f>ROUND(SUMIF(AA28:AA61,"=55937298",FR28:FR61),2)</f>
        <v>0</v>
      </c>
      <c r="FR63" s="12">
        <f>ROUND(SUMIF(AA28:AA61,"=55937298",GL28:GL61),2)</f>
        <v>0</v>
      </c>
      <c r="FS63" s="12">
        <f>ROUND(SUMIF(AA28:AA61,"=55937298",GM28:GM61),2)</f>
        <v>666067.19999999995</v>
      </c>
      <c r="FT63" s="12">
        <f>ROUND(SUMIF(AA28:AA61,"=55937298",GN28:GN61),2)</f>
        <v>600506.53</v>
      </c>
      <c r="FU63" s="12">
        <f>ROUND(SUMIF(AA28:AA61,"=55937298",GO28:GO61),2)</f>
        <v>65560.67</v>
      </c>
      <c r="FV63" s="12">
        <f>ROUND(SUMIF(AA28:AA61,"=55937298",GP28:GP61),2)</f>
        <v>0</v>
      </c>
      <c r="FW63" s="12">
        <f>DU63-FP63</f>
        <v>848.58</v>
      </c>
      <c r="FX63" s="12">
        <f>DU63-FQ63</f>
        <v>848.58</v>
      </c>
      <c r="FY63" s="12">
        <f>FP63-FR63</f>
        <v>0</v>
      </c>
      <c r="FZ63" s="12">
        <f>DU63-FP63-FQ63+FR63</f>
        <v>848.58</v>
      </c>
      <c r="GA63" s="12">
        <f>FQ63-FR63</f>
        <v>0</v>
      </c>
      <c r="GB63" s="12">
        <f>ROUND(SUMIF(AA28:AA61,"=55937298",GX28:GX61),2)</f>
        <v>0</v>
      </c>
      <c r="GC63" s="12">
        <f>ROUND(SUMIF(AA28:AA61,"=55937298",GY28:GY61),2)</f>
        <v>0</v>
      </c>
      <c r="GD63" s="12">
        <f>ROUND(SUMIF(AA28:AA61,"=55937298",GZ28:GZ61),2)</f>
        <v>0</v>
      </c>
      <c r="GE63" s="12">
        <f>ROUND(SUMIF(AA28:AA61,"=55937298",HD28:HD61),2)</f>
        <v>0</v>
      </c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>
        <v>0</v>
      </c>
    </row>
    <row r="65" spans="1:28" x14ac:dyDescent="0.2">
      <c r="A65" s="13">
        <v>50</v>
      </c>
      <c r="B65" s="13">
        <v>0</v>
      </c>
      <c r="C65" s="13">
        <v>0</v>
      </c>
      <c r="D65" s="13">
        <v>1</v>
      </c>
      <c r="E65" s="13">
        <v>201</v>
      </c>
      <c r="F65" s="13">
        <f>ROUND(Source!O63,O65)</f>
        <v>5104.3100000000004</v>
      </c>
      <c r="G65" s="13" t="s">
        <v>123</v>
      </c>
      <c r="H65" s="13" t="s">
        <v>124</v>
      </c>
      <c r="I65" s="13"/>
      <c r="J65" s="13"/>
      <c r="K65" s="13">
        <v>201</v>
      </c>
      <c r="L65" s="13">
        <v>1</v>
      </c>
      <c r="M65" s="13">
        <v>3</v>
      </c>
      <c r="N65" s="13" t="s">
        <v>3</v>
      </c>
      <c r="O65" s="13">
        <v>2</v>
      </c>
      <c r="P65" s="13">
        <f>ROUND(Source!DG63,O65)</f>
        <v>278563.53999999998</v>
      </c>
      <c r="Q65" s="13"/>
      <c r="R65" s="13"/>
      <c r="S65" s="13"/>
      <c r="T65" s="13"/>
      <c r="U65" s="13"/>
      <c r="V65" s="13"/>
      <c r="W65" s="13">
        <v>5104.3100000000004</v>
      </c>
      <c r="X65" s="13">
        <v>1</v>
      </c>
      <c r="Y65" s="13">
        <v>5104.3100000000004</v>
      </c>
      <c r="Z65" s="13">
        <v>278563.53999999998</v>
      </c>
      <c r="AA65" s="13">
        <v>1</v>
      </c>
      <c r="AB65" s="13">
        <v>278563.53999999998</v>
      </c>
    </row>
    <row r="66" spans="1:28" x14ac:dyDescent="0.2">
      <c r="A66" s="13">
        <v>50</v>
      </c>
      <c r="B66" s="13">
        <v>0</v>
      </c>
      <c r="C66" s="13">
        <v>0</v>
      </c>
      <c r="D66" s="13">
        <v>1</v>
      </c>
      <c r="E66" s="13">
        <v>202</v>
      </c>
      <c r="F66" s="13">
        <f>ROUND(Source!P63,O66)</f>
        <v>137.83000000000001</v>
      </c>
      <c r="G66" s="13" t="s">
        <v>125</v>
      </c>
      <c r="H66" s="13" t="s">
        <v>126</v>
      </c>
      <c r="I66" s="13"/>
      <c r="J66" s="13"/>
      <c r="K66" s="13">
        <v>202</v>
      </c>
      <c r="L66" s="13">
        <v>2</v>
      </c>
      <c r="M66" s="13">
        <v>3</v>
      </c>
      <c r="N66" s="13" t="s">
        <v>3</v>
      </c>
      <c r="O66" s="13">
        <v>2</v>
      </c>
      <c r="P66" s="13">
        <f>ROUND(Source!DH63,O66)</f>
        <v>848.58</v>
      </c>
      <c r="Q66" s="13"/>
      <c r="R66" s="13"/>
      <c r="S66" s="13"/>
      <c r="T66" s="13"/>
      <c r="U66" s="13"/>
      <c r="V66" s="13"/>
      <c r="W66" s="13">
        <v>137.83000000000001</v>
      </c>
      <c r="X66" s="13">
        <v>1</v>
      </c>
      <c r="Y66" s="13">
        <v>137.83000000000001</v>
      </c>
      <c r="Z66" s="13">
        <v>848.58</v>
      </c>
      <c r="AA66" s="13">
        <v>1</v>
      </c>
      <c r="AB66" s="13">
        <v>848.58</v>
      </c>
    </row>
    <row r="67" spans="1:28" x14ac:dyDescent="0.2">
      <c r="A67" s="13">
        <v>50</v>
      </c>
      <c r="B67" s="13">
        <v>0</v>
      </c>
      <c r="C67" s="13">
        <v>0</v>
      </c>
      <c r="D67" s="13">
        <v>1</v>
      </c>
      <c r="E67" s="13">
        <v>222</v>
      </c>
      <c r="F67" s="13">
        <f>ROUND(Source!AO63,O67)</f>
        <v>0</v>
      </c>
      <c r="G67" s="13" t="s">
        <v>127</v>
      </c>
      <c r="H67" s="13" t="s">
        <v>128</v>
      </c>
      <c r="I67" s="13"/>
      <c r="J67" s="13"/>
      <c r="K67" s="13">
        <v>222</v>
      </c>
      <c r="L67" s="13">
        <v>3</v>
      </c>
      <c r="M67" s="13">
        <v>3</v>
      </c>
      <c r="N67" s="13" t="s">
        <v>3</v>
      </c>
      <c r="O67" s="13">
        <v>2</v>
      </c>
      <c r="P67" s="13">
        <f>ROUND(Source!EG63,O67)</f>
        <v>0</v>
      </c>
      <c r="Q67" s="13"/>
      <c r="R67" s="13"/>
      <c r="S67" s="13"/>
      <c r="T67" s="13"/>
      <c r="U67" s="13"/>
      <c r="V67" s="13"/>
      <c r="W67" s="13">
        <v>0</v>
      </c>
      <c r="X67" s="13">
        <v>1</v>
      </c>
      <c r="Y67" s="13">
        <v>0</v>
      </c>
      <c r="Z67" s="13">
        <v>0</v>
      </c>
      <c r="AA67" s="13">
        <v>1</v>
      </c>
      <c r="AB67" s="13">
        <v>0</v>
      </c>
    </row>
    <row r="68" spans="1:28" x14ac:dyDescent="0.2">
      <c r="A68" s="13">
        <v>50</v>
      </c>
      <c r="B68" s="13">
        <v>0</v>
      </c>
      <c r="C68" s="13">
        <v>0</v>
      </c>
      <c r="D68" s="13">
        <v>1</v>
      </c>
      <c r="E68" s="13">
        <v>225</v>
      </c>
      <c r="F68" s="13">
        <f>ROUND(Source!AV63,O68)</f>
        <v>137.83000000000001</v>
      </c>
      <c r="G68" s="13" t="s">
        <v>129</v>
      </c>
      <c r="H68" s="13" t="s">
        <v>130</v>
      </c>
      <c r="I68" s="13"/>
      <c r="J68" s="13"/>
      <c r="K68" s="13">
        <v>225</v>
      </c>
      <c r="L68" s="13">
        <v>4</v>
      </c>
      <c r="M68" s="13">
        <v>3</v>
      </c>
      <c r="N68" s="13" t="s">
        <v>3</v>
      </c>
      <c r="O68" s="13">
        <v>2</v>
      </c>
      <c r="P68" s="13">
        <f>ROUND(Source!EN63,O68)</f>
        <v>848.58</v>
      </c>
      <c r="Q68" s="13"/>
      <c r="R68" s="13"/>
      <c r="S68" s="13"/>
      <c r="T68" s="13"/>
      <c r="U68" s="13"/>
      <c r="V68" s="13"/>
      <c r="W68" s="13">
        <v>137.83000000000001</v>
      </c>
      <c r="X68" s="13">
        <v>1</v>
      </c>
      <c r="Y68" s="13">
        <v>137.83000000000001</v>
      </c>
      <c r="Z68" s="13">
        <v>848.58</v>
      </c>
      <c r="AA68" s="13">
        <v>1</v>
      </c>
      <c r="AB68" s="13">
        <v>848.58</v>
      </c>
    </row>
    <row r="69" spans="1:28" x14ac:dyDescent="0.2">
      <c r="A69" s="13">
        <v>50</v>
      </c>
      <c r="B69" s="13">
        <v>0</v>
      </c>
      <c r="C69" s="13">
        <v>0</v>
      </c>
      <c r="D69" s="13">
        <v>1</v>
      </c>
      <c r="E69" s="13">
        <v>226</v>
      </c>
      <c r="F69" s="13">
        <f>ROUND(Source!AW63,O69)</f>
        <v>137.83000000000001</v>
      </c>
      <c r="G69" s="13" t="s">
        <v>131</v>
      </c>
      <c r="H69" s="13" t="s">
        <v>132</v>
      </c>
      <c r="I69" s="13"/>
      <c r="J69" s="13"/>
      <c r="K69" s="13">
        <v>226</v>
      </c>
      <c r="L69" s="13">
        <v>5</v>
      </c>
      <c r="M69" s="13">
        <v>3</v>
      </c>
      <c r="N69" s="13" t="s">
        <v>3</v>
      </c>
      <c r="O69" s="13">
        <v>2</v>
      </c>
      <c r="P69" s="13">
        <f>ROUND(Source!EO63,O69)</f>
        <v>848.58</v>
      </c>
      <c r="Q69" s="13"/>
      <c r="R69" s="13"/>
      <c r="S69" s="13"/>
      <c r="T69" s="13"/>
      <c r="U69" s="13"/>
      <c r="V69" s="13"/>
      <c r="W69" s="13">
        <v>137.83000000000001</v>
      </c>
      <c r="X69" s="13">
        <v>1</v>
      </c>
      <c r="Y69" s="13">
        <v>137.83000000000001</v>
      </c>
      <c r="Z69" s="13">
        <v>848.58</v>
      </c>
      <c r="AA69" s="13">
        <v>1</v>
      </c>
      <c r="AB69" s="13">
        <v>848.58</v>
      </c>
    </row>
    <row r="70" spans="1:28" x14ac:dyDescent="0.2">
      <c r="A70" s="13">
        <v>50</v>
      </c>
      <c r="B70" s="13">
        <v>0</v>
      </c>
      <c r="C70" s="13">
        <v>0</v>
      </c>
      <c r="D70" s="13">
        <v>1</v>
      </c>
      <c r="E70" s="13">
        <v>227</v>
      </c>
      <c r="F70" s="13">
        <f>ROUND(Source!AX63,O70)</f>
        <v>0</v>
      </c>
      <c r="G70" s="13" t="s">
        <v>133</v>
      </c>
      <c r="H70" s="13" t="s">
        <v>134</v>
      </c>
      <c r="I70" s="13"/>
      <c r="J70" s="13"/>
      <c r="K70" s="13">
        <v>227</v>
      </c>
      <c r="L70" s="13">
        <v>6</v>
      </c>
      <c r="M70" s="13">
        <v>3</v>
      </c>
      <c r="N70" s="13" t="s">
        <v>3</v>
      </c>
      <c r="O70" s="13">
        <v>2</v>
      </c>
      <c r="P70" s="13">
        <f>ROUND(Source!EP63,O70)</f>
        <v>0</v>
      </c>
      <c r="Q70" s="13"/>
      <c r="R70" s="13"/>
      <c r="S70" s="13"/>
      <c r="T70" s="13"/>
      <c r="U70" s="13"/>
      <c r="V70" s="13"/>
      <c r="W70" s="13">
        <v>0</v>
      </c>
      <c r="X70" s="13">
        <v>1</v>
      </c>
      <c r="Y70" s="13">
        <v>0</v>
      </c>
      <c r="Z70" s="13">
        <v>0</v>
      </c>
      <c r="AA70" s="13">
        <v>1</v>
      </c>
      <c r="AB70" s="13">
        <v>0</v>
      </c>
    </row>
    <row r="71" spans="1:28" x14ac:dyDescent="0.2">
      <c r="A71" s="13">
        <v>50</v>
      </c>
      <c r="B71" s="13">
        <v>0</v>
      </c>
      <c r="C71" s="13">
        <v>0</v>
      </c>
      <c r="D71" s="13">
        <v>1</v>
      </c>
      <c r="E71" s="13">
        <v>228</v>
      </c>
      <c r="F71" s="13">
        <f>ROUND(Source!AY63,O71)</f>
        <v>137.83000000000001</v>
      </c>
      <c r="G71" s="13" t="s">
        <v>135</v>
      </c>
      <c r="H71" s="13" t="s">
        <v>136</v>
      </c>
      <c r="I71" s="13"/>
      <c r="J71" s="13"/>
      <c r="K71" s="13">
        <v>228</v>
      </c>
      <c r="L71" s="13">
        <v>7</v>
      </c>
      <c r="M71" s="13">
        <v>3</v>
      </c>
      <c r="N71" s="13" t="s">
        <v>3</v>
      </c>
      <c r="O71" s="13">
        <v>2</v>
      </c>
      <c r="P71" s="13">
        <f>ROUND(Source!EQ63,O71)</f>
        <v>848.58</v>
      </c>
      <c r="Q71" s="13"/>
      <c r="R71" s="13"/>
      <c r="S71" s="13"/>
      <c r="T71" s="13"/>
      <c r="U71" s="13"/>
      <c r="V71" s="13"/>
      <c r="W71" s="13">
        <v>137.83000000000001</v>
      </c>
      <c r="X71" s="13">
        <v>1</v>
      </c>
      <c r="Y71" s="13">
        <v>137.83000000000001</v>
      </c>
      <c r="Z71" s="13">
        <v>848.58</v>
      </c>
      <c r="AA71" s="13">
        <v>1</v>
      </c>
      <c r="AB71" s="13">
        <v>848.58</v>
      </c>
    </row>
    <row r="72" spans="1:28" x14ac:dyDescent="0.2">
      <c r="A72" s="13">
        <v>50</v>
      </c>
      <c r="B72" s="13">
        <v>0</v>
      </c>
      <c r="C72" s="13">
        <v>0</v>
      </c>
      <c r="D72" s="13">
        <v>1</v>
      </c>
      <c r="E72" s="13">
        <v>216</v>
      </c>
      <c r="F72" s="13">
        <f>ROUND(Source!AP63,O72)</f>
        <v>0</v>
      </c>
      <c r="G72" s="13" t="s">
        <v>137</v>
      </c>
      <c r="H72" s="13" t="s">
        <v>138</v>
      </c>
      <c r="I72" s="13"/>
      <c r="J72" s="13"/>
      <c r="K72" s="13">
        <v>216</v>
      </c>
      <c r="L72" s="13">
        <v>8</v>
      </c>
      <c r="M72" s="13">
        <v>3</v>
      </c>
      <c r="N72" s="13" t="s">
        <v>3</v>
      </c>
      <c r="O72" s="13">
        <v>2</v>
      </c>
      <c r="P72" s="13">
        <f>ROUND(Source!EH63,O72)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28" x14ac:dyDescent="0.2">
      <c r="A73" s="13">
        <v>50</v>
      </c>
      <c r="B73" s="13">
        <v>0</v>
      </c>
      <c r="C73" s="13">
        <v>0</v>
      </c>
      <c r="D73" s="13">
        <v>1</v>
      </c>
      <c r="E73" s="13">
        <v>223</v>
      </c>
      <c r="F73" s="13">
        <f>ROUND(Source!AQ63,O73)</f>
        <v>0</v>
      </c>
      <c r="G73" s="13" t="s">
        <v>139</v>
      </c>
      <c r="H73" s="13" t="s">
        <v>140</v>
      </c>
      <c r="I73" s="13"/>
      <c r="J73" s="13"/>
      <c r="K73" s="13">
        <v>223</v>
      </c>
      <c r="L73" s="13">
        <v>9</v>
      </c>
      <c r="M73" s="13">
        <v>3</v>
      </c>
      <c r="N73" s="13" t="s">
        <v>3</v>
      </c>
      <c r="O73" s="13">
        <v>2</v>
      </c>
      <c r="P73" s="13">
        <f>ROUND(Source!EI63,O73)</f>
        <v>0</v>
      </c>
      <c r="Q73" s="13"/>
      <c r="R73" s="13"/>
      <c r="S73" s="13"/>
      <c r="T73" s="13"/>
      <c r="U73" s="13"/>
      <c r="V73" s="13"/>
      <c r="W73" s="13">
        <v>0</v>
      </c>
      <c r="X73" s="13">
        <v>1</v>
      </c>
      <c r="Y73" s="13">
        <v>0</v>
      </c>
      <c r="Z73" s="13">
        <v>0</v>
      </c>
      <c r="AA73" s="13">
        <v>1</v>
      </c>
      <c r="AB73" s="13">
        <v>0</v>
      </c>
    </row>
    <row r="74" spans="1:28" x14ac:dyDescent="0.2">
      <c r="A74" s="13">
        <v>50</v>
      </c>
      <c r="B74" s="13">
        <v>0</v>
      </c>
      <c r="C74" s="13">
        <v>0</v>
      </c>
      <c r="D74" s="13">
        <v>1</v>
      </c>
      <c r="E74" s="13">
        <v>229</v>
      </c>
      <c r="F74" s="13">
        <f>ROUND(Source!AZ63,O74)</f>
        <v>0</v>
      </c>
      <c r="G74" s="13" t="s">
        <v>141</v>
      </c>
      <c r="H74" s="13" t="s">
        <v>142</v>
      </c>
      <c r="I74" s="13"/>
      <c r="J74" s="13"/>
      <c r="K74" s="13">
        <v>229</v>
      </c>
      <c r="L74" s="13">
        <v>10</v>
      </c>
      <c r="M74" s="13">
        <v>3</v>
      </c>
      <c r="N74" s="13" t="s">
        <v>3</v>
      </c>
      <c r="O74" s="13">
        <v>2</v>
      </c>
      <c r="P74" s="13">
        <f>ROUND(Source!ER63,O74)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28" x14ac:dyDescent="0.2">
      <c r="A75" s="13">
        <v>50</v>
      </c>
      <c r="B75" s="13">
        <v>0</v>
      </c>
      <c r="C75" s="13">
        <v>0</v>
      </c>
      <c r="D75" s="13">
        <v>1</v>
      </c>
      <c r="E75" s="13">
        <v>203</v>
      </c>
      <c r="F75" s="13">
        <f>ROUND(Source!Q63,O75)</f>
        <v>54.29</v>
      </c>
      <c r="G75" s="13" t="s">
        <v>143</v>
      </c>
      <c r="H75" s="13" t="s">
        <v>144</v>
      </c>
      <c r="I75" s="13"/>
      <c r="J75" s="13"/>
      <c r="K75" s="13">
        <v>203</v>
      </c>
      <c r="L75" s="13">
        <v>11</v>
      </c>
      <c r="M75" s="13">
        <v>3</v>
      </c>
      <c r="N75" s="13" t="s">
        <v>3</v>
      </c>
      <c r="O75" s="13">
        <v>2</v>
      </c>
      <c r="P75" s="13">
        <f>ROUND(Source!DI63,O75)</f>
        <v>913.05</v>
      </c>
      <c r="Q75" s="13"/>
      <c r="R75" s="13"/>
      <c r="S75" s="13"/>
      <c r="T75" s="13"/>
      <c r="U75" s="13"/>
      <c r="V75" s="13"/>
      <c r="W75" s="13">
        <v>54.29</v>
      </c>
      <c r="X75" s="13">
        <v>1</v>
      </c>
      <c r="Y75" s="13">
        <v>54.29</v>
      </c>
      <c r="Z75" s="13">
        <v>913.05</v>
      </c>
      <c r="AA75" s="13">
        <v>1</v>
      </c>
      <c r="AB75" s="13">
        <v>913.05</v>
      </c>
    </row>
    <row r="76" spans="1:28" x14ac:dyDescent="0.2">
      <c r="A76" s="13">
        <v>50</v>
      </c>
      <c r="B76" s="13">
        <v>0</v>
      </c>
      <c r="C76" s="13">
        <v>0</v>
      </c>
      <c r="D76" s="13">
        <v>1</v>
      </c>
      <c r="E76" s="13">
        <v>231</v>
      </c>
      <c r="F76" s="13">
        <f>ROUND(Source!BB63,O76)</f>
        <v>0</v>
      </c>
      <c r="G76" s="13" t="s">
        <v>145</v>
      </c>
      <c r="H76" s="13" t="s">
        <v>146</v>
      </c>
      <c r="I76" s="13"/>
      <c r="J76" s="13"/>
      <c r="K76" s="13">
        <v>231</v>
      </c>
      <c r="L76" s="13">
        <v>12</v>
      </c>
      <c r="M76" s="13">
        <v>3</v>
      </c>
      <c r="N76" s="13" t="s">
        <v>3</v>
      </c>
      <c r="O76" s="13">
        <v>2</v>
      </c>
      <c r="P76" s="13">
        <f>ROUND(Source!ET63,O76)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8" x14ac:dyDescent="0.2">
      <c r="A77" s="13">
        <v>50</v>
      </c>
      <c r="B77" s="13">
        <v>0</v>
      </c>
      <c r="C77" s="13">
        <v>0</v>
      </c>
      <c r="D77" s="13">
        <v>1</v>
      </c>
      <c r="E77" s="13">
        <v>204</v>
      </c>
      <c r="F77" s="13">
        <f>ROUND(Source!R63,O77)</f>
        <v>7.99</v>
      </c>
      <c r="G77" s="13" t="s">
        <v>147</v>
      </c>
      <c r="H77" s="13" t="s">
        <v>148</v>
      </c>
      <c r="I77" s="13"/>
      <c r="J77" s="13"/>
      <c r="K77" s="13">
        <v>204</v>
      </c>
      <c r="L77" s="13">
        <v>13</v>
      </c>
      <c r="M77" s="13">
        <v>3</v>
      </c>
      <c r="N77" s="13" t="s">
        <v>3</v>
      </c>
      <c r="O77" s="13">
        <v>2</v>
      </c>
      <c r="P77" s="13">
        <f>ROUND(Source!DJ63,O77)</f>
        <v>450.24</v>
      </c>
      <c r="Q77" s="13"/>
      <c r="R77" s="13"/>
      <c r="S77" s="13"/>
      <c r="T77" s="13"/>
      <c r="U77" s="13"/>
      <c r="V77" s="13"/>
      <c r="W77" s="13">
        <v>7.99</v>
      </c>
      <c r="X77" s="13">
        <v>1</v>
      </c>
      <c r="Y77" s="13">
        <v>7.99</v>
      </c>
      <c r="Z77" s="13">
        <v>450.24</v>
      </c>
      <c r="AA77" s="13">
        <v>1</v>
      </c>
      <c r="AB77" s="13">
        <v>450.24</v>
      </c>
    </row>
    <row r="78" spans="1:28" x14ac:dyDescent="0.2">
      <c r="A78" s="13">
        <v>50</v>
      </c>
      <c r="B78" s="13">
        <v>0</v>
      </c>
      <c r="C78" s="13">
        <v>0</v>
      </c>
      <c r="D78" s="13">
        <v>1</v>
      </c>
      <c r="E78" s="13">
        <v>205</v>
      </c>
      <c r="F78" s="13">
        <f>ROUND(Source!S63,O78)</f>
        <v>4912.1899999999996</v>
      </c>
      <c r="G78" s="13" t="s">
        <v>149</v>
      </c>
      <c r="H78" s="13" t="s">
        <v>150</v>
      </c>
      <c r="I78" s="13"/>
      <c r="J78" s="13"/>
      <c r="K78" s="13">
        <v>205</v>
      </c>
      <c r="L78" s="13">
        <v>14</v>
      </c>
      <c r="M78" s="13">
        <v>3</v>
      </c>
      <c r="N78" s="13" t="s">
        <v>3</v>
      </c>
      <c r="O78" s="13">
        <v>2</v>
      </c>
      <c r="P78" s="13">
        <f>ROUND(Source!DK63,O78)</f>
        <v>276801.90999999997</v>
      </c>
      <c r="Q78" s="13"/>
      <c r="R78" s="13"/>
      <c r="S78" s="13"/>
      <c r="T78" s="13"/>
      <c r="U78" s="13"/>
      <c r="V78" s="13"/>
      <c r="W78" s="13">
        <v>4912.1899999999996</v>
      </c>
      <c r="X78" s="13">
        <v>1</v>
      </c>
      <c r="Y78" s="13">
        <v>4912.1899999999996</v>
      </c>
      <c r="Z78" s="13">
        <v>276801.90999999997</v>
      </c>
      <c r="AA78" s="13">
        <v>1</v>
      </c>
      <c r="AB78" s="13">
        <v>276801.90999999997</v>
      </c>
    </row>
    <row r="79" spans="1:28" x14ac:dyDescent="0.2">
      <c r="A79" s="13">
        <v>50</v>
      </c>
      <c r="B79" s="13">
        <v>0</v>
      </c>
      <c r="C79" s="13">
        <v>0</v>
      </c>
      <c r="D79" s="13">
        <v>1</v>
      </c>
      <c r="E79" s="13">
        <v>232</v>
      </c>
      <c r="F79" s="13">
        <f>ROUND(Source!BC63,O79)</f>
        <v>0</v>
      </c>
      <c r="G79" s="13" t="s">
        <v>151</v>
      </c>
      <c r="H79" s="13" t="s">
        <v>152</v>
      </c>
      <c r="I79" s="13"/>
      <c r="J79" s="13"/>
      <c r="K79" s="13">
        <v>232</v>
      </c>
      <c r="L79" s="13">
        <v>15</v>
      </c>
      <c r="M79" s="13">
        <v>3</v>
      </c>
      <c r="N79" s="13" t="s">
        <v>3</v>
      </c>
      <c r="O79" s="13">
        <v>2</v>
      </c>
      <c r="P79" s="13">
        <f>ROUND(Source!EU63,O79)</f>
        <v>0</v>
      </c>
      <c r="Q79" s="13"/>
      <c r="R79" s="13"/>
      <c r="S79" s="13"/>
      <c r="T79" s="13"/>
      <c r="U79" s="13"/>
      <c r="V79" s="13"/>
      <c r="W79" s="13">
        <v>0</v>
      </c>
      <c r="X79" s="13">
        <v>1</v>
      </c>
      <c r="Y79" s="13">
        <v>0</v>
      </c>
      <c r="Z79" s="13">
        <v>0</v>
      </c>
      <c r="AA79" s="13">
        <v>1</v>
      </c>
      <c r="AB79" s="13">
        <v>0</v>
      </c>
    </row>
    <row r="80" spans="1:28" x14ac:dyDescent="0.2">
      <c r="A80" s="13">
        <v>50</v>
      </c>
      <c r="B80" s="13">
        <v>0</v>
      </c>
      <c r="C80" s="13">
        <v>0</v>
      </c>
      <c r="D80" s="13">
        <v>1</v>
      </c>
      <c r="E80" s="13">
        <v>214</v>
      </c>
      <c r="F80" s="13">
        <f>ROUND(Source!AS63,O80)</f>
        <v>10813.8</v>
      </c>
      <c r="G80" s="13" t="s">
        <v>153</v>
      </c>
      <c r="H80" s="13" t="s">
        <v>154</v>
      </c>
      <c r="I80" s="13"/>
      <c r="J80" s="13"/>
      <c r="K80" s="13">
        <v>214</v>
      </c>
      <c r="L80" s="13">
        <v>16</v>
      </c>
      <c r="M80" s="13">
        <v>3</v>
      </c>
      <c r="N80" s="13" t="s">
        <v>3</v>
      </c>
      <c r="O80" s="13">
        <v>2</v>
      </c>
      <c r="P80" s="13">
        <f>ROUND(Source!EK63,O80)</f>
        <v>600506.53</v>
      </c>
      <c r="Q80" s="13"/>
      <c r="R80" s="13"/>
      <c r="S80" s="13"/>
      <c r="T80" s="13"/>
      <c r="U80" s="13"/>
      <c r="V80" s="13"/>
      <c r="W80" s="13">
        <v>10813.8</v>
      </c>
      <c r="X80" s="13">
        <v>1</v>
      </c>
      <c r="Y80" s="13">
        <v>10813.8</v>
      </c>
      <c r="Z80" s="13">
        <v>600506.53</v>
      </c>
      <c r="AA80" s="13">
        <v>1</v>
      </c>
      <c r="AB80" s="13">
        <v>600506.53</v>
      </c>
    </row>
    <row r="81" spans="1:206" x14ac:dyDescent="0.2">
      <c r="A81" s="13">
        <v>50</v>
      </c>
      <c r="B81" s="13">
        <v>0</v>
      </c>
      <c r="C81" s="13">
        <v>0</v>
      </c>
      <c r="D81" s="13">
        <v>1</v>
      </c>
      <c r="E81" s="13">
        <v>215</v>
      </c>
      <c r="F81" s="13">
        <f>ROUND(Source!AT63,O81)</f>
        <v>1167.22</v>
      </c>
      <c r="G81" s="13" t="s">
        <v>155</v>
      </c>
      <c r="H81" s="13" t="s">
        <v>156</v>
      </c>
      <c r="I81" s="13"/>
      <c r="J81" s="13"/>
      <c r="K81" s="13">
        <v>215</v>
      </c>
      <c r="L81" s="13">
        <v>17</v>
      </c>
      <c r="M81" s="13">
        <v>3</v>
      </c>
      <c r="N81" s="13" t="s">
        <v>3</v>
      </c>
      <c r="O81" s="13">
        <v>2</v>
      </c>
      <c r="P81" s="13">
        <f>ROUND(Source!EL63,O81)</f>
        <v>65560.67</v>
      </c>
      <c r="Q81" s="13"/>
      <c r="R81" s="13"/>
      <c r="S81" s="13"/>
      <c r="T81" s="13"/>
      <c r="U81" s="13"/>
      <c r="V81" s="13"/>
      <c r="W81" s="13">
        <v>1167.22</v>
      </c>
      <c r="X81" s="13">
        <v>1</v>
      </c>
      <c r="Y81" s="13">
        <v>1167.22</v>
      </c>
      <c r="Z81" s="13">
        <v>65560.67</v>
      </c>
      <c r="AA81" s="13">
        <v>1</v>
      </c>
      <c r="AB81" s="13">
        <v>65560.67</v>
      </c>
    </row>
    <row r="82" spans="1:206" x14ac:dyDescent="0.2">
      <c r="A82" s="13">
        <v>50</v>
      </c>
      <c r="B82" s="13">
        <v>0</v>
      </c>
      <c r="C82" s="13">
        <v>0</v>
      </c>
      <c r="D82" s="13">
        <v>1</v>
      </c>
      <c r="E82" s="13">
        <v>217</v>
      </c>
      <c r="F82" s="13">
        <f>ROUND(Source!AU63,O82)</f>
        <v>0</v>
      </c>
      <c r="G82" s="13" t="s">
        <v>157</v>
      </c>
      <c r="H82" s="13" t="s">
        <v>158</v>
      </c>
      <c r="I82" s="13"/>
      <c r="J82" s="13"/>
      <c r="K82" s="13">
        <v>217</v>
      </c>
      <c r="L82" s="13">
        <v>18</v>
      </c>
      <c r="M82" s="13">
        <v>3</v>
      </c>
      <c r="N82" s="13" t="s">
        <v>3</v>
      </c>
      <c r="O82" s="13">
        <v>2</v>
      </c>
      <c r="P82" s="13">
        <f>ROUND(Source!EM63,O82)</f>
        <v>0</v>
      </c>
      <c r="Q82" s="13"/>
      <c r="R82" s="13"/>
      <c r="S82" s="13"/>
      <c r="T82" s="13"/>
      <c r="U82" s="13"/>
      <c r="V82" s="13"/>
      <c r="W82" s="13">
        <v>0</v>
      </c>
      <c r="X82" s="13">
        <v>1</v>
      </c>
      <c r="Y82" s="13">
        <v>0</v>
      </c>
      <c r="Z82" s="13">
        <v>0</v>
      </c>
      <c r="AA82" s="13">
        <v>1</v>
      </c>
      <c r="AB82" s="13">
        <v>0</v>
      </c>
    </row>
    <row r="83" spans="1:206" x14ac:dyDescent="0.2">
      <c r="A83" s="13">
        <v>50</v>
      </c>
      <c r="B83" s="13">
        <v>0</v>
      </c>
      <c r="C83" s="13">
        <v>0</v>
      </c>
      <c r="D83" s="13">
        <v>1</v>
      </c>
      <c r="E83" s="13">
        <v>230</v>
      </c>
      <c r="F83" s="13">
        <f>ROUND(Source!BA63,O83)</f>
        <v>0</v>
      </c>
      <c r="G83" s="13" t="s">
        <v>159</v>
      </c>
      <c r="H83" s="13" t="s">
        <v>160</v>
      </c>
      <c r="I83" s="13"/>
      <c r="J83" s="13"/>
      <c r="K83" s="13">
        <v>230</v>
      </c>
      <c r="L83" s="13">
        <v>19</v>
      </c>
      <c r="M83" s="13">
        <v>3</v>
      </c>
      <c r="N83" s="13" t="s">
        <v>3</v>
      </c>
      <c r="O83" s="13">
        <v>2</v>
      </c>
      <c r="P83" s="13">
        <f>ROUND(Source!ES63,O83)</f>
        <v>0</v>
      </c>
      <c r="Q83" s="13"/>
      <c r="R83" s="13"/>
      <c r="S83" s="13"/>
      <c r="T83" s="13"/>
      <c r="U83" s="13"/>
      <c r="V83" s="13"/>
      <c r="W83" s="13">
        <v>0</v>
      </c>
      <c r="X83" s="13">
        <v>1</v>
      </c>
      <c r="Y83" s="13">
        <v>0</v>
      </c>
      <c r="Z83" s="13">
        <v>0</v>
      </c>
      <c r="AA83" s="13">
        <v>1</v>
      </c>
      <c r="AB83" s="13">
        <v>0</v>
      </c>
    </row>
    <row r="84" spans="1:206" x14ac:dyDescent="0.2">
      <c r="A84" s="13">
        <v>50</v>
      </c>
      <c r="B84" s="13">
        <v>0</v>
      </c>
      <c r="C84" s="13">
        <v>0</v>
      </c>
      <c r="D84" s="13">
        <v>1</v>
      </c>
      <c r="E84" s="13">
        <v>206</v>
      </c>
      <c r="F84" s="13">
        <f>ROUND(Source!T63,O84)</f>
        <v>0</v>
      </c>
      <c r="G84" s="13" t="s">
        <v>161</v>
      </c>
      <c r="H84" s="13" t="s">
        <v>162</v>
      </c>
      <c r="I84" s="13"/>
      <c r="J84" s="13"/>
      <c r="K84" s="13">
        <v>206</v>
      </c>
      <c r="L84" s="13">
        <v>20</v>
      </c>
      <c r="M84" s="13">
        <v>3</v>
      </c>
      <c r="N84" s="13" t="s">
        <v>3</v>
      </c>
      <c r="O84" s="13">
        <v>2</v>
      </c>
      <c r="P84" s="13">
        <f>ROUND(Source!DL63,O84)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206" x14ac:dyDescent="0.2">
      <c r="A85" s="13">
        <v>50</v>
      </c>
      <c r="B85" s="13">
        <v>0</v>
      </c>
      <c r="C85" s="13">
        <v>0</v>
      </c>
      <c r="D85" s="13">
        <v>1</v>
      </c>
      <c r="E85" s="13">
        <v>207</v>
      </c>
      <c r="F85" s="13">
        <f>Source!U63</f>
        <v>459.31589621279994</v>
      </c>
      <c r="G85" s="13" t="s">
        <v>163</v>
      </c>
      <c r="H85" s="13" t="s">
        <v>164</v>
      </c>
      <c r="I85" s="13"/>
      <c r="J85" s="13"/>
      <c r="K85" s="13">
        <v>207</v>
      </c>
      <c r="L85" s="13">
        <v>21</v>
      </c>
      <c r="M85" s="13">
        <v>3</v>
      </c>
      <c r="N85" s="13" t="s">
        <v>3</v>
      </c>
      <c r="O85" s="13">
        <v>-1</v>
      </c>
      <c r="P85" s="13">
        <f>Source!DM63</f>
        <v>459.31589621279994</v>
      </c>
      <c r="Q85" s="13"/>
      <c r="R85" s="13"/>
      <c r="S85" s="13"/>
      <c r="T85" s="13"/>
      <c r="U85" s="13"/>
      <c r="V85" s="13"/>
      <c r="W85" s="13">
        <v>459.31589621279994</v>
      </c>
      <c r="X85" s="13">
        <v>1</v>
      </c>
      <c r="Y85" s="13">
        <v>459.31589621279994</v>
      </c>
      <c r="Z85" s="13">
        <v>459.31589621279994</v>
      </c>
      <c r="AA85" s="13">
        <v>1</v>
      </c>
      <c r="AB85" s="13">
        <v>459.31589621279994</v>
      </c>
    </row>
    <row r="86" spans="1:206" x14ac:dyDescent="0.2">
      <c r="A86" s="13">
        <v>50</v>
      </c>
      <c r="B86" s="13">
        <v>0</v>
      </c>
      <c r="C86" s="13">
        <v>0</v>
      </c>
      <c r="D86" s="13">
        <v>1</v>
      </c>
      <c r="E86" s="13">
        <v>208</v>
      </c>
      <c r="F86" s="13">
        <f>Source!V63</f>
        <v>0</v>
      </c>
      <c r="G86" s="13" t="s">
        <v>165</v>
      </c>
      <c r="H86" s="13" t="s">
        <v>166</v>
      </c>
      <c r="I86" s="13"/>
      <c r="J86" s="13"/>
      <c r="K86" s="13">
        <v>208</v>
      </c>
      <c r="L86" s="13">
        <v>22</v>
      </c>
      <c r="M86" s="13">
        <v>3</v>
      </c>
      <c r="N86" s="13" t="s">
        <v>3</v>
      </c>
      <c r="O86" s="13">
        <v>-1</v>
      </c>
      <c r="P86" s="13">
        <f>Source!DN63</f>
        <v>0</v>
      </c>
      <c r="Q86" s="13"/>
      <c r="R86" s="13"/>
      <c r="S86" s="13"/>
      <c r="T86" s="13"/>
      <c r="U86" s="13"/>
      <c r="V86" s="13"/>
      <c r="W86" s="13">
        <v>0</v>
      </c>
      <c r="X86" s="13">
        <v>1</v>
      </c>
      <c r="Y86" s="13">
        <v>0</v>
      </c>
      <c r="Z86" s="13">
        <v>0</v>
      </c>
      <c r="AA86" s="13">
        <v>1</v>
      </c>
      <c r="AB86" s="13">
        <v>0</v>
      </c>
    </row>
    <row r="87" spans="1:206" x14ac:dyDescent="0.2">
      <c r="A87" s="13">
        <v>50</v>
      </c>
      <c r="B87" s="13">
        <v>0</v>
      </c>
      <c r="C87" s="13">
        <v>0</v>
      </c>
      <c r="D87" s="13">
        <v>1</v>
      </c>
      <c r="E87" s="13">
        <v>209</v>
      </c>
      <c r="F87" s="13">
        <f>ROUND(Source!W63,O87)</f>
        <v>0</v>
      </c>
      <c r="G87" s="13" t="s">
        <v>167</v>
      </c>
      <c r="H87" s="13" t="s">
        <v>168</v>
      </c>
      <c r="I87" s="13"/>
      <c r="J87" s="13"/>
      <c r="K87" s="13">
        <v>209</v>
      </c>
      <c r="L87" s="13">
        <v>23</v>
      </c>
      <c r="M87" s="13">
        <v>3</v>
      </c>
      <c r="N87" s="13" t="s">
        <v>3</v>
      </c>
      <c r="O87" s="13">
        <v>2</v>
      </c>
      <c r="P87" s="13">
        <f>ROUND(Source!DO63,O87)</f>
        <v>0</v>
      </c>
      <c r="Q87" s="13"/>
      <c r="R87" s="13"/>
      <c r="S87" s="13"/>
      <c r="T87" s="13"/>
      <c r="U87" s="13"/>
      <c r="V87" s="13"/>
      <c r="W87" s="13">
        <v>0</v>
      </c>
      <c r="X87" s="13">
        <v>1</v>
      </c>
      <c r="Y87" s="13">
        <v>0</v>
      </c>
      <c r="Z87" s="13">
        <v>0</v>
      </c>
      <c r="AA87" s="13">
        <v>1</v>
      </c>
      <c r="AB87" s="13">
        <v>0</v>
      </c>
    </row>
    <row r="88" spans="1:206" x14ac:dyDescent="0.2">
      <c r="A88" s="13">
        <v>50</v>
      </c>
      <c r="B88" s="13">
        <v>0</v>
      </c>
      <c r="C88" s="13">
        <v>0</v>
      </c>
      <c r="D88" s="13">
        <v>1</v>
      </c>
      <c r="E88" s="13">
        <v>233</v>
      </c>
      <c r="F88" s="13">
        <f>ROUND(Source!BD63,O88)</f>
        <v>0</v>
      </c>
      <c r="G88" s="13" t="s">
        <v>169</v>
      </c>
      <c r="H88" s="13" t="s">
        <v>170</v>
      </c>
      <c r="I88" s="13"/>
      <c r="J88" s="13"/>
      <c r="K88" s="13">
        <v>233</v>
      </c>
      <c r="L88" s="13">
        <v>24</v>
      </c>
      <c r="M88" s="13">
        <v>3</v>
      </c>
      <c r="N88" s="13" t="s">
        <v>3</v>
      </c>
      <c r="O88" s="13">
        <v>2</v>
      </c>
      <c r="P88" s="13">
        <f>ROUND(Source!EV63,O88)</f>
        <v>0</v>
      </c>
      <c r="Q88" s="13"/>
      <c r="R88" s="13"/>
      <c r="S88" s="13"/>
      <c r="T88" s="13"/>
      <c r="U88" s="13"/>
      <c r="V88" s="13"/>
      <c r="W88" s="13">
        <v>0</v>
      </c>
      <c r="X88" s="13">
        <v>1</v>
      </c>
      <c r="Y88" s="13">
        <v>0</v>
      </c>
      <c r="Z88" s="13">
        <v>0</v>
      </c>
      <c r="AA88" s="13">
        <v>1</v>
      </c>
      <c r="AB88" s="13">
        <v>0</v>
      </c>
    </row>
    <row r="89" spans="1:206" x14ac:dyDescent="0.2">
      <c r="A89" s="13">
        <v>50</v>
      </c>
      <c r="B89" s="13">
        <v>0</v>
      </c>
      <c r="C89" s="13">
        <v>0</v>
      </c>
      <c r="D89" s="13">
        <v>1</v>
      </c>
      <c r="E89" s="13">
        <v>210</v>
      </c>
      <c r="F89" s="13">
        <f>ROUND(Source!X63,O89)</f>
        <v>4495.1000000000004</v>
      </c>
      <c r="G89" s="13" t="s">
        <v>171</v>
      </c>
      <c r="H89" s="13" t="s">
        <v>172</v>
      </c>
      <c r="I89" s="13"/>
      <c r="J89" s="13"/>
      <c r="K89" s="13">
        <v>210</v>
      </c>
      <c r="L89" s="13">
        <v>25</v>
      </c>
      <c r="M89" s="13">
        <v>3</v>
      </c>
      <c r="N89" s="13" t="s">
        <v>3</v>
      </c>
      <c r="O89" s="13">
        <v>2</v>
      </c>
      <c r="P89" s="13">
        <f>ROUND(Source!DP63,O89)</f>
        <v>253299.21</v>
      </c>
      <c r="Q89" s="13"/>
      <c r="R89" s="13"/>
      <c r="S89" s="13"/>
      <c r="T89" s="13"/>
      <c r="U89" s="13"/>
      <c r="V89" s="13"/>
      <c r="W89" s="13">
        <v>4495.1000000000004</v>
      </c>
      <c r="X89" s="13">
        <v>1</v>
      </c>
      <c r="Y89" s="13">
        <v>4495.1000000000004</v>
      </c>
      <c r="Z89" s="13">
        <v>253299.21</v>
      </c>
      <c r="AA89" s="13">
        <v>1</v>
      </c>
      <c r="AB89" s="13">
        <v>253299.21</v>
      </c>
    </row>
    <row r="90" spans="1:206" x14ac:dyDescent="0.2">
      <c r="A90" s="13">
        <v>50</v>
      </c>
      <c r="B90" s="13">
        <v>0</v>
      </c>
      <c r="C90" s="13">
        <v>0</v>
      </c>
      <c r="D90" s="13">
        <v>1</v>
      </c>
      <c r="E90" s="13">
        <v>211</v>
      </c>
      <c r="F90" s="13">
        <f>ROUND(Source!Y63,O90)</f>
        <v>2381.61</v>
      </c>
      <c r="G90" s="13" t="s">
        <v>173</v>
      </c>
      <c r="H90" s="13" t="s">
        <v>174</v>
      </c>
      <c r="I90" s="13"/>
      <c r="J90" s="13"/>
      <c r="K90" s="13">
        <v>211</v>
      </c>
      <c r="L90" s="13">
        <v>26</v>
      </c>
      <c r="M90" s="13">
        <v>3</v>
      </c>
      <c r="N90" s="13" t="s">
        <v>3</v>
      </c>
      <c r="O90" s="13">
        <v>2</v>
      </c>
      <c r="P90" s="13">
        <f>ROUND(Source!DQ63,O90)</f>
        <v>134204.45000000001</v>
      </c>
      <c r="Q90" s="13"/>
      <c r="R90" s="13"/>
      <c r="S90" s="13"/>
      <c r="T90" s="13"/>
      <c r="U90" s="13"/>
      <c r="V90" s="13"/>
      <c r="W90" s="13">
        <v>2381.61</v>
      </c>
      <c r="X90" s="13">
        <v>1</v>
      </c>
      <c r="Y90" s="13">
        <v>2381.61</v>
      </c>
      <c r="Z90" s="13">
        <v>134204.45000000001</v>
      </c>
      <c r="AA90" s="13">
        <v>1</v>
      </c>
      <c r="AB90" s="13">
        <v>134204.45000000001</v>
      </c>
    </row>
    <row r="91" spans="1:206" x14ac:dyDescent="0.2">
      <c r="A91" s="13">
        <v>50</v>
      </c>
      <c r="B91" s="13">
        <v>0</v>
      </c>
      <c r="C91" s="13">
        <v>0</v>
      </c>
      <c r="D91" s="13">
        <v>1</v>
      </c>
      <c r="E91" s="13">
        <v>224</v>
      </c>
      <c r="F91" s="13">
        <f>ROUND(Source!AR63,O91)</f>
        <v>11981.02</v>
      </c>
      <c r="G91" s="13" t="s">
        <v>175</v>
      </c>
      <c r="H91" s="13" t="s">
        <v>176</v>
      </c>
      <c r="I91" s="13"/>
      <c r="J91" s="13"/>
      <c r="K91" s="13">
        <v>224</v>
      </c>
      <c r="L91" s="13">
        <v>27</v>
      </c>
      <c r="M91" s="13">
        <v>3</v>
      </c>
      <c r="N91" s="13" t="s">
        <v>3</v>
      </c>
      <c r="O91" s="13">
        <v>2</v>
      </c>
      <c r="P91" s="13">
        <f>ROUND(Source!EJ63,O91)</f>
        <v>666067.19999999995</v>
      </c>
      <c r="Q91" s="13"/>
      <c r="R91" s="13"/>
      <c r="S91" s="13"/>
      <c r="T91" s="13"/>
      <c r="U91" s="13"/>
      <c r="V91" s="13"/>
      <c r="W91" s="13">
        <v>11981.02</v>
      </c>
      <c r="X91" s="13">
        <v>1</v>
      </c>
      <c r="Y91" s="13">
        <v>11981.02</v>
      </c>
      <c r="Z91" s="13">
        <v>666067.19999999995</v>
      </c>
      <c r="AA91" s="13">
        <v>1</v>
      </c>
      <c r="AB91" s="13">
        <v>666067.19999999995</v>
      </c>
    </row>
    <row r="93" spans="1:206" x14ac:dyDescent="0.2">
      <c r="A93" s="10">
        <v>4</v>
      </c>
      <c r="B93" s="10">
        <v>1</v>
      </c>
      <c r="C93" s="10"/>
      <c r="D93" s="10">
        <f>ROW(A180)</f>
        <v>180</v>
      </c>
      <c r="E93" s="10"/>
      <c r="F93" s="10" t="s">
        <v>19</v>
      </c>
      <c r="G93" s="10" t="s">
        <v>177</v>
      </c>
      <c r="H93" s="10" t="s">
        <v>3</v>
      </c>
      <c r="I93" s="10">
        <v>0</v>
      </c>
      <c r="J93" s="10"/>
      <c r="K93" s="10">
        <v>-1</v>
      </c>
      <c r="L93" s="10"/>
      <c r="M93" s="10" t="s">
        <v>3</v>
      </c>
      <c r="N93" s="10"/>
      <c r="O93" s="10"/>
      <c r="P93" s="10"/>
      <c r="Q93" s="10"/>
      <c r="R93" s="10"/>
      <c r="S93" s="10">
        <v>0</v>
      </c>
      <c r="T93" s="10">
        <v>0</v>
      </c>
      <c r="U93" s="10" t="s">
        <v>3</v>
      </c>
      <c r="V93" s="10">
        <v>0</v>
      </c>
      <c r="W93" s="10"/>
      <c r="X93" s="10"/>
      <c r="Y93" s="10"/>
      <c r="Z93" s="10"/>
      <c r="AA93" s="10"/>
      <c r="AB93" s="10" t="s">
        <v>3</v>
      </c>
      <c r="AC93" s="10" t="s">
        <v>3</v>
      </c>
      <c r="AD93" s="10" t="s">
        <v>3</v>
      </c>
      <c r="AE93" s="10" t="s">
        <v>3</v>
      </c>
      <c r="AF93" s="10" t="s">
        <v>3</v>
      </c>
      <c r="AG93" s="10" t="s">
        <v>3</v>
      </c>
      <c r="AH93" s="10"/>
      <c r="AI93" s="10"/>
      <c r="AJ93" s="10"/>
      <c r="AK93" s="10"/>
      <c r="AL93" s="10"/>
      <c r="AM93" s="10"/>
      <c r="AN93" s="10"/>
      <c r="AO93" s="10"/>
      <c r="AP93" s="10" t="s">
        <v>3</v>
      </c>
      <c r="AQ93" s="10" t="s">
        <v>3</v>
      </c>
      <c r="AR93" s="10" t="s">
        <v>3</v>
      </c>
      <c r="AS93" s="10"/>
      <c r="AT93" s="10"/>
      <c r="AU93" s="10"/>
      <c r="AV93" s="10"/>
      <c r="AW93" s="10"/>
      <c r="AX93" s="10"/>
      <c r="AY93" s="10"/>
      <c r="AZ93" s="10" t="s">
        <v>3</v>
      </c>
      <c r="BA93" s="10"/>
      <c r="BB93" s="10" t="s">
        <v>3</v>
      </c>
      <c r="BC93" s="10" t="s">
        <v>3</v>
      </c>
      <c r="BD93" s="10" t="s">
        <v>3</v>
      </c>
      <c r="BE93" s="10" t="s">
        <v>3</v>
      </c>
      <c r="BF93" s="10" t="s">
        <v>3</v>
      </c>
      <c r="BG93" s="10" t="s">
        <v>3</v>
      </c>
      <c r="BH93" s="10" t="s">
        <v>3</v>
      </c>
      <c r="BI93" s="10" t="s">
        <v>3</v>
      </c>
      <c r="BJ93" s="10" t="s">
        <v>3</v>
      </c>
      <c r="BK93" s="10" t="s">
        <v>3</v>
      </c>
      <c r="BL93" s="10" t="s">
        <v>3</v>
      </c>
      <c r="BM93" s="10" t="s">
        <v>3</v>
      </c>
      <c r="BN93" s="10" t="s">
        <v>3</v>
      </c>
      <c r="BO93" s="10" t="s">
        <v>3</v>
      </c>
      <c r="BP93" s="10" t="s">
        <v>3</v>
      </c>
      <c r="BQ93" s="10"/>
      <c r="BR93" s="10"/>
      <c r="BS93" s="10"/>
      <c r="BT93" s="10"/>
      <c r="BU93" s="10"/>
      <c r="BV93" s="10"/>
      <c r="BW93" s="10"/>
      <c r="BX93" s="10">
        <v>0</v>
      </c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>
        <v>0</v>
      </c>
    </row>
    <row r="95" spans="1:206" x14ac:dyDescent="0.2">
      <c r="A95" s="11">
        <v>52</v>
      </c>
      <c r="B95" s="11">
        <f t="shared" ref="B95:G95" si="80">B180</f>
        <v>1</v>
      </c>
      <c r="C95" s="11">
        <f t="shared" si="80"/>
        <v>4</v>
      </c>
      <c r="D95" s="11">
        <f t="shared" si="80"/>
        <v>93</v>
      </c>
      <c r="E95" s="11">
        <f t="shared" si="80"/>
        <v>0</v>
      </c>
      <c r="F95" s="11" t="str">
        <f t="shared" si="80"/>
        <v>1</v>
      </c>
      <c r="G95" s="11" t="str">
        <f t="shared" si="80"/>
        <v>Оборудование</v>
      </c>
      <c r="H95" s="11"/>
      <c r="I95" s="11"/>
      <c r="J95" s="11"/>
      <c r="K95" s="11"/>
      <c r="L95" s="11"/>
      <c r="M95" s="11"/>
      <c r="N95" s="11"/>
      <c r="O95" s="11">
        <f t="shared" ref="O95:AT95" si="81">O180</f>
        <v>301197.34000000003</v>
      </c>
      <c r="P95" s="11">
        <f t="shared" si="81"/>
        <v>299250.2</v>
      </c>
      <c r="Q95" s="11">
        <f t="shared" si="81"/>
        <v>99.28</v>
      </c>
      <c r="R95" s="11">
        <f t="shared" si="81"/>
        <v>14.41</v>
      </c>
      <c r="S95" s="11">
        <f t="shared" si="81"/>
        <v>1847.86</v>
      </c>
      <c r="T95" s="11">
        <f t="shared" si="81"/>
        <v>0</v>
      </c>
      <c r="U95" s="11">
        <f t="shared" si="81"/>
        <v>141.89155096799999</v>
      </c>
      <c r="V95" s="11">
        <f t="shared" si="81"/>
        <v>0</v>
      </c>
      <c r="W95" s="11">
        <f t="shared" si="81"/>
        <v>0</v>
      </c>
      <c r="X95" s="11">
        <f t="shared" si="81"/>
        <v>1724.59</v>
      </c>
      <c r="Y95" s="11">
        <f t="shared" si="81"/>
        <v>918.8</v>
      </c>
      <c r="Z95" s="11">
        <f t="shared" si="81"/>
        <v>0</v>
      </c>
      <c r="AA95" s="11">
        <f t="shared" si="81"/>
        <v>0</v>
      </c>
      <c r="AB95" s="11">
        <f t="shared" si="81"/>
        <v>301197.34000000003</v>
      </c>
      <c r="AC95" s="11">
        <f t="shared" si="81"/>
        <v>299250.2</v>
      </c>
      <c r="AD95" s="11">
        <f t="shared" si="81"/>
        <v>99.28</v>
      </c>
      <c r="AE95" s="11">
        <f t="shared" si="81"/>
        <v>14.41</v>
      </c>
      <c r="AF95" s="11">
        <f t="shared" si="81"/>
        <v>1847.86</v>
      </c>
      <c r="AG95" s="11">
        <f t="shared" si="81"/>
        <v>0</v>
      </c>
      <c r="AH95" s="11">
        <f t="shared" si="81"/>
        <v>141.89155096799999</v>
      </c>
      <c r="AI95" s="11">
        <f t="shared" si="81"/>
        <v>0</v>
      </c>
      <c r="AJ95" s="11">
        <f t="shared" si="81"/>
        <v>0</v>
      </c>
      <c r="AK95" s="11">
        <f t="shared" si="81"/>
        <v>1724.59</v>
      </c>
      <c r="AL95" s="11">
        <f t="shared" si="81"/>
        <v>918.8</v>
      </c>
      <c r="AM95" s="11">
        <f t="shared" si="81"/>
        <v>0</v>
      </c>
      <c r="AN95" s="11">
        <f t="shared" si="81"/>
        <v>0</v>
      </c>
      <c r="AO95" s="11">
        <f t="shared" si="81"/>
        <v>0</v>
      </c>
      <c r="AP95" s="11">
        <f t="shared" si="81"/>
        <v>254333.93</v>
      </c>
      <c r="AQ95" s="11">
        <f t="shared" si="81"/>
        <v>0</v>
      </c>
      <c r="AR95" s="11">
        <f t="shared" si="81"/>
        <v>303840.73</v>
      </c>
      <c r="AS95" s="11">
        <f t="shared" si="81"/>
        <v>23552.54</v>
      </c>
      <c r="AT95" s="11">
        <f t="shared" si="81"/>
        <v>25954.26</v>
      </c>
      <c r="AU95" s="11">
        <f t="shared" ref="AU95:BZ95" si="82">AU180</f>
        <v>0</v>
      </c>
      <c r="AV95" s="11">
        <f t="shared" si="82"/>
        <v>299250.2</v>
      </c>
      <c r="AW95" s="11">
        <f t="shared" si="82"/>
        <v>44916.27</v>
      </c>
      <c r="AX95" s="11">
        <f t="shared" si="82"/>
        <v>0</v>
      </c>
      <c r="AY95" s="11">
        <f t="shared" si="82"/>
        <v>44916.27</v>
      </c>
      <c r="AZ95" s="11">
        <f t="shared" si="82"/>
        <v>254333.93</v>
      </c>
      <c r="BA95" s="11">
        <f t="shared" si="82"/>
        <v>0</v>
      </c>
      <c r="BB95" s="11">
        <f t="shared" si="82"/>
        <v>0</v>
      </c>
      <c r="BC95" s="11">
        <f t="shared" si="82"/>
        <v>0</v>
      </c>
      <c r="BD95" s="11">
        <f t="shared" si="82"/>
        <v>0</v>
      </c>
      <c r="BE95" s="11">
        <f t="shared" si="82"/>
        <v>0</v>
      </c>
      <c r="BF95" s="11">
        <f t="shared" si="82"/>
        <v>0</v>
      </c>
      <c r="BG95" s="11">
        <f t="shared" si="82"/>
        <v>0</v>
      </c>
      <c r="BH95" s="11">
        <f t="shared" si="82"/>
        <v>0</v>
      </c>
      <c r="BI95" s="11">
        <f t="shared" si="82"/>
        <v>0</v>
      </c>
      <c r="BJ95" s="11">
        <f t="shared" si="82"/>
        <v>0</v>
      </c>
      <c r="BK95" s="11">
        <f t="shared" si="82"/>
        <v>0</v>
      </c>
      <c r="BL95" s="11">
        <f t="shared" si="82"/>
        <v>0</v>
      </c>
      <c r="BM95" s="11">
        <f t="shared" si="82"/>
        <v>0</v>
      </c>
      <c r="BN95" s="11">
        <f t="shared" si="82"/>
        <v>0</v>
      </c>
      <c r="BO95" s="11">
        <f t="shared" si="82"/>
        <v>0</v>
      </c>
      <c r="BP95" s="11">
        <f t="shared" si="82"/>
        <v>0</v>
      </c>
      <c r="BQ95" s="11">
        <f t="shared" si="82"/>
        <v>0</v>
      </c>
      <c r="BR95" s="11">
        <f t="shared" si="82"/>
        <v>0</v>
      </c>
      <c r="BS95" s="11">
        <f t="shared" si="82"/>
        <v>0</v>
      </c>
      <c r="BT95" s="11">
        <f t="shared" si="82"/>
        <v>0</v>
      </c>
      <c r="BU95" s="11">
        <f t="shared" si="82"/>
        <v>0</v>
      </c>
      <c r="BV95" s="11">
        <f t="shared" si="82"/>
        <v>0</v>
      </c>
      <c r="BW95" s="11">
        <f t="shared" si="82"/>
        <v>0</v>
      </c>
      <c r="BX95" s="11">
        <f t="shared" si="82"/>
        <v>0</v>
      </c>
      <c r="BY95" s="11">
        <f t="shared" si="82"/>
        <v>254333.93</v>
      </c>
      <c r="BZ95" s="11">
        <f t="shared" si="82"/>
        <v>0</v>
      </c>
      <c r="CA95" s="11">
        <f t="shared" ref="CA95:DF95" si="83">CA180</f>
        <v>303840.73</v>
      </c>
      <c r="CB95" s="11">
        <f t="shared" si="83"/>
        <v>23552.54</v>
      </c>
      <c r="CC95" s="11">
        <f t="shared" si="83"/>
        <v>25954.26</v>
      </c>
      <c r="CD95" s="11">
        <f t="shared" si="83"/>
        <v>0</v>
      </c>
      <c r="CE95" s="11">
        <f t="shared" si="83"/>
        <v>299250.2</v>
      </c>
      <c r="CF95" s="11">
        <f t="shared" si="83"/>
        <v>44916.270000000019</v>
      </c>
      <c r="CG95" s="11">
        <f t="shared" si="83"/>
        <v>0</v>
      </c>
      <c r="CH95" s="11">
        <f t="shared" si="83"/>
        <v>44916.270000000019</v>
      </c>
      <c r="CI95" s="11">
        <f t="shared" si="83"/>
        <v>254333.93</v>
      </c>
      <c r="CJ95" s="11">
        <f t="shared" si="83"/>
        <v>0</v>
      </c>
      <c r="CK95" s="11">
        <f t="shared" si="83"/>
        <v>0</v>
      </c>
      <c r="CL95" s="11">
        <f t="shared" si="83"/>
        <v>0</v>
      </c>
      <c r="CM95" s="11">
        <f t="shared" si="83"/>
        <v>0</v>
      </c>
      <c r="CN95" s="11">
        <f t="shared" si="83"/>
        <v>0</v>
      </c>
      <c r="CO95" s="11">
        <f t="shared" si="83"/>
        <v>0</v>
      </c>
      <c r="CP95" s="11">
        <f t="shared" si="83"/>
        <v>0</v>
      </c>
      <c r="CQ95" s="11">
        <f t="shared" si="83"/>
        <v>0</v>
      </c>
      <c r="CR95" s="11">
        <f t="shared" si="83"/>
        <v>0</v>
      </c>
      <c r="CS95" s="11">
        <f t="shared" si="83"/>
        <v>0</v>
      </c>
      <c r="CT95" s="11">
        <f t="shared" si="83"/>
        <v>0</v>
      </c>
      <c r="CU95" s="11">
        <f t="shared" si="83"/>
        <v>0</v>
      </c>
      <c r="CV95" s="11">
        <f t="shared" si="83"/>
        <v>0</v>
      </c>
      <c r="CW95" s="11">
        <f t="shared" si="83"/>
        <v>0</v>
      </c>
      <c r="CX95" s="11">
        <f t="shared" si="83"/>
        <v>0</v>
      </c>
      <c r="CY95" s="11">
        <f t="shared" si="83"/>
        <v>0</v>
      </c>
      <c r="CZ95" s="11">
        <f t="shared" si="83"/>
        <v>0</v>
      </c>
      <c r="DA95" s="11">
        <f t="shared" si="83"/>
        <v>0</v>
      </c>
      <c r="DB95" s="11">
        <f t="shared" si="83"/>
        <v>0</v>
      </c>
      <c r="DC95" s="11">
        <f t="shared" si="83"/>
        <v>0</v>
      </c>
      <c r="DD95" s="11">
        <f t="shared" si="83"/>
        <v>0</v>
      </c>
      <c r="DE95" s="11">
        <f t="shared" si="83"/>
        <v>0</v>
      </c>
      <c r="DF95" s="11">
        <f t="shared" si="83"/>
        <v>0</v>
      </c>
      <c r="DG95" s="12">
        <f t="shared" ref="DG95:EL95" si="84">DG180</f>
        <v>2181176.75</v>
      </c>
      <c r="DH95" s="12">
        <f t="shared" si="84"/>
        <v>2075388.62</v>
      </c>
      <c r="DI95" s="12">
        <f t="shared" si="84"/>
        <v>1661.22</v>
      </c>
      <c r="DJ95" s="12">
        <f t="shared" si="84"/>
        <v>812.02</v>
      </c>
      <c r="DK95" s="12">
        <f t="shared" si="84"/>
        <v>104126.91</v>
      </c>
      <c r="DL95" s="12">
        <f t="shared" si="84"/>
        <v>0</v>
      </c>
      <c r="DM95" s="12">
        <f t="shared" si="84"/>
        <v>141.89155096799999</v>
      </c>
      <c r="DN95" s="12">
        <f t="shared" si="84"/>
        <v>0</v>
      </c>
      <c r="DO95" s="12">
        <f t="shared" si="84"/>
        <v>0</v>
      </c>
      <c r="DP95" s="12">
        <f t="shared" si="84"/>
        <v>97180.01</v>
      </c>
      <c r="DQ95" s="12">
        <f t="shared" si="84"/>
        <v>51774.55</v>
      </c>
      <c r="DR95" s="12">
        <f t="shared" si="84"/>
        <v>0</v>
      </c>
      <c r="DS95" s="12">
        <f t="shared" si="84"/>
        <v>0</v>
      </c>
      <c r="DT95" s="12">
        <f t="shared" si="84"/>
        <v>2181176.75</v>
      </c>
      <c r="DU95" s="12">
        <f t="shared" si="84"/>
        <v>2075388.62</v>
      </c>
      <c r="DV95" s="12">
        <f t="shared" si="84"/>
        <v>1661.22</v>
      </c>
      <c r="DW95" s="12">
        <f t="shared" si="84"/>
        <v>812.02</v>
      </c>
      <c r="DX95" s="12">
        <f t="shared" si="84"/>
        <v>104126.91</v>
      </c>
      <c r="DY95" s="12">
        <f t="shared" si="84"/>
        <v>0</v>
      </c>
      <c r="DZ95" s="12">
        <f t="shared" si="84"/>
        <v>141.89155096799999</v>
      </c>
      <c r="EA95" s="12">
        <f t="shared" si="84"/>
        <v>0</v>
      </c>
      <c r="EB95" s="12">
        <f t="shared" si="84"/>
        <v>0</v>
      </c>
      <c r="EC95" s="12">
        <f t="shared" si="84"/>
        <v>97180.01</v>
      </c>
      <c r="ED95" s="12">
        <f t="shared" si="84"/>
        <v>51774.55</v>
      </c>
      <c r="EE95" s="12">
        <f t="shared" si="84"/>
        <v>0</v>
      </c>
      <c r="EF95" s="12">
        <f t="shared" si="84"/>
        <v>0</v>
      </c>
      <c r="EG95" s="12">
        <f t="shared" si="84"/>
        <v>0</v>
      </c>
      <c r="EH95" s="12">
        <f t="shared" si="84"/>
        <v>1869738.29</v>
      </c>
      <c r="EI95" s="12">
        <f t="shared" si="84"/>
        <v>0</v>
      </c>
      <c r="EJ95" s="12">
        <f t="shared" si="84"/>
        <v>2330131.31</v>
      </c>
      <c r="EK95" s="12">
        <f t="shared" si="84"/>
        <v>109845.7</v>
      </c>
      <c r="EL95" s="12">
        <f t="shared" si="84"/>
        <v>350547.32</v>
      </c>
      <c r="EM95" s="12">
        <f t="shared" ref="EM95:FR95" si="85">EM180</f>
        <v>0</v>
      </c>
      <c r="EN95" s="12">
        <f t="shared" si="85"/>
        <v>2075388.62</v>
      </c>
      <c r="EO95" s="12">
        <f t="shared" si="85"/>
        <v>205650.33</v>
      </c>
      <c r="EP95" s="12">
        <f t="shared" si="85"/>
        <v>0</v>
      </c>
      <c r="EQ95" s="12">
        <f t="shared" si="85"/>
        <v>205650.33</v>
      </c>
      <c r="ER95" s="12">
        <f t="shared" si="85"/>
        <v>1869738.29</v>
      </c>
      <c r="ES95" s="12">
        <f t="shared" si="85"/>
        <v>0</v>
      </c>
      <c r="ET95" s="12">
        <f t="shared" si="85"/>
        <v>0</v>
      </c>
      <c r="EU95" s="12">
        <f t="shared" si="85"/>
        <v>0</v>
      </c>
      <c r="EV95" s="12">
        <f t="shared" si="85"/>
        <v>0</v>
      </c>
      <c r="EW95" s="12">
        <f t="shared" si="85"/>
        <v>0</v>
      </c>
      <c r="EX95" s="12">
        <f t="shared" si="85"/>
        <v>0</v>
      </c>
      <c r="EY95" s="12">
        <f t="shared" si="85"/>
        <v>0</v>
      </c>
      <c r="EZ95" s="12">
        <f t="shared" si="85"/>
        <v>0</v>
      </c>
      <c r="FA95" s="12">
        <f t="shared" si="85"/>
        <v>0</v>
      </c>
      <c r="FB95" s="12">
        <f t="shared" si="85"/>
        <v>0</v>
      </c>
      <c r="FC95" s="12">
        <f t="shared" si="85"/>
        <v>0</v>
      </c>
      <c r="FD95" s="12">
        <f t="shared" si="85"/>
        <v>0</v>
      </c>
      <c r="FE95" s="12">
        <f t="shared" si="85"/>
        <v>0</v>
      </c>
      <c r="FF95" s="12">
        <f t="shared" si="85"/>
        <v>0</v>
      </c>
      <c r="FG95" s="12">
        <f t="shared" si="85"/>
        <v>0</v>
      </c>
      <c r="FH95" s="12">
        <f t="shared" si="85"/>
        <v>0</v>
      </c>
      <c r="FI95" s="12">
        <f t="shared" si="85"/>
        <v>0</v>
      </c>
      <c r="FJ95" s="12">
        <f t="shared" si="85"/>
        <v>0</v>
      </c>
      <c r="FK95" s="12">
        <f t="shared" si="85"/>
        <v>0</v>
      </c>
      <c r="FL95" s="12">
        <f t="shared" si="85"/>
        <v>0</v>
      </c>
      <c r="FM95" s="12">
        <f t="shared" si="85"/>
        <v>0</v>
      </c>
      <c r="FN95" s="12">
        <f t="shared" si="85"/>
        <v>0</v>
      </c>
      <c r="FO95" s="12">
        <f t="shared" si="85"/>
        <v>0</v>
      </c>
      <c r="FP95" s="12">
        <f t="shared" si="85"/>
        <v>0</v>
      </c>
      <c r="FQ95" s="12">
        <f t="shared" si="85"/>
        <v>1869738.29</v>
      </c>
      <c r="FR95" s="12">
        <f t="shared" si="85"/>
        <v>0</v>
      </c>
      <c r="FS95" s="12">
        <f t="shared" ref="FS95:GX95" si="86">FS180</f>
        <v>2330131.31</v>
      </c>
      <c r="FT95" s="12">
        <f t="shared" si="86"/>
        <v>109845.7</v>
      </c>
      <c r="FU95" s="12">
        <f t="shared" si="86"/>
        <v>350547.32</v>
      </c>
      <c r="FV95" s="12">
        <f t="shared" si="86"/>
        <v>0</v>
      </c>
      <c r="FW95" s="12">
        <f t="shared" si="86"/>
        <v>2075388.62</v>
      </c>
      <c r="FX95" s="12">
        <f t="shared" si="86"/>
        <v>205650.33000000007</v>
      </c>
      <c r="FY95" s="12">
        <f t="shared" si="86"/>
        <v>0</v>
      </c>
      <c r="FZ95" s="12">
        <f t="shared" si="86"/>
        <v>205650.33000000007</v>
      </c>
      <c r="GA95" s="12">
        <f t="shared" si="86"/>
        <v>1869738.29</v>
      </c>
      <c r="GB95" s="12">
        <f t="shared" si="86"/>
        <v>0</v>
      </c>
      <c r="GC95" s="12">
        <f t="shared" si="86"/>
        <v>0</v>
      </c>
      <c r="GD95" s="12">
        <f t="shared" si="86"/>
        <v>0</v>
      </c>
      <c r="GE95" s="12">
        <f t="shared" si="86"/>
        <v>0</v>
      </c>
      <c r="GF95" s="12">
        <f t="shared" si="86"/>
        <v>0</v>
      </c>
      <c r="GG95" s="12">
        <f t="shared" si="86"/>
        <v>0</v>
      </c>
      <c r="GH95" s="12">
        <f t="shared" si="86"/>
        <v>0</v>
      </c>
      <c r="GI95" s="12">
        <f t="shared" si="86"/>
        <v>0</v>
      </c>
      <c r="GJ95" s="12">
        <f t="shared" si="86"/>
        <v>0</v>
      </c>
      <c r="GK95" s="12">
        <f t="shared" si="86"/>
        <v>0</v>
      </c>
      <c r="GL95" s="12">
        <f t="shared" si="86"/>
        <v>0</v>
      </c>
      <c r="GM95" s="12">
        <f t="shared" si="86"/>
        <v>0</v>
      </c>
      <c r="GN95" s="12">
        <f t="shared" si="86"/>
        <v>0</v>
      </c>
      <c r="GO95" s="12">
        <f t="shared" si="86"/>
        <v>0</v>
      </c>
      <c r="GP95" s="12">
        <f t="shared" si="86"/>
        <v>0</v>
      </c>
      <c r="GQ95" s="12">
        <f t="shared" si="86"/>
        <v>0</v>
      </c>
      <c r="GR95" s="12">
        <f t="shared" si="86"/>
        <v>0</v>
      </c>
      <c r="GS95" s="12">
        <f t="shared" si="86"/>
        <v>0</v>
      </c>
      <c r="GT95" s="12">
        <f t="shared" si="86"/>
        <v>0</v>
      </c>
      <c r="GU95" s="12">
        <f t="shared" si="86"/>
        <v>0</v>
      </c>
      <c r="GV95" s="12">
        <f t="shared" si="86"/>
        <v>0</v>
      </c>
      <c r="GW95" s="12">
        <f t="shared" si="86"/>
        <v>0</v>
      </c>
      <c r="GX95" s="12">
        <f t="shared" si="86"/>
        <v>0</v>
      </c>
    </row>
    <row r="97" spans="1:255" x14ac:dyDescent="0.2">
      <c r="A97" s="2">
        <v>17</v>
      </c>
      <c r="B97" s="2">
        <v>1</v>
      </c>
      <c r="C97" s="2">
        <f>ROW(SmtRes!A119)</f>
        <v>119</v>
      </c>
      <c r="D97" s="2">
        <f>ROW(EtalonRes!A155)</f>
        <v>155</v>
      </c>
      <c r="E97" s="2" t="s">
        <v>178</v>
      </c>
      <c r="F97" s="2" t="s">
        <v>20</v>
      </c>
      <c r="G97" s="2" t="s">
        <v>179</v>
      </c>
      <c r="H97" s="2" t="s">
        <v>22</v>
      </c>
      <c r="I97" s="2">
        <v>8</v>
      </c>
      <c r="J97" s="2">
        <v>0</v>
      </c>
      <c r="K97" s="2">
        <v>8</v>
      </c>
      <c r="L97" s="2"/>
      <c r="M97" s="2"/>
      <c r="N97" s="2"/>
      <c r="O97" s="2">
        <f t="shared" ref="O97:O128" si="87">ROUND(CP97,2)</f>
        <v>259.52</v>
      </c>
      <c r="P97" s="2">
        <f t="shared" ref="P97:P116" si="88">ROUND((ROUND((AC97*AW97*I97),2)*BC97),2)</f>
        <v>27.44</v>
      </c>
      <c r="Q97" s="2">
        <f>(ROUND((ROUND((((ET97*1.2))*AV97*I97),2)*BB97),2)+ROUND((ROUND(((AE97-((EU97*1.2)))*AV97*I97),2)*BS97),2))</f>
        <v>0.5</v>
      </c>
      <c r="R97" s="2">
        <f>(ROUND((ROUND((((EU97*1.2))*AV97*I97),2)*BS97),2)+ROUND((ROUND(((AE97-((EU97*1.2)))*AV97*I97),2)*BS97),2))</f>
        <v>0.1</v>
      </c>
      <c r="S97" s="2">
        <f t="shared" ref="S97:S128" si="89">ROUND((ROUND((AF97*AV97*I97),2)*BA97),2)</f>
        <v>231.58</v>
      </c>
      <c r="T97" s="2">
        <f t="shared" ref="T97:T128" si="90">ROUND(CU97*I97,2)</f>
        <v>0</v>
      </c>
      <c r="U97" s="2">
        <f t="shared" ref="U97:U128" si="91">CV97*I97</f>
        <v>18.09216</v>
      </c>
      <c r="V97" s="2">
        <f t="shared" ref="V97:V128" si="92">CW97*I97</f>
        <v>0</v>
      </c>
      <c r="W97" s="2">
        <f t="shared" ref="W97:W128" si="93">ROUND(CX97*I97,2)</f>
        <v>0</v>
      </c>
      <c r="X97" s="2">
        <f>(ROUND((((S97+ROUND((ROUND((((EU97*1.2))*AV97*I97),2)*BS97),2))*AT97)/100),2)+ROUND(((ROUND((ROUND(((AE97-((EU97*1.2)))*AV97*I97),2)*BS97),2)*AT97)/100),2))</f>
        <v>208.51</v>
      </c>
      <c r="Y97" s="2">
        <f>(ROUND((((S97+ROUND((ROUND((((EU97*1.2))*AV97*I97),2)*BS97),2))*AU97)/100),2)+ROUND(((ROUND((ROUND(((AE97-((EU97*1.2)))*AV97*I97),2)*BS97),2)*AU97)/100),2))</f>
        <v>106.57</v>
      </c>
      <c r="Z97" s="2"/>
      <c r="AA97" s="2">
        <v>55937296</v>
      </c>
      <c r="AB97" s="2">
        <f t="shared" ref="AB97:AB128" si="94">ROUND((AC97+AD97+AF97),6)</f>
        <v>31.138000000000002</v>
      </c>
      <c r="AC97" s="2">
        <f>ROUND(((ES97*1)),6)</f>
        <v>3.43</v>
      </c>
      <c r="AD97" s="2">
        <f>ROUND(((((ET97*1.2))-((EU97*1.2)))+AE97),6)</f>
        <v>0.06</v>
      </c>
      <c r="AE97" s="2">
        <f>ROUND(((EU97*1.2)),6)</f>
        <v>1.2E-2</v>
      </c>
      <c r="AF97" s="2">
        <f>ROUND(((EV97*1.2)),6)</f>
        <v>27.648</v>
      </c>
      <c r="AG97" s="2">
        <f t="shared" ref="AG97:AG128" si="95">ROUND((AP97),6)</f>
        <v>0</v>
      </c>
      <c r="AH97" s="2">
        <f>((EW97*1.2))</f>
        <v>2.16</v>
      </c>
      <c r="AI97" s="2">
        <f>((EX97*1.2))</f>
        <v>0</v>
      </c>
      <c r="AJ97" s="2">
        <f t="shared" ref="AJ97:AJ128" si="96">(AS97)</f>
        <v>0</v>
      </c>
      <c r="AK97" s="2">
        <v>26.52</v>
      </c>
      <c r="AL97" s="2">
        <v>3.43</v>
      </c>
      <c r="AM97" s="2">
        <v>0.05</v>
      </c>
      <c r="AN97" s="2">
        <v>0.01</v>
      </c>
      <c r="AO97" s="2">
        <v>23.04</v>
      </c>
      <c r="AP97" s="2">
        <v>0</v>
      </c>
      <c r="AQ97" s="2">
        <v>1.8</v>
      </c>
      <c r="AR97" s="2">
        <v>0</v>
      </c>
      <c r="AS97" s="2">
        <v>0</v>
      </c>
      <c r="AT97" s="2">
        <v>90</v>
      </c>
      <c r="AU97" s="2">
        <v>46</v>
      </c>
      <c r="AV97" s="2">
        <v>1.0469999999999999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2</v>
      </c>
      <c r="BJ97" s="2" t="s">
        <v>23</v>
      </c>
      <c r="BK97" s="2"/>
      <c r="BL97" s="2"/>
      <c r="BM97" s="2">
        <v>68</v>
      </c>
      <c r="BN97" s="2">
        <v>0</v>
      </c>
      <c r="BO97" s="2" t="s">
        <v>20</v>
      </c>
      <c r="BP97" s="2">
        <v>1</v>
      </c>
      <c r="BQ97" s="2">
        <v>40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90</v>
      </c>
      <c r="CA97" s="2">
        <v>46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797</v>
      </c>
      <c r="CO97" s="2">
        <v>0</v>
      </c>
      <c r="CP97" s="2">
        <f t="shared" ref="CP97:CP128" si="97">(P97+Q97+S97)</f>
        <v>259.52000000000004</v>
      </c>
      <c r="CQ97" s="2">
        <f t="shared" ref="CQ97:CQ116" si="98">ROUND((ROUND((AC97*AW97*1),2)*BC97),2)</f>
        <v>3.43</v>
      </c>
      <c r="CR97" s="2">
        <f>(ROUND((ROUND((((ET97*1.2))*AV97*1),2)*BB97),2)+ROUND((ROUND(((AE97-((EU97*1.2)))*AV97*1),2)*BS97),2))</f>
        <v>0.06</v>
      </c>
      <c r="CS97" s="2">
        <f>(ROUND((ROUND((((EU97*1.2))*AV97*1),2)*BS97),2)+ROUND((ROUND(((AE97-((EU97*1.2)))*AV97*1),2)*BS97),2))</f>
        <v>0.01</v>
      </c>
      <c r="CT97" s="2">
        <f t="shared" ref="CT97:CT128" si="99">ROUND((ROUND((AF97*AV97*1),2)*BA97),2)</f>
        <v>28.95</v>
      </c>
      <c r="CU97" s="2">
        <f t="shared" ref="CU97:CU128" si="100">AG97</f>
        <v>0</v>
      </c>
      <c r="CV97" s="2">
        <f t="shared" ref="CV97:CV128" si="101">(AH97*AV97)</f>
        <v>2.26152</v>
      </c>
      <c r="CW97" s="2">
        <f t="shared" ref="CW97:CW128" si="102">AI97</f>
        <v>0</v>
      </c>
      <c r="CX97" s="2">
        <f t="shared" ref="CX97:CX128" si="103">AJ97</f>
        <v>0</v>
      </c>
      <c r="CY97" s="2">
        <f>(ROUND((((S97+ROUND((ROUND((((EU97*1.2))*AV97*1),2)*BS97),2))*AT97)/100),2)+ROUND(((ROUND((ROUND(((AE97-((EU97*1.2)))*AV97*1),2)*BS97),2)*AT97)/100),2))</f>
        <v>208.43</v>
      </c>
      <c r="CZ97" s="2">
        <f>(ROUND((((S97+ROUND((ROUND((((EU97*1.2))*AV97*1),2)*BS97),2))*AU97)/100),2)+ROUND(((ROUND((ROUND(((AE97-((EU97*1.2)))*AV97*1),2)*BS97),2)*AU97)/100),2))</f>
        <v>106.53</v>
      </c>
      <c r="DA97" s="2"/>
      <c r="DB97" s="2">
        <v>73</v>
      </c>
      <c r="DC97" s="2" t="s">
        <v>3</v>
      </c>
      <c r="DD97" s="2" t="s">
        <v>113</v>
      </c>
      <c r="DE97" s="2" t="s">
        <v>114</v>
      </c>
      <c r="DF97" s="2" t="s">
        <v>114</v>
      </c>
      <c r="DG97" s="2" t="s">
        <v>114</v>
      </c>
      <c r="DH97" s="2" t="s">
        <v>3</v>
      </c>
      <c r="DI97" s="2" t="s">
        <v>114</v>
      </c>
      <c r="DJ97" s="2" t="s">
        <v>114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22</v>
      </c>
      <c r="DW97" s="2" t="s">
        <v>22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55393700</v>
      </c>
      <c r="EF97" s="2">
        <v>40</v>
      </c>
      <c r="EG97" s="2" t="s">
        <v>26</v>
      </c>
      <c r="EH97" s="2">
        <v>0</v>
      </c>
      <c r="EI97" s="2" t="s">
        <v>3</v>
      </c>
      <c r="EJ97" s="2">
        <v>2</v>
      </c>
      <c r="EK97" s="2">
        <v>68</v>
      </c>
      <c r="EL97" s="2" t="s">
        <v>27</v>
      </c>
      <c r="EM97" s="2" t="s">
        <v>28</v>
      </c>
      <c r="EN97" s="2"/>
      <c r="EO97" s="2" t="s">
        <v>118</v>
      </c>
      <c r="EP97" s="2"/>
      <c r="EQ97" s="2">
        <v>0</v>
      </c>
      <c r="ER97" s="2">
        <v>26.52</v>
      </c>
      <c r="ES97" s="2">
        <v>3.43</v>
      </c>
      <c r="ET97" s="2">
        <v>0.05</v>
      </c>
      <c r="EU97" s="2">
        <v>0.01</v>
      </c>
      <c r="EV97" s="2">
        <v>23.04</v>
      </c>
      <c r="EW97" s="2">
        <v>1.8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90</v>
      </c>
      <c r="FY97" s="2">
        <v>46</v>
      </c>
      <c r="FZ97" s="2"/>
      <c r="GA97" s="2" t="s">
        <v>3</v>
      </c>
      <c r="GB97" s="2"/>
      <c r="GC97" s="2"/>
      <c r="GD97" s="2">
        <v>1</v>
      </c>
      <c r="GE97" s="2"/>
      <c r="GF97" s="2">
        <v>1250165502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ref="GL97:GL128" si="104">ROUND(IF(AND(BH97=3,BI97=3,FS97&lt;&gt;0),P97,0),2)</f>
        <v>0</v>
      </c>
      <c r="GM97" s="2">
        <f t="shared" ref="GM97:GM128" si="105">ROUND(O97+X97+Y97,2)+GX97</f>
        <v>574.6</v>
      </c>
      <c r="GN97" s="2">
        <f t="shared" ref="GN97:GN128" si="106">IF(OR(BI97=0,BI97=1),GM97-GX97,0)</f>
        <v>0</v>
      </c>
      <c r="GO97" s="2">
        <f t="shared" ref="GO97:GO128" si="107">IF(BI97=2,GM97-GX97,0)</f>
        <v>574.6</v>
      </c>
      <c r="GP97" s="2">
        <f t="shared" ref="GP97:GP128" si="108">IF(BI97=4,GM97-GX97,0)</f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ref="GV97:GV128" si="109">ROUND((GT97),6)</f>
        <v>0</v>
      </c>
      <c r="GW97" s="2">
        <v>1</v>
      </c>
      <c r="GX97" s="2">
        <f t="shared" ref="GX97:GX128" si="110">ROUND(HC97*I97,2)</f>
        <v>0</v>
      </c>
      <c r="GY97" s="2"/>
      <c r="GZ97" s="2"/>
      <c r="HA97" s="2">
        <v>0</v>
      </c>
      <c r="HB97" s="2">
        <v>0</v>
      </c>
      <c r="HC97" s="2">
        <f t="shared" ref="HC97:HC128" si="111">GV97*GW97</f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 s="3">
        <v>17</v>
      </c>
      <c r="B98" s="3">
        <v>1</v>
      </c>
      <c r="C98" s="3">
        <f>ROW(SmtRes!A120)</f>
        <v>120</v>
      </c>
      <c r="D98" s="3">
        <f>ROW(EtalonRes!A156)</f>
        <v>156</v>
      </c>
      <c r="E98" s="3" t="s">
        <v>178</v>
      </c>
      <c r="F98" s="3" t="s">
        <v>20</v>
      </c>
      <c r="G98" s="3" t="s">
        <v>179</v>
      </c>
      <c r="H98" s="3" t="s">
        <v>22</v>
      </c>
      <c r="I98" s="3">
        <v>8</v>
      </c>
      <c r="J98" s="3">
        <v>0</v>
      </c>
      <c r="K98" s="3">
        <v>8</v>
      </c>
      <c r="O98" s="3">
        <f t="shared" si="87"/>
        <v>13329.54</v>
      </c>
      <c r="P98" s="3">
        <f t="shared" si="88"/>
        <v>270.01</v>
      </c>
      <c r="Q98" s="3">
        <f>(ROUND((ROUND((((ET98*1.2))*AV98*I98),2)*BB98),2)+ROUND((ROUND(((AE98-((EU98*1.2)))*AV98*I98),2)*BS98),2))</f>
        <v>10</v>
      </c>
      <c r="R98" s="3">
        <f>(ROUND((ROUND((((EU98*1.2))*AV98*I98),2)*BS98),2)+ROUND((ROUND(((AE98-((EU98*1.2)))*AV98*I98),2)*BS98),2))</f>
        <v>5.64</v>
      </c>
      <c r="S98" s="3">
        <f t="shared" si="89"/>
        <v>13049.53</v>
      </c>
      <c r="T98" s="3">
        <f t="shared" si="90"/>
        <v>0</v>
      </c>
      <c r="U98" s="3">
        <f t="shared" si="91"/>
        <v>18.09216</v>
      </c>
      <c r="V98" s="3">
        <f t="shared" si="92"/>
        <v>0</v>
      </c>
      <c r="W98" s="3">
        <f t="shared" si="93"/>
        <v>0</v>
      </c>
      <c r="X98" s="3">
        <f>(ROUND((((S98+ROUND((ROUND((((EU98*1.2))*AV98*I98),2)*BS98),2))*AT98)/100),2)+ROUND(((ROUND((ROUND(((AE98-((EU98*1.2)))*AV98*I98),2)*BS98),2)*AT98)/100),2))</f>
        <v>11749.65</v>
      </c>
      <c r="Y98" s="3">
        <f>(ROUND((((S98+ROUND((ROUND((((EU98*1.2))*AV98*I98),2)*BS98),2))*AU98)/100),2)+ROUND(((ROUND((ROUND(((AE98-((EU98*1.2)))*AV98*I98),2)*BS98),2)*AU98)/100),2))</f>
        <v>6005.38</v>
      </c>
      <c r="AA98" s="3">
        <v>55937298</v>
      </c>
      <c r="AB98" s="3">
        <f t="shared" si="94"/>
        <v>31.138000000000002</v>
      </c>
      <c r="AC98" s="3">
        <f>ROUND(((ES98*1)),6)</f>
        <v>3.43</v>
      </c>
      <c r="AD98" s="3">
        <f>ROUND(((((ET98*1.2))-((EU98*1.2)))+AE98),6)</f>
        <v>0.06</v>
      </c>
      <c r="AE98" s="3">
        <f>ROUND(((EU98*1.2)),6)</f>
        <v>1.2E-2</v>
      </c>
      <c r="AF98" s="3">
        <f>ROUND(((EV98*1.2)),6)</f>
        <v>27.648</v>
      </c>
      <c r="AG98" s="3">
        <f t="shared" si="95"/>
        <v>0</v>
      </c>
      <c r="AH98" s="3">
        <f>((EW98*1.2))</f>
        <v>2.16</v>
      </c>
      <c r="AI98" s="3">
        <f>((EX98*1.2))</f>
        <v>0</v>
      </c>
      <c r="AJ98" s="3">
        <f t="shared" si="96"/>
        <v>0</v>
      </c>
      <c r="AK98" s="3">
        <v>26.52</v>
      </c>
      <c r="AL98" s="3">
        <v>3.43</v>
      </c>
      <c r="AM98" s="3">
        <v>0.05</v>
      </c>
      <c r="AN98" s="3">
        <v>0.01</v>
      </c>
      <c r="AO98" s="3">
        <v>23.04</v>
      </c>
      <c r="AP98" s="3">
        <v>0</v>
      </c>
      <c r="AQ98" s="3">
        <v>1.8</v>
      </c>
      <c r="AR98" s="3">
        <v>0</v>
      </c>
      <c r="AS98" s="3">
        <v>0</v>
      </c>
      <c r="AT98" s="3">
        <v>90</v>
      </c>
      <c r="AU98" s="3">
        <v>46</v>
      </c>
      <c r="AV98" s="3">
        <v>1.0469999999999999</v>
      </c>
      <c r="AW98" s="3">
        <v>1</v>
      </c>
      <c r="AZ98" s="3">
        <v>1</v>
      </c>
      <c r="BA98" s="3">
        <v>56.35</v>
      </c>
      <c r="BB98" s="3">
        <v>20</v>
      </c>
      <c r="BC98" s="3">
        <v>9.84</v>
      </c>
      <c r="BD98" s="3" t="s">
        <v>3</v>
      </c>
      <c r="BE98" s="3" t="s">
        <v>3</v>
      </c>
      <c r="BF98" s="3" t="s">
        <v>3</v>
      </c>
      <c r="BG98" s="3" t="s">
        <v>3</v>
      </c>
      <c r="BH98" s="3">
        <v>0</v>
      </c>
      <c r="BI98" s="3">
        <v>2</v>
      </c>
      <c r="BJ98" s="3" t="s">
        <v>23</v>
      </c>
      <c r="BM98" s="3">
        <v>68</v>
      </c>
      <c r="BN98" s="3">
        <v>0</v>
      </c>
      <c r="BO98" s="3" t="s">
        <v>20</v>
      </c>
      <c r="BP98" s="3">
        <v>1</v>
      </c>
      <c r="BQ98" s="3">
        <v>40</v>
      </c>
      <c r="BR98" s="3">
        <v>0</v>
      </c>
      <c r="BS98" s="3">
        <v>56.35</v>
      </c>
      <c r="BT98" s="3">
        <v>1</v>
      </c>
      <c r="BU98" s="3">
        <v>1</v>
      </c>
      <c r="BV98" s="3">
        <v>1</v>
      </c>
      <c r="BW98" s="3">
        <v>1</v>
      </c>
      <c r="BX98" s="3">
        <v>1</v>
      </c>
      <c r="BY98" s="3" t="s">
        <v>3</v>
      </c>
      <c r="BZ98" s="3">
        <v>90</v>
      </c>
      <c r="CA98" s="3">
        <v>46</v>
      </c>
      <c r="CB98" s="3" t="s">
        <v>3</v>
      </c>
      <c r="CE98" s="3">
        <v>1566</v>
      </c>
      <c r="CF98" s="3">
        <v>0</v>
      </c>
      <c r="CG98" s="3">
        <v>0</v>
      </c>
      <c r="CM98" s="3">
        <v>0</v>
      </c>
      <c r="CN98" s="3" t="s">
        <v>797</v>
      </c>
      <c r="CO98" s="3">
        <v>0</v>
      </c>
      <c r="CP98" s="3">
        <f t="shared" si="97"/>
        <v>13329.54</v>
      </c>
      <c r="CQ98" s="3">
        <f t="shared" si="98"/>
        <v>33.75</v>
      </c>
      <c r="CR98" s="3">
        <f>(ROUND((ROUND((((ET98*1.2))*AV98*1),2)*BB98),2)+ROUND((ROUND(((AE98-((EU98*1.2)))*AV98*1),2)*BS98),2))</f>
        <v>1.2</v>
      </c>
      <c r="CS98" s="3">
        <f>(ROUND((ROUND((((EU98*1.2))*AV98*1),2)*BS98),2)+ROUND((ROUND(((AE98-((EU98*1.2)))*AV98*1),2)*BS98),2))</f>
        <v>0.56000000000000005</v>
      </c>
      <c r="CT98" s="3">
        <f t="shared" si="99"/>
        <v>1631.33</v>
      </c>
      <c r="CU98" s="3">
        <f t="shared" si="100"/>
        <v>0</v>
      </c>
      <c r="CV98" s="3">
        <f t="shared" si="101"/>
        <v>2.26152</v>
      </c>
      <c r="CW98" s="3">
        <f t="shared" si="102"/>
        <v>0</v>
      </c>
      <c r="CX98" s="3">
        <f t="shared" si="103"/>
        <v>0</v>
      </c>
      <c r="CY98" s="3">
        <f>(ROUND((((S98+ROUND((ROUND((((EU98*1.2))*AV98*1),2)*BS98),2))*AT98)/100),2)+ROUND(((ROUND((ROUND(((AE98-((EU98*1.2)))*AV98*1),2)*BS98),2)*AT98)/100),2))</f>
        <v>11745.08</v>
      </c>
      <c r="CZ98" s="3">
        <f>(ROUND((((S98+ROUND((ROUND((((EU98*1.2))*AV98*1),2)*BS98),2))*AU98)/100),2)+ROUND(((ROUND((ROUND(((AE98-((EU98*1.2)))*AV98*1),2)*BS98),2)*AU98)/100),2))</f>
        <v>6003.04</v>
      </c>
      <c r="DB98" s="3">
        <v>74</v>
      </c>
      <c r="DC98" s="3" t="s">
        <v>3</v>
      </c>
      <c r="DD98" s="3" t="s">
        <v>113</v>
      </c>
      <c r="DE98" s="3" t="s">
        <v>114</v>
      </c>
      <c r="DF98" s="3" t="s">
        <v>114</v>
      </c>
      <c r="DG98" s="3" t="s">
        <v>114</v>
      </c>
      <c r="DH98" s="3" t="s">
        <v>3</v>
      </c>
      <c r="DI98" s="3" t="s">
        <v>114</v>
      </c>
      <c r="DJ98" s="3" t="s">
        <v>114</v>
      </c>
      <c r="DK98" s="3" t="s">
        <v>3</v>
      </c>
      <c r="DL98" s="3" t="s">
        <v>3</v>
      </c>
      <c r="DM98" s="3" t="s">
        <v>3</v>
      </c>
      <c r="DN98" s="3">
        <v>0</v>
      </c>
      <c r="DO98" s="3">
        <v>0</v>
      </c>
      <c r="DP98" s="3">
        <v>1</v>
      </c>
      <c r="DQ98" s="3">
        <v>1</v>
      </c>
      <c r="DU98" s="3">
        <v>1013</v>
      </c>
      <c r="DV98" s="3" t="s">
        <v>22</v>
      </c>
      <c r="DW98" s="3" t="s">
        <v>22</v>
      </c>
      <c r="DX98" s="3">
        <v>1</v>
      </c>
      <c r="DZ98" s="3" t="s">
        <v>3</v>
      </c>
      <c r="EA98" s="3" t="s">
        <v>3</v>
      </c>
      <c r="EB98" s="3" t="s">
        <v>3</v>
      </c>
      <c r="EC98" s="3" t="s">
        <v>3</v>
      </c>
      <c r="EE98" s="3">
        <v>55393700</v>
      </c>
      <c r="EF98" s="3">
        <v>40</v>
      </c>
      <c r="EG98" s="3" t="s">
        <v>26</v>
      </c>
      <c r="EH98" s="3">
        <v>0</v>
      </c>
      <c r="EI98" s="3" t="s">
        <v>3</v>
      </c>
      <c r="EJ98" s="3">
        <v>2</v>
      </c>
      <c r="EK98" s="3">
        <v>68</v>
      </c>
      <c r="EL98" s="3" t="s">
        <v>27</v>
      </c>
      <c r="EM98" s="3" t="s">
        <v>28</v>
      </c>
      <c r="EO98" s="3" t="s">
        <v>118</v>
      </c>
      <c r="EQ98" s="3">
        <v>0</v>
      </c>
      <c r="ER98" s="3">
        <v>26.52</v>
      </c>
      <c r="ES98" s="3">
        <v>3.43</v>
      </c>
      <c r="ET98" s="3">
        <v>0.05</v>
      </c>
      <c r="EU98" s="3">
        <v>0.01</v>
      </c>
      <c r="EV98" s="3">
        <v>23.04</v>
      </c>
      <c r="EW98" s="3">
        <v>1.8</v>
      </c>
      <c r="EX98" s="3">
        <v>0</v>
      </c>
      <c r="EY98" s="3">
        <v>0</v>
      </c>
      <c r="FQ98" s="3">
        <v>0</v>
      </c>
      <c r="FR98" s="3">
        <v>0</v>
      </c>
      <c r="FS98" s="3">
        <v>0</v>
      </c>
      <c r="FX98" s="3">
        <v>90</v>
      </c>
      <c r="FY98" s="3">
        <v>46</v>
      </c>
      <c r="GA98" s="3" t="s">
        <v>3</v>
      </c>
      <c r="GD98" s="3">
        <v>1</v>
      </c>
      <c r="GF98" s="3">
        <v>1250165502</v>
      </c>
      <c r="GG98" s="3">
        <v>2</v>
      </c>
      <c r="GH98" s="3">
        <v>1</v>
      </c>
      <c r="GI98" s="3">
        <v>2</v>
      </c>
      <c r="GJ98" s="3">
        <v>0</v>
      </c>
      <c r="GK98" s="3">
        <v>0</v>
      </c>
      <c r="GL98" s="3">
        <f t="shared" si="104"/>
        <v>0</v>
      </c>
      <c r="GM98" s="3">
        <f t="shared" si="105"/>
        <v>31084.57</v>
      </c>
      <c r="GN98" s="3">
        <f t="shared" si="106"/>
        <v>0</v>
      </c>
      <c r="GO98" s="3">
        <f t="shared" si="107"/>
        <v>31084.57</v>
      </c>
      <c r="GP98" s="3">
        <f t="shared" si="108"/>
        <v>0</v>
      </c>
      <c r="GR98" s="3">
        <v>0</v>
      </c>
      <c r="GS98" s="3">
        <v>3</v>
      </c>
      <c r="GT98" s="3">
        <v>0</v>
      </c>
      <c r="GU98" s="3" t="s">
        <v>3</v>
      </c>
      <c r="GV98" s="3">
        <f t="shared" si="109"/>
        <v>0</v>
      </c>
      <c r="GW98" s="3">
        <v>1</v>
      </c>
      <c r="GX98" s="3">
        <f t="shared" si="110"/>
        <v>0</v>
      </c>
      <c r="HA98" s="3">
        <v>0</v>
      </c>
      <c r="HB98" s="3">
        <v>0</v>
      </c>
      <c r="HC98" s="3">
        <f t="shared" si="111"/>
        <v>0</v>
      </c>
      <c r="HE98" s="3" t="s">
        <v>3</v>
      </c>
      <c r="HF98" s="3" t="s">
        <v>3</v>
      </c>
      <c r="HM98" s="3" t="s">
        <v>3</v>
      </c>
      <c r="HN98" s="3" t="s">
        <v>3</v>
      </c>
      <c r="HO98" s="3" t="s">
        <v>3</v>
      </c>
      <c r="HP98" s="3" t="s">
        <v>3</v>
      </c>
      <c r="HQ98" s="3" t="s">
        <v>3</v>
      </c>
      <c r="HS98" s="3">
        <v>0</v>
      </c>
      <c r="IK98" s="3">
        <v>0</v>
      </c>
    </row>
    <row r="99" spans="1:255" x14ac:dyDescent="0.2">
      <c r="A99" s="2">
        <v>17</v>
      </c>
      <c r="B99" s="2">
        <v>1</v>
      </c>
      <c r="C99" s="2"/>
      <c r="D99" s="2"/>
      <c r="E99" s="2" t="s">
        <v>180</v>
      </c>
      <c r="F99" s="2" t="s">
        <v>181</v>
      </c>
      <c r="G99" s="2" t="s">
        <v>182</v>
      </c>
      <c r="H99" s="2" t="s">
        <v>183</v>
      </c>
      <c r="I99" s="2">
        <v>8</v>
      </c>
      <c r="J99" s="2">
        <v>0</v>
      </c>
      <c r="K99" s="2">
        <v>8</v>
      </c>
      <c r="L99" s="2"/>
      <c r="M99" s="2"/>
      <c r="N99" s="2"/>
      <c r="O99" s="2">
        <f t="shared" si="87"/>
        <v>6597.84</v>
      </c>
      <c r="P99" s="2">
        <f t="shared" si="88"/>
        <v>6597.84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89"/>
        <v>0</v>
      </c>
      <c r="T99" s="2">
        <f t="shared" si="90"/>
        <v>0</v>
      </c>
      <c r="U99" s="2">
        <f t="shared" si="91"/>
        <v>0</v>
      </c>
      <c r="V99" s="2">
        <f t="shared" si="92"/>
        <v>0</v>
      </c>
      <c r="W99" s="2">
        <f t="shared" si="93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55937296</v>
      </c>
      <c r="AB99" s="2">
        <f t="shared" si="94"/>
        <v>824.73</v>
      </c>
      <c r="AC99" s="2">
        <f>ROUND((ES99),6)</f>
        <v>824.73</v>
      </c>
      <c r="AD99" s="2">
        <f>ROUND((((ET99)-(EU99))+AE99),6)</f>
        <v>0</v>
      </c>
      <c r="AE99" s="2">
        <f>ROUND((EU99),6)</f>
        <v>0</v>
      </c>
      <c r="AF99" s="2">
        <f>ROUND((EV99),6)</f>
        <v>0</v>
      </c>
      <c r="AG99" s="2">
        <f t="shared" si="95"/>
        <v>0</v>
      </c>
      <c r="AH99" s="2">
        <f>(EW99)</f>
        <v>0</v>
      </c>
      <c r="AI99" s="2">
        <f>(EX99)</f>
        <v>0</v>
      </c>
      <c r="AJ99" s="2">
        <f t="shared" si="96"/>
        <v>0</v>
      </c>
      <c r="AK99" s="2">
        <v>824.73</v>
      </c>
      <c r="AL99" s="2">
        <v>824.73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3</v>
      </c>
      <c r="BJ99" s="2" t="s">
        <v>181</v>
      </c>
      <c r="BK99" s="2"/>
      <c r="BL99" s="2"/>
      <c r="BM99" s="2">
        <v>400007</v>
      </c>
      <c r="BN99" s="2">
        <v>0</v>
      </c>
      <c r="BO99" s="2" t="s">
        <v>3</v>
      </c>
      <c r="BP99" s="2">
        <v>0</v>
      </c>
      <c r="BQ99" s="2">
        <v>214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0</v>
      </c>
      <c r="CA99" s="2">
        <v>0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3</v>
      </c>
      <c r="CO99" s="2">
        <v>0</v>
      </c>
      <c r="CP99" s="2">
        <f t="shared" si="97"/>
        <v>6597.84</v>
      </c>
      <c r="CQ99" s="2">
        <f t="shared" si="98"/>
        <v>824.73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99"/>
        <v>0</v>
      </c>
      <c r="CU99" s="2">
        <f t="shared" si="100"/>
        <v>0</v>
      </c>
      <c r="CV99" s="2">
        <f t="shared" si="101"/>
        <v>0</v>
      </c>
      <c r="CW99" s="2">
        <f t="shared" si="102"/>
        <v>0</v>
      </c>
      <c r="CX99" s="2">
        <f t="shared" si="103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183</v>
      </c>
      <c r="DW99" s="2" t="s">
        <v>183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55393630</v>
      </c>
      <c r="EF99" s="2">
        <v>214</v>
      </c>
      <c r="EG99" s="2" t="s">
        <v>184</v>
      </c>
      <c r="EH99" s="2">
        <v>0</v>
      </c>
      <c r="EI99" s="2" t="s">
        <v>3</v>
      </c>
      <c r="EJ99" s="2">
        <v>3</v>
      </c>
      <c r="EK99" s="2">
        <v>400007</v>
      </c>
      <c r="EL99" s="2" t="s">
        <v>184</v>
      </c>
      <c r="EM99" s="2" t="s">
        <v>185</v>
      </c>
      <c r="EN99" s="2"/>
      <c r="EO99" s="2" t="s">
        <v>3</v>
      </c>
      <c r="EP99" s="2"/>
      <c r="EQ99" s="2">
        <v>16</v>
      </c>
      <c r="ER99" s="2">
        <v>0</v>
      </c>
      <c r="ES99" s="2">
        <v>824.73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f>P99</f>
        <v>6597.84</v>
      </c>
      <c r="FS99" s="2">
        <v>0</v>
      </c>
      <c r="FT99" s="2"/>
      <c r="FU99" s="2"/>
      <c r="FV99" s="2"/>
      <c r="FW99" s="2"/>
      <c r="FX99" s="2">
        <v>0</v>
      </c>
      <c r="FY99" s="2">
        <v>0</v>
      </c>
      <c r="FZ99" s="2"/>
      <c r="GA99" s="2" t="s">
        <v>186</v>
      </c>
      <c r="GB99" s="2"/>
      <c r="GC99" s="2"/>
      <c r="GD99" s="2">
        <v>1</v>
      </c>
      <c r="GE99" s="2"/>
      <c r="GF99" s="2">
        <v>1086867714</v>
      </c>
      <c r="GG99" s="2">
        <v>2</v>
      </c>
      <c r="GH99" s="2">
        <v>4</v>
      </c>
      <c r="GI99" s="2">
        <v>-2</v>
      </c>
      <c r="GJ99" s="2">
        <v>0</v>
      </c>
      <c r="GK99" s="2">
        <v>0</v>
      </c>
      <c r="GL99" s="2">
        <f t="shared" si="104"/>
        <v>0</v>
      </c>
      <c r="GM99" s="2">
        <f t="shared" si="105"/>
        <v>6597.84</v>
      </c>
      <c r="GN99" s="2">
        <f t="shared" si="106"/>
        <v>0</v>
      </c>
      <c r="GO99" s="2">
        <f t="shared" si="107"/>
        <v>0</v>
      </c>
      <c r="GP99" s="2">
        <f t="shared" si="108"/>
        <v>0</v>
      </c>
      <c r="GQ99" s="2"/>
      <c r="GR99" s="2">
        <v>1</v>
      </c>
      <c r="GS99" s="2">
        <v>2</v>
      </c>
      <c r="GT99" s="2">
        <v>0</v>
      </c>
      <c r="GU99" s="2" t="s">
        <v>3</v>
      </c>
      <c r="GV99" s="2">
        <f t="shared" si="109"/>
        <v>0</v>
      </c>
      <c r="GW99" s="2">
        <v>1</v>
      </c>
      <c r="GX99" s="2">
        <f t="shared" si="110"/>
        <v>0</v>
      </c>
      <c r="GY99" s="2"/>
      <c r="GZ99" s="2"/>
      <c r="HA99" s="2">
        <v>0</v>
      </c>
      <c r="HB99" s="2">
        <v>0</v>
      </c>
      <c r="HC99" s="2">
        <f t="shared" si="111"/>
        <v>0</v>
      </c>
      <c r="HD99" s="2"/>
      <c r="HE99" s="2" t="s">
        <v>34</v>
      </c>
      <c r="HF99" s="2" t="s">
        <v>187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3">
        <v>17</v>
      </c>
      <c r="B100" s="3">
        <v>1</v>
      </c>
      <c r="E100" s="3" t="s">
        <v>180</v>
      </c>
      <c r="F100" s="3" t="s">
        <v>181</v>
      </c>
      <c r="G100" s="3" t="s">
        <v>182</v>
      </c>
      <c r="H100" s="3" t="s">
        <v>183</v>
      </c>
      <c r="I100" s="3">
        <v>8</v>
      </c>
      <c r="J100" s="3">
        <v>0</v>
      </c>
      <c r="K100" s="3">
        <v>8</v>
      </c>
      <c r="O100" s="3">
        <f t="shared" si="87"/>
        <v>50539.45</v>
      </c>
      <c r="P100" s="3">
        <f t="shared" si="88"/>
        <v>50539.45</v>
      </c>
      <c r="Q100" s="3">
        <f>(ROUND((ROUND(((ET100)*AV100*I100),2)*BB100),2)+ROUND((ROUND(((AE100-(EU100))*AV100*I100),2)*BS100),2))</f>
        <v>0</v>
      </c>
      <c r="R100" s="3">
        <f>(ROUND((ROUND(((EU100)*AV100*I100),2)*BS100),2)+ROUND((ROUND(((AE100-(EU100))*AV100*I100),2)*BS100),2))</f>
        <v>0</v>
      </c>
      <c r="S100" s="3">
        <f t="shared" si="89"/>
        <v>0</v>
      </c>
      <c r="T100" s="3">
        <f t="shared" si="90"/>
        <v>0</v>
      </c>
      <c r="U100" s="3">
        <f t="shared" si="91"/>
        <v>0</v>
      </c>
      <c r="V100" s="3">
        <f t="shared" si="92"/>
        <v>0</v>
      </c>
      <c r="W100" s="3">
        <f t="shared" si="93"/>
        <v>0</v>
      </c>
      <c r="X100" s="3">
        <f>(ROUND((((S100+ROUND((ROUND(((EU100)*AV100*I100),2)*BS100),2))*AT100)/100),2)+ROUND(((ROUND((ROUND(((AE100-(EU100))*AV100*I100),2)*BS100),2)*AT100)/100),2))</f>
        <v>0</v>
      </c>
      <c r="Y100" s="3">
        <f>(ROUND((((S100+ROUND((ROUND(((EU100)*AV100*I100),2)*BS100),2))*AU100)/100),2)+ROUND(((ROUND((ROUND(((AE100-(EU100))*AV100*I100),2)*BS100),2)*AU100)/100),2))</f>
        <v>0</v>
      </c>
      <c r="AA100" s="3">
        <v>55937298</v>
      </c>
      <c r="AB100" s="3">
        <f t="shared" si="94"/>
        <v>824.73</v>
      </c>
      <c r="AC100" s="3">
        <f>ROUND((ES100),6)</f>
        <v>824.73</v>
      </c>
      <c r="AD100" s="3">
        <f>ROUND((((ET100)-(EU100))+AE100),6)</f>
        <v>0</v>
      </c>
      <c r="AE100" s="3">
        <f>ROUND((EU100),6)</f>
        <v>0</v>
      </c>
      <c r="AF100" s="3">
        <f>ROUND((EV100),6)</f>
        <v>0</v>
      </c>
      <c r="AG100" s="3">
        <f t="shared" si="95"/>
        <v>0</v>
      </c>
      <c r="AH100" s="3">
        <f>(EW100)</f>
        <v>0</v>
      </c>
      <c r="AI100" s="3">
        <f>(EX100)</f>
        <v>0</v>
      </c>
      <c r="AJ100" s="3">
        <f t="shared" si="96"/>
        <v>0</v>
      </c>
      <c r="AK100" s="3">
        <v>824.73</v>
      </c>
      <c r="AL100" s="3">
        <v>824.73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1</v>
      </c>
      <c r="AW100" s="3">
        <v>1</v>
      </c>
      <c r="AZ100" s="3">
        <v>1</v>
      </c>
      <c r="BA100" s="3">
        <v>1</v>
      </c>
      <c r="BB100" s="3">
        <v>1</v>
      </c>
      <c r="BC100" s="3">
        <v>7.66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3</v>
      </c>
      <c r="BI100" s="3">
        <v>3</v>
      </c>
      <c r="BJ100" s="3" t="s">
        <v>181</v>
      </c>
      <c r="BM100" s="3">
        <v>400007</v>
      </c>
      <c r="BN100" s="3">
        <v>0</v>
      </c>
      <c r="BO100" s="3" t="s">
        <v>3</v>
      </c>
      <c r="BP100" s="3">
        <v>0</v>
      </c>
      <c r="BQ100" s="3">
        <v>214</v>
      </c>
      <c r="BR100" s="3">
        <v>0</v>
      </c>
      <c r="BS100" s="3">
        <v>1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0</v>
      </c>
      <c r="CA100" s="3">
        <v>0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3</v>
      </c>
      <c r="CO100" s="3">
        <v>0</v>
      </c>
      <c r="CP100" s="3">
        <f t="shared" si="97"/>
        <v>50539.45</v>
      </c>
      <c r="CQ100" s="3">
        <f t="shared" si="98"/>
        <v>6317.43</v>
      </c>
      <c r="CR100" s="3">
        <f>(ROUND((ROUND(((ET100)*AV100*1),2)*BB100),2)+ROUND((ROUND(((AE100-(EU100))*AV100*1),2)*BS100),2))</f>
        <v>0</v>
      </c>
      <c r="CS100" s="3">
        <f>(ROUND((ROUND(((EU100)*AV100*1),2)*BS100),2)+ROUND((ROUND(((AE100-(EU100))*AV100*1),2)*BS100),2))</f>
        <v>0</v>
      </c>
      <c r="CT100" s="3">
        <f t="shared" si="99"/>
        <v>0</v>
      </c>
      <c r="CU100" s="3">
        <f t="shared" si="100"/>
        <v>0</v>
      </c>
      <c r="CV100" s="3">
        <f t="shared" si="101"/>
        <v>0</v>
      </c>
      <c r="CW100" s="3">
        <f t="shared" si="102"/>
        <v>0</v>
      </c>
      <c r="CX100" s="3">
        <f t="shared" si="103"/>
        <v>0</v>
      </c>
      <c r="CY100" s="3">
        <f>(ROUND((((S100+ROUND((ROUND(((EU100)*AV100*1),2)*BS100),2))*AT100)/100),2)+ROUND(((ROUND((ROUND(((AE100-(EU100))*AV100*1),2)*BS100),2)*AT100)/100),2))</f>
        <v>0</v>
      </c>
      <c r="CZ100" s="3">
        <f>(ROUND((((S100+ROUND((ROUND(((EU100)*AV100*1),2)*BS100),2))*AU100)/100),2)+ROUND(((ROUND((ROUND(((AE100-(EU100))*AV100*1),2)*BS100),2)*AU100)/100),2))</f>
        <v>0</v>
      </c>
      <c r="DC100" s="3" t="s">
        <v>3</v>
      </c>
      <c r="DD100" s="3" t="s">
        <v>3</v>
      </c>
      <c r="DE100" s="3" t="s">
        <v>3</v>
      </c>
      <c r="DF100" s="3" t="s">
        <v>3</v>
      </c>
      <c r="DG100" s="3" t="s">
        <v>3</v>
      </c>
      <c r="DH100" s="3" t="s">
        <v>3</v>
      </c>
      <c r="DI100" s="3" t="s">
        <v>3</v>
      </c>
      <c r="DJ100" s="3" t="s">
        <v>3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183</v>
      </c>
      <c r="DW100" s="3" t="s">
        <v>183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55393630</v>
      </c>
      <c r="EF100" s="3">
        <v>214</v>
      </c>
      <c r="EG100" s="3" t="s">
        <v>184</v>
      </c>
      <c r="EH100" s="3">
        <v>0</v>
      </c>
      <c r="EI100" s="3" t="s">
        <v>3</v>
      </c>
      <c r="EJ100" s="3">
        <v>3</v>
      </c>
      <c r="EK100" s="3">
        <v>400007</v>
      </c>
      <c r="EL100" s="3" t="s">
        <v>184</v>
      </c>
      <c r="EM100" s="3" t="s">
        <v>185</v>
      </c>
      <c r="EO100" s="3" t="s">
        <v>3</v>
      </c>
      <c r="EQ100" s="3">
        <v>16</v>
      </c>
      <c r="ER100" s="3">
        <v>0</v>
      </c>
      <c r="ES100" s="3">
        <v>824.73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5</v>
      </c>
      <c r="FC100" s="3">
        <v>1</v>
      </c>
      <c r="FD100" s="3">
        <v>18</v>
      </c>
      <c r="FF100" s="3">
        <v>7394</v>
      </c>
      <c r="FQ100" s="3">
        <v>0</v>
      </c>
      <c r="FR100" s="3">
        <f>P100</f>
        <v>50539.45</v>
      </c>
      <c r="FS100" s="3">
        <v>0</v>
      </c>
      <c r="FX100" s="3">
        <v>0</v>
      </c>
      <c r="FY100" s="3">
        <v>0</v>
      </c>
      <c r="GA100" s="3" t="s">
        <v>186</v>
      </c>
      <c r="GD100" s="3">
        <v>1</v>
      </c>
      <c r="GF100" s="3">
        <v>1086867714</v>
      </c>
      <c r="GG100" s="3">
        <v>2</v>
      </c>
      <c r="GH100" s="3">
        <v>3</v>
      </c>
      <c r="GI100" s="3">
        <v>5</v>
      </c>
      <c r="GJ100" s="3">
        <v>0</v>
      </c>
      <c r="GK100" s="3">
        <v>0</v>
      </c>
      <c r="GL100" s="3">
        <f t="shared" si="104"/>
        <v>0</v>
      </c>
      <c r="GM100" s="3">
        <f t="shared" si="105"/>
        <v>50539.45</v>
      </c>
      <c r="GN100" s="3">
        <f t="shared" si="106"/>
        <v>0</v>
      </c>
      <c r="GO100" s="3">
        <f t="shared" si="107"/>
        <v>0</v>
      </c>
      <c r="GP100" s="3">
        <f t="shared" si="108"/>
        <v>0</v>
      </c>
      <c r="GR100" s="3">
        <v>1</v>
      </c>
      <c r="GS100" s="3">
        <v>1</v>
      </c>
      <c r="GT100" s="3">
        <v>0</v>
      </c>
      <c r="GU100" s="3" t="s">
        <v>3</v>
      </c>
      <c r="GV100" s="3">
        <f t="shared" si="109"/>
        <v>0</v>
      </c>
      <c r="GW100" s="3">
        <v>1</v>
      </c>
      <c r="GX100" s="3">
        <f t="shared" si="110"/>
        <v>0</v>
      </c>
      <c r="HA100" s="3">
        <v>0</v>
      </c>
      <c r="HB100" s="3">
        <v>0</v>
      </c>
      <c r="HC100" s="3">
        <f t="shared" si="111"/>
        <v>0</v>
      </c>
      <c r="HE100" s="3" t="s">
        <v>34</v>
      </c>
      <c r="HF100" s="3" t="s">
        <v>187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">
      <c r="A101" s="2">
        <v>17</v>
      </c>
      <c r="B101" s="2">
        <v>1</v>
      </c>
      <c r="C101" s="2">
        <f>ROW(SmtRes!A121)</f>
        <v>121</v>
      </c>
      <c r="D101" s="2">
        <f>ROW(EtalonRes!A157)</f>
        <v>157</v>
      </c>
      <c r="E101" s="2" t="s">
        <v>188</v>
      </c>
      <c r="F101" s="2" t="s">
        <v>31</v>
      </c>
      <c r="G101" s="2" t="s">
        <v>189</v>
      </c>
      <c r="H101" s="2" t="s">
        <v>22</v>
      </c>
      <c r="I101" s="2">
        <v>1</v>
      </c>
      <c r="J101" s="2">
        <v>0</v>
      </c>
      <c r="K101" s="2">
        <v>1</v>
      </c>
      <c r="L101" s="2"/>
      <c r="M101" s="2"/>
      <c r="N101" s="2"/>
      <c r="O101" s="2">
        <f t="shared" si="87"/>
        <v>215.05</v>
      </c>
      <c r="P101" s="2">
        <f t="shared" si="88"/>
        <v>20.93</v>
      </c>
      <c r="Q101" s="2">
        <f>(ROUND((ROUND((((ET101*1.2))*AV101*I101),2)*BB101),2)+ROUND((ROUND(((AE101-((EU101*1.2)))*AV101*I101),2)*BS101),2))</f>
        <v>0.08</v>
      </c>
      <c r="R101" s="2">
        <f>(ROUND((ROUND((((EU101*1.2))*AV101*I101),2)*BS101),2)+ROUND((ROUND(((AE101-((EU101*1.2)))*AV101*I101),2)*BS101),2))</f>
        <v>0.01</v>
      </c>
      <c r="S101" s="2">
        <f t="shared" si="89"/>
        <v>194.04</v>
      </c>
      <c r="T101" s="2">
        <f t="shared" si="90"/>
        <v>0</v>
      </c>
      <c r="U101" s="2">
        <f t="shared" si="91"/>
        <v>14.699879999999999</v>
      </c>
      <c r="V101" s="2">
        <f t="shared" si="92"/>
        <v>0</v>
      </c>
      <c r="W101" s="2">
        <f t="shared" si="93"/>
        <v>0</v>
      </c>
      <c r="X101" s="2">
        <f>(ROUND((((S101+ROUND((ROUND((((EU101*1.2))*AV101*I101),2)*BS101),2))*AT101)/100),2)+ROUND(((ROUND((ROUND(((AE101-((EU101*1.2)))*AV101*I101),2)*BS101),2)*AT101)/100),2))</f>
        <v>174.65</v>
      </c>
      <c r="Y101" s="2">
        <f>(ROUND((((S101+ROUND((ROUND((((EU101*1.2))*AV101*I101),2)*BS101),2))*AU101)/100),2)+ROUND(((ROUND((ROUND(((AE101-((EU101*1.2)))*AV101*I101),2)*BS101),2)*AU101)/100),2))</f>
        <v>89.26</v>
      </c>
      <c r="Z101" s="2"/>
      <c r="AA101" s="2">
        <v>55937296</v>
      </c>
      <c r="AB101" s="2">
        <f t="shared" si="94"/>
        <v>206.33</v>
      </c>
      <c r="AC101" s="2">
        <f>ROUND(((ES101*1)),6)</f>
        <v>20.93</v>
      </c>
      <c r="AD101" s="2">
        <f>ROUND(((((ET101*1.2))-((EU101*1.2)))+AE101),6)</f>
        <v>7.1999999999999995E-2</v>
      </c>
      <c r="AE101" s="2">
        <f>ROUND(((EU101*1.2)),6)</f>
        <v>1.2E-2</v>
      </c>
      <c r="AF101" s="2">
        <f>ROUND(((EV101*1.2)),6)</f>
        <v>185.328</v>
      </c>
      <c r="AG101" s="2">
        <f t="shared" si="95"/>
        <v>0</v>
      </c>
      <c r="AH101" s="2">
        <f>((EW101*1.2))</f>
        <v>14.04</v>
      </c>
      <c r="AI101" s="2">
        <f>((EX101*1.2))</f>
        <v>0</v>
      </c>
      <c r="AJ101" s="2">
        <f t="shared" si="96"/>
        <v>0</v>
      </c>
      <c r="AK101" s="2">
        <v>175.43</v>
      </c>
      <c r="AL101" s="2">
        <v>20.93</v>
      </c>
      <c r="AM101" s="2">
        <v>0.06</v>
      </c>
      <c r="AN101" s="2">
        <v>0.01</v>
      </c>
      <c r="AO101" s="2">
        <v>154.44</v>
      </c>
      <c r="AP101" s="2">
        <v>0</v>
      </c>
      <c r="AQ101" s="2">
        <v>11.7</v>
      </c>
      <c r="AR101" s="2">
        <v>0</v>
      </c>
      <c r="AS101" s="2">
        <v>0</v>
      </c>
      <c r="AT101" s="2">
        <v>90</v>
      </c>
      <c r="AU101" s="2">
        <v>46</v>
      </c>
      <c r="AV101" s="2">
        <v>1.0469999999999999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0</v>
      </c>
      <c r="BI101" s="2">
        <v>2</v>
      </c>
      <c r="BJ101" s="2" t="s">
        <v>33</v>
      </c>
      <c r="BK101" s="2"/>
      <c r="BL101" s="2"/>
      <c r="BM101" s="2">
        <v>68</v>
      </c>
      <c r="BN101" s="2">
        <v>0</v>
      </c>
      <c r="BO101" s="2" t="s">
        <v>31</v>
      </c>
      <c r="BP101" s="2">
        <v>1</v>
      </c>
      <c r="BQ101" s="2">
        <v>40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90</v>
      </c>
      <c r="CA101" s="2">
        <v>46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797</v>
      </c>
      <c r="CO101" s="2">
        <v>0</v>
      </c>
      <c r="CP101" s="2">
        <f t="shared" si="97"/>
        <v>215.04999999999998</v>
      </c>
      <c r="CQ101" s="2">
        <f t="shared" si="98"/>
        <v>20.93</v>
      </c>
      <c r="CR101" s="2">
        <f>(ROUND((ROUND((((ET101*1.2))*AV101*1),2)*BB101),2)+ROUND((ROUND(((AE101-((EU101*1.2)))*AV101*1),2)*BS101),2))</f>
        <v>0.08</v>
      </c>
      <c r="CS101" s="2">
        <f>(ROUND((ROUND((((EU101*1.2))*AV101*1),2)*BS101),2)+ROUND((ROUND(((AE101-((EU101*1.2)))*AV101*1),2)*BS101),2))</f>
        <v>0.01</v>
      </c>
      <c r="CT101" s="2">
        <f t="shared" si="99"/>
        <v>194.04</v>
      </c>
      <c r="CU101" s="2">
        <f t="shared" si="100"/>
        <v>0</v>
      </c>
      <c r="CV101" s="2">
        <f t="shared" si="101"/>
        <v>14.699879999999999</v>
      </c>
      <c r="CW101" s="2">
        <f t="shared" si="102"/>
        <v>0</v>
      </c>
      <c r="CX101" s="2">
        <f t="shared" si="103"/>
        <v>0</v>
      </c>
      <c r="CY101" s="2">
        <f>(ROUND((((S101+ROUND((ROUND((((EU101*1.2))*AV101*1),2)*BS101),2))*AT101)/100),2)+ROUND(((ROUND((ROUND(((AE101-((EU101*1.2)))*AV101*1),2)*BS101),2)*AT101)/100),2))</f>
        <v>174.65</v>
      </c>
      <c r="CZ101" s="2">
        <f>(ROUND((((S101+ROUND((ROUND((((EU101*1.2))*AV101*1),2)*BS101),2))*AU101)/100),2)+ROUND(((ROUND((ROUND(((AE101-((EU101*1.2)))*AV101*1),2)*BS101),2)*AU101)/100),2))</f>
        <v>89.26</v>
      </c>
      <c r="DA101" s="2"/>
      <c r="DB101" s="2">
        <v>75</v>
      </c>
      <c r="DC101" s="2" t="s">
        <v>3</v>
      </c>
      <c r="DD101" s="2" t="s">
        <v>113</v>
      </c>
      <c r="DE101" s="2" t="s">
        <v>114</v>
      </c>
      <c r="DF101" s="2" t="s">
        <v>114</v>
      </c>
      <c r="DG101" s="2" t="s">
        <v>114</v>
      </c>
      <c r="DH101" s="2" t="s">
        <v>3</v>
      </c>
      <c r="DI101" s="2" t="s">
        <v>114</v>
      </c>
      <c r="DJ101" s="2" t="s">
        <v>114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22</v>
      </c>
      <c r="DW101" s="2" t="s">
        <v>22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55393700</v>
      </c>
      <c r="EF101" s="2">
        <v>40</v>
      </c>
      <c r="EG101" s="2" t="s">
        <v>26</v>
      </c>
      <c r="EH101" s="2">
        <v>0</v>
      </c>
      <c r="EI101" s="2" t="s">
        <v>3</v>
      </c>
      <c r="EJ101" s="2">
        <v>2</v>
      </c>
      <c r="EK101" s="2">
        <v>68</v>
      </c>
      <c r="EL101" s="2" t="s">
        <v>27</v>
      </c>
      <c r="EM101" s="2" t="s">
        <v>28</v>
      </c>
      <c r="EN101" s="2"/>
      <c r="EO101" s="2" t="s">
        <v>118</v>
      </c>
      <c r="EP101" s="2"/>
      <c r="EQ101" s="2">
        <v>0</v>
      </c>
      <c r="ER101" s="2">
        <v>175.43</v>
      </c>
      <c r="ES101" s="2">
        <v>20.93</v>
      </c>
      <c r="ET101" s="2">
        <v>0.06</v>
      </c>
      <c r="EU101" s="2">
        <v>0.01</v>
      </c>
      <c r="EV101" s="2">
        <v>154.44</v>
      </c>
      <c r="EW101" s="2">
        <v>11.7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90</v>
      </c>
      <c r="FY101" s="2">
        <v>46</v>
      </c>
      <c r="FZ101" s="2"/>
      <c r="GA101" s="2" t="s">
        <v>3</v>
      </c>
      <c r="GB101" s="2"/>
      <c r="GC101" s="2"/>
      <c r="GD101" s="2">
        <v>1</v>
      </c>
      <c r="GE101" s="2"/>
      <c r="GF101" s="2">
        <v>755325265</v>
      </c>
      <c r="GG101" s="2">
        <v>2</v>
      </c>
      <c r="GH101" s="2">
        <v>1</v>
      </c>
      <c r="GI101" s="2">
        <v>2</v>
      </c>
      <c r="GJ101" s="2">
        <v>0</v>
      </c>
      <c r="GK101" s="2">
        <v>0</v>
      </c>
      <c r="GL101" s="2">
        <f t="shared" si="104"/>
        <v>0</v>
      </c>
      <c r="GM101" s="2">
        <f t="shared" si="105"/>
        <v>478.96</v>
      </c>
      <c r="GN101" s="2">
        <f t="shared" si="106"/>
        <v>0</v>
      </c>
      <c r="GO101" s="2">
        <f t="shared" si="107"/>
        <v>478.96</v>
      </c>
      <c r="GP101" s="2">
        <f t="shared" si="108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9"/>
        <v>0</v>
      </c>
      <c r="GW101" s="2">
        <v>1</v>
      </c>
      <c r="GX101" s="2">
        <f t="shared" si="110"/>
        <v>0</v>
      </c>
      <c r="GY101" s="2"/>
      <c r="GZ101" s="2"/>
      <c r="HA101" s="2">
        <v>0</v>
      </c>
      <c r="HB101" s="2">
        <v>0</v>
      </c>
      <c r="HC101" s="2">
        <f t="shared" si="111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3">
        <v>17</v>
      </c>
      <c r="B102" s="3">
        <v>1</v>
      </c>
      <c r="C102" s="3">
        <f>ROW(SmtRes!A122)</f>
        <v>122</v>
      </c>
      <c r="D102" s="3">
        <f>ROW(EtalonRes!A158)</f>
        <v>158</v>
      </c>
      <c r="E102" s="3" t="s">
        <v>188</v>
      </c>
      <c r="F102" s="3" t="s">
        <v>31</v>
      </c>
      <c r="G102" s="3" t="s">
        <v>189</v>
      </c>
      <c r="H102" s="3" t="s">
        <v>22</v>
      </c>
      <c r="I102" s="3">
        <v>1</v>
      </c>
      <c r="J102" s="3">
        <v>0</v>
      </c>
      <c r="K102" s="3">
        <v>1</v>
      </c>
      <c r="O102" s="3">
        <f t="shared" si="87"/>
        <v>11141.58</v>
      </c>
      <c r="P102" s="3">
        <f t="shared" si="88"/>
        <v>205.95</v>
      </c>
      <c r="Q102" s="3">
        <f>(ROUND((ROUND((((ET102*1.2))*AV102*I102),2)*BB102),2)+ROUND((ROUND(((AE102-((EU102*1.2)))*AV102*I102),2)*BS102),2))</f>
        <v>1.48</v>
      </c>
      <c r="R102" s="3">
        <f>(ROUND((ROUND((((EU102*1.2))*AV102*I102),2)*BS102),2)+ROUND((ROUND(((AE102-((EU102*1.2)))*AV102*I102),2)*BS102),2))</f>
        <v>0.56000000000000005</v>
      </c>
      <c r="S102" s="3">
        <f t="shared" si="89"/>
        <v>10934.15</v>
      </c>
      <c r="T102" s="3">
        <f t="shared" si="90"/>
        <v>0</v>
      </c>
      <c r="U102" s="3">
        <f t="shared" si="91"/>
        <v>14.699879999999999</v>
      </c>
      <c r="V102" s="3">
        <f t="shared" si="92"/>
        <v>0</v>
      </c>
      <c r="W102" s="3">
        <f t="shared" si="93"/>
        <v>0</v>
      </c>
      <c r="X102" s="3">
        <f>(ROUND((((S102+ROUND((ROUND((((EU102*1.2))*AV102*I102),2)*BS102),2))*AT102)/100),2)+ROUND(((ROUND((ROUND(((AE102-((EU102*1.2)))*AV102*I102),2)*BS102),2)*AT102)/100),2))</f>
        <v>9841.24</v>
      </c>
      <c r="Y102" s="3">
        <f>(ROUND((((S102+ROUND((ROUND((((EU102*1.2))*AV102*I102),2)*BS102),2))*AU102)/100),2)+ROUND(((ROUND((ROUND(((AE102-((EU102*1.2)))*AV102*I102),2)*BS102),2)*AU102)/100),2))</f>
        <v>5029.97</v>
      </c>
      <c r="AA102" s="3">
        <v>55937298</v>
      </c>
      <c r="AB102" s="3">
        <f t="shared" si="94"/>
        <v>206.33</v>
      </c>
      <c r="AC102" s="3">
        <f>ROUND(((ES102*1)),6)</f>
        <v>20.93</v>
      </c>
      <c r="AD102" s="3">
        <f>ROUND(((((ET102*1.2))-((EU102*1.2)))+AE102),6)</f>
        <v>7.1999999999999995E-2</v>
      </c>
      <c r="AE102" s="3">
        <f>ROUND(((EU102*1.2)),6)</f>
        <v>1.2E-2</v>
      </c>
      <c r="AF102" s="3">
        <f>ROUND(((EV102*1.2)),6)</f>
        <v>185.328</v>
      </c>
      <c r="AG102" s="3">
        <f t="shared" si="95"/>
        <v>0</v>
      </c>
      <c r="AH102" s="3">
        <f>((EW102*1.2))</f>
        <v>14.04</v>
      </c>
      <c r="AI102" s="3">
        <f>((EX102*1.2))</f>
        <v>0</v>
      </c>
      <c r="AJ102" s="3">
        <f t="shared" si="96"/>
        <v>0</v>
      </c>
      <c r="AK102" s="3">
        <v>175.43</v>
      </c>
      <c r="AL102" s="3">
        <v>20.93</v>
      </c>
      <c r="AM102" s="3">
        <v>0.06</v>
      </c>
      <c r="AN102" s="3">
        <v>0.01</v>
      </c>
      <c r="AO102" s="3">
        <v>154.44</v>
      </c>
      <c r="AP102" s="3">
        <v>0</v>
      </c>
      <c r="AQ102" s="3">
        <v>11.7</v>
      </c>
      <c r="AR102" s="3">
        <v>0</v>
      </c>
      <c r="AS102" s="3">
        <v>0</v>
      </c>
      <c r="AT102" s="3">
        <v>90</v>
      </c>
      <c r="AU102" s="3">
        <v>46</v>
      </c>
      <c r="AV102" s="3">
        <v>1.0469999999999999</v>
      </c>
      <c r="AW102" s="3">
        <v>1</v>
      </c>
      <c r="AZ102" s="3">
        <v>1</v>
      </c>
      <c r="BA102" s="3">
        <v>56.35</v>
      </c>
      <c r="BB102" s="3">
        <v>18.5</v>
      </c>
      <c r="BC102" s="3">
        <v>9.84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0</v>
      </c>
      <c r="BI102" s="3">
        <v>2</v>
      </c>
      <c r="BJ102" s="3" t="s">
        <v>33</v>
      </c>
      <c r="BM102" s="3">
        <v>68</v>
      </c>
      <c r="BN102" s="3">
        <v>0</v>
      </c>
      <c r="BO102" s="3" t="s">
        <v>31</v>
      </c>
      <c r="BP102" s="3">
        <v>1</v>
      </c>
      <c r="BQ102" s="3">
        <v>40</v>
      </c>
      <c r="BR102" s="3">
        <v>0</v>
      </c>
      <c r="BS102" s="3">
        <v>56.35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90</v>
      </c>
      <c r="CA102" s="3">
        <v>46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797</v>
      </c>
      <c r="CO102" s="3">
        <v>0</v>
      </c>
      <c r="CP102" s="3">
        <f t="shared" si="97"/>
        <v>11141.58</v>
      </c>
      <c r="CQ102" s="3">
        <f t="shared" si="98"/>
        <v>205.95</v>
      </c>
      <c r="CR102" s="3">
        <f>(ROUND((ROUND((((ET102*1.2))*AV102*1),2)*BB102),2)+ROUND((ROUND(((AE102-((EU102*1.2)))*AV102*1),2)*BS102),2))</f>
        <v>1.48</v>
      </c>
      <c r="CS102" s="3">
        <f>(ROUND((ROUND((((EU102*1.2))*AV102*1),2)*BS102),2)+ROUND((ROUND(((AE102-((EU102*1.2)))*AV102*1),2)*BS102),2))</f>
        <v>0.56000000000000005</v>
      </c>
      <c r="CT102" s="3">
        <f t="shared" si="99"/>
        <v>10934.15</v>
      </c>
      <c r="CU102" s="3">
        <f t="shared" si="100"/>
        <v>0</v>
      </c>
      <c r="CV102" s="3">
        <f t="shared" si="101"/>
        <v>14.699879999999999</v>
      </c>
      <c r="CW102" s="3">
        <f t="shared" si="102"/>
        <v>0</v>
      </c>
      <c r="CX102" s="3">
        <f t="shared" si="103"/>
        <v>0</v>
      </c>
      <c r="CY102" s="3">
        <f>(ROUND((((S102+ROUND((ROUND((((EU102*1.2))*AV102*1),2)*BS102),2))*AT102)/100),2)+ROUND(((ROUND((ROUND(((AE102-((EU102*1.2)))*AV102*1),2)*BS102),2)*AT102)/100),2))</f>
        <v>9841.24</v>
      </c>
      <c r="CZ102" s="3">
        <f>(ROUND((((S102+ROUND((ROUND((((EU102*1.2))*AV102*1),2)*BS102),2))*AU102)/100),2)+ROUND(((ROUND((ROUND(((AE102-((EU102*1.2)))*AV102*1),2)*BS102),2)*AU102)/100),2))</f>
        <v>5029.97</v>
      </c>
      <c r="DB102" s="3">
        <v>76</v>
      </c>
      <c r="DC102" s="3" t="s">
        <v>3</v>
      </c>
      <c r="DD102" s="3" t="s">
        <v>113</v>
      </c>
      <c r="DE102" s="3" t="s">
        <v>114</v>
      </c>
      <c r="DF102" s="3" t="s">
        <v>114</v>
      </c>
      <c r="DG102" s="3" t="s">
        <v>114</v>
      </c>
      <c r="DH102" s="3" t="s">
        <v>3</v>
      </c>
      <c r="DI102" s="3" t="s">
        <v>114</v>
      </c>
      <c r="DJ102" s="3" t="s">
        <v>114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22</v>
      </c>
      <c r="DW102" s="3" t="s">
        <v>22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55393700</v>
      </c>
      <c r="EF102" s="3">
        <v>40</v>
      </c>
      <c r="EG102" s="3" t="s">
        <v>26</v>
      </c>
      <c r="EH102" s="3">
        <v>0</v>
      </c>
      <c r="EI102" s="3" t="s">
        <v>3</v>
      </c>
      <c r="EJ102" s="3">
        <v>2</v>
      </c>
      <c r="EK102" s="3">
        <v>68</v>
      </c>
      <c r="EL102" s="3" t="s">
        <v>27</v>
      </c>
      <c r="EM102" s="3" t="s">
        <v>28</v>
      </c>
      <c r="EO102" s="3" t="s">
        <v>118</v>
      </c>
      <c r="EQ102" s="3">
        <v>0</v>
      </c>
      <c r="ER102" s="3">
        <v>175.43</v>
      </c>
      <c r="ES102" s="3">
        <v>20.93</v>
      </c>
      <c r="ET102" s="3">
        <v>0.06</v>
      </c>
      <c r="EU102" s="3">
        <v>0.01</v>
      </c>
      <c r="EV102" s="3">
        <v>154.44</v>
      </c>
      <c r="EW102" s="3">
        <v>11.7</v>
      </c>
      <c r="EX102" s="3">
        <v>0</v>
      </c>
      <c r="EY102" s="3">
        <v>0</v>
      </c>
      <c r="FQ102" s="3">
        <v>0</v>
      </c>
      <c r="FR102" s="3">
        <v>0</v>
      </c>
      <c r="FS102" s="3">
        <v>0</v>
      </c>
      <c r="FX102" s="3">
        <v>90</v>
      </c>
      <c r="FY102" s="3">
        <v>46</v>
      </c>
      <c r="GA102" s="3" t="s">
        <v>3</v>
      </c>
      <c r="GD102" s="3">
        <v>1</v>
      </c>
      <c r="GF102" s="3">
        <v>755325265</v>
      </c>
      <c r="GG102" s="3">
        <v>2</v>
      </c>
      <c r="GH102" s="3">
        <v>1</v>
      </c>
      <c r="GI102" s="3">
        <v>2</v>
      </c>
      <c r="GJ102" s="3">
        <v>0</v>
      </c>
      <c r="GK102" s="3">
        <v>0</v>
      </c>
      <c r="GL102" s="3">
        <f t="shared" si="104"/>
        <v>0</v>
      </c>
      <c r="GM102" s="3">
        <f t="shared" si="105"/>
        <v>26012.79</v>
      </c>
      <c r="GN102" s="3">
        <f t="shared" si="106"/>
        <v>0</v>
      </c>
      <c r="GO102" s="3">
        <f t="shared" si="107"/>
        <v>26012.79</v>
      </c>
      <c r="GP102" s="3">
        <f t="shared" si="108"/>
        <v>0</v>
      </c>
      <c r="GR102" s="3">
        <v>0</v>
      </c>
      <c r="GS102" s="3">
        <v>3</v>
      </c>
      <c r="GT102" s="3">
        <v>0</v>
      </c>
      <c r="GU102" s="3" t="s">
        <v>3</v>
      </c>
      <c r="GV102" s="3">
        <f t="shared" si="109"/>
        <v>0</v>
      </c>
      <c r="GW102" s="3">
        <v>1</v>
      </c>
      <c r="GX102" s="3">
        <f t="shared" si="110"/>
        <v>0</v>
      </c>
      <c r="HA102" s="3">
        <v>0</v>
      </c>
      <c r="HB102" s="3">
        <v>0</v>
      </c>
      <c r="HC102" s="3">
        <f t="shared" si="111"/>
        <v>0</v>
      </c>
      <c r="HE102" s="3" t="s">
        <v>3</v>
      </c>
      <c r="HF102" s="3" t="s">
        <v>3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">
      <c r="A103" s="2">
        <v>17</v>
      </c>
      <c r="B103" s="2">
        <v>1</v>
      </c>
      <c r="C103" s="2"/>
      <c r="D103" s="2"/>
      <c r="E103" s="2" t="s">
        <v>190</v>
      </c>
      <c r="F103" s="2" t="s">
        <v>191</v>
      </c>
      <c r="G103" s="2" t="s">
        <v>192</v>
      </c>
      <c r="H103" s="2" t="s">
        <v>183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87"/>
        <v>4794.09</v>
      </c>
      <c r="P103" s="2">
        <f t="shared" si="88"/>
        <v>4794.09</v>
      </c>
      <c r="Q103" s="2">
        <f>(ROUND((ROUND(((ET103)*AV103*I103),2)*BB103),2)+ROUND((ROUND(((AE103-(EU103))*AV103*I103),2)*BS103),2))</f>
        <v>0</v>
      </c>
      <c r="R103" s="2">
        <f>(ROUND((ROUND(((EU103)*AV103*I103),2)*BS103),2)+ROUND((ROUND(((AE103-(EU103))*AV103*I103),2)*BS103),2))</f>
        <v>0</v>
      </c>
      <c r="S103" s="2">
        <f t="shared" si="89"/>
        <v>0</v>
      </c>
      <c r="T103" s="2">
        <f t="shared" si="90"/>
        <v>0</v>
      </c>
      <c r="U103" s="2">
        <f t="shared" si="91"/>
        <v>0</v>
      </c>
      <c r="V103" s="2">
        <f t="shared" si="92"/>
        <v>0</v>
      </c>
      <c r="W103" s="2">
        <f t="shared" si="93"/>
        <v>0</v>
      </c>
      <c r="X103" s="2">
        <f>(ROUND((((S103+ROUND((ROUND(((EU103)*AV103*I103),2)*BS103),2))*AT103)/100),2)+ROUND(((ROUND((ROUND(((AE103-(EU103))*AV103*I103),2)*BS103),2)*AT103)/100),2))</f>
        <v>0</v>
      </c>
      <c r="Y103" s="2">
        <f>(ROUND((((S103+ROUND((ROUND(((EU103)*AV103*I103),2)*BS103),2))*AU103)/100),2)+ROUND(((ROUND((ROUND(((AE103-(EU103))*AV103*I103),2)*BS103),2)*AU103)/100),2))</f>
        <v>0</v>
      </c>
      <c r="Z103" s="2"/>
      <c r="AA103" s="2">
        <v>55937296</v>
      </c>
      <c r="AB103" s="2">
        <f t="shared" si="94"/>
        <v>4794.09</v>
      </c>
      <c r="AC103" s="2">
        <f>ROUND((ES103),6)</f>
        <v>4794.09</v>
      </c>
      <c r="AD103" s="2">
        <f>ROUND((((ET103)-(EU103))+AE103),6)</f>
        <v>0</v>
      </c>
      <c r="AE103" s="2">
        <f>ROUND((EU103),6)</f>
        <v>0</v>
      </c>
      <c r="AF103" s="2">
        <f>ROUND((EV103),6)</f>
        <v>0</v>
      </c>
      <c r="AG103" s="2">
        <f t="shared" si="95"/>
        <v>0</v>
      </c>
      <c r="AH103" s="2">
        <f>(EW103)</f>
        <v>0</v>
      </c>
      <c r="AI103" s="2">
        <f>(EX103)</f>
        <v>0</v>
      </c>
      <c r="AJ103" s="2">
        <f t="shared" si="96"/>
        <v>0</v>
      </c>
      <c r="AK103" s="2">
        <v>4794.09</v>
      </c>
      <c r="AL103" s="2">
        <v>4794.09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1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3</v>
      </c>
      <c r="BI103" s="2">
        <v>3</v>
      </c>
      <c r="BJ103" s="2" t="s">
        <v>191</v>
      </c>
      <c r="BK103" s="2"/>
      <c r="BL103" s="2"/>
      <c r="BM103" s="2">
        <v>400007</v>
      </c>
      <c r="BN103" s="2">
        <v>0</v>
      </c>
      <c r="BO103" s="2" t="s">
        <v>3</v>
      </c>
      <c r="BP103" s="2">
        <v>0</v>
      </c>
      <c r="BQ103" s="2">
        <v>214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0</v>
      </c>
      <c r="CA103" s="2">
        <v>0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7"/>
        <v>4794.09</v>
      </c>
      <c r="CQ103" s="2">
        <f t="shared" si="98"/>
        <v>4794.09</v>
      </c>
      <c r="CR103" s="2">
        <f>(ROUND((ROUND(((ET103)*AV103*1),2)*BB103),2)+ROUND((ROUND(((AE103-(EU103))*AV103*1),2)*BS103),2))</f>
        <v>0</v>
      </c>
      <c r="CS103" s="2">
        <f>(ROUND((ROUND(((EU103)*AV103*1),2)*BS103),2)+ROUND((ROUND(((AE103-(EU103))*AV103*1),2)*BS103),2))</f>
        <v>0</v>
      </c>
      <c r="CT103" s="2">
        <f t="shared" si="99"/>
        <v>0</v>
      </c>
      <c r="CU103" s="2">
        <f t="shared" si="100"/>
        <v>0</v>
      </c>
      <c r="CV103" s="2">
        <f t="shared" si="101"/>
        <v>0</v>
      </c>
      <c r="CW103" s="2">
        <f t="shared" si="102"/>
        <v>0</v>
      </c>
      <c r="CX103" s="2">
        <f t="shared" si="103"/>
        <v>0</v>
      </c>
      <c r="CY103" s="2">
        <f>(ROUND((((S103+ROUND((ROUND(((EU103)*AV103*1),2)*BS103),2))*AT103)/100),2)+ROUND(((ROUND((ROUND(((AE103-(EU103))*AV103*1),2)*BS103),2)*AT103)/100),2))</f>
        <v>0</v>
      </c>
      <c r="CZ103" s="2">
        <f>(ROUND((((S103+ROUND((ROUND(((EU103)*AV103*1),2)*BS103),2))*AU103)/100),2)+ROUND(((ROUND((ROUND(((AE103-(EU103))*AV103*1),2)*BS103),2)*AU103)/100),2))</f>
        <v>0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183</v>
      </c>
      <c r="DW103" s="2" t="s">
        <v>183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55393630</v>
      </c>
      <c r="EF103" s="2">
        <v>214</v>
      </c>
      <c r="EG103" s="2" t="s">
        <v>184</v>
      </c>
      <c r="EH103" s="2">
        <v>0</v>
      </c>
      <c r="EI103" s="2" t="s">
        <v>3</v>
      </c>
      <c r="EJ103" s="2">
        <v>3</v>
      </c>
      <c r="EK103" s="2">
        <v>400007</v>
      </c>
      <c r="EL103" s="2" t="s">
        <v>184</v>
      </c>
      <c r="EM103" s="2" t="s">
        <v>185</v>
      </c>
      <c r="EN103" s="2"/>
      <c r="EO103" s="2" t="s">
        <v>3</v>
      </c>
      <c r="EP103" s="2"/>
      <c r="EQ103" s="2">
        <v>16</v>
      </c>
      <c r="ER103" s="2">
        <v>0</v>
      </c>
      <c r="ES103" s="2">
        <v>4794.09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f>P103</f>
        <v>4794.09</v>
      </c>
      <c r="FS103" s="2">
        <v>0</v>
      </c>
      <c r="FT103" s="2"/>
      <c r="FU103" s="2"/>
      <c r="FV103" s="2"/>
      <c r="FW103" s="2"/>
      <c r="FX103" s="2">
        <v>0</v>
      </c>
      <c r="FY103" s="2">
        <v>0</v>
      </c>
      <c r="FZ103" s="2"/>
      <c r="GA103" s="2" t="s">
        <v>193</v>
      </c>
      <c r="GB103" s="2"/>
      <c r="GC103" s="2"/>
      <c r="GD103" s="2">
        <v>1</v>
      </c>
      <c r="GE103" s="2"/>
      <c r="GF103" s="2">
        <v>-1369001160</v>
      </c>
      <c r="GG103" s="2">
        <v>2</v>
      </c>
      <c r="GH103" s="2">
        <v>4</v>
      </c>
      <c r="GI103" s="2">
        <v>-2</v>
      </c>
      <c r="GJ103" s="2">
        <v>0</v>
      </c>
      <c r="GK103" s="2">
        <v>0</v>
      </c>
      <c r="GL103" s="2">
        <f t="shared" si="104"/>
        <v>0</v>
      </c>
      <c r="GM103" s="2">
        <f t="shared" si="105"/>
        <v>4794.09</v>
      </c>
      <c r="GN103" s="2">
        <f t="shared" si="106"/>
        <v>0</v>
      </c>
      <c r="GO103" s="2">
        <f t="shared" si="107"/>
        <v>0</v>
      </c>
      <c r="GP103" s="2">
        <f t="shared" si="108"/>
        <v>0</v>
      </c>
      <c r="GQ103" s="2"/>
      <c r="GR103" s="2">
        <v>1</v>
      </c>
      <c r="GS103" s="2">
        <v>2</v>
      </c>
      <c r="GT103" s="2">
        <v>0</v>
      </c>
      <c r="GU103" s="2" t="s">
        <v>3</v>
      </c>
      <c r="GV103" s="2">
        <f t="shared" si="109"/>
        <v>0</v>
      </c>
      <c r="GW103" s="2">
        <v>1</v>
      </c>
      <c r="GX103" s="2">
        <f t="shared" si="110"/>
        <v>0</v>
      </c>
      <c r="GY103" s="2"/>
      <c r="GZ103" s="2"/>
      <c r="HA103" s="2">
        <v>0</v>
      </c>
      <c r="HB103" s="2">
        <v>0</v>
      </c>
      <c r="HC103" s="2">
        <f t="shared" si="111"/>
        <v>0</v>
      </c>
      <c r="HD103" s="2"/>
      <c r="HE103" s="2" t="s">
        <v>34</v>
      </c>
      <c r="HF103" s="2" t="s">
        <v>187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3">
        <v>17</v>
      </c>
      <c r="B104" s="3">
        <v>1</v>
      </c>
      <c r="E104" s="3" t="s">
        <v>190</v>
      </c>
      <c r="F104" s="3" t="s">
        <v>191</v>
      </c>
      <c r="G104" s="3" t="s">
        <v>192</v>
      </c>
      <c r="H104" s="3" t="s">
        <v>183</v>
      </c>
      <c r="I104" s="3">
        <v>1</v>
      </c>
      <c r="J104" s="3">
        <v>0</v>
      </c>
      <c r="K104" s="3">
        <v>1</v>
      </c>
      <c r="O104" s="3">
        <f t="shared" si="87"/>
        <v>36722.730000000003</v>
      </c>
      <c r="P104" s="3">
        <f t="shared" si="88"/>
        <v>36722.730000000003</v>
      </c>
      <c r="Q104" s="3">
        <f>(ROUND((ROUND(((ET104)*AV104*I104),2)*BB104),2)+ROUND((ROUND(((AE104-(EU104))*AV104*I104),2)*BS104),2))</f>
        <v>0</v>
      </c>
      <c r="R104" s="3">
        <f>(ROUND((ROUND(((EU104)*AV104*I104),2)*BS104),2)+ROUND((ROUND(((AE104-(EU104))*AV104*I104),2)*BS104),2))</f>
        <v>0</v>
      </c>
      <c r="S104" s="3">
        <f t="shared" si="89"/>
        <v>0</v>
      </c>
      <c r="T104" s="3">
        <f t="shared" si="90"/>
        <v>0</v>
      </c>
      <c r="U104" s="3">
        <f t="shared" si="91"/>
        <v>0</v>
      </c>
      <c r="V104" s="3">
        <f t="shared" si="92"/>
        <v>0</v>
      </c>
      <c r="W104" s="3">
        <f t="shared" si="93"/>
        <v>0</v>
      </c>
      <c r="X104" s="3">
        <f>(ROUND((((S104+ROUND((ROUND(((EU104)*AV104*I104),2)*BS104),2))*AT104)/100),2)+ROUND(((ROUND((ROUND(((AE104-(EU104))*AV104*I104),2)*BS104),2)*AT104)/100),2))</f>
        <v>0</v>
      </c>
      <c r="Y104" s="3">
        <f>(ROUND((((S104+ROUND((ROUND(((EU104)*AV104*I104),2)*BS104),2))*AU104)/100),2)+ROUND(((ROUND((ROUND(((AE104-(EU104))*AV104*I104),2)*BS104),2)*AU104)/100),2))</f>
        <v>0</v>
      </c>
      <c r="AA104" s="3">
        <v>55937298</v>
      </c>
      <c r="AB104" s="3">
        <f t="shared" si="94"/>
        <v>4794.09</v>
      </c>
      <c r="AC104" s="3">
        <f>ROUND((ES104),6)</f>
        <v>4794.09</v>
      </c>
      <c r="AD104" s="3">
        <f>ROUND((((ET104)-(EU104))+AE104),6)</f>
        <v>0</v>
      </c>
      <c r="AE104" s="3">
        <f>ROUND((EU104),6)</f>
        <v>0</v>
      </c>
      <c r="AF104" s="3">
        <f>ROUND((EV104),6)</f>
        <v>0</v>
      </c>
      <c r="AG104" s="3">
        <f t="shared" si="95"/>
        <v>0</v>
      </c>
      <c r="AH104" s="3">
        <f>(EW104)</f>
        <v>0</v>
      </c>
      <c r="AI104" s="3">
        <f>(EX104)</f>
        <v>0</v>
      </c>
      <c r="AJ104" s="3">
        <f t="shared" si="96"/>
        <v>0</v>
      </c>
      <c r="AK104" s="3">
        <v>4794.09</v>
      </c>
      <c r="AL104" s="3">
        <v>4794.09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1</v>
      </c>
      <c r="AW104" s="3">
        <v>1</v>
      </c>
      <c r="AZ104" s="3">
        <v>1</v>
      </c>
      <c r="BA104" s="3">
        <v>1</v>
      </c>
      <c r="BB104" s="3">
        <v>1</v>
      </c>
      <c r="BC104" s="3">
        <v>7.66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3</v>
      </c>
      <c r="BI104" s="3">
        <v>3</v>
      </c>
      <c r="BJ104" s="3" t="s">
        <v>191</v>
      </c>
      <c r="BM104" s="3">
        <v>400007</v>
      </c>
      <c r="BN104" s="3">
        <v>0</v>
      </c>
      <c r="BO104" s="3" t="s">
        <v>3</v>
      </c>
      <c r="BP104" s="3">
        <v>0</v>
      </c>
      <c r="BQ104" s="3">
        <v>214</v>
      </c>
      <c r="BR104" s="3">
        <v>0</v>
      </c>
      <c r="BS104" s="3">
        <v>1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0</v>
      </c>
      <c r="CA104" s="3">
        <v>0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97"/>
        <v>36722.730000000003</v>
      </c>
      <c r="CQ104" s="3">
        <f t="shared" si="98"/>
        <v>36722.730000000003</v>
      </c>
      <c r="CR104" s="3">
        <f>(ROUND((ROUND(((ET104)*AV104*1),2)*BB104),2)+ROUND((ROUND(((AE104-(EU104))*AV104*1),2)*BS104),2))</f>
        <v>0</v>
      </c>
      <c r="CS104" s="3">
        <f>(ROUND((ROUND(((EU104)*AV104*1),2)*BS104),2)+ROUND((ROUND(((AE104-(EU104))*AV104*1),2)*BS104),2))</f>
        <v>0</v>
      </c>
      <c r="CT104" s="3">
        <f t="shared" si="99"/>
        <v>0</v>
      </c>
      <c r="CU104" s="3">
        <f t="shared" si="100"/>
        <v>0</v>
      </c>
      <c r="CV104" s="3">
        <f t="shared" si="101"/>
        <v>0</v>
      </c>
      <c r="CW104" s="3">
        <f t="shared" si="102"/>
        <v>0</v>
      </c>
      <c r="CX104" s="3">
        <f t="shared" si="103"/>
        <v>0</v>
      </c>
      <c r="CY104" s="3">
        <f>(ROUND((((S104+ROUND((ROUND(((EU104)*AV104*1),2)*BS104),2))*AT104)/100),2)+ROUND(((ROUND((ROUND(((AE104-(EU104))*AV104*1),2)*BS104),2)*AT104)/100),2))</f>
        <v>0</v>
      </c>
      <c r="CZ104" s="3">
        <f>(ROUND((((S104+ROUND((ROUND(((EU104)*AV104*1),2)*BS104),2))*AU104)/100),2)+ROUND(((ROUND((ROUND(((AE104-(EU104))*AV104*1),2)*BS104),2)*AU104)/100),2))</f>
        <v>0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183</v>
      </c>
      <c r="DW104" s="3" t="s">
        <v>183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55393630</v>
      </c>
      <c r="EF104" s="3">
        <v>214</v>
      </c>
      <c r="EG104" s="3" t="s">
        <v>184</v>
      </c>
      <c r="EH104" s="3">
        <v>0</v>
      </c>
      <c r="EI104" s="3" t="s">
        <v>3</v>
      </c>
      <c r="EJ104" s="3">
        <v>3</v>
      </c>
      <c r="EK104" s="3">
        <v>400007</v>
      </c>
      <c r="EL104" s="3" t="s">
        <v>184</v>
      </c>
      <c r="EM104" s="3" t="s">
        <v>185</v>
      </c>
      <c r="EO104" s="3" t="s">
        <v>3</v>
      </c>
      <c r="EQ104" s="3">
        <v>16</v>
      </c>
      <c r="ER104" s="3">
        <v>0</v>
      </c>
      <c r="ES104" s="3">
        <v>4794.09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5</v>
      </c>
      <c r="FC104" s="3">
        <v>1</v>
      </c>
      <c r="FD104" s="3">
        <v>18</v>
      </c>
      <c r="FF104" s="3">
        <v>42981</v>
      </c>
      <c r="FQ104" s="3">
        <v>0</v>
      </c>
      <c r="FR104" s="3">
        <f>P104</f>
        <v>36722.730000000003</v>
      </c>
      <c r="FS104" s="3">
        <v>0</v>
      </c>
      <c r="FX104" s="3">
        <v>0</v>
      </c>
      <c r="FY104" s="3">
        <v>0</v>
      </c>
      <c r="GA104" s="3" t="s">
        <v>193</v>
      </c>
      <c r="GD104" s="3">
        <v>1</v>
      </c>
      <c r="GF104" s="3">
        <v>-1369001160</v>
      </c>
      <c r="GG104" s="3">
        <v>2</v>
      </c>
      <c r="GH104" s="3">
        <v>3</v>
      </c>
      <c r="GI104" s="3">
        <v>5</v>
      </c>
      <c r="GJ104" s="3">
        <v>0</v>
      </c>
      <c r="GK104" s="3">
        <v>0</v>
      </c>
      <c r="GL104" s="3">
        <f t="shared" si="104"/>
        <v>0</v>
      </c>
      <c r="GM104" s="3">
        <f t="shared" si="105"/>
        <v>36722.730000000003</v>
      </c>
      <c r="GN104" s="3">
        <f t="shared" si="106"/>
        <v>0</v>
      </c>
      <c r="GO104" s="3">
        <f t="shared" si="107"/>
        <v>0</v>
      </c>
      <c r="GP104" s="3">
        <f t="shared" si="108"/>
        <v>0</v>
      </c>
      <c r="GR104" s="3">
        <v>1</v>
      </c>
      <c r="GS104" s="3">
        <v>1</v>
      </c>
      <c r="GT104" s="3">
        <v>0</v>
      </c>
      <c r="GU104" s="3" t="s">
        <v>3</v>
      </c>
      <c r="GV104" s="3">
        <f t="shared" si="109"/>
        <v>0</v>
      </c>
      <c r="GW104" s="3">
        <v>1</v>
      </c>
      <c r="GX104" s="3">
        <f t="shared" si="110"/>
        <v>0</v>
      </c>
      <c r="HA104" s="3">
        <v>0</v>
      </c>
      <c r="HB104" s="3">
        <v>0</v>
      </c>
      <c r="HC104" s="3">
        <f t="shared" si="111"/>
        <v>0</v>
      </c>
      <c r="HE104" s="3" t="s">
        <v>34</v>
      </c>
      <c r="HF104" s="3" t="s">
        <v>187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">
      <c r="A105" s="2">
        <v>17</v>
      </c>
      <c r="B105" s="2">
        <v>1</v>
      </c>
      <c r="C105" s="2">
        <f>ROW(SmtRes!A132)</f>
        <v>132</v>
      </c>
      <c r="D105" s="2">
        <f>ROW(EtalonRes!A172)</f>
        <v>172</v>
      </c>
      <c r="E105" s="2" t="s">
        <v>194</v>
      </c>
      <c r="F105" s="2" t="s">
        <v>35</v>
      </c>
      <c r="G105" s="2" t="s">
        <v>195</v>
      </c>
      <c r="H105" s="2" t="s">
        <v>37</v>
      </c>
      <c r="I105" s="2">
        <v>1</v>
      </c>
      <c r="J105" s="2">
        <v>0</v>
      </c>
      <c r="K105" s="2">
        <v>1</v>
      </c>
      <c r="L105" s="2"/>
      <c r="M105" s="2"/>
      <c r="N105" s="2"/>
      <c r="O105" s="2">
        <f t="shared" si="87"/>
        <v>111.11</v>
      </c>
      <c r="P105" s="2">
        <f t="shared" si="88"/>
        <v>9.15</v>
      </c>
      <c r="Q105" s="2">
        <f>(ROUND((ROUND((((ET105*1.2))*AV105*I105),2)*BB105),2)+ROUND((ROUND(((AE105-((EU105*1.2)))*AV105*I105),2)*BS105),2))</f>
        <v>1.03</v>
      </c>
      <c r="R105" s="2">
        <f>(ROUND((ROUND((((EU105*1.2))*AV105*I105),2)*BS105),2)+ROUND((ROUND(((AE105-((EU105*1.2)))*AV105*I105),2)*BS105),2))</f>
        <v>0</v>
      </c>
      <c r="S105" s="2">
        <f t="shared" si="89"/>
        <v>100.93</v>
      </c>
      <c r="T105" s="2">
        <f t="shared" si="90"/>
        <v>0</v>
      </c>
      <c r="U105" s="2">
        <f t="shared" si="91"/>
        <v>7.5509639999999996</v>
      </c>
      <c r="V105" s="2">
        <f t="shared" si="92"/>
        <v>0</v>
      </c>
      <c r="W105" s="2">
        <f t="shared" si="93"/>
        <v>0</v>
      </c>
      <c r="X105" s="2">
        <f>(ROUND((((S105+ROUND((ROUND((((EU105*1.2))*AV105*I105),2)*BS105),2))*AT105)/100),2)+ROUND(((ROUND((ROUND(((AE105-((EU105*1.2)))*AV105*I105),2)*BS105),2)*AT105)/100),2))</f>
        <v>90.84</v>
      </c>
      <c r="Y105" s="2">
        <f>(ROUND((((S105+ROUND((ROUND((((EU105*1.2))*AV105*I105),2)*BS105),2))*AU105)/100),2)+ROUND(((ROUND((ROUND(((AE105-((EU105*1.2)))*AV105*I105),2)*BS105),2)*AU105)/100),2))</f>
        <v>46.43</v>
      </c>
      <c r="Z105" s="2"/>
      <c r="AA105" s="2">
        <v>55937296</v>
      </c>
      <c r="AB105" s="2">
        <f t="shared" si="94"/>
        <v>106.53</v>
      </c>
      <c r="AC105" s="2">
        <f>ROUND(((ES105*1)),6)</f>
        <v>9.15</v>
      </c>
      <c r="AD105" s="2">
        <f>ROUND(((((ET105*1.2))-((EU105*1.2)))+AE105),6)</f>
        <v>0.98399999999999999</v>
      </c>
      <c r="AE105" s="2">
        <f>ROUND(((EU105*1.2)),6)</f>
        <v>0</v>
      </c>
      <c r="AF105" s="2">
        <f>ROUND(((EV105*1.2)),6)</f>
        <v>96.396000000000001</v>
      </c>
      <c r="AG105" s="2">
        <f t="shared" si="95"/>
        <v>0</v>
      </c>
      <c r="AH105" s="2">
        <f>((EW105*1.2))</f>
        <v>7.2119999999999997</v>
      </c>
      <c r="AI105" s="2">
        <f>((EX105*1.2))</f>
        <v>0</v>
      </c>
      <c r="AJ105" s="2">
        <f t="shared" si="96"/>
        <v>0</v>
      </c>
      <c r="AK105" s="2">
        <v>90.3</v>
      </c>
      <c r="AL105" s="2">
        <v>9.15</v>
      </c>
      <c r="AM105" s="2">
        <v>0.82</v>
      </c>
      <c r="AN105" s="2">
        <v>0</v>
      </c>
      <c r="AO105" s="2">
        <v>80.33</v>
      </c>
      <c r="AP105" s="2">
        <v>0</v>
      </c>
      <c r="AQ105" s="2">
        <v>6.01</v>
      </c>
      <c r="AR105" s="2">
        <v>0</v>
      </c>
      <c r="AS105" s="2">
        <v>0</v>
      </c>
      <c r="AT105" s="2">
        <v>90</v>
      </c>
      <c r="AU105" s="2">
        <v>46</v>
      </c>
      <c r="AV105" s="2">
        <v>1.0469999999999999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0</v>
      </c>
      <c r="BI105" s="2">
        <v>2</v>
      </c>
      <c r="BJ105" s="2" t="s">
        <v>38</v>
      </c>
      <c r="BK105" s="2"/>
      <c r="BL105" s="2"/>
      <c r="BM105" s="2">
        <v>68</v>
      </c>
      <c r="BN105" s="2">
        <v>0</v>
      </c>
      <c r="BO105" s="2" t="s">
        <v>35</v>
      </c>
      <c r="BP105" s="2">
        <v>1</v>
      </c>
      <c r="BQ105" s="2">
        <v>40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90</v>
      </c>
      <c r="CA105" s="2">
        <v>46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797</v>
      </c>
      <c r="CO105" s="2">
        <v>0</v>
      </c>
      <c r="CP105" s="2">
        <f t="shared" si="97"/>
        <v>111.11000000000001</v>
      </c>
      <c r="CQ105" s="2">
        <f t="shared" si="98"/>
        <v>9.15</v>
      </c>
      <c r="CR105" s="2">
        <f>(ROUND((ROUND((((ET105*1.2))*AV105*1),2)*BB105),2)+ROUND((ROUND(((AE105-((EU105*1.2)))*AV105*1),2)*BS105),2))</f>
        <v>1.03</v>
      </c>
      <c r="CS105" s="2">
        <f>(ROUND((ROUND((((EU105*1.2))*AV105*1),2)*BS105),2)+ROUND((ROUND(((AE105-((EU105*1.2)))*AV105*1),2)*BS105),2))</f>
        <v>0</v>
      </c>
      <c r="CT105" s="2">
        <f t="shared" si="99"/>
        <v>100.93</v>
      </c>
      <c r="CU105" s="2">
        <f t="shared" si="100"/>
        <v>0</v>
      </c>
      <c r="CV105" s="2">
        <f t="shared" si="101"/>
        <v>7.5509639999999996</v>
      </c>
      <c r="CW105" s="2">
        <f t="shared" si="102"/>
        <v>0</v>
      </c>
      <c r="CX105" s="2">
        <f t="shared" si="103"/>
        <v>0</v>
      </c>
      <c r="CY105" s="2">
        <f>(ROUND((((S105+ROUND((ROUND((((EU105*1.2))*AV105*1),2)*BS105),2))*AT105)/100),2)+ROUND(((ROUND((ROUND(((AE105-((EU105*1.2)))*AV105*1),2)*BS105),2)*AT105)/100),2))</f>
        <v>90.84</v>
      </c>
      <c r="CZ105" s="2">
        <f>(ROUND((((S105+ROUND((ROUND((((EU105*1.2))*AV105*1),2)*BS105),2))*AU105)/100),2)+ROUND(((ROUND((ROUND(((AE105-((EU105*1.2)))*AV105*1),2)*BS105),2)*AU105)/100),2))</f>
        <v>46.43</v>
      </c>
      <c r="DA105" s="2"/>
      <c r="DB105" s="2">
        <v>77</v>
      </c>
      <c r="DC105" s="2" t="s">
        <v>3</v>
      </c>
      <c r="DD105" s="2" t="s">
        <v>113</v>
      </c>
      <c r="DE105" s="2" t="s">
        <v>114</v>
      </c>
      <c r="DF105" s="2" t="s">
        <v>114</v>
      </c>
      <c r="DG105" s="2" t="s">
        <v>114</v>
      </c>
      <c r="DH105" s="2" t="s">
        <v>3</v>
      </c>
      <c r="DI105" s="2" t="s">
        <v>114</v>
      </c>
      <c r="DJ105" s="2" t="s">
        <v>114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37</v>
      </c>
      <c r="DW105" s="2" t="s">
        <v>37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55393700</v>
      </c>
      <c r="EF105" s="2">
        <v>40</v>
      </c>
      <c r="EG105" s="2" t="s">
        <v>26</v>
      </c>
      <c r="EH105" s="2">
        <v>0</v>
      </c>
      <c r="EI105" s="2" t="s">
        <v>3</v>
      </c>
      <c r="EJ105" s="2">
        <v>2</v>
      </c>
      <c r="EK105" s="2">
        <v>68</v>
      </c>
      <c r="EL105" s="2" t="s">
        <v>27</v>
      </c>
      <c r="EM105" s="2" t="s">
        <v>28</v>
      </c>
      <c r="EN105" s="2"/>
      <c r="EO105" s="2" t="s">
        <v>118</v>
      </c>
      <c r="EP105" s="2"/>
      <c r="EQ105" s="2">
        <v>0</v>
      </c>
      <c r="ER105" s="2">
        <v>90.3</v>
      </c>
      <c r="ES105" s="2">
        <v>9.15</v>
      </c>
      <c r="ET105" s="2">
        <v>0.82</v>
      </c>
      <c r="EU105" s="2">
        <v>0</v>
      </c>
      <c r="EV105" s="2">
        <v>80.33</v>
      </c>
      <c r="EW105" s="2">
        <v>6.01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90</v>
      </c>
      <c r="FY105" s="2">
        <v>46</v>
      </c>
      <c r="FZ105" s="2"/>
      <c r="GA105" s="2" t="s">
        <v>3</v>
      </c>
      <c r="GB105" s="2"/>
      <c r="GC105" s="2"/>
      <c r="GD105" s="2">
        <v>1</v>
      </c>
      <c r="GE105" s="2"/>
      <c r="GF105" s="2">
        <v>-1237448989</v>
      </c>
      <c r="GG105" s="2">
        <v>2</v>
      </c>
      <c r="GH105" s="2">
        <v>1</v>
      </c>
      <c r="GI105" s="2">
        <v>2</v>
      </c>
      <c r="GJ105" s="2">
        <v>0</v>
      </c>
      <c r="GK105" s="2">
        <v>0</v>
      </c>
      <c r="GL105" s="2">
        <f t="shared" si="104"/>
        <v>0</v>
      </c>
      <c r="GM105" s="2">
        <f t="shared" si="105"/>
        <v>248.38</v>
      </c>
      <c r="GN105" s="2">
        <f t="shared" si="106"/>
        <v>0</v>
      </c>
      <c r="GO105" s="2">
        <f t="shared" si="107"/>
        <v>248.38</v>
      </c>
      <c r="GP105" s="2">
        <f t="shared" si="108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9"/>
        <v>0</v>
      </c>
      <c r="GW105" s="2">
        <v>1</v>
      </c>
      <c r="GX105" s="2">
        <f t="shared" si="110"/>
        <v>0</v>
      </c>
      <c r="GY105" s="2"/>
      <c r="GZ105" s="2"/>
      <c r="HA105" s="2">
        <v>0</v>
      </c>
      <c r="HB105" s="2">
        <v>0</v>
      </c>
      <c r="HC105" s="2">
        <f t="shared" si="111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3">
        <v>17</v>
      </c>
      <c r="B106" s="3">
        <v>1</v>
      </c>
      <c r="C106" s="3">
        <f>ROW(SmtRes!A142)</f>
        <v>142</v>
      </c>
      <c r="D106" s="3">
        <f>ROW(EtalonRes!A186)</f>
        <v>186</v>
      </c>
      <c r="E106" s="3" t="s">
        <v>194</v>
      </c>
      <c r="F106" s="3" t="s">
        <v>35</v>
      </c>
      <c r="G106" s="3" t="s">
        <v>195</v>
      </c>
      <c r="H106" s="3" t="s">
        <v>37</v>
      </c>
      <c r="I106" s="3">
        <v>1</v>
      </c>
      <c r="J106" s="3">
        <v>0</v>
      </c>
      <c r="K106" s="3">
        <v>1</v>
      </c>
      <c r="O106" s="3">
        <f t="shared" si="87"/>
        <v>5755.96</v>
      </c>
      <c r="P106" s="3">
        <f t="shared" si="88"/>
        <v>58.74</v>
      </c>
      <c r="Q106" s="3">
        <f>(ROUND((ROUND((((ET106*1.2))*AV106*I106),2)*BB106),2)+ROUND((ROUND(((AE106-((EU106*1.2)))*AV106*I106),2)*BS106),2))</f>
        <v>9.81</v>
      </c>
      <c r="R106" s="3">
        <f>(ROUND((ROUND((((EU106*1.2))*AV106*I106),2)*BS106),2)+ROUND((ROUND(((AE106-((EU106*1.2)))*AV106*I106),2)*BS106),2))</f>
        <v>0</v>
      </c>
      <c r="S106" s="3">
        <f t="shared" si="89"/>
        <v>5687.41</v>
      </c>
      <c r="T106" s="3">
        <f t="shared" si="90"/>
        <v>0</v>
      </c>
      <c r="U106" s="3">
        <f t="shared" si="91"/>
        <v>7.5509639999999996</v>
      </c>
      <c r="V106" s="3">
        <f t="shared" si="92"/>
        <v>0</v>
      </c>
      <c r="W106" s="3">
        <f t="shared" si="93"/>
        <v>0</v>
      </c>
      <c r="X106" s="3">
        <f>(ROUND((((S106+ROUND((ROUND((((EU106*1.2))*AV106*I106),2)*BS106),2))*AT106)/100),2)+ROUND(((ROUND((ROUND(((AE106-((EU106*1.2)))*AV106*I106),2)*BS106),2)*AT106)/100),2))</f>
        <v>5118.67</v>
      </c>
      <c r="Y106" s="3">
        <f>(ROUND((((S106+ROUND((ROUND((((EU106*1.2))*AV106*I106),2)*BS106),2))*AU106)/100),2)+ROUND(((ROUND((ROUND(((AE106-((EU106*1.2)))*AV106*I106),2)*BS106),2)*AU106)/100),2))</f>
        <v>2616.21</v>
      </c>
      <c r="AA106" s="3">
        <v>55937298</v>
      </c>
      <c r="AB106" s="3">
        <f t="shared" si="94"/>
        <v>106.53</v>
      </c>
      <c r="AC106" s="3">
        <f>ROUND(((ES106*1)),6)</f>
        <v>9.15</v>
      </c>
      <c r="AD106" s="3">
        <f>ROUND(((((ET106*1.2))-((EU106*1.2)))+AE106),6)</f>
        <v>0.98399999999999999</v>
      </c>
      <c r="AE106" s="3">
        <f>ROUND(((EU106*1.2)),6)</f>
        <v>0</v>
      </c>
      <c r="AF106" s="3">
        <f>ROUND(((EV106*1.2)),6)</f>
        <v>96.396000000000001</v>
      </c>
      <c r="AG106" s="3">
        <f t="shared" si="95"/>
        <v>0</v>
      </c>
      <c r="AH106" s="3">
        <f>((EW106*1.2))</f>
        <v>7.2119999999999997</v>
      </c>
      <c r="AI106" s="3">
        <f>((EX106*1.2))</f>
        <v>0</v>
      </c>
      <c r="AJ106" s="3">
        <f t="shared" si="96"/>
        <v>0</v>
      </c>
      <c r="AK106" s="3">
        <v>90.3</v>
      </c>
      <c r="AL106" s="3">
        <v>9.15</v>
      </c>
      <c r="AM106" s="3">
        <v>0.82</v>
      </c>
      <c r="AN106" s="3">
        <v>0</v>
      </c>
      <c r="AO106" s="3">
        <v>80.33</v>
      </c>
      <c r="AP106" s="3">
        <v>0</v>
      </c>
      <c r="AQ106" s="3">
        <v>6.01</v>
      </c>
      <c r="AR106" s="3">
        <v>0</v>
      </c>
      <c r="AS106" s="3">
        <v>0</v>
      </c>
      <c r="AT106" s="3">
        <v>90</v>
      </c>
      <c r="AU106" s="3">
        <v>46</v>
      </c>
      <c r="AV106" s="3">
        <v>1.0469999999999999</v>
      </c>
      <c r="AW106" s="3">
        <v>1</v>
      </c>
      <c r="AZ106" s="3">
        <v>1</v>
      </c>
      <c r="BA106" s="3">
        <v>56.35</v>
      </c>
      <c r="BB106" s="3">
        <v>9.52</v>
      </c>
      <c r="BC106" s="3">
        <v>6.42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0</v>
      </c>
      <c r="BI106" s="3">
        <v>2</v>
      </c>
      <c r="BJ106" s="3" t="s">
        <v>38</v>
      </c>
      <c r="BM106" s="3">
        <v>68</v>
      </c>
      <c r="BN106" s="3">
        <v>0</v>
      </c>
      <c r="BO106" s="3" t="s">
        <v>35</v>
      </c>
      <c r="BP106" s="3">
        <v>1</v>
      </c>
      <c r="BQ106" s="3">
        <v>40</v>
      </c>
      <c r="BR106" s="3">
        <v>0</v>
      </c>
      <c r="BS106" s="3">
        <v>56.35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90</v>
      </c>
      <c r="CA106" s="3">
        <v>46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797</v>
      </c>
      <c r="CO106" s="3">
        <v>0</v>
      </c>
      <c r="CP106" s="3">
        <f t="shared" si="97"/>
        <v>5755.96</v>
      </c>
      <c r="CQ106" s="3">
        <f t="shared" si="98"/>
        <v>58.74</v>
      </c>
      <c r="CR106" s="3">
        <f>(ROUND((ROUND((((ET106*1.2))*AV106*1),2)*BB106),2)+ROUND((ROUND(((AE106-((EU106*1.2)))*AV106*1),2)*BS106),2))</f>
        <v>9.81</v>
      </c>
      <c r="CS106" s="3">
        <f>(ROUND((ROUND((((EU106*1.2))*AV106*1),2)*BS106),2)+ROUND((ROUND(((AE106-((EU106*1.2)))*AV106*1),2)*BS106),2))</f>
        <v>0</v>
      </c>
      <c r="CT106" s="3">
        <f t="shared" si="99"/>
        <v>5687.41</v>
      </c>
      <c r="CU106" s="3">
        <f t="shared" si="100"/>
        <v>0</v>
      </c>
      <c r="CV106" s="3">
        <f t="shared" si="101"/>
        <v>7.5509639999999996</v>
      </c>
      <c r="CW106" s="3">
        <f t="shared" si="102"/>
        <v>0</v>
      </c>
      <c r="CX106" s="3">
        <f t="shared" si="103"/>
        <v>0</v>
      </c>
      <c r="CY106" s="3">
        <f>(ROUND((((S106+ROUND((ROUND((((EU106*1.2))*AV106*1),2)*BS106),2))*AT106)/100),2)+ROUND(((ROUND((ROUND(((AE106-((EU106*1.2)))*AV106*1),2)*BS106),2)*AT106)/100),2))</f>
        <v>5118.67</v>
      </c>
      <c r="CZ106" s="3">
        <f>(ROUND((((S106+ROUND((ROUND((((EU106*1.2))*AV106*1),2)*BS106),2))*AU106)/100),2)+ROUND(((ROUND((ROUND(((AE106-((EU106*1.2)))*AV106*1),2)*BS106),2)*AU106)/100),2))</f>
        <v>2616.21</v>
      </c>
      <c r="DB106" s="3">
        <v>78</v>
      </c>
      <c r="DC106" s="3" t="s">
        <v>3</v>
      </c>
      <c r="DD106" s="3" t="s">
        <v>113</v>
      </c>
      <c r="DE106" s="3" t="s">
        <v>114</v>
      </c>
      <c r="DF106" s="3" t="s">
        <v>114</v>
      </c>
      <c r="DG106" s="3" t="s">
        <v>114</v>
      </c>
      <c r="DH106" s="3" t="s">
        <v>3</v>
      </c>
      <c r="DI106" s="3" t="s">
        <v>114</v>
      </c>
      <c r="DJ106" s="3" t="s">
        <v>114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37</v>
      </c>
      <c r="DW106" s="3" t="s">
        <v>37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55393700</v>
      </c>
      <c r="EF106" s="3">
        <v>40</v>
      </c>
      <c r="EG106" s="3" t="s">
        <v>26</v>
      </c>
      <c r="EH106" s="3">
        <v>0</v>
      </c>
      <c r="EI106" s="3" t="s">
        <v>3</v>
      </c>
      <c r="EJ106" s="3">
        <v>2</v>
      </c>
      <c r="EK106" s="3">
        <v>68</v>
      </c>
      <c r="EL106" s="3" t="s">
        <v>27</v>
      </c>
      <c r="EM106" s="3" t="s">
        <v>28</v>
      </c>
      <c r="EO106" s="3" t="s">
        <v>118</v>
      </c>
      <c r="EQ106" s="3">
        <v>0</v>
      </c>
      <c r="ER106" s="3">
        <v>90.3</v>
      </c>
      <c r="ES106" s="3">
        <v>9.15</v>
      </c>
      <c r="ET106" s="3">
        <v>0.82</v>
      </c>
      <c r="EU106" s="3">
        <v>0</v>
      </c>
      <c r="EV106" s="3">
        <v>80.33</v>
      </c>
      <c r="EW106" s="3">
        <v>6.01</v>
      </c>
      <c r="EX106" s="3">
        <v>0</v>
      </c>
      <c r="EY106" s="3">
        <v>0</v>
      </c>
      <c r="FQ106" s="3">
        <v>0</v>
      </c>
      <c r="FR106" s="3">
        <v>0</v>
      </c>
      <c r="FS106" s="3">
        <v>0</v>
      </c>
      <c r="FX106" s="3">
        <v>90</v>
      </c>
      <c r="FY106" s="3">
        <v>46</v>
      </c>
      <c r="GA106" s="3" t="s">
        <v>3</v>
      </c>
      <c r="GD106" s="3">
        <v>1</v>
      </c>
      <c r="GF106" s="3">
        <v>-1237448989</v>
      </c>
      <c r="GG106" s="3">
        <v>2</v>
      </c>
      <c r="GH106" s="3">
        <v>1</v>
      </c>
      <c r="GI106" s="3">
        <v>2</v>
      </c>
      <c r="GJ106" s="3">
        <v>0</v>
      </c>
      <c r="GK106" s="3">
        <v>0</v>
      </c>
      <c r="GL106" s="3">
        <f t="shared" si="104"/>
        <v>0</v>
      </c>
      <c r="GM106" s="3">
        <f t="shared" si="105"/>
        <v>13490.84</v>
      </c>
      <c r="GN106" s="3">
        <f t="shared" si="106"/>
        <v>0</v>
      </c>
      <c r="GO106" s="3">
        <f t="shared" si="107"/>
        <v>13490.84</v>
      </c>
      <c r="GP106" s="3">
        <f t="shared" si="108"/>
        <v>0</v>
      </c>
      <c r="GR106" s="3">
        <v>0</v>
      </c>
      <c r="GS106" s="3">
        <v>3</v>
      </c>
      <c r="GT106" s="3">
        <v>0</v>
      </c>
      <c r="GU106" s="3" t="s">
        <v>3</v>
      </c>
      <c r="GV106" s="3">
        <f t="shared" si="109"/>
        <v>0</v>
      </c>
      <c r="GW106" s="3">
        <v>1</v>
      </c>
      <c r="GX106" s="3">
        <f t="shared" si="110"/>
        <v>0</v>
      </c>
      <c r="HA106" s="3">
        <v>0</v>
      </c>
      <c r="HB106" s="3">
        <v>0</v>
      </c>
      <c r="HC106" s="3">
        <f t="shared" si="111"/>
        <v>0</v>
      </c>
      <c r="HE106" s="3" t="s">
        <v>3</v>
      </c>
      <c r="HF106" s="3" t="s">
        <v>3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">
      <c r="A107" s="2">
        <v>18</v>
      </c>
      <c r="B107" s="2">
        <v>1</v>
      </c>
      <c r="C107" s="2">
        <v>132</v>
      </c>
      <c r="D107" s="2"/>
      <c r="E107" s="2" t="s">
        <v>196</v>
      </c>
      <c r="F107" s="2" t="s">
        <v>197</v>
      </c>
      <c r="G107" s="2" t="s">
        <v>198</v>
      </c>
      <c r="H107" s="2" t="s">
        <v>183</v>
      </c>
      <c r="I107" s="2">
        <f>I105*J107</f>
        <v>1</v>
      </c>
      <c r="J107" s="2">
        <v>1</v>
      </c>
      <c r="K107" s="2">
        <v>1</v>
      </c>
      <c r="L107" s="2"/>
      <c r="M107" s="2"/>
      <c r="N107" s="2"/>
      <c r="O107" s="2">
        <f t="shared" si="87"/>
        <v>2357.06</v>
      </c>
      <c r="P107" s="2">
        <f t="shared" si="88"/>
        <v>2357.06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89"/>
        <v>0</v>
      </c>
      <c r="T107" s="2">
        <f t="shared" si="90"/>
        <v>0</v>
      </c>
      <c r="U107" s="2">
        <f t="shared" si="91"/>
        <v>0</v>
      </c>
      <c r="V107" s="2">
        <f t="shared" si="92"/>
        <v>0</v>
      </c>
      <c r="W107" s="2">
        <f t="shared" si="93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55937296</v>
      </c>
      <c r="AB107" s="2">
        <f t="shared" si="94"/>
        <v>2357.06</v>
      </c>
      <c r="AC107" s="2">
        <f>ROUND((ES107),6)</f>
        <v>2357.06</v>
      </c>
      <c r="AD107" s="2">
        <f>ROUND((((ET107)-(EU107))+AE107),6)</f>
        <v>0</v>
      </c>
      <c r="AE107" s="2">
        <f>ROUND((EU107),6)</f>
        <v>0</v>
      </c>
      <c r="AF107" s="2">
        <f>ROUND((EV107),6)</f>
        <v>0</v>
      </c>
      <c r="AG107" s="2">
        <f t="shared" si="95"/>
        <v>0</v>
      </c>
      <c r="AH107" s="2">
        <f>(EW107)</f>
        <v>0</v>
      </c>
      <c r="AI107" s="2">
        <f>(EX107)</f>
        <v>0</v>
      </c>
      <c r="AJ107" s="2">
        <f t="shared" si="96"/>
        <v>0</v>
      </c>
      <c r="AK107" s="2">
        <v>2357.06</v>
      </c>
      <c r="AL107" s="2">
        <v>2357.06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3</v>
      </c>
      <c r="BJ107" s="2" t="s">
        <v>197</v>
      </c>
      <c r="BK107" s="2"/>
      <c r="BL107" s="2"/>
      <c r="BM107" s="2">
        <v>400007</v>
      </c>
      <c r="BN107" s="2">
        <v>0</v>
      </c>
      <c r="BO107" s="2" t="s">
        <v>3</v>
      </c>
      <c r="BP107" s="2">
        <v>0</v>
      </c>
      <c r="BQ107" s="2">
        <v>214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798</v>
      </c>
      <c r="CO107" s="2">
        <v>0</v>
      </c>
      <c r="CP107" s="2">
        <f t="shared" si="97"/>
        <v>2357.06</v>
      </c>
      <c r="CQ107" s="2">
        <f t="shared" si="98"/>
        <v>2357.06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99"/>
        <v>0</v>
      </c>
      <c r="CU107" s="2">
        <f t="shared" si="100"/>
        <v>0</v>
      </c>
      <c r="CV107" s="2">
        <f t="shared" si="101"/>
        <v>0</v>
      </c>
      <c r="CW107" s="2">
        <f t="shared" si="102"/>
        <v>0</v>
      </c>
      <c r="CX107" s="2">
        <f t="shared" si="103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183</v>
      </c>
      <c r="DW107" s="2" t="s">
        <v>183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55393630</v>
      </c>
      <c r="EF107" s="2">
        <v>214</v>
      </c>
      <c r="EG107" s="2" t="s">
        <v>184</v>
      </c>
      <c r="EH107" s="2">
        <v>0</v>
      </c>
      <c r="EI107" s="2" t="s">
        <v>3</v>
      </c>
      <c r="EJ107" s="2">
        <v>3</v>
      </c>
      <c r="EK107" s="2">
        <v>400007</v>
      </c>
      <c r="EL107" s="2" t="s">
        <v>184</v>
      </c>
      <c r="EM107" s="2" t="s">
        <v>185</v>
      </c>
      <c r="EN107" s="2"/>
      <c r="EO107" s="2" t="s">
        <v>118</v>
      </c>
      <c r="EP107" s="2"/>
      <c r="EQ107" s="2">
        <v>16</v>
      </c>
      <c r="ER107" s="2">
        <v>0</v>
      </c>
      <c r="ES107" s="2">
        <v>2357.06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f>P107</f>
        <v>2357.06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199</v>
      </c>
      <c r="GB107" s="2"/>
      <c r="GC107" s="2"/>
      <c r="GD107" s="2">
        <v>1</v>
      </c>
      <c r="GE107" s="2"/>
      <c r="GF107" s="2">
        <v>2003060663</v>
      </c>
      <c r="GG107" s="2">
        <v>2</v>
      </c>
      <c r="GH107" s="2">
        <v>4</v>
      </c>
      <c r="GI107" s="2">
        <v>-2</v>
      </c>
      <c r="GJ107" s="2">
        <v>0</v>
      </c>
      <c r="GK107" s="2">
        <v>0</v>
      </c>
      <c r="GL107" s="2">
        <f t="shared" si="104"/>
        <v>0</v>
      </c>
      <c r="GM107" s="2">
        <f t="shared" si="105"/>
        <v>2357.06</v>
      </c>
      <c r="GN107" s="2">
        <f t="shared" si="106"/>
        <v>0</v>
      </c>
      <c r="GO107" s="2">
        <f t="shared" si="107"/>
        <v>0</v>
      </c>
      <c r="GP107" s="2">
        <f t="shared" si="108"/>
        <v>0</v>
      </c>
      <c r="GQ107" s="2"/>
      <c r="GR107" s="2">
        <v>1</v>
      </c>
      <c r="GS107" s="2">
        <v>2</v>
      </c>
      <c r="GT107" s="2">
        <v>0</v>
      </c>
      <c r="GU107" s="2" t="s">
        <v>3</v>
      </c>
      <c r="GV107" s="2">
        <f t="shared" si="109"/>
        <v>0</v>
      </c>
      <c r="GW107" s="2">
        <v>1</v>
      </c>
      <c r="GX107" s="2">
        <f t="shared" si="110"/>
        <v>0</v>
      </c>
      <c r="GY107" s="2"/>
      <c r="GZ107" s="2"/>
      <c r="HA107" s="2">
        <v>0</v>
      </c>
      <c r="HB107" s="2">
        <v>0</v>
      </c>
      <c r="HC107" s="2">
        <f t="shared" si="111"/>
        <v>0</v>
      </c>
      <c r="HD107" s="2"/>
      <c r="HE107" s="2" t="s">
        <v>34</v>
      </c>
      <c r="HF107" s="2" t="s">
        <v>187</v>
      </c>
      <c r="HG107" s="2"/>
      <c r="HH107" s="2"/>
      <c r="HI107" s="2"/>
      <c r="HJ107" s="2"/>
      <c r="HK107" s="2"/>
      <c r="HL107" s="2"/>
      <c r="HM107" s="2" t="s">
        <v>113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3">
        <v>18</v>
      </c>
      <c r="B108" s="3">
        <v>1</v>
      </c>
      <c r="C108" s="3">
        <v>142</v>
      </c>
      <c r="E108" s="3" t="s">
        <v>196</v>
      </c>
      <c r="F108" s="3" t="s">
        <v>197</v>
      </c>
      <c r="G108" s="3" t="s">
        <v>198</v>
      </c>
      <c r="H108" s="3" t="s">
        <v>183</v>
      </c>
      <c r="I108" s="3">
        <f>I106*J108</f>
        <v>1</v>
      </c>
      <c r="J108" s="3">
        <v>1</v>
      </c>
      <c r="K108" s="3">
        <v>1</v>
      </c>
      <c r="O108" s="3">
        <f t="shared" si="87"/>
        <v>18055.080000000002</v>
      </c>
      <c r="P108" s="3">
        <f t="shared" si="88"/>
        <v>18055.080000000002</v>
      </c>
      <c r="Q108" s="3">
        <f>(ROUND((ROUND(((ET108)*AV108*I108),2)*BB108),2)+ROUND((ROUND(((AE108-(EU108))*AV108*I108),2)*BS108),2))</f>
        <v>0</v>
      </c>
      <c r="R108" s="3">
        <f>(ROUND((ROUND(((EU108)*AV108*I108),2)*BS108),2)+ROUND((ROUND(((AE108-(EU108))*AV108*I108),2)*BS108),2))</f>
        <v>0</v>
      </c>
      <c r="S108" s="3">
        <f t="shared" si="89"/>
        <v>0</v>
      </c>
      <c r="T108" s="3">
        <f t="shared" si="90"/>
        <v>0</v>
      </c>
      <c r="U108" s="3">
        <f t="shared" si="91"/>
        <v>0</v>
      </c>
      <c r="V108" s="3">
        <f t="shared" si="92"/>
        <v>0</v>
      </c>
      <c r="W108" s="3">
        <f t="shared" si="93"/>
        <v>0</v>
      </c>
      <c r="X108" s="3">
        <f>(ROUND((((S108+ROUND((ROUND(((EU108)*AV108*I108),2)*BS108),2))*AT108)/100),2)+ROUND(((ROUND((ROUND(((AE108-(EU108))*AV108*I108),2)*BS108),2)*AT108)/100),2))</f>
        <v>0</v>
      </c>
      <c r="Y108" s="3">
        <f>(ROUND((((S108+ROUND((ROUND(((EU108)*AV108*I108),2)*BS108),2))*AU108)/100),2)+ROUND(((ROUND((ROUND(((AE108-(EU108))*AV108*I108),2)*BS108),2)*AU108)/100),2))</f>
        <v>0</v>
      </c>
      <c r="AA108" s="3">
        <v>55937298</v>
      </c>
      <c r="AB108" s="3">
        <f t="shared" si="94"/>
        <v>2357.06</v>
      </c>
      <c r="AC108" s="3">
        <f>ROUND((ES108),6)</f>
        <v>2357.06</v>
      </c>
      <c r="AD108" s="3">
        <f>ROUND((((ET108)-(EU108))+AE108),6)</f>
        <v>0</v>
      </c>
      <c r="AE108" s="3">
        <f>ROUND((EU108),6)</f>
        <v>0</v>
      </c>
      <c r="AF108" s="3">
        <f>ROUND((EV108),6)</f>
        <v>0</v>
      </c>
      <c r="AG108" s="3">
        <f t="shared" si="95"/>
        <v>0</v>
      </c>
      <c r="AH108" s="3">
        <f>(EW108)</f>
        <v>0</v>
      </c>
      <c r="AI108" s="3">
        <f>(EX108)</f>
        <v>0</v>
      </c>
      <c r="AJ108" s="3">
        <f t="shared" si="96"/>
        <v>0</v>
      </c>
      <c r="AK108" s="3">
        <v>2357.06</v>
      </c>
      <c r="AL108" s="3">
        <v>2357.06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1</v>
      </c>
      <c r="AW108" s="3">
        <v>1</v>
      </c>
      <c r="AZ108" s="3">
        <v>1</v>
      </c>
      <c r="BA108" s="3">
        <v>1</v>
      </c>
      <c r="BB108" s="3">
        <v>1</v>
      </c>
      <c r="BC108" s="3">
        <v>7.66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3</v>
      </c>
      <c r="BI108" s="3">
        <v>3</v>
      </c>
      <c r="BJ108" s="3" t="s">
        <v>197</v>
      </c>
      <c r="BM108" s="3">
        <v>400007</v>
      </c>
      <c r="BN108" s="3">
        <v>0</v>
      </c>
      <c r="BO108" s="3" t="s">
        <v>3</v>
      </c>
      <c r="BP108" s="3">
        <v>0</v>
      </c>
      <c r="BQ108" s="3">
        <v>214</v>
      </c>
      <c r="BR108" s="3">
        <v>0</v>
      </c>
      <c r="BS108" s="3">
        <v>1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798</v>
      </c>
      <c r="CO108" s="3">
        <v>0</v>
      </c>
      <c r="CP108" s="3">
        <f t="shared" si="97"/>
        <v>18055.080000000002</v>
      </c>
      <c r="CQ108" s="3">
        <f t="shared" si="98"/>
        <v>18055.080000000002</v>
      </c>
      <c r="CR108" s="3">
        <f>(ROUND((ROUND(((ET108)*AV108*1),2)*BB108),2)+ROUND((ROUND(((AE108-(EU108))*AV108*1),2)*BS108),2))</f>
        <v>0</v>
      </c>
      <c r="CS108" s="3">
        <f>(ROUND((ROUND(((EU108)*AV108*1),2)*BS108),2)+ROUND((ROUND(((AE108-(EU108))*AV108*1),2)*BS108),2))</f>
        <v>0</v>
      </c>
      <c r="CT108" s="3">
        <f t="shared" si="99"/>
        <v>0</v>
      </c>
      <c r="CU108" s="3">
        <f t="shared" si="100"/>
        <v>0</v>
      </c>
      <c r="CV108" s="3">
        <f t="shared" si="101"/>
        <v>0</v>
      </c>
      <c r="CW108" s="3">
        <f t="shared" si="102"/>
        <v>0</v>
      </c>
      <c r="CX108" s="3">
        <f t="shared" si="103"/>
        <v>0</v>
      </c>
      <c r="CY108" s="3">
        <f>(ROUND((((S108+ROUND((ROUND(((EU108)*AV108*1),2)*BS108),2))*AT108)/100),2)+ROUND(((ROUND((ROUND(((AE108-(EU108))*AV108*1),2)*BS108),2)*AT108)/100),2))</f>
        <v>0</v>
      </c>
      <c r="CZ108" s="3">
        <f>(ROUND((((S108+ROUND((ROUND(((EU108)*AV108*1),2)*BS108),2))*AU108)/100),2)+ROUND(((ROUND((ROUND(((AE108-(EU108))*AV108*1),2)*BS108),2)*AU108)/100),2))</f>
        <v>0</v>
      </c>
      <c r="DC108" s="3" t="s">
        <v>3</v>
      </c>
      <c r="DD108" s="3" t="s">
        <v>3</v>
      </c>
      <c r="DE108" s="3" t="s">
        <v>3</v>
      </c>
      <c r="DF108" s="3" t="s">
        <v>3</v>
      </c>
      <c r="DG108" s="3" t="s">
        <v>3</v>
      </c>
      <c r="DH108" s="3" t="s">
        <v>3</v>
      </c>
      <c r="DI108" s="3" t="s">
        <v>3</v>
      </c>
      <c r="DJ108" s="3" t="s">
        <v>3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183</v>
      </c>
      <c r="DW108" s="3" t="s">
        <v>183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55393630</v>
      </c>
      <c r="EF108" s="3">
        <v>214</v>
      </c>
      <c r="EG108" s="3" t="s">
        <v>184</v>
      </c>
      <c r="EH108" s="3">
        <v>0</v>
      </c>
      <c r="EI108" s="3" t="s">
        <v>3</v>
      </c>
      <c r="EJ108" s="3">
        <v>3</v>
      </c>
      <c r="EK108" s="3">
        <v>400007</v>
      </c>
      <c r="EL108" s="3" t="s">
        <v>184</v>
      </c>
      <c r="EM108" s="3" t="s">
        <v>185</v>
      </c>
      <c r="EO108" s="3" t="s">
        <v>118</v>
      </c>
      <c r="EQ108" s="3">
        <v>16</v>
      </c>
      <c r="ER108" s="3">
        <v>0</v>
      </c>
      <c r="ES108" s="3">
        <v>2357.06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Z108" s="3">
        <v>5</v>
      </c>
      <c r="FC108" s="3">
        <v>1</v>
      </c>
      <c r="FD108" s="3">
        <v>18</v>
      </c>
      <c r="FF108" s="3">
        <v>21132</v>
      </c>
      <c r="FQ108" s="3">
        <v>0</v>
      </c>
      <c r="FR108" s="3">
        <f>P108</f>
        <v>18055.080000000002</v>
      </c>
      <c r="FS108" s="3">
        <v>0</v>
      </c>
      <c r="FX108" s="3">
        <v>90</v>
      </c>
      <c r="FY108" s="3">
        <v>46</v>
      </c>
      <c r="GA108" s="3" t="s">
        <v>199</v>
      </c>
      <c r="GD108" s="3">
        <v>1</v>
      </c>
      <c r="GF108" s="3">
        <v>2003060663</v>
      </c>
      <c r="GG108" s="3">
        <v>2</v>
      </c>
      <c r="GH108" s="3">
        <v>3</v>
      </c>
      <c r="GI108" s="3">
        <v>5</v>
      </c>
      <c r="GJ108" s="3">
        <v>0</v>
      </c>
      <c r="GK108" s="3">
        <v>0</v>
      </c>
      <c r="GL108" s="3">
        <f t="shared" si="104"/>
        <v>0</v>
      </c>
      <c r="GM108" s="3">
        <f t="shared" si="105"/>
        <v>18055.080000000002</v>
      </c>
      <c r="GN108" s="3">
        <f t="shared" si="106"/>
        <v>0</v>
      </c>
      <c r="GO108" s="3">
        <f t="shared" si="107"/>
        <v>0</v>
      </c>
      <c r="GP108" s="3">
        <f t="shared" si="108"/>
        <v>0</v>
      </c>
      <c r="GR108" s="3">
        <v>1</v>
      </c>
      <c r="GS108" s="3">
        <v>1</v>
      </c>
      <c r="GT108" s="3">
        <v>0</v>
      </c>
      <c r="GU108" s="3" t="s">
        <v>3</v>
      </c>
      <c r="GV108" s="3">
        <f t="shared" si="109"/>
        <v>0</v>
      </c>
      <c r="GW108" s="3">
        <v>1</v>
      </c>
      <c r="GX108" s="3">
        <f t="shared" si="110"/>
        <v>0</v>
      </c>
      <c r="HA108" s="3">
        <v>0</v>
      </c>
      <c r="HB108" s="3">
        <v>0</v>
      </c>
      <c r="HC108" s="3">
        <f t="shared" si="111"/>
        <v>0</v>
      </c>
      <c r="HE108" s="3" t="s">
        <v>34</v>
      </c>
      <c r="HF108" s="3" t="s">
        <v>187</v>
      </c>
      <c r="HM108" s="3" t="s">
        <v>113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">
      <c r="A109" s="2">
        <v>17</v>
      </c>
      <c r="B109" s="2">
        <v>1</v>
      </c>
      <c r="C109" s="2">
        <f>ROW(SmtRes!A148)</f>
        <v>148</v>
      </c>
      <c r="D109" s="2">
        <f>ROW(EtalonRes!A193)</f>
        <v>193</v>
      </c>
      <c r="E109" s="2" t="s">
        <v>200</v>
      </c>
      <c r="F109" s="2" t="s">
        <v>40</v>
      </c>
      <c r="G109" s="2" t="s">
        <v>201</v>
      </c>
      <c r="H109" s="2" t="s">
        <v>22</v>
      </c>
      <c r="I109" s="2">
        <f>ROUND(4+1+1+8+2,9)</f>
        <v>16</v>
      </c>
      <c r="J109" s="2">
        <v>0</v>
      </c>
      <c r="K109" s="2">
        <f>ROUND(4+1+1+8+2,9)</f>
        <v>16</v>
      </c>
      <c r="L109" s="2"/>
      <c r="M109" s="2"/>
      <c r="N109" s="2"/>
      <c r="O109" s="2">
        <f t="shared" si="87"/>
        <v>418.58</v>
      </c>
      <c r="P109" s="2">
        <f t="shared" si="88"/>
        <v>37.44</v>
      </c>
      <c r="Q109" s="2">
        <f>(ROUND((ROUND((((ET109*1.2))*AV109*I109),2)*BB109),2)+ROUND((ROUND(((AE109-((EU109*1.2)))*AV109*I109),2)*BS109),2))</f>
        <v>0.4</v>
      </c>
      <c r="R109" s="2">
        <f>(ROUND((ROUND((((EU109*1.2))*AV109*I109),2)*BS109),2)+ROUND((ROUND(((AE109-((EU109*1.2)))*AV109*I109),2)*BS109),2))</f>
        <v>0</v>
      </c>
      <c r="S109" s="2">
        <f t="shared" si="89"/>
        <v>380.74</v>
      </c>
      <c r="T109" s="2">
        <f t="shared" si="90"/>
        <v>0</v>
      </c>
      <c r="U109" s="2">
        <f t="shared" si="91"/>
        <v>27.339264</v>
      </c>
      <c r="V109" s="2">
        <f t="shared" si="92"/>
        <v>0</v>
      </c>
      <c r="W109" s="2">
        <f t="shared" si="93"/>
        <v>0</v>
      </c>
      <c r="X109" s="2">
        <f>(ROUND((((S109+ROUND((ROUND((((EU109*1.2))*AV109*I109),2)*BS109),2))*AT109)/100),2)+ROUND(((ROUND((ROUND(((AE109-((EU109*1.2)))*AV109*I109),2)*BS109),2)*AT109)/100),2))</f>
        <v>342.67</v>
      </c>
      <c r="Y109" s="2">
        <f>(ROUND((((S109+ROUND((ROUND((((EU109*1.2))*AV109*I109),2)*BS109),2))*AU109)/100),2)+ROUND(((ROUND((ROUND(((AE109-((EU109*1.2)))*AV109*I109),2)*BS109),2)*AU109)/100),2))</f>
        <v>175.14</v>
      </c>
      <c r="Z109" s="2"/>
      <c r="AA109" s="2">
        <v>55937296</v>
      </c>
      <c r="AB109" s="2">
        <f t="shared" si="94"/>
        <v>25.091999999999999</v>
      </c>
      <c r="AC109" s="2">
        <f>ROUND(((ES109*1)),6)</f>
        <v>2.34</v>
      </c>
      <c r="AD109" s="2">
        <f>ROUND(((((ET109*1.2))-((EU109*1.2)))+AE109),6)</f>
        <v>2.4E-2</v>
      </c>
      <c r="AE109" s="2">
        <f>ROUND(((EU109*1.2)),6)</f>
        <v>0</v>
      </c>
      <c r="AF109" s="2">
        <f>ROUND(((EV109*1.2)),6)</f>
        <v>22.728000000000002</v>
      </c>
      <c r="AG109" s="2">
        <f t="shared" si="95"/>
        <v>0</v>
      </c>
      <c r="AH109" s="2">
        <f>((EW109*1.2))</f>
        <v>1.6320000000000001</v>
      </c>
      <c r="AI109" s="2">
        <f>((EX109*1.2))</f>
        <v>0</v>
      </c>
      <c r="AJ109" s="2">
        <f t="shared" si="96"/>
        <v>0</v>
      </c>
      <c r="AK109" s="2">
        <v>21.3</v>
      </c>
      <c r="AL109" s="2">
        <v>2.34</v>
      </c>
      <c r="AM109" s="2">
        <v>0.02</v>
      </c>
      <c r="AN109" s="2">
        <v>0</v>
      </c>
      <c r="AO109" s="2">
        <v>18.940000000000001</v>
      </c>
      <c r="AP109" s="2">
        <v>0</v>
      </c>
      <c r="AQ109" s="2">
        <v>1.36</v>
      </c>
      <c r="AR109" s="2">
        <v>0</v>
      </c>
      <c r="AS109" s="2">
        <v>0</v>
      </c>
      <c r="AT109" s="2">
        <v>90</v>
      </c>
      <c r="AU109" s="2">
        <v>46</v>
      </c>
      <c r="AV109" s="2">
        <v>1.0469999999999999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2</v>
      </c>
      <c r="BJ109" s="2" t="s">
        <v>42</v>
      </c>
      <c r="BK109" s="2"/>
      <c r="BL109" s="2"/>
      <c r="BM109" s="2">
        <v>68</v>
      </c>
      <c r="BN109" s="2">
        <v>0</v>
      </c>
      <c r="BO109" s="2" t="s">
        <v>40</v>
      </c>
      <c r="BP109" s="2">
        <v>1</v>
      </c>
      <c r="BQ109" s="2">
        <v>40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797</v>
      </c>
      <c r="CO109" s="2">
        <v>0</v>
      </c>
      <c r="CP109" s="2">
        <f t="shared" si="97"/>
        <v>418.58</v>
      </c>
      <c r="CQ109" s="2">
        <f t="shared" si="98"/>
        <v>2.34</v>
      </c>
      <c r="CR109" s="2">
        <f>(ROUND((ROUND((((ET109*1.2))*AV109*1),2)*BB109),2)+ROUND((ROUND(((AE109-((EU109*1.2)))*AV109*1),2)*BS109),2))</f>
        <v>0.03</v>
      </c>
      <c r="CS109" s="2">
        <f>(ROUND((ROUND((((EU109*1.2))*AV109*1),2)*BS109),2)+ROUND((ROUND(((AE109-((EU109*1.2)))*AV109*1),2)*BS109),2))</f>
        <v>0</v>
      </c>
      <c r="CT109" s="2">
        <f t="shared" si="99"/>
        <v>23.8</v>
      </c>
      <c r="CU109" s="2">
        <f t="shared" si="100"/>
        <v>0</v>
      </c>
      <c r="CV109" s="2">
        <f t="shared" si="101"/>
        <v>1.708704</v>
      </c>
      <c r="CW109" s="2">
        <f t="shared" si="102"/>
        <v>0</v>
      </c>
      <c r="CX109" s="2">
        <f t="shared" si="103"/>
        <v>0</v>
      </c>
      <c r="CY109" s="2">
        <f>(ROUND((((S109+ROUND((ROUND((((EU109*1.2))*AV109*1),2)*BS109),2))*AT109)/100),2)+ROUND(((ROUND((ROUND(((AE109-((EU109*1.2)))*AV109*1),2)*BS109),2)*AT109)/100),2))</f>
        <v>342.67</v>
      </c>
      <c r="CZ109" s="2">
        <f>(ROUND((((S109+ROUND((ROUND((((EU109*1.2))*AV109*1),2)*BS109),2))*AU109)/100),2)+ROUND(((ROUND((ROUND(((AE109-((EU109*1.2)))*AV109*1),2)*BS109),2)*AU109)/100),2))</f>
        <v>175.14</v>
      </c>
      <c r="DA109" s="2"/>
      <c r="DB109" s="2">
        <v>79</v>
      </c>
      <c r="DC109" s="2" t="s">
        <v>3</v>
      </c>
      <c r="DD109" s="2" t="s">
        <v>113</v>
      </c>
      <c r="DE109" s="2" t="s">
        <v>114</v>
      </c>
      <c r="DF109" s="2" t="s">
        <v>114</v>
      </c>
      <c r="DG109" s="2" t="s">
        <v>114</v>
      </c>
      <c r="DH109" s="2" t="s">
        <v>3</v>
      </c>
      <c r="DI109" s="2" t="s">
        <v>114</v>
      </c>
      <c r="DJ109" s="2" t="s">
        <v>114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22</v>
      </c>
      <c r="DW109" s="2" t="s">
        <v>22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55393700</v>
      </c>
      <c r="EF109" s="2">
        <v>40</v>
      </c>
      <c r="EG109" s="2" t="s">
        <v>26</v>
      </c>
      <c r="EH109" s="2">
        <v>0</v>
      </c>
      <c r="EI109" s="2" t="s">
        <v>3</v>
      </c>
      <c r="EJ109" s="2">
        <v>2</v>
      </c>
      <c r="EK109" s="2">
        <v>68</v>
      </c>
      <c r="EL109" s="2" t="s">
        <v>27</v>
      </c>
      <c r="EM109" s="2" t="s">
        <v>28</v>
      </c>
      <c r="EN109" s="2"/>
      <c r="EO109" s="2" t="s">
        <v>118</v>
      </c>
      <c r="EP109" s="2"/>
      <c r="EQ109" s="2">
        <v>0</v>
      </c>
      <c r="ER109" s="2">
        <v>21.3</v>
      </c>
      <c r="ES109" s="2">
        <v>2.34</v>
      </c>
      <c r="ET109" s="2">
        <v>0.02</v>
      </c>
      <c r="EU109" s="2">
        <v>0</v>
      </c>
      <c r="EV109" s="2">
        <v>18.940000000000001</v>
      </c>
      <c r="EW109" s="2">
        <v>1.36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3</v>
      </c>
      <c r="GB109" s="2"/>
      <c r="GC109" s="2"/>
      <c r="GD109" s="2">
        <v>1</v>
      </c>
      <c r="GE109" s="2"/>
      <c r="GF109" s="2">
        <v>-635599801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104"/>
        <v>0</v>
      </c>
      <c r="GM109" s="2">
        <f t="shared" si="105"/>
        <v>936.39</v>
      </c>
      <c r="GN109" s="2">
        <f t="shared" si="106"/>
        <v>0</v>
      </c>
      <c r="GO109" s="2">
        <f t="shared" si="107"/>
        <v>936.39</v>
      </c>
      <c r="GP109" s="2">
        <f t="shared" si="108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109"/>
        <v>0</v>
      </c>
      <c r="GW109" s="2">
        <v>1</v>
      </c>
      <c r="GX109" s="2">
        <f t="shared" si="110"/>
        <v>0</v>
      </c>
      <c r="GY109" s="2"/>
      <c r="GZ109" s="2"/>
      <c r="HA109" s="2">
        <v>0</v>
      </c>
      <c r="HB109" s="2">
        <v>0</v>
      </c>
      <c r="HC109" s="2">
        <f t="shared" si="111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3">
        <v>17</v>
      </c>
      <c r="B110" s="3">
        <v>1</v>
      </c>
      <c r="C110" s="3">
        <f>ROW(SmtRes!A154)</f>
        <v>154</v>
      </c>
      <c r="D110" s="3">
        <f>ROW(EtalonRes!A200)</f>
        <v>200</v>
      </c>
      <c r="E110" s="3" t="s">
        <v>200</v>
      </c>
      <c r="F110" s="3" t="s">
        <v>40</v>
      </c>
      <c r="G110" s="3" t="s">
        <v>201</v>
      </c>
      <c r="H110" s="3" t="s">
        <v>22</v>
      </c>
      <c r="I110" s="3">
        <f>ROUND(4+1+1+8+2,9)</f>
        <v>16</v>
      </c>
      <c r="J110" s="3">
        <v>0</v>
      </c>
      <c r="K110" s="3">
        <f>ROUND(4+1+1+8+2,9)</f>
        <v>16</v>
      </c>
      <c r="O110" s="3">
        <f t="shared" si="87"/>
        <v>21842.49</v>
      </c>
      <c r="P110" s="3">
        <f t="shared" si="88"/>
        <v>383.39</v>
      </c>
      <c r="Q110" s="3">
        <f>(ROUND((ROUND((((ET110*1.2))*AV110*I110),2)*BB110),2)+ROUND((ROUND(((AE110-((EU110*1.2)))*AV110*I110),2)*BS110),2))</f>
        <v>4.4000000000000004</v>
      </c>
      <c r="R110" s="3">
        <f>(ROUND((ROUND((((EU110*1.2))*AV110*I110),2)*BS110),2)+ROUND((ROUND(((AE110-((EU110*1.2)))*AV110*I110),2)*BS110),2))</f>
        <v>0</v>
      </c>
      <c r="S110" s="3">
        <f t="shared" si="89"/>
        <v>21454.7</v>
      </c>
      <c r="T110" s="3">
        <f t="shared" si="90"/>
        <v>0</v>
      </c>
      <c r="U110" s="3">
        <f t="shared" si="91"/>
        <v>27.339264</v>
      </c>
      <c r="V110" s="3">
        <f t="shared" si="92"/>
        <v>0</v>
      </c>
      <c r="W110" s="3">
        <f t="shared" si="93"/>
        <v>0</v>
      </c>
      <c r="X110" s="3">
        <f>(ROUND((((S110+ROUND((ROUND((((EU110*1.2))*AV110*I110),2)*BS110),2))*AT110)/100),2)+ROUND(((ROUND((ROUND(((AE110-((EU110*1.2)))*AV110*I110),2)*BS110),2)*AT110)/100),2))</f>
        <v>19309.23</v>
      </c>
      <c r="Y110" s="3">
        <f>(ROUND((((S110+ROUND((ROUND((((EU110*1.2))*AV110*I110),2)*BS110),2))*AU110)/100),2)+ROUND(((ROUND((ROUND(((AE110-((EU110*1.2)))*AV110*I110),2)*BS110),2)*AU110)/100),2))</f>
        <v>9869.16</v>
      </c>
      <c r="AA110" s="3">
        <v>55937298</v>
      </c>
      <c r="AB110" s="3">
        <f t="shared" si="94"/>
        <v>25.091999999999999</v>
      </c>
      <c r="AC110" s="3">
        <f>ROUND(((ES110*1)),6)</f>
        <v>2.34</v>
      </c>
      <c r="AD110" s="3">
        <f>ROUND(((((ET110*1.2))-((EU110*1.2)))+AE110),6)</f>
        <v>2.4E-2</v>
      </c>
      <c r="AE110" s="3">
        <f>ROUND(((EU110*1.2)),6)</f>
        <v>0</v>
      </c>
      <c r="AF110" s="3">
        <f>ROUND(((EV110*1.2)),6)</f>
        <v>22.728000000000002</v>
      </c>
      <c r="AG110" s="3">
        <f t="shared" si="95"/>
        <v>0</v>
      </c>
      <c r="AH110" s="3">
        <f>((EW110*1.2))</f>
        <v>1.6320000000000001</v>
      </c>
      <c r="AI110" s="3">
        <f>((EX110*1.2))</f>
        <v>0</v>
      </c>
      <c r="AJ110" s="3">
        <f t="shared" si="96"/>
        <v>0</v>
      </c>
      <c r="AK110" s="3">
        <v>21.3</v>
      </c>
      <c r="AL110" s="3">
        <v>2.34</v>
      </c>
      <c r="AM110" s="3">
        <v>0.02</v>
      </c>
      <c r="AN110" s="3">
        <v>0</v>
      </c>
      <c r="AO110" s="3">
        <v>18.940000000000001</v>
      </c>
      <c r="AP110" s="3">
        <v>0</v>
      </c>
      <c r="AQ110" s="3">
        <v>1.36</v>
      </c>
      <c r="AR110" s="3">
        <v>0</v>
      </c>
      <c r="AS110" s="3">
        <v>0</v>
      </c>
      <c r="AT110" s="3">
        <v>90</v>
      </c>
      <c r="AU110" s="3">
        <v>46</v>
      </c>
      <c r="AV110" s="3">
        <v>1.0469999999999999</v>
      </c>
      <c r="AW110" s="3">
        <v>1</v>
      </c>
      <c r="AZ110" s="3">
        <v>1</v>
      </c>
      <c r="BA110" s="3">
        <v>56.35</v>
      </c>
      <c r="BB110" s="3">
        <v>11</v>
      </c>
      <c r="BC110" s="3">
        <v>10.24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0</v>
      </c>
      <c r="BI110" s="3">
        <v>2</v>
      </c>
      <c r="BJ110" s="3" t="s">
        <v>42</v>
      </c>
      <c r="BM110" s="3">
        <v>68</v>
      </c>
      <c r="BN110" s="3">
        <v>0</v>
      </c>
      <c r="BO110" s="3" t="s">
        <v>40</v>
      </c>
      <c r="BP110" s="3">
        <v>1</v>
      </c>
      <c r="BQ110" s="3">
        <v>40</v>
      </c>
      <c r="BR110" s="3">
        <v>0</v>
      </c>
      <c r="BS110" s="3">
        <v>56.35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797</v>
      </c>
      <c r="CO110" s="3">
        <v>0</v>
      </c>
      <c r="CP110" s="3">
        <f t="shared" si="97"/>
        <v>21842.49</v>
      </c>
      <c r="CQ110" s="3">
        <f t="shared" si="98"/>
        <v>23.96</v>
      </c>
      <c r="CR110" s="3">
        <f>(ROUND((ROUND((((ET110*1.2))*AV110*1),2)*BB110),2)+ROUND((ROUND(((AE110-((EU110*1.2)))*AV110*1),2)*BS110),2))</f>
        <v>0.33</v>
      </c>
      <c r="CS110" s="3">
        <f>(ROUND((ROUND((((EU110*1.2))*AV110*1),2)*BS110),2)+ROUND((ROUND(((AE110-((EU110*1.2)))*AV110*1),2)*BS110),2))</f>
        <v>0</v>
      </c>
      <c r="CT110" s="3">
        <f t="shared" si="99"/>
        <v>1341.13</v>
      </c>
      <c r="CU110" s="3">
        <f t="shared" si="100"/>
        <v>0</v>
      </c>
      <c r="CV110" s="3">
        <f t="shared" si="101"/>
        <v>1.708704</v>
      </c>
      <c r="CW110" s="3">
        <f t="shared" si="102"/>
        <v>0</v>
      </c>
      <c r="CX110" s="3">
        <f t="shared" si="103"/>
        <v>0</v>
      </c>
      <c r="CY110" s="3">
        <f>(ROUND((((S110+ROUND((ROUND((((EU110*1.2))*AV110*1),2)*BS110),2))*AT110)/100),2)+ROUND(((ROUND((ROUND(((AE110-((EU110*1.2)))*AV110*1),2)*BS110),2)*AT110)/100),2))</f>
        <v>19309.23</v>
      </c>
      <c r="CZ110" s="3">
        <f>(ROUND((((S110+ROUND((ROUND((((EU110*1.2))*AV110*1),2)*BS110),2))*AU110)/100),2)+ROUND(((ROUND((ROUND(((AE110-((EU110*1.2)))*AV110*1),2)*BS110),2)*AU110)/100),2))</f>
        <v>9869.16</v>
      </c>
      <c r="DB110" s="3">
        <v>80</v>
      </c>
      <c r="DC110" s="3" t="s">
        <v>3</v>
      </c>
      <c r="DD110" s="3" t="s">
        <v>113</v>
      </c>
      <c r="DE110" s="3" t="s">
        <v>114</v>
      </c>
      <c r="DF110" s="3" t="s">
        <v>114</v>
      </c>
      <c r="DG110" s="3" t="s">
        <v>114</v>
      </c>
      <c r="DH110" s="3" t="s">
        <v>3</v>
      </c>
      <c r="DI110" s="3" t="s">
        <v>114</v>
      </c>
      <c r="DJ110" s="3" t="s">
        <v>114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22</v>
      </c>
      <c r="DW110" s="3" t="s">
        <v>22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55393700</v>
      </c>
      <c r="EF110" s="3">
        <v>40</v>
      </c>
      <c r="EG110" s="3" t="s">
        <v>26</v>
      </c>
      <c r="EH110" s="3">
        <v>0</v>
      </c>
      <c r="EI110" s="3" t="s">
        <v>3</v>
      </c>
      <c r="EJ110" s="3">
        <v>2</v>
      </c>
      <c r="EK110" s="3">
        <v>68</v>
      </c>
      <c r="EL110" s="3" t="s">
        <v>27</v>
      </c>
      <c r="EM110" s="3" t="s">
        <v>28</v>
      </c>
      <c r="EO110" s="3" t="s">
        <v>118</v>
      </c>
      <c r="EQ110" s="3">
        <v>0</v>
      </c>
      <c r="ER110" s="3">
        <v>21.3</v>
      </c>
      <c r="ES110" s="3">
        <v>2.34</v>
      </c>
      <c r="ET110" s="3">
        <v>0.02</v>
      </c>
      <c r="EU110" s="3">
        <v>0</v>
      </c>
      <c r="EV110" s="3">
        <v>18.940000000000001</v>
      </c>
      <c r="EW110" s="3">
        <v>1.36</v>
      </c>
      <c r="EX110" s="3">
        <v>0</v>
      </c>
      <c r="EY110" s="3">
        <v>0</v>
      </c>
      <c r="FQ110" s="3">
        <v>0</v>
      </c>
      <c r="FR110" s="3">
        <v>0</v>
      </c>
      <c r="FS110" s="3">
        <v>0</v>
      </c>
      <c r="FX110" s="3">
        <v>90</v>
      </c>
      <c r="FY110" s="3">
        <v>46</v>
      </c>
      <c r="GA110" s="3" t="s">
        <v>3</v>
      </c>
      <c r="GD110" s="3">
        <v>1</v>
      </c>
      <c r="GF110" s="3">
        <v>-635599801</v>
      </c>
      <c r="GG110" s="3">
        <v>2</v>
      </c>
      <c r="GH110" s="3">
        <v>1</v>
      </c>
      <c r="GI110" s="3">
        <v>2</v>
      </c>
      <c r="GJ110" s="3">
        <v>0</v>
      </c>
      <c r="GK110" s="3">
        <v>0</v>
      </c>
      <c r="GL110" s="3">
        <f t="shared" si="104"/>
        <v>0</v>
      </c>
      <c r="GM110" s="3">
        <f t="shared" si="105"/>
        <v>51020.88</v>
      </c>
      <c r="GN110" s="3">
        <f t="shared" si="106"/>
        <v>0</v>
      </c>
      <c r="GO110" s="3">
        <f t="shared" si="107"/>
        <v>51020.88</v>
      </c>
      <c r="GP110" s="3">
        <f t="shared" si="108"/>
        <v>0</v>
      </c>
      <c r="GR110" s="3">
        <v>0</v>
      </c>
      <c r="GS110" s="3">
        <v>3</v>
      </c>
      <c r="GT110" s="3">
        <v>0</v>
      </c>
      <c r="GU110" s="3" t="s">
        <v>3</v>
      </c>
      <c r="GV110" s="3">
        <f t="shared" si="109"/>
        <v>0</v>
      </c>
      <c r="GW110" s="3">
        <v>1</v>
      </c>
      <c r="GX110" s="3">
        <f t="shared" si="110"/>
        <v>0</v>
      </c>
      <c r="HA110" s="3">
        <v>0</v>
      </c>
      <c r="HB110" s="3">
        <v>0</v>
      </c>
      <c r="HC110" s="3">
        <f t="shared" si="111"/>
        <v>0</v>
      </c>
      <c r="HE110" s="3" t="s">
        <v>3</v>
      </c>
      <c r="HF110" s="3" t="s">
        <v>3</v>
      </c>
      <c r="HM110" s="3" t="s">
        <v>3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">
      <c r="A111" s="2">
        <v>17</v>
      </c>
      <c r="B111" s="2">
        <v>1</v>
      </c>
      <c r="C111" s="2"/>
      <c r="D111" s="2"/>
      <c r="E111" s="2" t="s">
        <v>202</v>
      </c>
      <c r="F111" s="2" t="s">
        <v>203</v>
      </c>
      <c r="G111" s="2" t="s">
        <v>204</v>
      </c>
      <c r="H111" s="2" t="s">
        <v>183</v>
      </c>
      <c r="I111" s="2">
        <v>4</v>
      </c>
      <c r="J111" s="2">
        <v>0</v>
      </c>
      <c r="K111" s="2">
        <v>4</v>
      </c>
      <c r="L111" s="2"/>
      <c r="M111" s="2"/>
      <c r="N111" s="2"/>
      <c r="O111" s="2">
        <f t="shared" si="87"/>
        <v>2874.16</v>
      </c>
      <c r="P111" s="2">
        <f t="shared" si="88"/>
        <v>2874.16</v>
      </c>
      <c r="Q111" s="2">
        <f t="shared" ref="Q111:Q120" si="112">(ROUND((ROUND(((ET111)*AV111*I111),2)*BB111),2)+ROUND((ROUND(((AE111-(EU111))*AV111*I111),2)*BS111),2))</f>
        <v>0</v>
      </c>
      <c r="R111" s="2">
        <f t="shared" ref="R111:R120" si="113">(ROUND((ROUND(((EU111)*AV111*I111),2)*BS111),2)+ROUND((ROUND(((AE111-(EU111))*AV111*I111),2)*BS111),2))</f>
        <v>0</v>
      </c>
      <c r="S111" s="2">
        <f t="shared" si="89"/>
        <v>0</v>
      </c>
      <c r="T111" s="2">
        <f t="shared" si="90"/>
        <v>0</v>
      </c>
      <c r="U111" s="2">
        <f t="shared" si="91"/>
        <v>0</v>
      </c>
      <c r="V111" s="2">
        <f t="shared" si="92"/>
        <v>0</v>
      </c>
      <c r="W111" s="2">
        <f t="shared" si="93"/>
        <v>0</v>
      </c>
      <c r="X111" s="2">
        <f t="shared" ref="X111:X120" si="114">(ROUND((((S111+ROUND((ROUND(((EU111)*AV111*I111),2)*BS111),2))*AT111)/100),2)+ROUND(((ROUND((ROUND(((AE111-(EU111))*AV111*I111),2)*BS111),2)*AT111)/100),2))</f>
        <v>0</v>
      </c>
      <c r="Y111" s="2">
        <f t="shared" ref="Y111:Y120" si="115">(ROUND((((S111+ROUND((ROUND(((EU111)*AV111*I111),2)*BS111),2))*AU111)/100),2)+ROUND(((ROUND((ROUND(((AE111-(EU111))*AV111*I111),2)*BS111),2)*AU111)/100),2))</f>
        <v>0</v>
      </c>
      <c r="Z111" s="2"/>
      <c r="AA111" s="2">
        <v>55937296</v>
      </c>
      <c r="AB111" s="2">
        <f t="shared" si="94"/>
        <v>718.54</v>
      </c>
      <c r="AC111" s="2">
        <f t="shared" ref="AC111:AC120" si="116">ROUND((ES111),6)</f>
        <v>718.54</v>
      </c>
      <c r="AD111" s="2">
        <f t="shared" ref="AD111:AD120" si="117">ROUND((((ET111)-(EU111))+AE111),6)</f>
        <v>0</v>
      </c>
      <c r="AE111" s="2">
        <f t="shared" ref="AE111:AE120" si="118">ROUND((EU111),6)</f>
        <v>0</v>
      </c>
      <c r="AF111" s="2">
        <f t="shared" ref="AF111:AF120" si="119">ROUND((EV111),6)</f>
        <v>0</v>
      </c>
      <c r="AG111" s="2">
        <f t="shared" si="95"/>
        <v>0</v>
      </c>
      <c r="AH111" s="2">
        <f t="shared" ref="AH111:AH120" si="120">(EW111)</f>
        <v>0</v>
      </c>
      <c r="AI111" s="2">
        <f t="shared" ref="AI111:AI120" si="121">(EX111)</f>
        <v>0</v>
      </c>
      <c r="AJ111" s="2">
        <f t="shared" si="96"/>
        <v>0</v>
      </c>
      <c r="AK111" s="2">
        <v>718.54</v>
      </c>
      <c r="AL111" s="2">
        <v>718.54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3</v>
      </c>
      <c r="BJ111" s="2" t="s">
        <v>203</v>
      </c>
      <c r="BK111" s="2"/>
      <c r="BL111" s="2"/>
      <c r="BM111" s="2">
        <v>400007</v>
      </c>
      <c r="BN111" s="2">
        <v>0</v>
      </c>
      <c r="BO111" s="2" t="s">
        <v>3</v>
      </c>
      <c r="BP111" s="2">
        <v>0</v>
      </c>
      <c r="BQ111" s="2">
        <v>214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0</v>
      </c>
      <c r="CA111" s="2">
        <v>0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3</v>
      </c>
      <c r="CO111" s="2">
        <v>0</v>
      </c>
      <c r="CP111" s="2">
        <f t="shared" si="97"/>
        <v>2874.16</v>
      </c>
      <c r="CQ111" s="2">
        <f t="shared" si="98"/>
        <v>718.54</v>
      </c>
      <c r="CR111" s="2">
        <f t="shared" ref="CR111:CR120" si="122">(ROUND((ROUND(((ET111)*AV111*1),2)*BB111),2)+ROUND((ROUND(((AE111-(EU111))*AV111*1),2)*BS111),2))</f>
        <v>0</v>
      </c>
      <c r="CS111" s="2">
        <f t="shared" ref="CS111:CS120" si="123">(ROUND((ROUND(((EU111)*AV111*1),2)*BS111),2)+ROUND((ROUND(((AE111-(EU111))*AV111*1),2)*BS111),2))</f>
        <v>0</v>
      </c>
      <c r="CT111" s="2">
        <f t="shared" si="99"/>
        <v>0</v>
      </c>
      <c r="CU111" s="2">
        <f t="shared" si="100"/>
        <v>0</v>
      </c>
      <c r="CV111" s="2">
        <f t="shared" si="101"/>
        <v>0</v>
      </c>
      <c r="CW111" s="2">
        <f t="shared" si="102"/>
        <v>0</v>
      </c>
      <c r="CX111" s="2">
        <f t="shared" si="103"/>
        <v>0</v>
      </c>
      <c r="CY111" s="2">
        <f t="shared" ref="CY111:CY120" si="124">(ROUND((((S111+ROUND((ROUND(((EU111)*AV111*1),2)*BS111),2))*AT111)/100),2)+ROUND(((ROUND((ROUND(((AE111-(EU111))*AV111*1),2)*BS111),2)*AT111)/100),2))</f>
        <v>0</v>
      </c>
      <c r="CZ111" s="2">
        <f t="shared" ref="CZ111:CZ120" si="125"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183</v>
      </c>
      <c r="DW111" s="2" t="s">
        <v>183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55393630</v>
      </c>
      <c r="EF111" s="2">
        <v>214</v>
      </c>
      <c r="EG111" s="2" t="s">
        <v>184</v>
      </c>
      <c r="EH111" s="2">
        <v>0</v>
      </c>
      <c r="EI111" s="2" t="s">
        <v>3</v>
      </c>
      <c r="EJ111" s="2">
        <v>3</v>
      </c>
      <c r="EK111" s="2">
        <v>400007</v>
      </c>
      <c r="EL111" s="2" t="s">
        <v>184</v>
      </c>
      <c r="EM111" s="2" t="s">
        <v>185</v>
      </c>
      <c r="EN111" s="2"/>
      <c r="EO111" s="2" t="s">
        <v>3</v>
      </c>
      <c r="EP111" s="2"/>
      <c r="EQ111" s="2">
        <v>16</v>
      </c>
      <c r="ER111" s="2">
        <v>0</v>
      </c>
      <c r="ES111" s="2">
        <v>718.54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f t="shared" ref="FR111:FR120" si="126">P111</f>
        <v>2874.16</v>
      </c>
      <c r="FS111" s="2">
        <v>0</v>
      </c>
      <c r="FT111" s="2"/>
      <c r="FU111" s="2"/>
      <c r="FV111" s="2"/>
      <c r="FW111" s="2"/>
      <c r="FX111" s="2">
        <v>0</v>
      </c>
      <c r="FY111" s="2">
        <v>0</v>
      </c>
      <c r="FZ111" s="2"/>
      <c r="GA111" s="2" t="s">
        <v>205</v>
      </c>
      <c r="GB111" s="2"/>
      <c r="GC111" s="2"/>
      <c r="GD111" s="2">
        <v>1</v>
      </c>
      <c r="GE111" s="2"/>
      <c r="GF111" s="2">
        <v>-204230185</v>
      </c>
      <c r="GG111" s="2">
        <v>2</v>
      </c>
      <c r="GH111" s="2">
        <v>4</v>
      </c>
      <c r="GI111" s="2">
        <v>-2</v>
      </c>
      <c r="GJ111" s="2">
        <v>0</v>
      </c>
      <c r="GK111" s="2">
        <v>0</v>
      </c>
      <c r="GL111" s="2">
        <f t="shared" si="104"/>
        <v>0</v>
      </c>
      <c r="GM111" s="2">
        <f t="shared" si="105"/>
        <v>2874.16</v>
      </c>
      <c r="GN111" s="2">
        <f t="shared" si="106"/>
        <v>0</v>
      </c>
      <c r="GO111" s="2">
        <f t="shared" si="107"/>
        <v>0</v>
      </c>
      <c r="GP111" s="2">
        <f t="shared" si="108"/>
        <v>0</v>
      </c>
      <c r="GQ111" s="2"/>
      <c r="GR111" s="2">
        <v>1</v>
      </c>
      <c r="GS111" s="2">
        <v>2</v>
      </c>
      <c r="GT111" s="2">
        <v>0</v>
      </c>
      <c r="GU111" s="2" t="s">
        <v>3</v>
      </c>
      <c r="GV111" s="2">
        <f t="shared" si="109"/>
        <v>0</v>
      </c>
      <c r="GW111" s="2">
        <v>1</v>
      </c>
      <c r="GX111" s="2">
        <f t="shared" si="110"/>
        <v>0</v>
      </c>
      <c r="GY111" s="2"/>
      <c r="GZ111" s="2"/>
      <c r="HA111" s="2">
        <v>0</v>
      </c>
      <c r="HB111" s="2">
        <v>0</v>
      </c>
      <c r="HC111" s="2">
        <f t="shared" si="111"/>
        <v>0</v>
      </c>
      <c r="HD111" s="2"/>
      <c r="HE111" s="2" t="s">
        <v>34</v>
      </c>
      <c r="HF111" s="2" t="s">
        <v>187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3">
        <v>17</v>
      </c>
      <c r="B112" s="3">
        <v>1</v>
      </c>
      <c r="E112" s="3" t="s">
        <v>202</v>
      </c>
      <c r="F112" s="3" t="s">
        <v>203</v>
      </c>
      <c r="G112" s="3" t="s">
        <v>204</v>
      </c>
      <c r="H112" s="3" t="s">
        <v>183</v>
      </c>
      <c r="I112" s="3">
        <v>4</v>
      </c>
      <c r="J112" s="3">
        <v>0</v>
      </c>
      <c r="K112" s="3">
        <v>4</v>
      </c>
      <c r="O112" s="3">
        <f t="shared" si="87"/>
        <v>22016.07</v>
      </c>
      <c r="P112" s="3">
        <f t="shared" si="88"/>
        <v>22016.07</v>
      </c>
      <c r="Q112" s="3">
        <f t="shared" si="112"/>
        <v>0</v>
      </c>
      <c r="R112" s="3">
        <f t="shared" si="113"/>
        <v>0</v>
      </c>
      <c r="S112" s="3">
        <f t="shared" si="89"/>
        <v>0</v>
      </c>
      <c r="T112" s="3">
        <f t="shared" si="90"/>
        <v>0</v>
      </c>
      <c r="U112" s="3">
        <f t="shared" si="91"/>
        <v>0</v>
      </c>
      <c r="V112" s="3">
        <f t="shared" si="92"/>
        <v>0</v>
      </c>
      <c r="W112" s="3">
        <f t="shared" si="93"/>
        <v>0</v>
      </c>
      <c r="X112" s="3">
        <f t="shared" si="114"/>
        <v>0</v>
      </c>
      <c r="Y112" s="3">
        <f t="shared" si="115"/>
        <v>0</v>
      </c>
      <c r="AA112" s="3">
        <v>55937298</v>
      </c>
      <c r="AB112" s="3">
        <f t="shared" si="94"/>
        <v>718.54</v>
      </c>
      <c r="AC112" s="3">
        <f t="shared" si="116"/>
        <v>718.54</v>
      </c>
      <c r="AD112" s="3">
        <f t="shared" si="117"/>
        <v>0</v>
      </c>
      <c r="AE112" s="3">
        <f t="shared" si="118"/>
        <v>0</v>
      </c>
      <c r="AF112" s="3">
        <f t="shared" si="119"/>
        <v>0</v>
      </c>
      <c r="AG112" s="3">
        <f t="shared" si="95"/>
        <v>0</v>
      </c>
      <c r="AH112" s="3">
        <f t="shared" si="120"/>
        <v>0</v>
      </c>
      <c r="AI112" s="3">
        <f t="shared" si="121"/>
        <v>0</v>
      </c>
      <c r="AJ112" s="3">
        <f t="shared" si="96"/>
        <v>0</v>
      </c>
      <c r="AK112" s="3">
        <v>718.54</v>
      </c>
      <c r="AL112" s="3">
        <v>718.54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1</v>
      </c>
      <c r="AW112" s="3">
        <v>1</v>
      </c>
      <c r="AZ112" s="3">
        <v>1</v>
      </c>
      <c r="BA112" s="3">
        <v>1</v>
      </c>
      <c r="BB112" s="3">
        <v>1</v>
      </c>
      <c r="BC112" s="3">
        <v>7.66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3</v>
      </c>
      <c r="BI112" s="3">
        <v>3</v>
      </c>
      <c r="BJ112" s="3" t="s">
        <v>203</v>
      </c>
      <c r="BM112" s="3">
        <v>400007</v>
      </c>
      <c r="BN112" s="3">
        <v>0</v>
      </c>
      <c r="BO112" s="3" t="s">
        <v>3</v>
      </c>
      <c r="BP112" s="3">
        <v>0</v>
      </c>
      <c r="BQ112" s="3">
        <v>214</v>
      </c>
      <c r="BR112" s="3">
        <v>0</v>
      </c>
      <c r="BS112" s="3">
        <v>1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0</v>
      </c>
      <c r="CA112" s="3">
        <v>0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3</v>
      </c>
      <c r="CO112" s="3">
        <v>0</v>
      </c>
      <c r="CP112" s="3">
        <f t="shared" si="97"/>
        <v>22016.07</v>
      </c>
      <c r="CQ112" s="3">
        <f t="shared" si="98"/>
        <v>5504.02</v>
      </c>
      <c r="CR112" s="3">
        <f t="shared" si="122"/>
        <v>0</v>
      </c>
      <c r="CS112" s="3">
        <f t="shared" si="123"/>
        <v>0</v>
      </c>
      <c r="CT112" s="3">
        <f t="shared" si="99"/>
        <v>0</v>
      </c>
      <c r="CU112" s="3">
        <f t="shared" si="100"/>
        <v>0</v>
      </c>
      <c r="CV112" s="3">
        <f t="shared" si="101"/>
        <v>0</v>
      </c>
      <c r="CW112" s="3">
        <f t="shared" si="102"/>
        <v>0</v>
      </c>
      <c r="CX112" s="3">
        <f t="shared" si="103"/>
        <v>0</v>
      </c>
      <c r="CY112" s="3">
        <f t="shared" si="124"/>
        <v>0</v>
      </c>
      <c r="CZ112" s="3">
        <f t="shared" si="125"/>
        <v>0</v>
      </c>
      <c r="DC112" s="3" t="s">
        <v>3</v>
      </c>
      <c r="DD112" s="3" t="s">
        <v>3</v>
      </c>
      <c r="DE112" s="3" t="s">
        <v>3</v>
      </c>
      <c r="DF112" s="3" t="s">
        <v>3</v>
      </c>
      <c r="DG112" s="3" t="s">
        <v>3</v>
      </c>
      <c r="DH112" s="3" t="s">
        <v>3</v>
      </c>
      <c r="DI112" s="3" t="s">
        <v>3</v>
      </c>
      <c r="DJ112" s="3" t="s">
        <v>3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183</v>
      </c>
      <c r="DW112" s="3" t="s">
        <v>183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55393630</v>
      </c>
      <c r="EF112" s="3">
        <v>214</v>
      </c>
      <c r="EG112" s="3" t="s">
        <v>184</v>
      </c>
      <c r="EH112" s="3">
        <v>0</v>
      </c>
      <c r="EI112" s="3" t="s">
        <v>3</v>
      </c>
      <c r="EJ112" s="3">
        <v>3</v>
      </c>
      <c r="EK112" s="3">
        <v>400007</v>
      </c>
      <c r="EL112" s="3" t="s">
        <v>184</v>
      </c>
      <c r="EM112" s="3" t="s">
        <v>185</v>
      </c>
      <c r="EO112" s="3" t="s">
        <v>3</v>
      </c>
      <c r="EQ112" s="3">
        <v>16</v>
      </c>
      <c r="ER112" s="3">
        <v>0</v>
      </c>
      <c r="ES112" s="3">
        <v>718.54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5</v>
      </c>
      <c r="FC112" s="3">
        <v>1</v>
      </c>
      <c r="FD112" s="3">
        <v>18</v>
      </c>
      <c r="FF112" s="3">
        <v>6442</v>
      </c>
      <c r="FQ112" s="3">
        <v>0</v>
      </c>
      <c r="FR112" s="3">
        <f t="shared" si="126"/>
        <v>22016.07</v>
      </c>
      <c r="FS112" s="3">
        <v>0</v>
      </c>
      <c r="FX112" s="3">
        <v>0</v>
      </c>
      <c r="FY112" s="3">
        <v>0</v>
      </c>
      <c r="GA112" s="3" t="s">
        <v>205</v>
      </c>
      <c r="GD112" s="3">
        <v>1</v>
      </c>
      <c r="GF112" s="3">
        <v>-204230185</v>
      </c>
      <c r="GG112" s="3">
        <v>2</v>
      </c>
      <c r="GH112" s="3">
        <v>3</v>
      </c>
      <c r="GI112" s="3">
        <v>5</v>
      </c>
      <c r="GJ112" s="3">
        <v>0</v>
      </c>
      <c r="GK112" s="3">
        <v>0</v>
      </c>
      <c r="GL112" s="3">
        <f t="shared" si="104"/>
        <v>0</v>
      </c>
      <c r="GM112" s="3">
        <f t="shared" si="105"/>
        <v>22016.07</v>
      </c>
      <c r="GN112" s="3">
        <f t="shared" si="106"/>
        <v>0</v>
      </c>
      <c r="GO112" s="3">
        <f t="shared" si="107"/>
        <v>0</v>
      </c>
      <c r="GP112" s="3">
        <f t="shared" si="108"/>
        <v>0</v>
      </c>
      <c r="GR112" s="3">
        <v>1</v>
      </c>
      <c r="GS112" s="3">
        <v>1</v>
      </c>
      <c r="GT112" s="3">
        <v>0</v>
      </c>
      <c r="GU112" s="3" t="s">
        <v>3</v>
      </c>
      <c r="GV112" s="3">
        <f t="shared" si="109"/>
        <v>0</v>
      </c>
      <c r="GW112" s="3">
        <v>1</v>
      </c>
      <c r="GX112" s="3">
        <f t="shared" si="110"/>
        <v>0</v>
      </c>
      <c r="HA112" s="3">
        <v>0</v>
      </c>
      <c r="HB112" s="3">
        <v>0</v>
      </c>
      <c r="HC112" s="3">
        <f t="shared" si="111"/>
        <v>0</v>
      </c>
      <c r="HE112" s="3" t="s">
        <v>34</v>
      </c>
      <c r="HF112" s="3" t="s">
        <v>187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">
      <c r="A113" s="2">
        <v>17</v>
      </c>
      <c r="B113" s="2">
        <v>1</v>
      </c>
      <c r="C113" s="2"/>
      <c r="D113" s="2"/>
      <c r="E113" s="2" t="s">
        <v>206</v>
      </c>
      <c r="F113" s="2" t="s">
        <v>207</v>
      </c>
      <c r="G113" s="2" t="s">
        <v>208</v>
      </c>
      <c r="H113" s="2" t="s">
        <v>183</v>
      </c>
      <c r="I113" s="2">
        <v>1</v>
      </c>
      <c r="J113" s="2">
        <v>0</v>
      </c>
      <c r="K113" s="2">
        <v>1</v>
      </c>
      <c r="L113" s="2"/>
      <c r="M113" s="2"/>
      <c r="N113" s="2"/>
      <c r="O113" s="2">
        <f t="shared" si="87"/>
        <v>793.71</v>
      </c>
      <c r="P113" s="2">
        <f t="shared" si="88"/>
        <v>793.71</v>
      </c>
      <c r="Q113" s="2">
        <f t="shared" si="112"/>
        <v>0</v>
      </c>
      <c r="R113" s="2">
        <f t="shared" si="113"/>
        <v>0</v>
      </c>
      <c r="S113" s="2">
        <f t="shared" si="89"/>
        <v>0</v>
      </c>
      <c r="T113" s="2">
        <f t="shared" si="90"/>
        <v>0</v>
      </c>
      <c r="U113" s="2">
        <f t="shared" si="91"/>
        <v>0</v>
      </c>
      <c r="V113" s="2">
        <f t="shared" si="92"/>
        <v>0</v>
      </c>
      <c r="W113" s="2">
        <f t="shared" si="93"/>
        <v>0</v>
      </c>
      <c r="X113" s="2">
        <f t="shared" si="114"/>
        <v>0</v>
      </c>
      <c r="Y113" s="2">
        <f t="shared" si="115"/>
        <v>0</v>
      </c>
      <c r="Z113" s="2"/>
      <c r="AA113" s="2">
        <v>55937296</v>
      </c>
      <c r="AB113" s="2">
        <f t="shared" si="94"/>
        <v>793.71</v>
      </c>
      <c r="AC113" s="2">
        <f t="shared" si="116"/>
        <v>793.71</v>
      </c>
      <c r="AD113" s="2">
        <f t="shared" si="117"/>
        <v>0</v>
      </c>
      <c r="AE113" s="2">
        <f t="shared" si="118"/>
        <v>0</v>
      </c>
      <c r="AF113" s="2">
        <f t="shared" si="119"/>
        <v>0</v>
      </c>
      <c r="AG113" s="2">
        <f t="shared" si="95"/>
        <v>0</v>
      </c>
      <c r="AH113" s="2">
        <f t="shared" si="120"/>
        <v>0</v>
      </c>
      <c r="AI113" s="2">
        <f t="shared" si="121"/>
        <v>0</v>
      </c>
      <c r="AJ113" s="2">
        <f t="shared" si="96"/>
        <v>0</v>
      </c>
      <c r="AK113" s="2">
        <v>793.71</v>
      </c>
      <c r="AL113" s="2">
        <v>793.71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3</v>
      </c>
      <c r="BJ113" s="2" t="s">
        <v>207</v>
      </c>
      <c r="BK113" s="2"/>
      <c r="BL113" s="2"/>
      <c r="BM113" s="2">
        <v>400007</v>
      </c>
      <c r="BN113" s="2">
        <v>0</v>
      </c>
      <c r="BO113" s="2" t="s">
        <v>3</v>
      </c>
      <c r="BP113" s="2">
        <v>0</v>
      </c>
      <c r="BQ113" s="2">
        <v>214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97"/>
        <v>793.71</v>
      </c>
      <c r="CQ113" s="2">
        <f t="shared" si="98"/>
        <v>793.71</v>
      </c>
      <c r="CR113" s="2">
        <f t="shared" si="122"/>
        <v>0</v>
      </c>
      <c r="CS113" s="2">
        <f t="shared" si="123"/>
        <v>0</v>
      </c>
      <c r="CT113" s="2">
        <f t="shared" si="99"/>
        <v>0</v>
      </c>
      <c r="CU113" s="2">
        <f t="shared" si="100"/>
        <v>0</v>
      </c>
      <c r="CV113" s="2">
        <f t="shared" si="101"/>
        <v>0</v>
      </c>
      <c r="CW113" s="2">
        <f t="shared" si="102"/>
        <v>0</v>
      </c>
      <c r="CX113" s="2">
        <f t="shared" si="103"/>
        <v>0</v>
      </c>
      <c r="CY113" s="2">
        <f t="shared" si="124"/>
        <v>0</v>
      </c>
      <c r="CZ113" s="2">
        <f t="shared" si="125"/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183</v>
      </c>
      <c r="DW113" s="2" t="s">
        <v>183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55393630</v>
      </c>
      <c r="EF113" s="2">
        <v>214</v>
      </c>
      <c r="EG113" s="2" t="s">
        <v>184</v>
      </c>
      <c r="EH113" s="2">
        <v>0</v>
      </c>
      <c r="EI113" s="2" t="s">
        <v>3</v>
      </c>
      <c r="EJ113" s="2">
        <v>3</v>
      </c>
      <c r="EK113" s="2">
        <v>400007</v>
      </c>
      <c r="EL113" s="2" t="s">
        <v>184</v>
      </c>
      <c r="EM113" s="2" t="s">
        <v>185</v>
      </c>
      <c r="EN113" s="2"/>
      <c r="EO113" s="2" t="s">
        <v>3</v>
      </c>
      <c r="EP113" s="2"/>
      <c r="EQ113" s="2">
        <v>16</v>
      </c>
      <c r="ER113" s="2">
        <v>0</v>
      </c>
      <c r="ES113" s="2">
        <v>793.71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f t="shared" si="126"/>
        <v>793.71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209</v>
      </c>
      <c r="GB113" s="2"/>
      <c r="GC113" s="2"/>
      <c r="GD113" s="2">
        <v>1</v>
      </c>
      <c r="GE113" s="2"/>
      <c r="GF113" s="2">
        <v>-2128409666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104"/>
        <v>0</v>
      </c>
      <c r="GM113" s="2">
        <f t="shared" si="105"/>
        <v>793.71</v>
      </c>
      <c r="GN113" s="2">
        <f t="shared" si="106"/>
        <v>0</v>
      </c>
      <c r="GO113" s="2">
        <f t="shared" si="107"/>
        <v>0</v>
      </c>
      <c r="GP113" s="2">
        <f t="shared" si="108"/>
        <v>0</v>
      </c>
      <c r="GQ113" s="2"/>
      <c r="GR113" s="2">
        <v>1</v>
      </c>
      <c r="GS113" s="2">
        <v>2</v>
      </c>
      <c r="GT113" s="2">
        <v>0</v>
      </c>
      <c r="GU113" s="2" t="s">
        <v>3</v>
      </c>
      <c r="GV113" s="2">
        <f t="shared" si="109"/>
        <v>0</v>
      </c>
      <c r="GW113" s="2">
        <v>1</v>
      </c>
      <c r="GX113" s="2">
        <f t="shared" si="110"/>
        <v>0</v>
      </c>
      <c r="GY113" s="2"/>
      <c r="GZ113" s="2"/>
      <c r="HA113" s="2">
        <v>0</v>
      </c>
      <c r="HB113" s="2">
        <v>0</v>
      </c>
      <c r="HC113" s="2">
        <f t="shared" si="111"/>
        <v>0</v>
      </c>
      <c r="HD113" s="2"/>
      <c r="HE113" s="2" t="s">
        <v>34</v>
      </c>
      <c r="HF113" s="2" t="s">
        <v>187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3">
        <v>17</v>
      </c>
      <c r="B114" s="3">
        <v>1</v>
      </c>
      <c r="E114" s="3" t="s">
        <v>206</v>
      </c>
      <c r="F114" s="3" t="s">
        <v>207</v>
      </c>
      <c r="G114" s="3" t="s">
        <v>208</v>
      </c>
      <c r="H114" s="3" t="s">
        <v>183</v>
      </c>
      <c r="I114" s="3">
        <v>1</v>
      </c>
      <c r="J114" s="3">
        <v>0</v>
      </c>
      <c r="K114" s="3">
        <v>1</v>
      </c>
      <c r="O114" s="3">
        <f t="shared" si="87"/>
        <v>6079.82</v>
      </c>
      <c r="P114" s="3">
        <f t="shared" si="88"/>
        <v>6079.82</v>
      </c>
      <c r="Q114" s="3">
        <f t="shared" si="112"/>
        <v>0</v>
      </c>
      <c r="R114" s="3">
        <f t="shared" si="113"/>
        <v>0</v>
      </c>
      <c r="S114" s="3">
        <f t="shared" si="89"/>
        <v>0</v>
      </c>
      <c r="T114" s="3">
        <f t="shared" si="90"/>
        <v>0</v>
      </c>
      <c r="U114" s="3">
        <f t="shared" si="91"/>
        <v>0</v>
      </c>
      <c r="V114" s="3">
        <f t="shared" si="92"/>
        <v>0</v>
      </c>
      <c r="W114" s="3">
        <f t="shared" si="93"/>
        <v>0</v>
      </c>
      <c r="X114" s="3">
        <f t="shared" si="114"/>
        <v>0</v>
      </c>
      <c r="Y114" s="3">
        <f t="shared" si="115"/>
        <v>0</v>
      </c>
      <c r="AA114" s="3">
        <v>55937298</v>
      </c>
      <c r="AB114" s="3">
        <f t="shared" si="94"/>
        <v>793.71</v>
      </c>
      <c r="AC114" s="3">
        <f t="shared" si="116"/>
        <v>793.71</v>
      </c>
      <c r="AD114" s="3">
        <f t="shared" si="117"/>
        <v>0</v>
      </c>
      <c r="AE114" s="3">
        <f t="shared" si="118"/>
        <v>0</v>
      </c>
      <c r="AF114" s="3">
        <f t="shared" si="119"/>
        <v>0</v>
      </c>
      <c r="AG114" s="3">
        <f t="shared" si="95"/>
        <v>0</v>
      </c>
      <c r="AH114" s="3">
        <f t="shared" si="120"/>
        <v>0</v>
      </c>
      <c r="AI114" s="3">
        <f t="shared" si="121"/>
        <v>0</v>
      </c>
      <c r="AJ114" s="3">
        <f t="shared" si="96"/>
        <v>0</v>
      </c>
      <c r="AK114" s="3">
        <v>793.71</v>
      </c>
      <c r="AL114" s="3">
        <v>793.71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7.66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3</v>
      </c>
      <c r="BJ114" s="3" t="s">
        <v>207</v>
      </c>
      <c r="BM114" s="3">
        <v>400007</v>
      </c>
      <c r="BN114" s="3">
        <v>0</v>
      </c>
      <c r="BO114" s="3" t="s">
        <v>3</v>
      </c>
      <c r="BP114" s="3">
        <v>0</v>
      </c>
      <c r="BQ114" s="3">
        <v>214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0</v>
      </c>
      <c r="CA114" s="3">
        <v>0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3</v>
      </c>
      <c r="CO114" s="3">
        <v>0</v>
      </c>
      <c r="CP114" s="3">
        <f t="shared" si="97"/>
        <v>6079.82</v>
      </c>
      <c r="CQ114" s="3">
        <f t="shared" si="98"/>
        <v>6079.82</v>
      </c>
      <c r="CR114" s="3">
        <f t="shared" si="122"/>
        <v>0</v>
      </c>
      <c r="CS114" s="3">
        <f t="shared" si="123"/>
        <v>0</v>
      </c>
      <c r="CT114" s="3">
        <f t="shared" si="99"/>
        <v>0</v>
      </c>
      <c r="CU114" s="3">
        <f t="shared" si="100"/>
        <v>0</v>
      </c>
      <c r="CV114" s="3">
        <f t="shared" si="101"/>
        <v>0</v>
      </c>
      <c r="CW114" s="3">
        <f t="shared" si="102"/>
        <v>0</v>
      </c>
      <c r="CX114" s="3">
        <f t="shared" si="103"/>
        <v>0</v>
      </c>
      <c r="CY114" s="3">
        <f t="shared" si="124"/>
        <v>0</v>
      </c>
      <c r="CZ114" s="3">
        <f t="shared" si="125"/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183</v>
      </c>
      <c r="DW114" s="3" t="s">
        <v>183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55393630</v>
      </c>
      <c r="EF114" s="3">
        <v>214</v>
      </c>
      <c r="EG114" s="3" t="s">
        <v>184</v>
      </c>
      <c r="EH114" s="3">
        <v>0</v>
      </c>
      <c r="EI114" s="3" t="s">
        <v>3</v>
      </c>
      <c r="EJ114" s="3">
        <v>3</v>
      </c>
      <c r="EK114" s="3">
        <v>400007</v>
      </c>
      <c r="EL114" s="3" t="s">
        <v>184</v>
      </c>
      <c r="EM114" s="3" t="s">
        <v>185</v>
      </c>
      <c r="EO114" s="3" t="s">
        <v>3</v>
      </c>
      <c r="EQ114" s="3">
        <v>16</v>
      </c>
      <c r="ER114" s="3">
        <v>0</v>
      </c>
      <c r="ES114" s="3">
        <v>793.71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5</v>
      </c>
      <c r="FC114" s="3">
        <v>1</v>
      </c>
      <c r="FD114" s="3">
        <v>18</v>
      </c>
      <c r="FF114" s="3">
        <v>7116</v>
      </c>
      <c r="FQ114" s="3">
        <v>0</v>
      </c>
      <c r="FR114" s="3">
        <f t="shared" si="126"/>
        <v>6079.82</v>
      </c>
      <c r="FS114" s="3">
        <v>0</v>
      </c>
      <c r="FX114" s="3">
        <v>0</v>
      </c>
      <c r="FY114" s="3">
        <v>0</v>
      </c>
      <c r="GA114" s="3" t="s">
        <v>209</v>
      </c>
      <c r="GD114" s="3">
        <v>1</v>
      </c>
      <c r="GF114" s="3">
        <v>-2128409666</v>
      </c>
      <c r="GG114" s="3">
        <v>2</v>
      </c>
      <c r="GH114" s="3">
        <v>3</v>
      </c>
      <c r="GI114" s="3">
        <v>5</v>
      </c>
      <c r="GJ114" s="3">
        <v>0</v>
      </c>
      <c r="GK114" s="3">
        <v>0</v>
      </c>
      <c r="GL114" s="3">
        <f t="shared" si="104"/>
        <v>0</v>
      </c>
      <c r="GM114" s="3">
        <f t="shared" si="105"/>
        <v>6079.82</v>
      </c>
      <c r="GN114" s="3">
        <f t="shared" si="106"/>
        <v>0</v>
      </c>
      <c r="GO114" s="3">
        <f t="shared" si="107"/>
        <v>0</v>
      </c>
      <c r="GP114" s="3">
        <f t="shared" si="108"/>
        <v>0</v>
      </c>
      <c r="GR114" s="3">
        <v>1</v>
      </c>
      <c r="GS114" s="3">
        <v>1</v>
      </c>
      <c r="GT114" s="3">
        <v>0</v>
      </c>
      <c r="GU114" s="3" t="s">
        <v>3</v>
      </c>
      <c r="GV114" s="3">
        <f t="shared" si="109"/>
        <v>0</v>
      </c>
      <c r="GW114" s="3">
        <v>1</v>
      </c>
      <c r="GX114" s="3">
        <f t="shared" si="110"/>
        <v>0</v>
      </c>
      <c r="HA114" s="3">
        <v>0</v>
      </c>
      <c r="HB114" s="3">
        <v>0</v>
      </c>
      <c r="HC114" s="3">
        <f t="shared" si="111"/>
        <v>0</v>
      </c>
      <c r="HE114" s="3" t="s">
        <v>34</v>
      </c>
      <c r="HF114" s="3" t="s">
        <v>187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">
      <c r="A115" s="2">
        <v>17</v>
      </c>
      <c r="B115" s="2">
        <v>1</v>
      </c>
      <c r="C115" s="2"/>
      <c r="D115" s="2"/>
      <c r="E115" s="2" t="s">
        <v>210</v>
      </c>
      <c r="F115" s="2" t="s">
        <v>211</v>
      </c>
      <c r="G115" s="2" t="s">
        <v>212</v>
      </c>
      <c r="H115" s="2" t="s">
        <v>183</v>
      </c>
      <c r="I115" s="2">
        <v>1</v>
      </c>
      <c r="J115" s="2">
        <v>0</v>
      </c>
      <c r="K115" s="2">
        <v>1</v>
      </c>
      <c r="L115" s="2"/>
      <c r="M115" s="2"/>
      <c r="N115" s="2"/>
      <c r="O115" s="2">
        <f t="shared" si="87"/>
        <v>926.45</v>
      </c>
      <c r="P115" s="2">
        <f t="shared" si="88"/>
        <v>926.45</v>
      </c>
      <c r="Q115" s="2">
        <f t="shared" si="112"/>
        <v>0</v>
      </c>
      <c r="R115" s="2">
        <f t="shared" si="113"/>
        <v>0</v>
      </c>
      <c r="S115" s="2">
        <f t="shared" si="89"/>
        <v>0</v>
      </c>
      <c r="T115" s="2">
        <f t="shared" si="90"/>
        <v>0</v>
      </c>
      <c r="U115" s="2">
        <f t="shared" si="91"/>
        <v>0</v>
      </c>
      <c r="V115" s="2">
        <f t="shared" si="92"/>
        <v>0</v>
      </c>
      <c r="W115" s="2">
        <f t="shared" si="93"/>
        <v>0</v>
      </c>
      <c r="X115" s="2">
        <f t="shared" si="114"/>
        <v>0</v>
      </c>
      <c r="Y115" s="2">
        <f t="shared" si="115"/>
        <v>0</v>
      </c>
      <c r="Z115" s="2"/>
      <c r="AA115" s="2">
        <v>55937296</v>
      </c>
      <c r="AB115" s="2">
        <f t="shared" si="94"/>
        <v>926.45</v>
      </c>
      <c r="AC115" s="2">
        <f t="shared" si="116"/>
        <v>926.45</v>
      </c>
      <c r="AD115" s="2">
        <f t="shared" si="117"/>
        <v>0</v>
      </c>
      <c r="AE115" s="2">
        <f t="shared" si="118"/>
        <v>0</v>
      </c>
      <c r="AF115" s="2">
        <f t="shared" si="119"/>
        <v>0</v>
      </c>
      <c r="AG115" s="2">
        <f t="shared" si="95"/>
        <v>0</v>
      </c>
      <c r="AH115" s="2">
        <f t="shared" si="120"/>
        <v>0</v>
      </c>
      <c r="AI115" s="2">
        <f t="shared" si="121"/>
        <v>0</v>
      </c>
      <c r="AJ115" s="2">
        <f t="shared" si="96"/>
        <v>0</v>
      </c>
      <c r="AK115" s="2">
        <v>926.44999999999993</v>
      </c>
      <c r="AL115" s="2">
        <v>926.44999999999993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211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97"/>
        <v>926.45</v>
      </c>
      <c r="CQ115" s="2">
        <f t="shared" si="98"/>
        <v>926.45</v>
      </c>
      <c r="CR115" s="2">
        <f t="shared" si="122"/>
        <v>0</v>
      </c>
      <c r="CS115" s="2">
        <f t="shared" si="123"/>
        <v>0</v>
      </c>
      <c r="CT115" s="2">
        <f t="shared" si="99"/>
        <v>0</v>
      </c>
      <c r="CU115" s="2">
        <f t="shared" si="100"/>
        <v>0</v>
      </c>
      <c r="CV115" s="2">
        <f t="shared" si="101"/>
        <v>0</v>
      </c>
      <c r="CW115" s="2">
        <f t="shared" si="102"/>
        <v>0</v>
      </c>
      <c r="CX115" s="2">
        <f t="shared" si="103"/>
        <v>0</v>
      </c>
      <c r="CY115" s="2">
        <f t="shared" si="124"/>
        <v>0</v>
      </c>
      <c r="CZ115" s="2">
        <f t="shared" si="125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183</v>
      </c>
      <c r="DW115" s="2" t="s">
        <v>183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55393630</v>
      </c>
      <c r="EF115" s="2">
        <v>214</v>
      </c>
      <c r="EG115" s="2" t="s">
        <v>184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184</v>
      </c>
      <c r="EM115" s="2" t="s">
        <v>185</v>
      </c>
      <c r="EN115" s="2"/>
      <c r="EO115" s="2" t="s">
        <v>3</v>
      </c>
      <c r="EP115" s="2"/>
      <c r="EQ115" s="2">
        <v>16</v>
      </c>
      <c r="ER115" s="2">
        <v>0</v>
      </c>
      <c r="ES115" s="2">
        <v>926.44999999999993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 t="shared" si="126"/>
        <v>926.45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213</v>
      </c>
      <c r="GB115" s="2"/>
      <c r="GC115" s="2"/>
      <c r="GD115" s="2">
        <v>1</v>
      </c>
      <c r="GE115" s="2"/>
      <c r="GF115" s="2">
        <v>384040123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104"/>
        <v>0</v>
      </c>
      <c r="GM115" s="2">
        <f t="shared" si="105"/>
        <v>926.45</v>
      </c>
      <c r="GN115" s="2">
        <f t="shared" si="106"/>
        <v>0</v>
      </c>
      <c r="GO115" s="2">
        <f t="shared" si="107"/>
        <v>0</v>
      </c>
      <c r="GP115" s="2">
        <f t="shared" si="108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109"/>
        <v>0</v>
      </c>
      <c r="GW115" s="2">
        <v>1</v>
      </c>
      <c r="GX115" s="2">
        <f t="shared" si="110"/>
        <v>0</v>
      </c>
      <c r="GY115" s="2"/>
      <c r="GZ115" s="2"/>
      <c r="HA115" s="2">
        <v>0</v>
      </c>
      <c r="HB115" s="2">
        <v>0</v>
      </c>
      <c r="HC115" s="2">
        <f t="shared" si="111"/>
        <v>0</v>
      </c>
      <c r="HD115" s="2"/>
      <c r="HE115" s="2" t="s">
        <v>34</v>
      </c>
      <c r="HF115" s="2" t="s">
        <v>187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3">
        <v>17</v>
      </c>
      <c r="B116" s="3">
        <v>1</v>
      </c>
      <c r="E116" s="3" t="s">
        <v>210</v>
      </c>
      <c r="F116" s="3" t="s">
        <v>211</v>
      </c>
      <c r="G116" s="3" t="s">
        <v>212</v>
      </c>
      <c r="H116" s="3" t="s">
        <v>183</v>
      </c>
      <c r="I116" s="3">
        <v>1</v>
      </c>
      <c r="J116" s="3">
        <v>0</v>
      </c>
      <c r="K116" s="3">
        <v>1</v>
      </c>
      <c r="O116" s="3">
        <f t="shared" si="87"/>
        <v>7096.61</v>
      </c>
      <c r="P116" s="3">
        <f t="shared" si="88"/>
        <v>7096.61</v>
      </c>
      <c r="Q116" s="3">
        <f t="shared" si="112"/>
        <v>0</v>
      </c>
      <c r="R116" s="3">
        <f t="shared" si="113"/>
        <v>0</v>
      </c>
      <c r="S116" s="3">
        <f t="shared" si="89"/>
        <v>0</v>
      </c>
      <c r="T116" s="3">
        <f t="shared" si="90"/>
        <v>0</v>
      </c>
      <c r="U116" s="3">
        <f t="shared" si="91"/>
        <v>0</v>
      </c>
      <c r="V116" s="3">
        <f t="shared" si="92"/>
        <v>0</v>
      </c>
      <c r="W116" s="3">
        <f t="shared" si="93"/>
        <v>0</v>
      </c>
      <c r="X116" s="3">
        <f t="shared" si="114"/>
        <v>0</v>
      </c>
      <c r="Y116" s="3">
        <f t="shared" si="115"/>
        <v>0</v>
      </c>
      <c r="AA116" s="3">
        <v>55937298</v>
      </c>
      <c r="AB116" s="3">
        <f t="shared" si="94"/>
        <v>926.45</v>
      </c>
      <c r="AC116" s="3">
        <f t="shared" si="116"/>
        <v>926.45</v>
      </c>
      <c r="AD116" s="3">
        <f t="shared" si="117"/>
        <v>0</v>
      </c>
      <c r="AE116" s="3">
        <f t="shared" si="118"/>
        <v>0</v>
      </c>
      <c r="AF116" s="3">
        <f t="shared" si="119"/>
        <v>0</v>
      </c>
      <c r="AG116" s="3">
        <f t="shared" si="95"/>
        <v>0</v>
      </c>
      <c r="AH116" s="3">
        <f t="shared" si="120"/>
        <v>0</v>
      </c>
      <c r="AI116" s="3">
        <f t="shared" si="121"/>
        <v>0</v>
      </c>
      <c r="AJ116" s="3">
        <f t="shared" si="96"/>
        <v>0</v>
      </c>
      <c r="AK116" s="3">
        <v>926.44999999999993</v>
      </c>
      <c r="AL116" s="3">
        <v>926.44999999999993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7.66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211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97"/>
        <v>7096.61</v>
      </c>
      <c r="CQ116" s="3">
        <f t="shared" si="98"/>
        <v>7096.61</v>
      </c>
      <c r="CR116" s="3">
        <f t="shared" si="122"/>
        <v>0</v>
      </c>
      <c r="CS116" s="3">
        <f t="shared" si="123"/>
        <v>0</v>
      </c>
      <c r="CT116" s="3">
        <f t="shared" si="99"/>
        <v>0</v>
      </c>
      <c r="CU116" s="3">
        <f t="shared" si="100"/>
        <v>0</v>
      </c>
      <c r="CV116" s="3">
        <f t="shared" si="101"/>
        <v>0</v>
      </c>
      <c r="CW116" s="3">
        <f t="shared" si="102"/>
        <v>0</v>
      </c>
      <c r="CX116" s="3">
        <f t="shared" si="103"/>
        <v>0</v>
      </c>
      <c r="CY116" s="3">
        <f t="shared" si="124"/>
        <v>0</v>
      </c>
      <c r="CZ116" s="3">
        <f t="shared" si="125"/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183</v>
      </c>
      <c r="DW116" s="3" t="s">
        <v>183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55393630</v>
      </c>
      <c r="EF116" s="3">
        <v>214</v>
      </c>
      <c r="EG116" s="3" t="s">
        <v>184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184</v>
      </c>
      <c r="EM116" s="3" t="s">
        <v>185</v>
      </c>
      <c r="EO116" s="3" t="s">
        <v>3</v>
      </c>
      <c r="EQ116" s="3">
        <v>16</v>
      </c>
      <c r="ER116" s="3">
        <v>0</v>
      </c>
      <c r="ES116" s="3">
        <v>926.44999999999993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8306</v>
      </c>
      <c r="FQ116" s="3">
        <v>0</v>
      </c>
      <c r="FR116" s="3">
        <f t="shared" si="126"/>
        <v>7096.61</v>
      </c>
      <c r="FS116" s="3">
        <v>0</v>
      </c>
      <c r="FX116" s="3">
        <v>0</v>
      </c>
      <c r="FY116" s="3">
        <v>0</v>
      </c>
      <c r="GA116" s="3" t="s">
        <v>213</v>
      </c>
      <c r="GD116" s="3">
        <v>1</v>
      </c>
      <c r="GF116" s="3">
        <v>384040123</v>
      </c>
      <c r="GG116" s="3">
        <v>2</v>
      </c>
      <c r="GH116" s="3">
        <v>3</v>
      </c>
      <c r="GI116" s="3">
        <v>5</v>
      </c>
      <c r="GJ116" s="3">
        <v>0</v>
      </c>
      <c r="GK116" s="3">
        <v>0</v>
      </c>
      <c r="GL116" s="3">
        <f t="shared" si="104"/>
        <v>0</v>
      </c>
      <c r="GM116" s="3">
        <f t="shared" si="105"/>
        <v>7096.61</v>
      </c>
      <c r="GN116" s="3">
        <f t="shared" si="106"/>
        <v>0</v>
      </c>
      <c r="GO116" s="3">
        <f t="shared" si="107"/>
        <v>0</v>
      </c>
      <c r="GP116" s="3">
        <f t="shared" si="108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109"/>
        <v>0</v>
      </c>
      <c r="GW116" s="3">
        <v>1</v>
      </c>
      <c r="GX116" s="3">
        <f t="shared" si="110"/>
        <v>0</v>
      </c>
      <c r="HA116" s="3">
        <v>0</v>
      </c>
      <c r="HB116" s="3">
        <v>0</v>
      </c>
      <c r="HC116" s="3">
        <f t="shared" si="111"/>
        <v>0</v>
      </c>
      <c r="HE116" s="3" t="s">
        <v>34</v>
      </c>
      <c r="HF116" s="3" t="s">
        <v>187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7" spans="1:255" x14ac:dyDescent="0.2">
      <c r="A117" s="2">
        <v>17</v>
      </c>
      <c r="B117" s="2">
        <v>1</v>
      </c>
      <c r="C117" s="2"/>
      <c r="D117" s="2"/>
      <c r="E117" s="2" t="s">
        <v>214</v>
      </c>
      <c r="F117" s="2" t="s">
        <v>215</v>
      </c>
      <c r="G117" s="2" t="s">
        <v>216</v>
      </c>
      <c r="H117" s="2" t="s">
        <v>217</v>
      </c>
      <c r="I117" s="2">
        <v>8</v>
      </c>
      <c r="J117" s="2">
        <v>0</v>
      </c>
      <c r="K117" s="2">
        <v>8</v>
      </c>
      <c r="L117" s="2"/>
      <c r="M117" s="2"/>
      <c r="N117" s="2"/>
      <c r="O117" s="2">
        <f t="shared" si="87"/>
        <v>715.12</v>
      </c>
      <c r="P117" s="2">
        <f>ROUND((ROUND((AC117*I117),2)*BC117),2)</f>
        <v>715.12</v>
      </c>
      <c r="Q117" s="2">
        <f t="shared" si="112"/>
        <v>0</v>
      </c>
      <c r="R117" s="2">
        <f t="shared" si="113"/>
        <v>0</v>
      </c>
      <c r="S117" s="2">
        <f t="shared" si="89"/>
        <v>0</v>
      </c>
      <c r="T117" s="2">
        <f t="shared" si="90"/>
        <v>0</v>
      </c>
      <c r="U117" s="2">
        <f t="shared" si="91"/>
        <v>0</v>
      </c>
      <c r="V117" s="2">
        <f t="shared" si="92"/>
        <v>0</v>
      </c>
      <c r="W117" s="2">
        <f t="shared" si="93"/>
        <v>0</v>
      </c>
      <c r="X117" s="2">
        <f t="shared" si="114"/>
        <v>0</v>
      </c>
      <c r="Y117" s="2">
        <f t="shared" si="115"/>
        <v>0</v>
      </c>
      <c r="Z117" s="2"/>
      <c r="AA117" s="2">
        <v>55937296</v>
      </c>
      <c r="AB117" s="2">
        <f t="shared" si="94"/>
        <v>89.39</v>
      </c>
      <c r="AC117" s="2">
        <f t="shared" si="116"/>
        <v>89.39</v>
      </c>
      <c r="AD117" s="2">
        <f t="shared" si="117"/>
        <v>0</v>
      </c>
      <c r="AE117" s="2">
        <f t="shared" si="118"/>
        <v>0</v>
      </c>
      <c r="AF117" s="2">
        <f t="shared" si="119"/>
        <v>0</v>
      </c>
      <c r="AG117" s="2">
        <f t="shared" si="95"/>
        <v>0</v>
      </c>
      <c r="AH117" s="2">
        <f t="shared" si="120"/>
        <v>0</v>
      </c>
      <c r="AI117" s="2">
        <f t="shared" si="121"/>
        <v>0</v>
      </c>
      <c r="AJ117" s="2">
        <f t="shared" si="96"/>
        <v>0</v>
      </c>
      <c r="AK117" s="2">
        <v>89.39</v>
      </c>
      <c r="AL117" s="2">
        <v>89.39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3</v>
      </c>
      <c r="BJ117" s="2" t="s">
        <v>218</v>
      </c>
      <c r="BK117" s="2"/>
      <c r="BL117" s="2"/>
      <c r="BM117" s="2">
        <v>746</v>
      </c>
      <c r="BN117" s="2">
        <v>0</v>
      </c>
      <c r="BO117" s="2" t="s">
        <v>3</v>
      </c>
      <c r="BP117" s="2">
        <v>0</v>
      </c>
      <c r="BQ117" s="2">
        <v>130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97"/>
        <v>715.12</v>
      </c>
      <c r="CQ117" s="2">
        <f>ROUND((ROUND((AC117*1),2)*BC117),2)</f>
        <v>89.39</v>
      </c>
      <c r="CR117" s="2">
        <f t="shared" si="122"/>
        <v>0</v>
      </c>
      <c r="CS117" s="2">
        <f t="shared" si="123"/>
        <v>0</v>
      </c>
      <c r="CT117" s="2">
        <f t="shared" si="99"/>
        <v>0</v>
      </c>
      <c r="CU117" s="2">
        <f t="shared" si="100"/>
        <v>0</v>
      </c>
      <c r="CV117" s="2">
        <f t="shared" si="101"/>
        <v>0</v>
      </c>
      <c r="CW117" s="2">
        <f t="shared" si="102"/>
        <v>0</v>
      </c>
      <c r="CX117" s="2">
        <f t="shared" si="103"/>
        <v>0</v>
      </c>
      <c r="CY117" s="2">
        <f t="shared" si="124"/>
        <v>0</v>
      </c>
      <c r="CZ117" s="2">
        <f t="shared" si="125"/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1010</v>
      </c>
      <c r="DV117" s="2" t="s">
        <v>217</v>
      </c>
      <c r="DW117" s="2" t="s">
        <v>217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55393806</v>
      </c>
      <c r="EF117" s="2">
        <v>130</v>
      </c>
      <c r="EG117" s="2" t="s">
        <v>219</v>
      </c>
      <c r="EH117" s="2">
        <v>0</v>
      </c>
      <c r="EI117" s="2" t="s">
        <v>3</v>
      </c>
      <c r="EJ117" s="2">
        <v>3</v>
      </c>
      <c r="EK117" s="2">
        <v>746</v>
      </c>
      <c r="EL117" s="2" t="s">
        <v>220</v>
      </c>
      <c r="EM117" s="2" t="s">
        <v>221</v>
      </c>
      <c r="EN117" s="2"/>
      <c r="EO117" s="2" t="s">
        <v>3</v>
      </c>
      <c r="EP117" s="2"/>
      <c r="EQ117" s="2">
        <v>0</v>
      </c>
      <c r="ER117" s="2">
        <v>89.39</v>
      </c>
      <c r="ES117" s="2">
        <v>89.39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f t="shared" si="126"/>
        <v>715.12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3</v>
      </c>
      <c r="GB117" s="2"/>
      <c r="GC117" s="2"/>
      <c r="GD117" s="2">
        <v>1</v>
      </c>
      <c r="GE117" s="2"/>
      <c r="GF117" s="2">
        <v>-1920167778</v>
      </c>
      <c r="GG117" s="2">
        <v>2</v>
      </c>
      <c r="GH117" s="2">
        <v>1</v>
      </c>
      <c r="GI117" s="2">
        <v>-2</v>
      </c>
      <c r="GJ117" s="2">
        <v>0</v>
      </c>
      <c r="GK117" s="2">
        <v>0</v>
      </c>
      <c r="GL117" s="2">
        <f t="shared" si="104"/>
        <v>0</v>
      </c>
      <c r="GM117" s="2">
        <f t="shared" si="105"/>
        <v>715.12</v>
      </c>
      <c r="GN117" s="2">
        <f t="shared" si="106"/>
        <v>0</v>
      </c>
      <c r="GO117" s="2">
        <f t="shared" si="107"/>
        <v>0</v>
      </c>
      <c r="GP117" s="2">
        <f t="shared" si="108"/>
        <v>0</v>
      </c>
      <c r="GQ117" s="2"/>
      <c r="GR117" s="2">
        <v>0</v>
      </c>
      <c r="GS117" s="2">
        <v>3</v>
      </c>
      <c r="GT117" s="2">
        <v>0</v>
      </c>
      <c r="GU117" s="2" t="s">
        <v>3</v>
      </c>
      <c r="GV117" s="2">
        <f t="shared" si="109"/>
        <v>0</v>
      </c>
      <c r="GW117" s="2">
        <v>1</v>
      </c>
      <c r="GX117" s="2">
        <f t="shared" si="110"/>
        <v>0</v>
      </c>
      <c r="GY117" s="2"/>
      <c r="GZ117" s="2"/>
      <c r="HA117" s="2">
        <v>0</v>
      </c>
      <c r="HB117" s="2">
        <v>0</v>
      </c>
      <c r="HC117" s="2">
        <f t="shared" si="111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 s="3">
        <v>17</v>
      </c>
      <c r="B118" s="3">
        <v>1</v>
      </c>
      <c r="E118" s="3" t="s">
        <v>214</v>
      </c>
      <c r="F118" s="3" t="s">
        <v>215</v>
      </c>
      <c r="G118" s="3" t="s">
        <v>216</v>
      </c>
      <c r="H118" s="3" t="s">
        <v>217</v>
      </c>
      <c r="I118" s="3">
        <v>8</v>
      </c>
      <c r="J118" s="3">
        <v>0</v>
      </c>
      <c r="K118" s="3">
        <v>8</v>
      </c>
      <c r="O118" s="3">
        <f t="shared" si="87"/>
        <v>4834.21</v>
      </c>
      <c r="P118" s="3">
        <f>ROUND((ROUND((AC118*I118),2)*BC118),2)</f>
        <v>4834.21</v>
      </c>
      <c r="Q118" s="3">
        <f t="shared" si="112"/>
        <v>0</v>
      </c>
      <c r="R118" s="3">
        <f t="shared" si="113"/>
        <v>0</v>
      </c>
      <c r="S118" s="3">
        <f t="shared" si="89"/>
        <v>0</v>
      </c>
      <c r="T118" s="3">
        <f t="shared" si="90"/>
        <v>0</v>
      </c>
      <c r="U118" s="3">
        <f t="shared" si="91"/>
        <v>0</v>
      </c>
      <c r="V118" s="3">
        <f t="shared" si="92"/>
        <v>0</v>
      </c>
      <c r="W118" s="3">
        <f t="shared" si="93"/>
        <v>0</v>
      </c>
      <c r="X118" s="3">
        <f t="shared" si="114"/>
        <v>0</v>
      </c>
      <c r="Y118" s="3">
        <f t="shared" si="115"/>
        <v>0</v>
      </c>
      <c r="AA118" s="3">
        <v>55937298</v>
      </c>
      <c r="AB118" s="3">
        <f t="shared" si="94"/>
        <v>89.39</v>
      </c>
      <c r="AC118" s="3">
        <f t="shared" si="116"/>
        <v>89.39</v>
      </c>
      <c r="AD118" s="3">
        <f t="shared" si="117"/>
        <v>0</v>
      </c>
      <c r="AE118" s="3">
        <f t="shared" si="118"/>
        <v>0</v>
      </c>
      <c r="AF118" s="3">
        <f t="shared" si="119"/>
        <v>0</v>
      </c>
      <c r="AG118" s="3">
        <f t="shared" si="95"/>
        <v>0</v>
      </c>
      <c r="AH118" s="3">
        <f t="shared" si="120"/>
        <v>0</v>
      </c>
      <c r="AI118" s="3">
        <f t="shared" si="121"/>
        <v>0</v>
      </c>
      <c r="AJ118" s="3">
        <f t="shared" si="96"/>
        <v>0</v>
      </c>
      <c r="AK118" s="3">
        <v>89.39</v>
      </c>
      <c r="AL118" s="3">
        <v>89.39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1</v>
      </c>
      <c r="AW118" s="3">
        <v>1</v>
      </c>
      <c r="AZ118" s="3">
        <v>1</v>
      </c>
      <c r="BA118" s="3">
        <v>1</v>
      </c>
      <c r="BB118" s="3">
        <v>1</v>
      </c>
      <c r="BC118" s="3">
        <v>6.76</v>
      </c>
      <c r="BD118" s="3" t="s">
        <v>3</v>
      </c>
      <c r="BE118" s="3" t="s">
        <v>3</v>
      </c>
      <c r="BF118" s="3" t="s">
        <v>3</v>
      </c>
      <c r="BG118" s="3" t="s">
        <v>3</v>
      </c>
      <c r="BH118" s="3">
        <v>3</v>
      </c>
      <c r="BI118" s="3">
        <v>3</v>
      </c>
      <c r="BJ118" s="3" t="s">
        <v>218</v>
      </c>
      <c r="BM118" s="3">
        <v>746</v>
      </c>
      <c r="BN118" s="3">
        <v>0</v>
      </c>
      <c r="BO118" s="3" t="s">
        <v>3</v>
      </c>
      <c r="BP118" s="3">
        <v>0</v>
      </c>
      <c r="BQ118" s="3">
        <v>130</v>
      </c>
      <c r="BR118" s="3">
        <v>0</v>
      </c>
      <c r="BS118" s="3">
        <v>1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 t="s">
        <v>3</v>
      </c>
      <c r="BZ118" s="3">
        <v>0</v>
      </c>
      <c r="CA118" s="3">
        <v>0</v>
      </c>
      <c r="CB118" s="3" t="s">
        <v>3</v>
      </c>
      <c r="CE118" s="3">
        <v>1566</v>
      </c>
      <c r="CF118" s="3">
        <v>0</v>
      </c>
      <c r="CG118" s="3">
        <v>0</v>
      </c>
      <c r="CM118" s="3">
        <v>0</v>
      </c>
      <c r="CN118" s="3" t="s">
        <v>3</v>
      </c>
      <c r="CO118" s="3">
        <v>0</v>
      </c>
      <c r="CP118" s="3">
        <f t="shared" si="97"/>
        <v>4834.21</v>
      </c>
      <c r="CQ118" s="3">
        <f>ROUND((ROUND((AC118*1),2)*BC118),2)</f>
        <v>604.28</v>
      </c>
      <c r="CR118" s="3">
        <f t="shared" si="122"/>
        <v>0</v>
      </c>
      <c r="CS118" s="3">
        <f t="shared" si="123"/>
        <v>0</v>
      </c>
      <c r="CT118" s="3">
        <f t="shared" si="99"/>
        <v>0</v>
      </c>
      <c r="CU118" s="3">
        <f t="shared" si="100"/>
        <v>0</v>
      </c>
      <c r="CV118" s="3">
        <f t="shared" si="101"/>
        <v>0</v>
      </c>
      <c r="CW118" s="3">
        <f t="shared" si="102"/>
        <v>0</v>
      </c>
      <c r="CX118" s="3">
        <f t="shared" si="103"/>
        <v>0</v>
      </c>
      <c r="CY118" s="3">
        <f t="shared" si="124"/>
        <v>0</v>
      </c>
      <c r="CZ118" s="3">
        <f t="shared" si="125"/>
        <v>0</v>
      </c>
      <c r="DC118" s="3" t="s">
        <v>3</v>
      </c>
      <c r="DD118" s="3" t="s">
        <v>3</v>
      </c>
      <c r="DE118" s="3" t="s">
        <v>3</v>
      </c>
      <c r="DF118" s="3" t="s">
        <v>3</v>
      </c>
      <c r="DG118" s="3" t="s">
        <v>3</v>
      </c>
      <c r="DH118" s="3" t="s">
        <v>3</v>
      </c>
      <c r="DI118" s="3" t="s">
        <v>3</v>
      </c>
      <c r="DJ118" s="3" t="s">
        <v>3</v>
      </c>
      <c r="DK118" s="3" t="s">
        <v>3</v>
      </c>
      <c r="DL118" s="3" t="s">
        <v>3</v>
      </c>
      <c r="DM118" s="3" t="s">
        <v>3</v>
      </c>
      <c r="DN118" s="3">
        <v>0</v>
      </c>
      <c r="DO118" s="3">
        <v>0</v>
      </c>
      <c r="DP118" s="3">
        <v>1</v>
      </c>
      <c r="DQ118" s="3">
        <v>1</v>
      </c>
      <c r="DU118" s="3">
        <v>1010</v>
      </c>
      <c r="DV118" s="3" t="s">
        <v>217</v>
      </c>
      <c r="DW118" s="3" t="s">
        <v>217</v>
      </c>
      <c r="DX118" s="3">
        <v>1</v>
      </c>
      <c r="DZ118" s="3" t="s">
        <v>3</v>
      </c>
      <c r="EA118" s="3" t="s">
        <v>3</v>
      </c>
      <c r="EB118" s="3" t="s">
        <v>3</v>
      </c>
      <c r="EC118" s="3" t="s">
        <v>3</v>
      </c>
      <c r="EE118" s="3">
        <v>55393806</v>
      </c>
      <c r="EF118" s="3">
        <v>130</v>
      </c>
      <c r="EG118" s="3" t="s">
        <v>219</v>
      </c>
      <c r="EH118" s="3">
        <v>0</v>
      </c>
      <c r="EI118" s="3" t="s">
        <v>3</v>
      </c>
      <c r="EJ118" s="3">
        <v>3</v>
      </c>
      <c r="EK118" s="3">
        <v>746</v>
      </c>
      <c r="EL118" s="3" t="s">
        <v>220</v>
      </c>
      <c r="EM118" s="3" t="s">
        <v>221</v>
      </c>
      <c r="EO118" s="3" t="s">
        <v>3</v>
      </c>
      <c r="EQ118" s="3">
        <v>0</v>
      </c>
      <c r="ER118" s="3">
        <v>89.39</v>
      </c>
      <c r="ES118" s="3">
        <v>89.39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FQ118" s="3">
        <v>0</v>
      </c>
      <c r="FR118" s="3">
        <f t="shared" si="126"/>
        <v>4834.21</v>
      </c>
      <c r="FS118" s="3">
        <v>0</v>
      </c>
      <c r="FX118" s="3">
        <v>0</v>
      </c>
      <c r="FY118" s="3">
        <v>0</v>
      </c>
      <c r="GA118" s="3" t="s">
        <v>3</v>
      </c>
      <c r="GD118" s="3">
        <v>1</v>
      </c>
      <c r="GF118" s="3">
        <v>-1920167778</v>
      </c>
      <c r="GG118" s="3">
        <v>2</v>
      </c>
      <c r="GH118" s="3">
        <v>1</v>
      </c>
      <c r="GI118" s="3">
        <v>2</v>
      </c>
      <c r="GJ118" s="3">
        <v>0</v>
      </c>
      <c r="GK118" s="3">
        <v>0</v>
      </c>
      <c r="GL118" s="3">
        <f t="shared" si="104"/>
        <v>0</v>
      </c>
      <c r="GM118" s="3">
        <f t="shared" si="105"/>
        <v>4834.21</v>
      </c>
      <c r="GN118" s="3">
        <f t="shared" si="106"/>
        <v>0</v>
      </c>
      <c r="GO118" s="3">
        <f t="shared" si="107"/>
        <v>0</v>
      </c>
      <c r="GP118" s="3">
        <f t="shared" si="108"/>
        <v>0</v>
      </c>
      <c r="GR118" s="3">
        <v>0</v>
      </c>
      <c r="GS118" s="3">
        <v>3</v>
      </c>
      <c r="GT118" s="3">
        <v>0</v>
      </c>
      <c r="GU118" s="3" t="s">
        <v>3</v>
      </c>
      <c r="GV118" s="3">
        <f t="shared" si="109"/>
        <v>0</v>
      </c>
      <c r="GW118" s="3">
        <v>1</v>
      </c>
      <c r="GX118" s="3">
        <f t="shared" si="110"/>
        <v>0</v>
      </c>
      <c r="HA118" s="3">
        <v>0</v>
      </c>
      <c r="HB118" s="3">
        <v>0</v>
      </c>
      <c r="HC118" s="3">
        <f t="shared" si="111"/>
        <v>0</v>
      </c>
      <c r="HE118" s="3" t="s">
        <v>3</v>
      </c>
      <c r="HF118" s="3" t="s">
        <v>3</v>
      </c>
      <c r="HM118" s="3" t="s">
        <v>3</v>
      </c>
      <c r="HN118" s="3" t="s">
        <v>3</v>
      </c>
      <c r="HO118" s="3" t="s">
        <v>3</v>
      </c>
      <c r="HP118" s="3" t="s">
        <v>3</v>
      </c>
      <c r="HQ118" s="3" t="s">
        <v>3</v>
      </c>
      <c r="HS118" s="3">
        <v>0</v>
      </c>
      <c r="IK118" s="3">
        <v>0</v>
      </c>
    </row>
    <row r="119" spans="1:255" x14ac:dyDescent="0.2">
      <c r="A119" s="2">
        <v>17</v>
      </c>
      <c r="B119" s="2">
        <v>1</v>
      </c>
      <c r="C119" s="2"/>
      <c r="D119" s="2"/>
      <c r="E119" s="2" t="s">
        <v>222</v>
      </c>
      <c r="F119" s="2" t="s">
        <v>223</v>
      </c>
      <c r="G119" s="2" t="s">
        <v>224</v>
      </c>
      <c r="H119" s="2" t="s">
        <v>217</v>
      </c>
      <c r="I119" s="2">
        <v>2</v>
      </c>
      <c r="J119" s="2">
        <v>0</v>
      </c>
      <c r="K119" s="2">
        <v>2</v>
      </c>
      <c r="L119" s="2"/>
      <c r="M119" s="2"/>
      <c r="N119" s="2"/>
      <c r="O119" s="2">
        <f t="shared" si="87"/>
        <v>556.70000000000005</v>
      </c>
      <c r="P119" s="2">
        <f>ROUND((ROUND((AC119*I119),2)*BC119),2)</f>
        <v>556.70000000000005</v>
      </c>
      <c r="Q119" s="2">
        <f t="shared" si="112"/>
        <v>0</v>
      </c>
      <c r="R119" s="2">
        <f t="shared" si="113"/>
        <v>0</v>
      </c>
      <c r="S119" s="2">
        <f t="shared" si="89"/>
        <v>0</v>
      </c>
      <c r="T119" s="2">
        <f t="shared" si="90"/>
        <v>0</v>
      </c>
      <c r="U119" s="2">
        <f t="shared" si="91"/>
        <v>0</v>
      </c>
      <c r="V119" s="2">
        <f t="shared" si="92"/>
        <v>0</v>
      </c>
      <c r="W119" s="2">
        <f t="shared" si="93"/>
        <v>0</v>
      </c>
      <c r="X119" s="2">
        <f t="shared" si="114"/>
        <v>0</v>
      </c>
      <c r="Y119" s="2">
        <f t="shared" si="115"/>
        <v>0</v>
      </c>
      <c r="Z119" s="2"/>
      <c r="AA119" s="2">
        <v>55937296</v>
      </c>
      <c r="AB119" s="2">
        <f t="shared" si="94"/>
        <v>278.35000000000002</v>
      </c>
      <c r="AC119" s="2">
        <f t="shared" si="116"/>
        <v>278.35000000000002</v>
      </c>
      <c r="AD119" s="2">
        <f t="shared" si="117"/>
        <v>0</v>
      </c>
      <c r="AE119" s="2">
        <f t="shared" si="118"/>
        <v>0</v>
      </c>
      <c r="AF119" s="2">
        <f t="shared" si="119"/>
        <v>0</v>
      </c>
      <c r="AG119" s="2">
        <f t="shared" si="95"/>
        <v>0</v>
      </c>
      <c r="AH119" s="2">
        <f t="shared" si="120"/>
        <v>0</v>
      </c>
      <c r="AI119" s="2">
        <f t="shared" si="121"/>
        <v>0</v>
      </c>
      <c r="AJ119" s="2">
        <f t="shared" si="96"/>
        <v>0</v>
      </c>
      <c r="AK119" s="2">
        <v>278.35000000000002</v>
      </c>
      <c r="AL119" s="2">
        <v>278.35000000000002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3</v>
      </c>
      <c r="BJ119" s="2" t="s">
        <v>225</v>
      </c>
      <c r="BK119" s="2"/>
      <c r="BL119" s="2"/>
      <c r="BM119" s="2">
        <v>746</v>
      </c>
      <c r="BN119" s="2">
        <v>0</v>
      </c>
      <c r="BO119" s="2" t="s">
        <v>3</v>
      </c>
      <c r="BP119" s="2">
        <v>0</v>
      </c>
      <c r="BQ119" s="2">
        <v>130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0</v>
      </c>
      <c r="CA119" s="2">
        <v>0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3</v>
      </c>
      <c r="CO119" s="2">
        <v>0</v>
      </c>
      <c r="CP119" s="2">
        <f t="shared" si="97"/>
        <v>556.70000000000005</v>
      </c>
      <c r="CQ119" s="2">
        <f>ROUND((ROUND((AC119*1),2)*BC119),2)</f>
        <v>278.35000000000002</v>
      </c>
      <c r="CR119" s="2">
        <f t="shared" si="122"/>
        <v>0</v>
      </c>
      <c r="CS119" s="2">
        <f t="shared" si="123"/>
        <v>0</v>
      </c>
      <c r="CT119" s="2">
        <f t="shared" si="99"/>
        <v>0</v>
      </c>
      <c r="CU119" s="2">
        <f t="shared" si="100"/>
        <v>0</v>
      </c>
      <c r="CV119" s="2">
        <f t="shared" si="101"/>
        <v>0</v>
      </c>
      <c r="CW119" s="2">
        <f t="shared" si="102"/>
        <v>0</v>
      </c>
      <c r="CX119" s="2">
        <f t="shared" si="103"/>
        <v>0</v>
      </c>
      <c r="CY119" s="2">
        <f t="shared" si="124"/>
        <v>0</v>
      </c>
      <c r="CZ119" s="2">
        <f t="shared" si="125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1010</v>
      </c>
      <c r="DV119" s="2" t="s">
        <v>217</v>
      </c>
      <c r="DW119" s="2" t="s">
        <v>217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55393806</v>
      </c>
      <c r="EF119" s="2">
        <v>130</v>
      </c>
      <c r="EG119" s="2" t="s">
        <v>219</v>
      </c>
      <c r="EH119" s="2">
        <v>0</v>
      </c>
      <c r="EI119" s="2" t="s">
        <v>3</v>
      </c>
      <c r="EJ119" s="2">
        <v>3</v>
      </c>
      <c r="EK119" s="2">
        <v>746</v>
      </c>
      <c r="EL119" s="2" t="s">
        <v>220</v>
      </c>
      <c r="EM119" s="2" t="s">
        <v>221</v>
      </c>
      <c r="EN119" s="2"/>
      <c r="EO119" s="2" t="s">
        <v>3</v>
      </c>
      <c r="EP119" s="2"/>
      <c r="EQ119" s="2">
        <v>0</v>
      </c>
      <c r="ER119" s="2">
        <v>278.35000000000002</v>
      </c>
      <c r="ES119" s="2">
        <v>278.35000000000002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f t="shared" si="126"/>
        <v>556.70000000000005</v>
      </c>
      <c r="FS119" s="2">
        <v>0</v>
      </c>
      <c r="FT119" s="2"/>
      <c r="FU119" s="2"/>
      <c r="FV119" s="2"/>
      <c r="FW119" s="2"/>
      <c r="FX119" s="2">
        <v>0</v>
      </c>
      <c r="FY119" s="2">
        <v>0</v>
      </c>
      <c r="FZ119" s="2"/>
      <c r="GA119" s="2" t="s">
        <v>3</v>
      </c>
      <c r="GB119" s="2"/>
      <c r="GC119" s="2"/>
      <c r="GD119" s="2">
        <v>1</v>
      </c>
      <c r="GE119" s="2"/>
      <c r="GF119" s="2">
        <v>1272847060</v>
      </c>
      <c r="GG119" s="2">
        <v>2</v>
      </c>
      <c r="GH119" s="2">
        <v>1</v>
      </c>
      <c r="GI119" s="2">
        <v>-2</v>
      </c>
      <c r="GJ119" s="2">
        <v>0</v>
      </c>
      <c r="GK119" s="2">
        <v>0</v>
      </c>
      <c r="GL119" s="2">
        <f t="shared" si="104"/>
        <v>0</v>
      </c>
      <c r="GM119" s="2">
        <f t="shared" si="105"/>
        <v>556.70000000000005</v>
      </c>
      <c r="GN119" s="2">
        <f t="shared" si="106"/>
        <v>0</v>
      </c>
      <c r="GO119" s="2">
        <f t="shared" si="107"/>
        <v>0</v>
      </c>
      <c r="GP119" s="2">
        <f t="shared" si="108"/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si="109"/>
        <v>0</v>
      </c>
      <c r="GW119" s="2">
        <v>1</v>
      </c>
      <c r="GX119" s="2">
        <f t="shared" si="110"/>
        <v>0</v>
      </c>
      <c r="GY119" s="2"/>
      <c r="GZ119" s="2"/>
      <c r="HA119" s="2">
        <v>0</v>
      </c>
      <c r="HB119" s="2">
        <v>0</v>
      </c>
      <c r="HC119" s="2">
        <f t="shared" si="111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 s="3">
        <v>17</v>
      </c>
      <c r="B120" s="3">
        <v>1</v>
      </c>
      <c r="E120" s="3" t="s">
        <v>222</v>
      </c>
      <c r="F120" s="3" t="s">
        <v>223</v>
      </c>
      <c r="G120" s="3" t="s">
        <v>224</v>
      </c>
      <c r="H120" s="3" t="s">
        <v>217</v>
      </c>
      <c r="I120" s="3">
        <v>2</v>
      </c>
      <c r="J120" s="3">
        <v>0</v>
      </c>
      <c r="K120" s="3">
        <v>2</v>
      </c>
      <c r="O120" s="3">
        <f t="shared" si="87"/>
        <v>3891.33</v>
      </c>
      <c r="P120" s="3">
        <f>ROUND((ROUND((AC120*I120),2)*BC120),2)</f>
        <v>3891.33</v>
      </c>
      <c r="Q120" s="3">
        <f t="shared" si="112"/>
        <v>0</v>
      </c>
      <c r="R120" s="3">
        <f t="shared" si="113"/>
        <v>0</v>
      </c>
      <c r="S120" s="3">
        <f t="shared" si="89"/>
        <v>0</v>
      </c>
      <c r="T120" s="3">
        <f t="shared" si="90"/>
        <v>0</v>
      </c>
      <c r="U120" s="3">
        <f t="shared" si="91"/>
        <v>0</v>
      </c>
      <c r="V120" s="3">
        <f t="shared" si="92"/>
        <v>0</v>
      </c>
      <c r="W120" s="3">
        <f t="shared" si="93"/>
        <v>0</v>
      </c>
      <c r="X120" s="3">
        <f t="shared" si="114"/>
        <v>0</v>
      </c>
      <c r="Y120" s="3">
        <f t="shared" si="115"/>
        <v>0</v>
      </c>
      <c r="AA120" s="3">
        <v>55937298</v>
      </c>
      <c r="AB120" s="3">
        <f t="shared" si="94"/>
        <v>278.35000000000002</v>
      </c>
      <c r="AC120" s="3">
        <f t="shared" si="116"/>
        <v>278.35000000000002</v>
      </c>
      <c r="AD120" s="3">
        <f t="shared" si="117"/>
        <v>0</v>
      </c>
      <c r="AE120" s="3">
        <f t="shared" si="118"/>
        <v>0</v>
      </c>
      <c r="AF120" s="3">
        <f t="shared" si="119"/>
        <v>0</v>
      </c>
      <c r="AG120" s="3">
        <f t="shared" si="95"/>
        <v>0</v>
      </c>
      <c r="AH120" s="3">
        <f t="shared" si="120"/>
        <v>0</v>
      </c>
      <c r="AI120" s="3">
        <f t="shared" si="121"/>
        <v>0</v>
      </c>
      <c r="AJ120" s="3">
        <f t="shared" si="96"/>
        <v>0</v>
      </c>
      <c r="AK120" s="3">
        <v>278.35000000000002</v>
      </c>
      <c r="AL120" s="3">
        <v>278.35000000000002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1</v>
      </c>
      <c r="AW120" s="3">
        <v>1</v>
      </c>
      <c r="AZ120" s="3">
        <v>1</v>
      </c>
      <c r="BA120" s="3">
        <v>1</v>
      </c>
      <c r="BB120" s="3">
        <v>1</v>
      </c>
      <c r="BC120" s="3">
        <v>6.99</v>
      </c>
      <c r="BD120" s="3" t="s">
        <v>3</v>
      </c>
      <c r="BE120" s="3" t="s">
        <v>3</v>
      </c>
      <c r="BF120" s="3" t="s">
        <v>3</v>
      </c>
      <c r="BG120" s="3" t="s">
        <v>3</v>
      </c>
      <c r="BH120" s="3">
        <v>3</v>
      </c>
      <c r="BI120" s="3">
        <v>3</v>
      </c>
      <c r="BJ120" s="3" t="s">
        <v>225</v>
      </c>
      <c r="BM120" s="3">
        <v>746</v>
      </c>
      <c r="BN120" s="3">
        <v>0</v>
      </c>
      <c r="BO120" s="3" t="s">
        <v>3</v>
      </c>
      <c r="BP120" s="3">
        <v>0</v>
      </c>
      <c r="BQ120" s="3">
        <v>130</v>
      </c>
      <c r="BR120" s="3">
        <v>0</v>
      </c>
      <c r="BS120" s="3">
        <v>1</v>
      </c>
      <c r="BT120" s="3">
        <v>1</v>
      </c>
      <c r="BU120" s="3">
        <v>1</v>
      </c>
      <c r="BV120" s="3">
        <v>1</v>
      </c>
      <c r="BW120" s="3">
        <v>1</v>
      </c>
      <c r="BX120" s="3">
        <v>1</v>
      </c>
      <c r="BY120" s="3" t="s">
        <v>3</v>
      </c>
      <c r="BZ120" s="3">
        <v>0</v>
      </c>
      <c r="CA120" s="3">
        <v>0</v>
      </c>
      <c r="CB120" s="3" t="s">
        <v>3</v>
      </c>
      <c r="CE120" s="3">
        <v>1566</v>
      </c>
      <c r="CF120" s="3">
        <v>0</v>
      </c>
      <c r="CG120" s="3">
        <v>0</v>
      </c>
      <c r="CM120" s="3">
        <v>0</v>
      </c>
      <c r="CN120" s="3" t="s">
        <v>3</v>
      </c>
      <c r="CO120" s="3">
        <v>0</v>
      </c>
      <c r="CP120" s="3">
        <f t="shared" si="97"/>
        <v>3891.33</v>
      </c>
      <c r="CQ120" s="3">
        <f>ROUND((ROUND((AC120*1),2)*BC120),2)</f>
        <v>1945.67</v>
      </c>
      <c r="CR120" s="3">
        <f t="shared" si="122"/>
        <v>0</v>
      </c>
      <c r="CS120" s="3">
        <f t="shared" si="123"/>
        <v>0</v>
      </c>
      <c r="CT120" s="3">
        <f t="shared" si="99"/>
        <v>0</v>
      </c>
      <c r="CU120" s="3">
        <f t="shared" si="100"/>
        <v>0</v>
      </c>
      <c r="CV120" s="3">
        <f t="shared" si="101"/>
        <v>0</v>
      </c>
      <c r="CW120" s="3">
        <f t="shared" si="102"/>
        <v>0</v>
      </c>
      <c r="CX120" s="3">
        <f t="shared" si="103"/>
        <v>0</v>
      </c>
      <c r="CY120" s="3">
        <f t="shared" si="124"/>
        <v>0</v>
      </c>
      <c r="CZ120" s="3">
        <f t="shared" si="125"/>
        <v>0</v>
      </c>
      <c r="DC120" s="3" t="s">
        <v>3</v>
      </c>
      <c r="DD120" s="3" t="s">
        <v>3</v>
      </c>
      <c r="DE120" s="3" t="s">
        <v>3</v>
      </c>
      <c r="DF120" s="3" t="s">
        <v>3</v>
      </c>
      <c r="DG120" s="3" t="s">
        <v>3</v>
      </c>
      <c r="DH120" s="3" t="s">
        <v>3</v>
      </c>
      <c r="DI120" s="3" t="s">
        <v>3</v>
      </c>
      <c r="DJ120" s="3" t="s">
        <v>3</v>
      </c>
      <c r="DK120" s="3" t="s">
        <v>3</v>
      </c>
      <c r="DL120" s="3" t="s">
        <v>3</v>
      </c>
      <c r="DM120" s="3" t="s">
        <v>3</v>
      </c>
      <c r="DN120" s="3">
        <v>0</v>
      </c>
      <c r="DO120" s="3">
        <v>0</v>
      </c>
      <c r="DP120" s="3">
        <v>1</v>
      </c>
      <c r="DQ120" s="3">
        <v>1</v>
      </c>
      <c r="DU120" s="3">
        <v>1010</v>
      </c>
      <c r="DV120" s="3" t="s">
        <v>217</v>
      </c>
      <c r="DW120" s="3" t="s">
        <v>217</v>
      </c>
      <c r="DX120" s="3">
        <v>1</v>
      </c>
      <c r="DZ120" s="3" t="s">
        <v>3</v>
      </c>
      <c r="EA120" s="3" t="s">
        <v>3</v>
      </c>
      <c r="EB120" s="3" t="s">
        <v>3</v>
      </c>
      <c r="EC120" s="3" t="s">
        <v>3</v>
      </c>
      <c r="EE120" s="3">
        <v>55393806</v>
      </c>
      <c r="EF120" s="3">
        <v>130</v>
      </c>
      <c r="EG120" s="3" t="s">
        <v>219</v>
      </c>
      <c r="EH120" s="3">
        <v>0</v>
      </c>
      <c r="EI120" s="3" t="s">
        <v>3</v>
      </c>
      <c r="EJ120" s="3">
        <v>3</v>
      </c>
      <c r="EK120" s="3">
        <v>746</v>
      </c>
      <c r="EL120" s="3" t="s">
        <v>220</v>
      </c>
      <c r="EM120" s="3" t="s">
        <v>221</v>
      </c>
      <c r="EO120" s="3" t="s">
        <v>3</v>
      </c>
      <c r="EQ120" s="3">
        <v>0</v>
      </c>
      <c r="ER120" s="3">
        <v>278.35000000000002</v>
      </c>
      <c r="ES120" s="3">
        <v>278.35000000000002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FQ120" s="3">
        <v>0</v>
      </c>
      <c r="FR120" s="3">
        <f t="shared" si="126"/>
        <v>3891.33</v>
      </c>
      <c r="FS120" s="3">
        <v>0</v>
      </c>
      <c r="FX120" s="3">
        <v>0</v>
      </c>
      <c r="FY120" s="3">
        <v>0</v>
      </c>
      <c r="GA120" s="3" t="s">
        <v>3</v>
      </c>
      <c r="GD120" s="3">
        <v>1</v>
      </c>
      <c r="GF120" s="3">
        <v>1272847060</v>
      </c>
      <c r="GG120" s="3">
        <v>2</v>
      </c>
      <c r="GH120" s="3">
        <v>1</v>
      </c>
      <c r="GI120" s="3">
        <v>2</v>
      </c>
      <c r="GJ120" s="3">
        <v>0</v>
      </c>
      <c r="GK120" s="3">
        <v>0</v>
      </c>
      <c r="GL120" s="3">
        <f t="shared" si="104"/>
        <v>0</v>
      </c>
      <c r="GM120" s="3">
        <f t="shared" si="105"/>
        <v>3891.33</v>
      </c>
      <c r="GN120" s="3">
        <f t="shared" si="106"/>
        <v>0</v>
      </c>
      <c r="GO120" s="3">
        <f t="shared" si="107"/>
        <v>0</v>
      </c>
      <c r="GP120" s="3">
        <f t="shared" si="108"/>
        <v>0</v>
      </c>
      <c r="GR120" s="3">
        <v>0</v>
      </c>
      <c r="GS120" s="3">
        <v>3</v>
      </c>
      <c r="GT120" s="3">
        <v>0</v>
      </c>
      <c r="GU120" s="3" t="s">
        <v>3</v>
      </c>
      <c r="GV120" s="3">
        <f t="shared" si="109"/>
        <v>0</v>
      </c>
      <c r="GW120" s="3">
        <v>1</v>
      </c>
      <c r="GX120" s="3">
        <f t="shared" si="110"/>
        <v>0</v>
      </c>
      <c r="HA120" s="3">
        <v>0</v>
      </c>
      <c r="HB120" s="3">
        <v>0</v>
      </c>
      <c r="HC120" s="3">
        <f t="shared" si="111"/>
        <v>0</v>
      </c>
      <c r="HE120" s="3" t="s">
        <v>3</v>
      </c>
      <c r="HF120" s="3" t="s">
        <v>3</v>
      </c>
      <c r="HM120" s="3" t="s">
        <v>3</v>
      </c>
      <c r="HN120" s="3" t="s">
        <v>3</v>
      </c>
      <c r="HO120" s="3" t="s">
        <v>3</v>
      </c>
      <c r="HP120" s="3" t="s">
        <v>3</v>
      </c>
      <c r="HQ120" s="3" t="s">
        <v>3</v>
      </c>
      <c r="HS120" s="3">
        <v>0</v>
      </c>
      <c r="IK120" s="3">
        <v>0</v>
      </c>
    </row>
    <row r="121" spans="1:255" x14ac:dyDescent="0.2">
      <c r="A121" s="2">
        <v>17</v>
      </c>
      <c r="B121" s="2">
        <v>1</v>
      </c>
      <c r="C121" s="2">
        <f>ROW(SmtRes!A155)</f>
        <v>155</v>
      </c>
      <c r="D121" s="2">
        <f>ROW(EtalonRes!A201)</f>
        <v>201</v>
      </c>
      <c r="E121" s="2" t="s">
        <v>226</v>
      </c>
      <c r="F121" s="2" t="s">
        <v>44</v>
      </c>
      <c r="G121" s="2" t="s">
        <v>227</v>
      </c>
      <c r="H121" s="2" t="s">
        <v>22</v>
      </c>
      <c r="I121" s="2">
        <v>8</v>
      </c>
      <c r="J121" s="2">
        <v>0</v>
      </c>
      <c r="K121" s="2">
        <v>8</v>
      </c>
      <c r="L121" s="2"/>
      <c r="M121" s="2"/>
      <c r="N121" s="2"/>
      <c r="O121" s="2">
        <f t="shared" si="87"/>
        <v>223.77</v>
      </c>
      <c r="P121" s="2">
        <f t="shared" ref="P121:P130" si="127">ROUND((ROUND((AC121*AW121*I121),2)*BC121),2)</f>
        <v>10.08</v>
      </c>
      <c r="Q121" s="2">
        <f>(ROUND((ROUND((((ET121*1.2))*AV121*I121),2)*BB121),2)+ROUND((ROUND(((AE121-((EU121*1.2)))*AV121*I121),2)*BS121),2))</f>
        <v>0.6</v>
      </c>
      <c r="R121" s="2">
        <f>(ROUND((ROUND((((EU121*1.2))*AV121*I121),2)*BS121),2)+ROUND((ROUND(((AE121-((EU121*1.2)))*AV121*I121),2)*BS121),2))</f>
        <v>0.1</v>
      </c>
      <c r="S121" s="2">
        <f t="shared" si="89"/>
        <v>213.09</v>
      </c>
      <c r="T121" s="2">
        <f t="shared" si="90"/>
        <v>0</v>
      </c>
      <c r="U121" s="2">
        <f t="shared" si="91"/>
        <v>16.886015999999998</v>
      </c>
      <c r="V121" s="2">
        <f t="shared" si="92"/>
        <v>0</v>
      </c>
      <c r="W121" s="2">
        <f t="shared" si="93"/>
        <v>0</v>
      </c>
      <c r="X121" s="2">
        <f>(ROUND((((S121+ROUND((ROUND((((EU121*1.2))*AV121*I121),2)*BS121),2))*AT121)/100),2)+ROUND(((ROUND((ROUND(((AE121-((EU121*1.2)))*AV121*I121),2)*BS121),2)*AT121)/100),2))</f>
        <v>191.87</v>
      </c>
      <c r="Y121" s="2">
        <f>(ROUND((((S121+ROUND((ROUND((((EU121*1.2))*AV121*I121),2)*BS121),2))*AU121)/100),2)+ROUND(((ROUND((ROUND(((AE121-((EU121*1.2)))*AV121*I121),2)*BS121),2)*AU121)/100),2))</f>
        <v>98.07</v>
      </c>
      <c r="Z121" s="2"/>
      <c r="AA121" s="2">
        <v>55937296</v>
      </c>
      <c r="AB121" s="2">
        <f t="shared" si="94"/>
        <v>26.771999999999998</v>
      </c>
      <c r="AC121" s="2">
        <f>ROUND(((ES121*1)),6)</f>
        <v>1.26</v>
      </c>
      <c r="AD121" s="2">
        <f>ROUND(((((ET121*1.2))-((EU121*1.2)))+AE121),6)</f>
        <v>7.1999999999999995E-2</v>
      </c>
      <c r="AE121" s="2">
        <f>ROUND(((EU121*1.2)),6)</f>
        <v>1.2E-2</v>
      </c>
      <c r="AF121" s="2">
        <f>ROUND(((EV121*1.2)),6)</f>
        <v>25.44</v>
      </c>
      <c r="AG121" s="2">
        <f t="shared" si="95"/>
        <v>0</v>
      </c>
      <c r="AH121" s="2">
        <f>((EW121*1.2))</f>
        <v>2.016</v>
      </c>
      <c r="AI121" s="2">
        <f>((EX121*1.2))</f>
        <v>0</v>
      </c>
      <c r="AJ121" s="2">
        <f t="shared" si="96"/>
        <v>0</v>
      </c>
      <c r="AK121" s="2">
        <v>22.52</v>
      </c>
      <c r="AL121" s="2">
        <v>1.26</v>
      </c>
      <c r="AM121" s="2">
        <v>0.06</v>
      </c>
      <c r="AN121" s="2">
        <v>0.01</v>
      </c>
      <c r="AO121" s="2">
        <v>21.2</v>
      </c>
      <c r="AP121" s="2">
        <v>0</v>
      </c>
      <c r="AQ121" s="2">
        <v>1.68</v>
      </c>
      <c r="AR121" s="2">
        <v>0</v>
      </c>
      <c r="AS121" s="2">
        <v>0</v>
      </c>
      <c r="AT121" s="2">
        <v>90</v>
      </c>
      <c r="AU121" s="2">
        <v>46</v>
      </c>
      <c r="AV121" s="2">
        <v>1.0469999999999999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0</v>
      </c>
      <c r="BI121" s="2">
        <v>2</v>
      </c>
      <c r="BJ121" s="2" t="s">
        <v>46</v>
      </c>
      <c r="BK121" s="2"/>
      <c r="BL121" s="2"/>
      <c r="BM121" s="2">
        <v>68</v>
      </c>
      <c r="BN121" s="2">
        <v>0</v>
      </c>
      <c r="BO121" s="2" t="s">
        <v>44</v>
      </c>
      <c r="BP121" s="2">
        <v>1</v>
      </c>
      <c r="BQ121" s="2">
        <v>40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90</v>
      </c>
      <c r="CA121" s="2">
        <v>46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797</v>
      </c>
      <c r="CO121" s="2">
        <v>0</v>
      </c>
      <c r="CP121" s="2">
        <f t="shared" si="97"/>
        <v>223.77</v>
      </c>
      <c r="CQ121" s="2">
        <f t="shared" ref="CQ121:CQ130" si="128">ROUND((ROUND((AC121*AW121*1),2)*BC121),2)</f>
        <v>1.26</v>
      </c>
      <c r="CR121" s="2">
        <f>(ROUND((ROUND((((ET121*1.2))*AV121*1),2)*BB121),2)+ROUND((ROUND(((AE121-((EU121*1.2)))*AV121*1),2)*BS121),2))</f>
        <v>0.08</v>
      </c>
      <c r="CS121" s="2">
        <f>(ROUND((ROUND((((EU121*1.2))*AV121*1),2)*BS121),2)+ROUND((ROUND(((AE121-((EU121*1.2)))*AV121*1),2)*BS121),2))</f>
        <v>0.01</v>
      </c>
      <c r="CT121" s="2">
        <f t="shared" si="99"/>
        <v>26.64</v>
      </c>
      <c r="CU121" s="2">
        <f t="shared" si="100"/>
        <v>0</v>
      </c>
      <c r="CV121" s="2">
        <f t="shared" si="101"/>
        <v>2.1107519999999997</v>
      </c>
      <c r="CW121" s="2">
        <f t="shared" si="102"/>
        <v>0</v>
      </c>
      <c r="CX121" s="2">
        <f t="shared" si="103"/>
        <v>0</v>
      </c>
      <c r="CY121" s="2">
        <f>(ROUND((((S121+ROUND((ROUND((((EU121*1.2))*AV121*1),2)*BS121),2))*AT121)/100),2)+ROUND(((ROUND((ROUND(((AE121-((EU121*1.2)))*AV121*1),2)*BS121),2)*AT121)/100),2))</f>
        <v>191.79</v>
      </c>
      <c r="CZ121" s="2">
        <f>(ROUND((((S121+ROUND((ROUND((((EU121*1.2))*AV121*1),2)*BS121),2))*AU121)/100),2)+ROUND(((ROUND((ROUND(((AE121-((EU121*1.2)))*AV121*1),2)*BS121),2)*AU121)/100),2))</f>
        <v>98.03</v>
      </c>
      <c r="DA121" s="2"/>
      <c r="DB121" s="2">
        <v>81</v>
      </c>
      <c r="DC121" s="2" t="s">
        <v>3</v>
      </c>
      <c r="DD121" s="2" t="s">
        <v>113</v>
      </c>
      <c r="DE121" s="2" t="s">
        <v>114</v>
      </c>
      <c r="DF121" s="2" t="s">
        <v>114</v>
      </c>
      <c r="DG121" s="2" t="s">
        <v>114</v>
      </c>
      <c r="DH121" s="2" t="s">
        <v>3</v>
      </c>
      <c r="DI121" s="2" t="s">
        <v>114</v>
      </c>
      <c r="DJ121" s="2" t="s">
        <v>114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1013</v>
      </c>
      <c r="DV121" s="2" t="s">
        <v>22</v>
      </c>
      <c r="DW121" s="2" t="s">
        <v>22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55393700</v>
      </c>
      <c r="EF121" s="2">
        <v>40</v>
      </c>
      <c r="EG121" s="2" t="s">
        <v>26</v>
      </c>
      <c r="EH121" s="2">
        <v>0</v>
      </c>
      <c r="EI121" s="2" t="s">
        <v>3</v>
      </c>
      <c r="EJ121" s="2">
        <v>2</v>
      </c>
      <c r="EK121" s="2">
        <v>68</v>
      </c>
      <c r="EL121" s="2" t="s">
        <v>27</v>
      </c>
      <c r="EM121" s="2" t="s">
        <v>28</v>
      </c>
      <c r="EN121" s="2"/>
      <c r="EO121" s="2" t="s">
        <v>118</v>
      </c>
      <c r="EP121" s="2"/>
      <c r="EQ121" s="2">
        <v>0</v>
      </c>
      <c r="ER121" s="2">
        <v>22.52</v>
      </c>
      <c r="ES121" s="2">
        <v>1.26</v>
      </c>
      <c r="ET121" s="2">
        <v>0.06</v>
      </c>
      <c r="EU121" s="2">
        <v>0.01</v>
      </c>
      <c r="EV121" s="2">
        <v>21.2</v>
      </c>
      <c r="EW121" s="2">
        <v>1.68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90</v>
      </c>
      <c r="FY121" s="2">
        <v>46</v>
      </c>
      <c r="FZ121" s="2"/>
      <c r="GA121" s="2" t="s">
        <v>3</v>
      </c>
      <c r="GB121" s="2"/>
      <c r="GC121" s="2"/>
      <c r="GD121" s="2">
        <v>1</v>
      </c>
      <c r="GE121" s="2"/>
      <c r="GF121" s="2">
        <v>-2112753472</v>
      </c>
      <c r="GG121" s="2">
        <v>2</v>
      </c>
      <c r="GH121" s="2">
        <v>1</v>
      </c>
      <c r="GI121" s="2">
        <v>2</v>
      </c>
      <c r="GJ121" s="2">
        <v>0</v>
      </c>
      <c r="GK121" s="2">
        <v>0</v>
      </c>
      <c r="GL121" s="2">
        <f t="shared" si="104"/>
        <v>0</v>
      </c>
      <c r="GM121" s="2">
        <f t="shared" si="105"/>
        <v>513.71</v>
      </c>
      <c r="GN121" s="2">
        <f t="shared" si="106"/>
        <v>0</v>
      </c>
      <c r="GO121" s="2">
        <f t="shared" si="107"/>
        <v>513.71</v>
      </c>
      <c r="GP121" s="2">
        <f t="shared" si="108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109"/>
        <v>0</v>
      </c>
      <c r="GW121" s="2">
        <v>1</v>
      </c>
      <c r="GX121" s="2">
        <f t="shared" si="110"/>
        <v>0</v>
      </c>
      <c r="GY121" s="2"/>
      <c r="GZ121" s="2"/>
      <c r="HA121" s="2">
        <v>0</v>
      </c>
      <c r="HB121" s="2">
        <v>0</v>
      </c>
      <c r="HC121" s="2">
        <f t="shared" si="111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 s="3">
        <v>17</v>
      </c>
      <c r="B122" s="3">
        <v>1</v>
      </c>
      <c r="C122" s="3">
        <f>ROW(SmtRes!A156)</f>
        <v>156</v>
      </c>
      <c r="D122" s="3">
        <f>ROW(EtalonRes!A202)</f>
        <v>202</v>
      </c>
      <c r="E122" s="3" t="s">
        <v>226</v>
      </c>
      <c r="F122" s="3" t="s">
        <v>44</v>
      </c>
      <c r="G122" s="3" t="s">
        <v>227</v>
      </c>
      <c r="H122" s="3" t="s">
        <v>22</v>
      </c>
      <c r="I122" s="3">
        <v>8</v>
      </c>
      <c r="J122" s="3">
        <v>0</v>
      </c>
      <c r="K122" s="3">
        <v>8</v>
      </c>
      <c r="O122" s="3">
        <f t="shared" si="87"/>
        <v>12117.91</v>
      </c>
      <c r="P122" s="3">
        <f t="shared" si="127"/>
        <v>99.19</v>
      </c>
      <c r="Q122" s="3">
        <f>(ROUND((ROUND((((ET122*1.2))*AV122*I122),2)*BB122),2)+ROUND((ROUND(((AE122-((EU122*1.2)))*AV122*I122),2)*BS122),2))</f>
        <v>11.1</v>
      </c>
      <c r="R122" s="3">
        <f>(ROUND((ROUND((((EU122*1.2))*AV122*I122),2)*BS122),2)+ROUND((ROUND(((AE122-((EU122*1.2)))*AV122*I122),2)*BS122),2))</f>
        <v>5.64</v>
      </c>
      <c r="S122" s="3">
        <f t="shared" si="89"/>
        <v>12007.62</v>
      </c>
      <c r="T122" s="3">
        <f t="shared" si="90"/>
        <v>0</v>
      </c>
      <c r="U122" s="3">
        <f t="shared" si="91"/>
        <v>16.886015999999998</v>
      </c>
      <c r="V122" s="3">
        <f t="shared" si="92"/>
        <v>0</v>
      </c>
      <c r="W122" s="3">
        <f t="shared" si="93"/>
        <v>0</v>
      </c>
      <c r="X122" s="3">
        <f>(ROUND((((S122+ROUND((ROUND((((EU122*1.2))*AV122*I122),2)*BS122),2))*AT122)/100),2)+ROUND(((ROUND((ROUND(((AE122-((EU122*1.2)))*AV122*I122),2)*BS122),2)*AT122)/100),2))</f>
        <v>10811.93</v>
      </c>
      <c r="Y122" s="3">
        <f>(ROUND((((S122+ROUND((ROUND((((EU122*1.2))*AV122*I122),2)*BS122),2))*AU122)/100),2)+ROUND(((ROUND((ROUND(((AE122-((EU122*1.2)))*AV122*I122),2)*BS122),2)*AU122)/100),2))</f>
        <v>5526.1</v>
      </c>
      <c r="AA122" s="3">
        <v>55937298</v>
      </c>
      <c r="AB122" s="3">
        <f t="shared" si="94"/>
        <v>26.771999999999998</v>
      </c>
      <c r="AC122" s="3">
        <f>ROUND(((ES122*1)),6)</f>
        <v>1.26</v>
      </c>
      <c r="AD122" s="3">
        <f>ROUND(((((ET122*1.2))-((EU122*1.2)))+AE122),6)</f>
        <v>7.1999999999999995E-2</v>
      </c>
      <c r="AE122" s="3">
        <f>ROUND(((EU122*1.2)),6)</f>
        <v>1.2E-2</v>
      </c>
      <c r="AF122" s="3">
        <f>ROUND(((EV122*1.2)),6)</f>
        <v>25.44</v>
      </c>
      <c r="AG122" s="3">
        <f t="shared" si="95"/>
        <v>0</v>
      </c>
      <c r="AH122" s="3">
        <f>((EW122*1.2))</f>
        <v>2.016</v>
      </c>
      <c r="AI122" s="3">
        <f>((EX122*1.2))</f>
        <v>0</v>
      </c>
      <c r="AJ122" s="3">
        <f t="shared" si="96"/>
        <v>0</v>
      </c>
      <c r="AK122" s="3">
        <v>22.52</v>
      </c>
      <c r="AL122" s="3">
        <v>1.26</v>
      </c>
      <c r="AM122" s="3">
        <v>0.06</v>
      </c>
      <c r="AN122" s="3">
        <v>0.01</v>
      </c>
      <c r="AO122" s="3">
        <v>21.2</v>
      </c>
      <c r="AP122" s="3">
        <v>0</v>
      </c>
      <c r="AQ122" s="3">
        <v>1.68</v>
      </c>
      <c r="AR122" s="3">
        <v>0</v>
      </c>
      <c r="AS122" s="3">
        <v>0</v>
      </c>
      <c r="AT122" s="3">
        <v>90</v>
      </c>
      <c r="AU122" s="3">
        <v>46</v>
      </c>
      <c r="AV122" s="3">
        <v>1.0469999999999999</v>
      </c>
      <c r="AW122" s="3">
        <v>1</v>
      </c>
      <c r="AZ122" s="3">
        <v>1</v>
      </c>
      <c r="BA122" s="3">
        <v>56.35</v>
      </c>
      <c r="BB122" s="3">
        <v>18.5</v>
      </c>
      <c r="BC122" s="3">
        <v>9.84</v>
      </c>
      <c r="BD122" s="3" t="s">
        <v>3</v>
      </c>
      <c r="BE122" s="3" t="s">
        <v>3</v>
      </c>
      <c r="BF122" s="3" t="s">
        <v>3</v>
      </c>
      <c r="BG122" s="3" t="s">
        <v>3</v>
      </c>
      <c r="BH122" s="3">
        <v>0</v>
      </c>
      <c r="BI122" s="3">
        <v>2</v>
      </c>
      <c r="BJ122" s="3" t="s">
        <v>46</v>
      </c>
      <c r="BM122" s="3">
        <v>68</v>
      </c>
      <c r="BN122" s="3">
        <v>0</v>
      </c>
      <c r="BO122" s="3" t="s">
        <v>44</v>
      </c>
      <c r="BP122" s="3">
        <v>1</v>
      </c>
      <c r="BQ122" s="3">
        <v>40</v>
      </c>
      <c r="BR122" s="3">
        <v>0</v>
      </c>
      <c r="BS122" s="3">
        <v>56.35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 t="s">
        <v>3</v>
      </c>
      <c r="BZ122" s="3">
        <v>90</v>
      </c>
      <c r="CA122" s="3">
        <v>46</v>
      </c>
      <c r="CB122" s="3" t="s">
        <v>3</v>
      </c>
      <c r="CE122" s="3">
        <v>1566</v>
      </c>
      <c r="CF122" s="3">
        <v>0</v>
      </c>
      <c r="CG122" s="3">
        <v>0</v>
      </c>
      <c r="CM122" s="3">
        <v>0</v>
      </c>
      <c r="CN122" s="3" t="s">
        <v>797</v>
      </c>
      <c r="CO122" s="3">
        <v>0</v>
      </c>
      <c r="CP122" s="3">
        <f t="shared" si="97"/>
        <v>12117.910000000002</v>
      </c>
      <c r="CQ122" s="3">
        <f t="shared" si="128"/>
        <v>12.4</v>
      </c>
      <c r="CR122" s="3">
        <f>(ROUND((ROUND((((ET122*1.2))*AV122*1),2)*BB122),2)+ROUND((ROUND(((AE122-((EU122*1.2)))*AV122*1),2)*BS122),2))</f>
        <v>1.48</v>
      </c>
      <c r="CS122" s="3">
        <f>(ROUND((ROUND((((EU122*1.2))*AV122*1),2)*BS122),2)+ROUND((ROUND(((AE122-((EU122*1.2)))*AV122*1),2)*BS122),2))</f>
        <v>0.56000000000000005</v>
      </c>
      <c r="CT122" s="3">
        <f t="shared" si="99"/>
        <v>1501.16</v>
      </c>
      <c r="CU122" s="3">
        <f t="shared" si="100"/>
        <v>0</v>
      </c>
      <c r="CV122" s="3">
        <f t="shared" si="101"/>
        <v>2.1107519999999997</v>
      </c>
      <c r="CW122" s="3">
        <f t="shared" si="102"/>
        <v>0</v>
      </c>
      <c r="CX122" s="3">
        <f t="shared" si="103"/>
        <v>0</v>
      </c>
      <c r="CY122" s="3">
        <f>(ROUND((((S122+ROUND((ROUND((((EU122*1.2))*AV122*1),2)*BS122),2))*AT122)/100),2)+ROUND(((ROUND((ROUND(((AE122-((EU122*1.2)))*AV122*1),2)*BS122),2)*AT122)/100),2))</f>
        <v>10807.36</v>
      </c>
      <c r="CZ122" s="3">
        <f>(ROUND((((S122+ROUND((ROUND((((EU122*1.2))*AV122*1),2)*BS122),2))*AU122)/100),2)+ROUND(((ROUND((ROUND(((AE122-((EU122*1.2)))*AV122*1),2)*BS122),2)*AU122)/100),2))</f>
        <v>5523.76</v>
      </c>
      <c r="DB122" s="3">
        <v>82</v>
      </c>
      <c r="DC122" s="3" t="s">
        <v>3</v>
      </c>
      <c r="DD122" s="3" t="s">
        <v>113</v>
      </c>
      <c r="DE122" s="3" t="s">
        <v>114</v>
      </c>
      <c r="DF122" s="3" t="s">
        <v>114</v>
      </c>
      <c r="DG122" s="3" t="s">
        <v>114</v>
      </c>
      <c r="DH122" s="3" t="s">
        <v>3</v>
      </c>
      <c r="DI122" s="3" t="s">
        <v>114</v>
      </c>
      <c r="DJ122" s="3" t="s">
        <v>114</v>
      </c>
      <c r="DK122" s="3" t="s">
        <v>3</v>
      </c>
      <c r="DL122" s="3" t="s">
        <v>3</v>
      </c>
      <c r="DM122" s="3" t="s">
        <v>3</v>
      </c>
      <c r="DN122" s="3">
        <v>0</v>
      </c>
      <c r="DO122" s="3">
        <v>0</v>
      </c>
      <c r="DP122" s="3">
        <v>1</v>
      </c>
      <c r="DQ122" s="3">
        <v>1</v>
      </c>
      <c r="DU122" s="3">
        <v>1013</v>
      </c>
      <c r="DV122" s="3" t="s">
        <v>22</v>
      </c>
      <c r="DW122" s="3" t="s">
        <v>22</v>
      </c>
      <c r="DX122" s="3">
        <v>1</v>
      </c>
      <c r="DZ122" s="3" t="s">
        <v>3</v>
      </c>
      <c r="EA122" s="3" t="s">
        <v>3</v>
      </c>
      <c r="EB122" s="3" t="s">
        <v>3</v>
      </c>
      <c r="EC122" s="3" t="s">
        <v>3</v>
      </c>
      <c r="EE122" s="3">
        <v>55393700</v>
      </c>
      <c r="EF122" s="3">
        <v>40</v>
      </c>
      <c r="EG122" s="3" t="s">
        <v>26</v>
      </c>
      <c r="EH122" s="3">
        <v>0</v>
      </c>
      <c r="EI122" s="3" t="s">
        <v>3</v>
      </c>
      <c r="EJ122" s="3">
        <v>2</v>
      </c>
      <c r="EK122" s="3">
        <v>68</v>
      </c>
      <c r="EL122" s="3" t="s">
        <v>27</v>
      </c>
      <c r="EM122" s="3" t="s">
        <v>28</v>
      </c>
      <c r="EO122" s="3" t="s">
        <v>118</v>
      </c>
      <c r="EQ122" s="3">
        <v>0</v>
      </c>
      <c r="ER122" s="3">
        <v>22.52</v>
      </c>
      <c r="ES122" s="3">
        <v>1.26</v>
      </c>
      <c r="ET122" s="3">
        <v>0.06</v>
      </c>
      <c r="EU122" s="3">
        <v>0.01</v>
      </c>
      <c r="EV122" s="3">
        <v>21.2</v>
      </c>
      <c r="EW122" s="3">
        <v>1.68</v>
      </c>
      <c r="EX122" s="3">
        <v>0</v>
      </c>
      <c r="EY122" s="3">
        <v>0</v>
      </c>
      <c r="FQ122" s="3">
        <v>0</v>
      </c>
      <c r="FR122" s="3">
        <v>0</v>
      </c>
      <c r="FS122" s="3">
        <v>0</v>
      </c>
      <c r="FX122" s="3">
        <v>90</v>
      </c>
      <c r="FY122" s="3">
        <v>46</v>
      </c>
      <c r="GA122" s="3" t="s">
        <v>3</v>
      </c>
      <c r="GD122" s="3">
        <v>1</v>
      </c>
      <c r="GF122" s="3">
        <v>-2112753472</v>
      </c>
      <c r="GG122" s="3">
        <v>2</v>
      </c>
      <c r="GH122" s="3">
        <v>1</v>
      </c>
      <c r="GI122" s="3">
        <v>2</v>
      </c>
      <c r="GJ122" s="3">
        <v>0</v>
      </c>
      <c r="GK122" s="3">
        <v>0</v>
      </c>
      <c r="GL122" s="3">
        <f t="shared" si="104"/>
        <v>0</v>
      </c>
      <c r="GM122" s="3">
        <f t="shared" si="105"/>
        <v>28455.94</v>
      </c>
      <c r="GN122" s="3">
        <f t="shared" si="106"/>
        <v>0</v>
      </c>
      <c r="GO122" s="3">
        <f t="shared" si="107"/>
        <v>28455.94</v>
      </c>
      <c r="GP122" s="3">
        <f t="shared" si="108"/>
        <v>0</v>
      </c>
      <c r="GR122" s="3">
        <v>0</v>
      </c>
      <c r="GS122" s="3">
        <v>3</v>
      </c>
      <c r="GT122" s="3">
        <v>0</v>
      </c>
      <c r="GU122" s="3" t="s">
        <v>3</v>
      </c>
      <c r="GV122" s="3">
        <f t="shared" si="109"/>
        <v>0</v>
      </c>
      <c r="GW122" s="3">
        <v>1</v>
      </c>
      <c r="GX122" s="3">
        <f t="shared" si="110"/>
        <v>0</v>
      </c>
      <c r="HA122" s="3">
        <v>0</v>
      </c>
      <c r="HB122" s="3">
        <v>0</v>
      </c>
      <c r="HC122" s="3">
        <f t="shared" si="111"/>
        <v>0</v>
      </c>
      <c r="HE122" s="3" t="s">
        <v>3</v>
      </c>
      <c r="HF122" s="3" t="s">
        <v>3</v>
      </c>
      <c r="HM122" s="3" t="s">
        <v>3</v>
      </c>
      <c r="HN122" s="3" t="s">
        <v>3</v>
      </c>
      <c r="HO122" s="3" t="s">
        <v>3</v>
      </c>
      <c r="HP122" s="3" t="s">
        <v>3</v>
      </c>
      <c r="HQ122" s="3" t="s">
        <v>3</v>
      </c>
      <c r="HS122" s="3">
        <v>0</v>
      </c>
      <c r="IK122" s="3">
        <v>0</v>
      </c>
    </row>
    <row r="123" spans="1:255" x14ac:dyDescent="0.2">
      <c r="A123" s="2">
        <v>17</v>
      </c>
      <c r="B123" s="2">
        <v>1</v>
      </c>
      <c r="C123" s="2"/>
      <c r="D123" s="2"/>
      <c r="E123" s="2" t="s">
        <v>228</v>
      </c>
      <c r="F123" s="2" t="s">
        <v>229</v>
      </c>
      <c r="G123" s="2" t="s">
        <v>230</v>
      </c>
      <c r="H123" s="2" t="s">
        <v>183</v>
      </c>
      <c r="I123" s="2">
        <v>8</v>
      </c>
      <c r="J123" s="2">
        <v>0</v>
      </c>
      <c r="K123" s="2">
        <v>8</v>
      </c>
      <c r="L123" s="2"/>
      <c r="M123" s="2"/>
      <c r="N123" s="2"/>
      <c r="O123" s="2">
        <f t="shared" si="87"/>
        <v>1384.8</v>
      </c>
      <c r="P123" s="2">
        <f t="shared" si="127"/>
        <v>1384.8</v>
      </c>
      <c r="Q123" s="2">
        <f>(ROUND((ROUND(((ET123)*AV123*I123),2)*BB123),2)+ROUND((ROUND(((AE123-(EU123))*AV123*I123),2)*BS123),2))</f>
        <v>0</v>
      </c>
      <c r="R123" s="2">
        <f>(ROUND((ROUND(((EU123)*AV123*I123),2)*BS123),2)+ROUND((ROUND(((AE123-(EU123))*AV123*I123),2)*BS123),2))</f>
        <v>0</v>
      </c>
      <c r="S123" s="2">
        <f t="shared" si="89"/>
        <v>0</v>
      </c>
      <c r="T123" s="2">
        <f t="shared" si="90"/>
        <v>0</v>
      </c>
      <c r="U123" s="2">
        <f t="shared" si="91"/>
        <v>0</v>
      </c>
      <c r="V123" s="2">
        <f t="shared" si="92"/>
        <v>0</v>
      </c>
      <c r="W123" s="2">
        <f t="shared" si="93"/>
        <v>0</v>
      </c>
      <c r="X123" s="2">
        <f>(ROUND((((S123+ROUND((ROUND(((EU123)*AV123*I123),2)*BS123),2))*AT123)/100),2)+ROUND(((ROUND((ROUND(((AE123-(EU123))*AV123*I123),2)*BS123),2)*AT123)/100),2))</f>
        <v>0</v>
      </c>
      <c r="Y123" s="2">
        <f>(ROUND((((S123+ROUND((ROUND(((EU123)*AV123*I123),2)*BS123),2))*AU123)/100),2)+ROUND(((ROUND((ROUND(((AE123-(EU123))*AV123*I123),2)*BS123),2)*AU123)/100),2))</f>
        <v>0</v>
      </c>
      <c r="Z123" s="2"/>
      <c r="AA123" s="2">
        <v>55937296</v>
      </c>
      <c r="AB123" s="2">
        <f t="shared" si="94"/>
        <v>173.1</v>
      </c>
      <c r="AC123" s="2">
        <f>ROUND((ES123),6)</f>
        <v>173.1</v>
      </c>
      <c r="AD123" s="2">
        <f>ROUND((((ET123)-(EU123))+AE123),6)</f>
        <v>0</v>
      </c>
      <c r="AE123" s="2">
        <f>ROUND((EU123),6)</f>
        <v>0</v>
      </c>
      <c r="AF123" s="2">
        <f>ROUND((EV123),6)</f>
        <v>0</v>
      </c>
      <c r="AG123" s="2">
        <f t="shared" si="95"/>
        <v>0</v>
      </c>
      <c r="AH123" s="2">
        <f>(EW123)</f>
        <v>0</v>
      </c>
      <c r="AI123" s="2">
        <f>(EX123)</f>
        <v>0</v>
      </c>
      <c r="AJ123" s="2">
        <f t="shared" si="96"/>
        <v>0</v>
      </c>
      <c r="AK123" s="2">
        <v>173.1</v>
      </c>
      <c r="AL123" s="2">
        <v>173.1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3</v>
      </c>
      <c r="BJ123" s="2" t="s">
        <v>229</v>
      </c>
      <c r="BK123" s="2"/>
      <c r="BL123" s="2"/>
      <c r="BM123" s="2">
        <v>400007</v>
      </c>
      <c r="BN123" s="2">
        <v>0</v>
      </c>
      <c r="BO123" s="2" t="s">
        <v>3</v>
      </c>
      <c r="BP123" s="2">
        <v>0</v>
      </c>
      <c r="BQ123" s="2">
        <v>214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0</v>
      </c>
      <c r="CA123" s="2">
        <v>0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3</v>
      </c>
      <c r="CO123" s="2">
        <v>0</v>
      </c>
      <c r="CP123" s="2">
        <f t="shared" si="97"/>
        <v>1384.8</v>
      </c>
      <c r="CQ123" s="2">
        <f t="shared" si="128"/>
        <v>173.1</v>
      </c>
      <c r="CR123" s="2">
        <f>(ROUND((ROUND(((ET123)*AV123*1),2)*BB123),2)+ROUND((ROUND(((AE123-(EU123))*AV123*1),2)*BS123),2))</f>
        <v>0</v>
      </c>
      <c r="CS123" s="2">
        <f>(ROUND((ROUND(((EU123)*AV123*1),2)*BS123),2)+ROUND((ROUND(((AE123-(EU123))*AV123*1),2)*BS123),2))</f>
        <v>0</v>
      </c>
      <c r="CT123" s="2">
        <f t="shared" si="99"/>
        <v>0</v>
      </c>
      <c r="CU123" s="2">
        <f t="shared" si="100"/>
        <v>0</v>
      </c>
      <c r="CV123" s="2">
        <f t="shared" si="101"/>
        <v>0</v>
      </c>
      <c r="CW123" s="2">
        <f t="shared" si="102"/>
        <v>0</v>
      </c>
      <c r="CX123" s="2">
        <f t="shared" si="103"/>
        <v>0</v>
      </c>
      <c r="CY123" s="2">
        <f>(ROUND((((S123+ROUND((ROUND(((EU123)*AV123*1),2)*BS123),2))*AT123)/100),2)+ROUND(((ROUND((ROUND(((AE123-(EU123))*AV123*1),2)*BS123),2)*AT123)/100),2))</f>
        <v>0</v>
      </c>
      <c r="CZ123" s="2">
        <f>(ROUND((((S123+ROUND((ROUND(((EU123)*AV123*1),2)*BS123),2))*AU123)/100),2)+ROUND(((ROUND((ROUND(((AE123-(EU123))*AV123*1),2)*BS123),2)*AU123)/100),2))</f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183</v>
      </c>
      <c r="DW123" s="2" t="s">
        <v>183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55393630</v>
      </c>
      <c r="EF123" s="2">
        <v>214</v>
      </c>
      <c r="EG123" s="2" t="s">
        <v>184</v>
      </c>
      <c r="EH123" s="2">
        <v>0</v>
      </c>
      <c r="EI123" s="2" t="s">
        <v>3</v>
      </c>
      <c r="EJ123" s="2">
        <v>3</v>
      </c>
      <c r="EK123" s="2">
        <v>400007</v>
      </c>
      <c r="EL123" s="2" t="s">
        <v>184</v>
      </c>
      <c r="EM123" s="2" t="s">
        <v>185</v>
      </c>
      <c r="EN123" s="2"/>
      <c r="EO123" s="2" t="s">
        <v>3</v>
      </c>
      <c r="EP123" s="2"/>
      <c r="EQ123" s="2">
        <v>16</v>
      </c>
      <c r="ER123" s="2">
        <v>0</v>
      </c>
      <c r="ES123" s="2">
        <v>173.1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f>P123</f>
        <v>1384.8</v>
      </c>
      <c r="FS123" s="2">
        <v>0</v>
      </c>
      <c r="FT123" s="2"/>
      <c r="FU123" s="2"/>
      <c r="FV123" s="2"/>
      <c r="FW123" s="2"/>
      <c r="FX123" s="2">
        <v>0</v>
      </c>
      <c r="FY123" s="2">
        <v>0</v>
      </c>
      <c r="FZ123" s="2"/>
      <c r="GA123" s="2" t="s">
        <v>231</v>
      </c>
      <c r="GB123" s="2"/>
      <c r="GC123" s="2"/>
      <c r="GD123" s="2">
        <v>1</v>
      </c>
      <c r="GE123" s="2"/>
      <c r="GF123" s="2">
        <v>1169306337</v>
      </c>
      <c r="GG123" s="2">
        <v>2</v>
      </c>
      <c r="GH123" s="2">
        <v>4</v>
      </c>
      <c r="GI123" s="2">
        <v>-2</v>
      </c>
      <c r="GJ123" s="2">
        <v>0</v>
      </c>
      <c r="GK123" s="2">
        <v>0</v>
      </c>
      <c r="GL123" s="2">
        <f t="shared" si="104"/>
        <v>0</v>
      </c>
      <c r="GM123" s="2">
        <f t="shared" si="105"/>
        <v>1384.8</v>
      </c>
      <c r="GN123" s="2">
        <f t="shared" si="106"/>
        <v>0</v>
      </c>
      <c r="GO123" s="2">
        <f t="shared" si="107"/>
        <v>0</v>
      </c>
      <c r="GP123" s="2">
        <f t="shared" si="108"/>
        <v>0</v>
      </c>
      <c r="GQ123" s="2"/>
      <c r="GR123" s="2">
        <v>1</v>
      </c>
      <c r="GS123" s="2">
        <v>2</v>
      </c>
      <c r="GT123" s="2">
        <v>0</v>
      </c>
      <c r="GU123" s="2" t="s">
        <v>3</v>
      </c>
      <c r="GV123" s="2">
        <f t="shared" si="109"/>
        <v>0</v>
      </c>
      <c r="GW123" s="2">
        <v>1</v>
      </c>
      <c r="GX123" s="2">
        <f t="shared" si="110"/>
        <v>0</v>
      </c>
      <c r="GY123" s="2"/>
      <c r="GZ123" s="2"/>
      <c r="HA123" s="2">
        <v>0</v>
      </c>
      <c r="HB123" s="2">
        <v>0</v>
      </c>
      <c r="HC123" s="2">
        <f t="shared" si="111"/>
        <v>0</v>
      </c>
      <c r="HD123" s="2"/>
      <c r="HE123" s="2" t="s">
        <v>34</v>
      </c>
      <c r="HF123" s="2" t="s">
        <v>187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 s="3">
        <v>17</v>
      </c>
      <c r="B124" s="3">
        <v>1</v>
      </c>
      <c r="E124" s="3" t="s">
        <v>228</v>
      </c>
      <c r="F124" s="3" t="s">
        <v>229</v>
      </c>
      <c r="G124" s="3" t="s">
        <v>230</v>
      </c>
      <c r="H124" s="3" t="s">
        <v>183</v>
      </c>
      <c r="I124" s="3">
        <v>8</v>
      </c>
      <c r="J124" s="3">
        <v>0</v>
      </c>
      <c r="K124" s="3">
        <v>8</v>
      </c>
      <c r="O124" s="3">
        <f t="shared" si="87"/>
        <v>10607.57</v>
      </c>
      <c r="P124" s="3">
        <f t="shared" si="127"/>
        <v>10607.57</v>
      </c>
      <c r="Q124" s="3">
        <f>(ROUND((ROUND(((ET124)*AV124*I124),2)*BB124),2)+ROUND((ROUND(((AE124-(EU124))*AV124*I124),2)*BS124),2))</f>
        <v>0</v>
      </c>
      <c r="R124" s="3">
        <f>(ROUND((ROUND(((EU124)*AV124*I124),2)*BS124),2)+ROUND((ROUND(((AE124-(EU124))*AV124*I124),2)*BS124),2))</f>
        <v>0</v>
      </c>
      <c r="S124" s="3">
        <f t="shared" si="89"/>
        <v>0</v>
      </c>
      <c r="T124" s="3">
        <f t="shared" si="90"/>
        <v>0</v>
      </c>
      <c r="U124" s="3">
        <f t="shared" si="91"/>
        <v>0</v>
      </c>
      <c r="V124" s="3">
        <f t="shared" si="92"/>
        <v>0</v>
      </c>
      <c r="W124" s="3">
        <f t="shared" si="93"/>
        <v>0</v>
      </c>
      <c r="X124" s="3">
        <f>(ROUND((((S124+ROUND((ROUND(((EU124)*AV124*I124),2)*BS124),2))*AT124)/100),2)+ROUND(((ROUND((ROUND(((AE124-(EU124))*AV124*I124),2)*BS124),2)*AT124)/100),2))</f>
        <v>0</v>
      </c>
      <c r="Y124" s="3">
        <f>(ROUND((((S124+ROUND((ROUND(((EU124)*AV124*I124),2)*BS124),2))*AU124)/100),2)+ROUND(((ROUND((ROUND(((AE124-(EU124))*AV124*I124),2)*BS124),2)*AU124)/100),2))</f>
        <v>0</v>
      </c>
      <c r="AA124" s="3">
        <v>55937298</v>
      </c>
      <c r="AB124" s="3">
        <f t="shared" si="94"/>
        <v>173.1</v>
      </c>
      <c r="AC124" s="3">
        <f>ROUND((ES124),6)</f>
        <v>173.1</v>
      </c>
      <c r="AD124" s="3">
        <f>ROUND((((ET124)-(EU124))+AE124),6)</f>
        <v>0</v>
      </c>
      <c r="AE124" s="3">
        <f>ROUND((EU124),6)</f>
        <v>0</v>
      </c>
      <c r="AF124" s="3">
        <f>ROUND((EV124),6)</f>
        <v>0</v>
      </c>
      <c r="AG124" s="3">
        <f t="shared" si="95"/>
        <v>0</v>
      </c>
      <c r="AH124" s="3">
        <f>(EW124)</f>
        <v>0</v>
      </c>
      <c r="AI124" s="3">
        <f>(EX124)</f>
        <v>0</v>
      </c>
      <c r="AJ124" s="3">
        <f t="shared" si="96"/>
        <v>0</v>
      </c>
      <c r="AK124" s="3">
        <v>173.1</v>
      </c>
      <c r="AL124" s="3">
        <v>173.1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1</v>
      </c>
      <c r="AW124" s="3">
        <v>1</v>
      </c>
      <c r="AZ124" s="3">
        <v>1</v>
      </c>
      <c r="BA124" s="3">
        <v>1</v>
      </c>
      <c r="BB124" s="3">
        <v>1</v>
      </c>
      <c r="BC124" s="3">
        <v>7.66</v>
      </c>
      <c r="BD124" s="3" t="s">
        <v>3</v>
      </c>
      <c r="BE124" s="3" t="s">
        <v>3</v>
      </c>
      <c r="BF124" s="3" t="s">
        <v>3</v>
      </c>
      <c r="BG124" s="3" t="s">
        <v>3</v>
      </c>
      <c r="BH124" s="3">
        <v>3</v>
      </c>
      <c r="BI124" s="3">
        <v>3</v>
      </c>
      <c r="BJ124" s="3" t="s">
        <v>229</v>
      </c>
      <c r="BM124" s="3">
        <v>400007</v>
      </c>
      <c r="BN124" s="3">
        <v>0</v>
      </c>
      <c r="BO124" s="3" t="s">
        <v>3</v>
      </c>
      <c r="BP124" s="3">
        <v>0</v>
      </c>
      <c r="BQ124" s="3">
        <v>214</v>
      </c>
      <c r="BR124" s="3">
        <v>0</v>
      </c>
      <c r="BS124" s="3">
        <v>1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 t="s">
        <v>3</v>
      </c>
      <c r="BZ124" s="3">
        <v>0</v>
      </c>
      <c r="CA124" s="3">
        <v>0</v>
      </c>
      <c r="CB124" s="3" t="s">
        <v>3</v>
      </c>
      <c r="CE124" s="3">
        <v>1566</v>
      </c>
      <c r="CF124" s="3">
        <v>0</v>
      </c>
      <c r="CG124" s="3">
        <v>0</v>
      </c>
      <c r="CM124" s="3">
        <v>0</v>
      </c>
      <c r="CN124" s="3" t="s">
        <v>3</v>
      </c>
      <c r="CO124" s="3">
        <v>0</v>
      </c>
      <c r="CP124" s="3">
        <f t="shared" si="97"/>
        <v>10607.57</v>
      </c>
      <c r="CQ124" s="3">
        <f t="shared" si="128"/>
        <v>1325.95</v>
      </c>
      <c r="CR124" s="3">
        <f>(ROUND((ROUND(((ET124)*AV124*1),2)*BB124),2)+ROUND((ROUND(((AE124-(EU124))*AV124*1),2)*BS124),2))</f>
        <v>0</v>
      </c>
      <c r="CS124" s="3">
        <f>(ROUND((ROUND(((EU124)*AV124*1),2)*BS124),2)+ROUND((ROUND(((AE124-(EU124))*AV124*1),2)*BS124),2))</f>
        <v>0</v>
      </c>
      <c r="CT124" s="3">
        <f t="shared" si="99"/>
        <v>0</v>
      </c>
      <c r="CU124" s="3">
        <f t="shared" si="100"/>
        <v>0</v>
      </c>
      <c r="CV124" s="3">
        <f t="shared" si="101"/>
        <v>0</v>
      </c>
      <c r="CW124" s="3">
        <f t="shared" si="102"/>
        <v>0</v>
      </c>
      <c r="CX124" s="3">
        <f t="shared" si="103"/>
        <v>0</v>
      </c>
      <c r="CY124" s="3">
        <f>(ROUND((((S124+ROUND((ROUND(((EU124)*AV124*1),2)*BS124),2))*AT124)/100),2)+ROUND(((ROUND((ROUND(((AE124-(EU124))*AV124*1),2)*BS124),2)*AT124)/100),2))</f>
        <v>0</v>
      </c>
      <c r="CZ124" s="3">
        <f>(ROUND((((S124+ROUND((ROUND(((EU124)*AV124*1),2)*BS124),2))*AU124)/100),2)+ROUND(((ROUND((ROUND(((AE124-(EU124))*AV124*1),2)*BS124),2)*AU124)/100),2))</f>
        <v>0</v>
      </c>
      <c r="DC124" s="3" t="s">
        <v>3</v>
      </c>
      <c r="DD124" s="3" t="s">
        <v>3</v>
      </c>
      <c r="DE124" s="3" t="s">
        <v>3</v>
      </c>
      <c r="DF124" s="3" t="s">
        <v>3</v>
      </c>
      <c r="DG124" s="3" t="s">
        <v>3</v>
      </c>
      <c r="DH124" s="3" t="s">
        <v>3</v>
      </c>
      <c r="DI124" s="3" t="s">
        <v>3</v>
      </c>
      <c r="DJ124" s="3" t="s">
        <v>3</v>
      </c>
      <c r="DK124" s="3" t="s">
        <v>3</v>
      </c>
      <c r="DL124" s="3" t="s">
        <v>3</v>
      </c>
      <c r="DM124" s="3" t="s">
        <v>3</v>
      </c>
      <c r="DN124" s="3">
        <v>0</v>
      </c>
      <c r="DO124" s="3">
        <v>0</v>
      </c>
      <c r="DP124" s="3">
        <v>1</v>
      </c>
      <c r="DQ124" s="3">
        <v>1</v>
      </c>
      <c r="DU124" s="3">
        <v>1013</v>
      </c>
      <c r="DV124" s="3" t="s">
        <v>183</v>
      </c>
      <c r="DW124" s="3" t="s">
        <v>183</v>
      </c>
      <c r="DX124" s="3">
        <v>1</v>
      </c>
      <c r="DZ124" s="3" t="s">
        <v>3</v>
      </c>
      <c r="EA124" s="3" t="s">
        <v>3</v>
      </c>
      <c r="EB124" s="3" t="s">
        <v>3</v>
      </c>
      <c r="EC124" s="3" t="s">
        <v>3</v>
      </c>
      <c r="EE124" s="3">
        <v>55393630</v>
      </c>
      <c r="EF124" s="3">
        <v>214</v>
      </c>
      <c r="EG124" s="3" t="s">
        <v>184</v>
      </c>
      <c r="EH124" s="3">
        <v>0</v>
      </c>
      <c r="EI124" s="3" t="s">
        <v>3</v>
      </c>
      <c r="EJ124" s="3">
        <v>3</v>
      </c>
      <c r="EK124" s="3">
        <v>400007</v>
      </c>
      <c r="EL124" s="3" t="s">
        <v>184</v>
      </c>
      <c r="EM124" s="3" t="s">
        <v>185</v>
      </c>
      <c r="EO124" s="3" t="s">
        <v>3</v>
      </c>
      <c r="EQ124" s="3">
        <v>16</v>
      </c>
      <c r="ER124" s="3">
        <v>0</v>
      </c>
      <c r="ES124" s="3">
        <v>173.1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5</v>
      </c>
      <c r="FC124" s="3">
        <v>1</v>
      </c>
      <c r="FD124" s="3">
        <v>18</v>
      </c>
      <c r="FF124" s="3">
        <v>1552</v>
      </c>
      <c r="FQ124" s="3">
        <v>0</v>
      </c>
      <c r="FR124" s="3">
        <f>P124</f>
        <v>10607.57</v>
      </c>
      <c r="FS124" s="3">
        <v>0</v>
      </c>
      <c r="FX124" s="3">
        <v>0</v>
      </c>
      <c r="FY124" s="3">
        <v>0</v>
      </c>
      <c r="GA124" s="3" t="s">
        <v>231</v>
      </c>
      <c r="GD124" s="3">
        <v>1</v>
      </c>
      <c r="GF124" s="3">
        <v>1169306337</v>
      </c>
      <c r="GG124" s="3">
        <v>2</v>
      </c>
      <c r="GH124" s="3">
        <v>3</v>
      </c>
      <c r="GI124" s="3">
        <v>5</v>
      </c>
      <c r="GJ124" s="3">
        <v>0</v>
      </c>
      <c r="GK124" s="3">
        <v>0</v>
      </c>
      <c r="GL124" s="3">
        <f t="shared" si="104"/>
        <v>0</v>
      </c>
      <c r="GM124" s="3">
        <f t="shared" si="105"/>
        <v>10607.57</v>
      </c>
      <c r="GN124" s="3">
        <f t="shared" si="106"/>
        <v>0</v>
      </c>
      <c r="GO124" s="3">
        <f t="shared" si="107"/>
        <v>0</v>
      </c>
      <c r="GP124" s="3">
        <f t="shared" si="108"/>
        <v>0</v>
      </c>
      <c r="GR124" s="3">
        <v>1</v>
      </c>
      <c r="GS124" s="3">
        <v>1</v>
      </c>
      <c r="GT124" s="3">
        <v>0</v>
      </c>
      <c r="GU124" s="3" t="s">
        <v>3</v>
      </c>
      <c r="GV124" s="3">
        <f t="shared" si="109"/>
        <v>0</v>
      </c>
      <c r="GW124" s="3">
        <v>1</v>
      </c>
      <c r="GX124" s="3">
        <f t="shared" si="110"/>
        <v>0</v>
      </c>
      <c r="HA124" s="3">
        <v>0</v>
      </c>
      <c r="HB124" s="3">
        <v>0</v>
      </c>
      <c r="HC124" s="3">
        <f t="shared" si="111"/>
        <v>0</v>
      </c>
      <c r="HE124" s="3" t="s">
        <v>34</v>
      </c>
      <c r="HF124" s="3" t="s">
        <v>187</v>
      </c>
      <c r="HM124" s="3" t="s">
        <v>3</v>
      </c>
      <c r="HN124" s="3" t="s">
        <v>3</v>
      </c>
      <c r="HO124" s="3" t="s">
        <v>3</v>
      </c>
      <c r="HP124" s="3" t="s">
        <v>3</v>
      </c>
      <c r="HQ124" s="3" t="s">
        <v>3</v>
      </c>
      <c r="HS124" s="3">
        <v>0</v>
      </c>
      <c r="IK124" s="3">
        <v>0</v>
      </c>
    </row>
    <row r="125" spans="1:255" x14ac:dyDescent="0.2">
      <c r="A125" s="2">
        <v>17</v>
      </c>
      <c r="B125" s="2">
        <v>1</v>
      </c>
      <c r="C125" s="2">
        <f>ROW(SmtRes!A159)</f>
        <v>159</v>
      </c>
      <c r="D125" s="2">
        <f>ROW(EtalonRes!A206)</f>
        <v>206</v>
      </c>
      <c r="E125" s="2" t="s">
        <v>232</v>
      </c>
      <c r="F125" s="2" t="s">
        <v>48</v>
      </c>
      <c r="G125" s="2" t="s">
        <v>49</v>
      </c>
      <c r="H125" s="2" t="s">
        <v>22</v>
      </c>
      <c r="I125" s="2">
        <v>4</v>
      </c>
      <c r="J125" s="2">
        <v>0</v>
      </c>
      <c r="K125" s="2">
        <v>4</v>
      </c>
      <c r="L125" s="2"/>
      <c r="M125" s="2"/>
      <c r="N125" s="2"/>
      <c r="O125" s="2">
        <f t="shared" si="87"/>
        <v>66.430000000000007</v>
      </c>
      <c r="P125" s="2">
        <f t="shared" si="127"/>
        <v>6.68</v>
      </c>
      <c r="Q125" s="2">
        <f>(ROUND((ROUND((((ET125*1.2))*AV125*I125),2)*BB125),2)+ROUND((ROUND(((AE125-((EU125*1.2)))*AV125*I125),2)*BS125),2))</f>
        <v>0</v>
      </c>
      <c r="R125" s="2">
        <f>(ROUND((ROUND((((EU125*1.2))*AV125*I125),2)*BS125),2)+ROUND((ROUND(((AE125-((EU125*1.2)))*AV125*I125),2)*BS125),2))</f>
        <v>0</v>
      </c>
      <c r="S125" s="2">
        <f t="shared" si="89"/>
        <v>59.75</v>
      </c>
      <c r="T125" s="2">
        <f t="shared" si="90"/>
        <v>0</v>
      </c>
      <c r="U125" s="2">
        <f t="shared" si="91"/>
        <v>5.0255999999999998</v>
      </c>
      <c r="V125" s="2">
        <f t="shared" si="92"/>
        <v>0</v>
      </c>
      <c r="W125" s="2">
        <f t="shared" si="93"/>
        <v>0</v>
      </c>
      <c r="X125" s="2">
        <f>(ROUND((((S125+ROUND((ROUND((((EU125*1.2))*AV125*I125),2)*BS125),2))*AT125)/100),2)+ROUND(((ROUND((ROUND(((AE125-((EU125*1.2)))*AV125*I125),2)*BS125),2)*AT125)/100),2))</f>
        <v>56.76</v>
      </c>
      <c r="Y125" s="2">
        <f>(ROUND((((S125+ROUND((ROUND((((EU125*1.2))*AV125*I125),2)*BS125),2))*AU125)/100),2)+ROUND(((ROUND((ROUND(((AE125-((EU125*1.2)))*AV125*I125),2)*BS125),2)*AU125)/100),2))</f>
        <v>31.67</v>
      </c>
      <c r="Z125" s="2"/>
      <c r="AA125" s="2">
        <v>55937296</v>
      </c>
      <c r="AB125" s="2">
        <f t="shared" si="94"/>
        <v>15.938000000000001</v>
      </c>
      <c r="AC125" s="2">
        <f>ROUND(((ES125*1)),6)</f>
        <v>1.67</v>
      </c>
      <c r="AD125" s="2">
        <f>ROUND(((((ET125*1.2))-((EU125*1.2)))+AE125),6)</f>
        <v>0</v>
      </c>
      <c r="AE125" s="2">
        <f>ROUND(((EU125*1.2)),6)</f>
        <v>0</v>
      </c>
      <c r="AF125" s="2">
        <f>ROUND(((EV125*1.2)),6)</f>
        <v>14.268000000000001</v>
      </c>
      <c r="AG125" s="2">
        <f t="shared" si="95"/>
        <v>0</v>
      </c>
      <c r="AH125" s="2">
        <f>((EW125*1.2))</f>
        <v>1.2</v>
      </c>
      <c r="AI125" s="2">
        <f>((EX125*1.2))</f>
        <v>0</v>
      </c>
      <c r="AJ125" s="2">
        <f t="shared" si="96"/>
        <v>0</v>
      </c>
      <c r="AK125" s="2">
        <v>13.56</v>
      </c>
      <c r="AL125" s="2">
        <v>1.67</v>
      </c>
      <c r="AM125" s="2">
        <v>0</v>
      </c>
      <c r="AN125" s="2">
        <v>0</v>
      </c>
      <c r="AO125" s="2">
        <v>11.89</v>
      </c>
      <c r="AP125" s="2">
        <v>0</v>
      </c>
      <c r="AQ125" s="2">
        <v>1</v>
      </c>
      <c r="AR125" s="2">
        <v>0</v>
      </c>
      <c r="AS125" s="2">
        <v>0</v>
      </c>
      <c r="AT125" s="2">
        <v>95</v>
      </c>
      <c r="AU125" s="2">
        <v>53</v>
      </c>
      <c r="AV125" s="2">
        <v>1.0469999999999999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0</v>
      </c>
      <c r="BI125" s="2">
        <v>2</v>
      </c>
      <c r="BJ125" s="2" t="s">
        <v>50</v>
      </c>
      <c r="BK125" s="2"/>
      <c r="BL125" s="2"/>
      <c r="BM125" s="2">
        <v>69</v>
      </c>
      <c r="BN125" s="2">
        <v>0</v>
      </c>
      <c r="BO125" s="2" t="s">
        <v>48</v>
      </c>
      <c r="BP125" s="2">
        <v>1</v>
      </c>
      <c r="BQ125" s="2">
        <v>40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95</v>
      </c>
      <c r="CA125" s="2">
        <v>53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797</v>
      </c>
      <c r="CO125" s="2">
        <v>0</v>
      </c>
      <c r="CP125" s="2">
        <f t="shared" si="97"/>
        <v>66.430000000000007</v>
      </c>
      <c r="CQ125" s="2">
        <f t="shared" si="128"/>
        <v>1.67</v>
      </c>
      <c r="CR125" s="2">
        <f>(ROUND((ROUND((((ET125*1.2))*AV125*1),2)*BB125),2)+ROUND((ROUND(((AE125-((EU125*1.2)))*AV125*1),2)*BS125),2))</f>
        <v>0</v>
      </c>
      <c r="CS125" s="2">
        <f>(ROUND((ROUND((((EU125*1.2))*AV125*1),2)*BS125),2)+ROUND((ROUND(((AE125-((EU125*1.2)))*AV125*1),2)*BS125),2))</f>
        <v>0</v>
      </c>
      <c r="CT125" s="2">
        <f t="shared" si="99"/>
        <v>14.94</v>
      </c>
      <c r="CU125" s="2">
        <f t="shared" si="100"/>
        <v>0</v>
      </c>
      <c r="CV125" s="2">
        <f t="shared" si="101"/>
        <v>1.2564</v>
      </c>
      <c r="CW125" s="2">
        <f t="shared" si="102"/>
        <v>0</v>
      </c>
      <c r="CX125" s="2">
        <f t="shared" si="103"/>
        <v>0</v>
      </c>
      <c r="CY125" s="2">
        <f>(ROUND((((S125+ROUND((ROUND((((EU125*1.2))*AV125*1),2)*BS125),2))*AT125)/100),2)+ROUND(((ROUND((ROUND(((AE125-((EU125*1.2)))*AV125*1),2)*BS125),2)*AT125)/100),2))</f>
        <v>56.76</v>
      </c>
      <c r="CZ125" s="2">
        <f>(ROUND((((S125+ROUND((ROUND((((EU125*1.2))*AV125*1),2)*BS125),2))*AU125)/100),2)+ROUND(((ROUND((ROUND(((AE125-((EU125*1.2)))*AV125*1),2)*BS125),2)*AU125)/100),2))</f>
        <v>31.67</v>
      </c>
      <c r="DA125" s="2"/>
      <c r="DB125" s="2">
        <v>83</v>
      </c>
      <c r="DC125" s="2" t="s">
        <v>3</v>
      </c>
      <c r="DD125" s="2" t="s">
        <v>113</v>
      </c>
      <c r="DE125" s="2" t="s">
        <v>114</v>
      </c>
      <c r="DF125" s="2" t="s">
        <v>114</v>
      </c>
      <c r="DG125" s="2" t="s">
        <v>114</v>
      </c>
      <c r="DH125" s="2" t="s">
        <v>3</v>
      </c>
      <c r="DI125" s="2" t="s">
        <v>114</v>
      </c>
      <c r="DJ125" s="2" t="s">
        <v>114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22</v>
      </c>
      <c r="DW125" s="2" t="s">
        <v>22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55393701</v>
      </c>
      <c r="EF125" s="2">
        <v>40</v>
      </c>
      <c r="EG125" s="2" t="s">
        <v>26</v>
      </c>
      <c r="EH125" s="2">
        <v>0</v>
      </c>
      <c r="EI125" s="2" t="s">
        <v>3</v>
      </c>
      <c r="EJ125" s="2">
        <v>2</v>
      </c>
      <c r="EK125" s="2">
        <v>69</v>
      </c>
      <c r="EL125" s="2" t="s">
        <v>51</v>
      </c>
      <c r="EM125" s="2" t="s">
        <v>52</v>
      </c>
      <c r="EN125" s="2"/>
      <c r="EO125" s="2" t="s">
        <v>118</v>
      </c>
      <c r="EP125" s="2"/>
      <c r="EQ125" s="2">
        <v>0</v>
      </c>
      <c r="ER125" s="2">
        <v>13.56</v>
      </c>
      <c r="ES125" s="2">
        <v>1.67</v>
      </c>
      <c r="ET125" s="2">
        <v>0</v>
      </c>
      <c r="EU125" s="2">
        <v>0</v>
      </c>
      <c r="EV125" s="2">
        <v>11.89</v>
      </c>
      <c r="EW125" s="2">
        <v>1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95</v>
      </c>
      <c r="FY125" s="2">
        <v>53</v>
      </c>
      <c r="FZ125" s="2"/>
      <c r="GA125" s="2" t="s">
        <v>3</v>
      </c>
      <c r="GB125" s="2"/>
      <c r="GC125" s="2"/>
      <c r="GD125" s="2">
        <v>1</v>
      </c>
      <c r="GE125" s="2"/>
      <c r="GF125" s="2">
        <v>205901832</v>
      </c>
      <c r="GG125" s="2">
        <v>2</v>
      </c>
      <c r="GH125" s="2">
        <v>1</v>
      </c>
      <c r="GI125" s="2">
        <v>2</v>
      </c>
      <c r="GJ125" s="2">
        <v>0</v>
      </c>
      <c r="GK125" s="2">
        <v>0</v>
      </c>
      <c r="GL125" s="2">
        <f t="shared" si="104"/>
        <v>0</v>
      </c>
      <c r="GM125" s="2">
        <f t="shared" si="105"/>
        <v>154.86000000000001</v>
      </c>
      <c r="GN125" s="2">
        <f t="shared" si="106"/>
        <v>0</v>
      </c>
      <c r="GO125" s="2">
        <f t="shared" si="107"/>
        <v>154.86000000000001</v>
      </c>
      <c r="GP125" s="2">
        <f t="shared" si="108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109"/>
        <v>0</v>
      </c>
      <c r="GW125" s="2">
        <v>1</v>
      </c>
      <c r="GX125" s="2">
        <f t="shared" si="110"/>
        <v>0</v>
      </c>
      <c r="GY125" s="2"/>
      <c r="GZ125" s="2"/>
      <c r="HA125" s="2">
        <v>0</v>
      </c>
      <c r="HB125" s="2">
        <v>0</v>
      </c>
      <c r="HC125" s="2">
        <f t="shared" si="111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 s="3">
        <v>17</v>
      </c>
      <c r="B126" s="3">
        <v>1</v>
      </c>
      <c r="C126" s="3">
        <f>ROW(SmtRes!A162)</f>
        <v>162</v>
      </c>
      <c r="D126" s="3">
        <f>ROW(EtalonRes!A210)</f>
        <v>210</v>
      </c>
      <c r="E126" s="3" t="s">
        <v>232</v>
      </c>
      <c r="F126" s="3" t="s">
        <v>48</v>
      </c>
      <c r="G126" s="3" t="s">
        <v>49</v>
      </c>
      <c r="H126" s="3" t="s">
        <v>22</v>
      </c>
      <c r="I126" s="3">
        <v>4</v>
      </c>
      <c r="J126" s="3">
        <v>0</v>
      </c>
      <c r="K126" s="3">
        <v>4</v>
      </c>
      <c r="O126" s="3">
        <f t="shared" si="87"/>
        <v>3486.28</v>
      </c>
      <c r="P126" s="3">
        <f t="shared" si="127"/>
        <v>119.37</v>
      </c>
      <c r="Q126" s="3">
        <f>(ROUND((ROUND((((ET126*1.2))*AV126*I126),2)*BB126),2)+ROUND((ROUND(((AE126-((EU126*1.2)))*AV126*I126),2)*BS126),2))</f>
        <v>0</v>
      </c>
      <c r="R126" s="3">
        <f>(ROUND((ROUND((((EU126*1.2))*AV126*I126),2)*BS126),2)+ROUND((ROUND(((AE126-((EU126*1.2)))*AV126*I126),2)*BS126),2))</f>
        <v>0</v>
      </c>
      <c r="S126" s="3">
        <f t="shared" si="89"/>
        <v>3366.91</v>
      </c>
      <c r="T126" s="3">
        <f t="shared" si="90"/>
        <v>0</v>
      </c>
      <c r="U126" s="3">
        <f t="shared" si="91"/>
        <v>5.0255999999999998</v>
      </c>
      <c r="V126" s="3">
        <f t="shared" si="92"/>
        <v>0</v>
      </c>
      <c r="W126" s="3">
        <f t="shared" si="93"/>
        <v>0</v>
      </c>
      <c r="X126" s="3">
        <f>(ROUND((((S126+ROUND((ROUND((((EU126*1.2))*AV126*I126),2)*BS126),2))*AT126)/100),2)+ROUND(((ROUND((ROUND(((AE126-((EU126*1.2)))*AV126*I126),2)*BS126),2)*AT126)/100),2))</f>
        <v>3198.56</v>
      </c>
      <c r="Y126" s="3">
        <f>(ROUND((((S126+ROUND((ROUND((((EU126*1.2))*AV126*I126),2)*BS126),2))*AU126)/100),2)+ROUND(((ROUND((ROUND(((AE126-((EU126*1.2)))*AV126*I126),2)*BS126),2)*AU126)/100),2))</f>
        <v>1784.46</v>
      </c>
      <c r="AA126" s="3">
        <v>55937298</v>
      </c>
      <c r="AB126" s="3">
        <f t="shared" si="94"/>
        <v>15.938000000000001</v>
      </c>
      <c r="AC126" s="3">
        <f>ROUND(((ES126*1)),6)</f>
        <v>1.67</v>
      </c>
      <c r="AD126" s="3">
        <f>ROUND(((((ET126*1.2))-((EU126*1.2)))+AE126),6)</f>
        <v>0</v>
      </c>
      <c r="AE126" s="3">
        <f>ROUND(((EU126*1.2)),6)</f>
        <v>0</v>
      </c>
      <c r="AF126" s="3">
        <f>ROUND(((EV126*1.2)),6)</f>
        <v>14.268000000000001</v>
      </c>
      <c r="AG126" s="3">
        <f t="shared" si="95"/>
        <v>0</v>
      </c>
      <c r="AH126" s="3">
        <f>((EW126*1.2))</f>
        <v>1.2</v>
      </c>
      <c r="AI126" s="3">
        <f>((EX126*1.2))</f>
        <v>0</v>
      </c>
      <c r="AJ126" s="3">
        <f t="shared" si="96"/>
        <v>0</v>
      </c>
      <c r="AK126" s="3">
        <v>13.56</v>
      </c>
      <c r="AL126" s="3">
        <v>1.67</v>
      </c>
      <c r="AM126" s="3">
        <v>0</v>
      </c>
      <c r="AN126" s="3">
        <v>0</v>
      </c>
      <c r="AO126" s="3">
        <v>11.89</v>
      </c>
      <c r="AP126" s="3">
        <v>0</v>
      </c>
      <c r="AQ126" s="3">
        <v>1</v>
      </c>
      <c r="AR126" s="3">
        <v>0</v>
      </c>
      <c r="AS126" s="3">
        <v>0</v>
      </c>
      <c r="AT126" s="3">
        <v>95</v>
      </c>
      <c r="AU126" s="3">
        <v>53</v>
      </c>
      <c r="AV126" s="3">
        <v>1.0469999999999999</v>
      </c>
      <c r="AW126" s="3">
        <v>1</v>
      </c>
      <c r="AZ126" s="3">
        <v>1</v>
      </c>
      <c r="BA126" s="3">
        <v>56.35</v>
      </c>
      <c r="BB126" s="3">
        <v>1</v>
      </c>
      <c r="BC126" s="3">
        <v>17.87</v>
      </c>
      <c r="BD126" s="3" t="s">
        <v>3</v>
      </c>
      <c r="BE126" s="3" t="s">
        <v>3</v>
      </c>
      <c r="BF126" s="3" t="s">
        <v>3</v>
      </c>
      <c r="BG126" s="3" t="s">
        <v>3</v>
      </c>
      <c r="BH126" s="3">
        <v>0</v>
      </c>
      <c r="BI126" s="3">
        <v>2</v>
      </c>
      <c r="BJ126" s="3" t="s">
        <v>50</v>
      </c>
      <c r="BM126" s="3">
        <v>69</v>
      </c>
      <c r="BN126" s="3">
        <v>0</v>
      </c>
      <c r="BO126" s="3" t="s">
        <v>48</v>
      </c>
      <c r="BP126" s="3">
        <v>1</v>
      </c>
      <c r="BQ126" s="3">
        <v>40</v>
      </c>
      <c r="BR126" s="3">
        <v>0</v>
      </c>
      <c r="BS126" s="3">
        <v>56.35</v>
      </c>
      <c r="BT126" s="3">
        <v>1</v>
      </c>
      <c r="BU126" s="3">
        <v>1</v>
      </c>
      <c r="BV126" s="3">
        <v>1</v>
      </c>
      <c r="BW126" s="3">
        <v>1</v>
      </c>
      <c r="BX126" s="3">
        <v>1</v>
      </c>
      <c r="BY126" s="3" t="s">
        <v>3</v>
      </c>
      <c r="BZ126" s="3">
        <v>95</v>
      </c>
      <c r="CA126" s="3">
        <v>53</v>
      </c>
      <c r="CB126" s="3" t="s">
        <v>3</v>
      </c>
      <c r="CE126" s="3">
        <v>1566</v>
      </c>
      <c r="CF126" s="3">
        <v>0</v>
      </c>
      <c r="CG126" s="3">
        <v>0</v>
      </c>
      <c r="CM126" s="3">
        <v>0</v>
      </c>
      <c r="CN126" s="3" t="s">
        <v>797</v>
      </c>
      <c r="CO126" s="3">
        <v>0</v>
      </c>
      <c r="CP126" s="3">
        <f t="shared" si="97"/>
        <v>3486.2799999999997</v>
      </c>
      <c r="CQ126" s="3">
        <f t="shared" si="128"/>
        <v>29.84</v>
      </c>
      <c r="CR126" s="3">
        <f>(ROUND((ROUND((((ET126*1.2))*AV126*1),2)*BB126),2)+ROUND((ROUND(((AE126-((EU126*1.2)))*AV126*1),2)*BS126),2))</f>
        <v>0</v>
      </c>
      <c r="CS126" s="3">
        <f>(ROUND((ROUND((((EU126*1.2))*AV126*1),2)*BS126),2)+ROUND((ROUND(((AE126-((EU126*1.2)))*AV126*1),2)*BS126),2))</f>
        <v>0</v>
      </c>
      <c r="CT126" s="3">
        <f t="shared" si="99"/>
        <v>841.87</v>
      </c>
      <c r="CU126" s="3">
        <f t="shared" si="100"/>
        <v>0</v>
      </c>
      <c r="CV126" s="3">
        <f t="shared" si="101"/>
        <v>1.2564</v>
      </c>
      <c r="CW126" s="3">
        <f t="shared" si="102"/>
        <v>0</v>
      </c>
      <c r="CX126" s="3">
        <f t="shared" si="103"/>
        <v>0</v>
      </c>
      <c r="CY126" s="3">
        <f>(ROUND((((S126+ROUND((ROUND((((EU126*1.2))*AV126*1),2)*BS126),2))*AT126)/100),2)+ROUND(((ROUND((ROUND(((AE126-((EU126*1.2)))*AV126*1),2)*BS126),2)*AT126)/100),2))</f>
        <v>3198.56</v>
      </c>
      <c r="CZ126" s="3">
        <f>(ROUND((((S126+ROUND((ROUND((((EU126*1.2))*AV126*1),2)*BS126),2))*AU126)/100),2)+ROUND(((ROUND((ROUND(((AE126-((EU126*1.2)))*AV126*1),2)*BS126),2)*AU126)/100),2))</f>
        <v>1784.46</v>
      </c>
      <c r="DB126" s="3">
        <v>84</v>
      </c>
      <c r="DC126" s="3" t="s">
        <v>3</v>
      </c>
      <c r="DD126" s="3" t="s">
        <v>113</v>
      </c>
      <c r="DE126" s="3" t="s">
        <v>114</v>
      </c>
      <c r="DF126" s="3" t="s">
        <v>114</v>
      </c>
      <c r="DG126" s="3" t="s">
        <v>114</v>
      </c>
      <c r="DH126" s="3" t="s">
        <v>3</v>
      </c>
      <c r="DI126" s="3" t="s">
        <v>114</v>
      </c>
      <c r="DJ126" s="3" t="s">
        <v>114</v>
      </c>
      <c r="DK126" s="3" t="s">
        <v>3</v>
      </c>
      <c r="DL126" s="3" t="s">
        <v>3</v>
      </c>
      <c r="DM126" s="3" t="s">
        <v>3</v>
      </c>
      <c r="DN126" s="3">
        <v>0</v>
      </c>
      <c r="DO126" s="3">
        <v>0</v>
      </c>
      <c r="DP126" s="3">
        <v>1</v>
      </c>
      <c r="DQ126" s="3">
        <v>1</v>
      </c>
      <c r="DU126" s="3">
        <v>1013</v>
      </c>
      <c r="DV126" s="3" t="s">
        <v>22</v>
      </c>
      <c r="DW126" s="3" t="s">
        <v>22</v>
      </c>
      <c r="DX126" s="3">
        <v>1</v>
      </c>
      <c r="DZ126" s="3" t="s">
        <v>3</v>
      </c>
      <c r="EA126" s="3" t="s">
        <v>3</v>
      </c>
      <c r="EB126" s="3" t="s">
        <v>3</v>
      </c>
      <c r="EC126" s="3" t="s">
        <v>3</v>
      </c>
      <c r="EE126" s="3">
        <v>55393701</v>
      </c>
      <c r="EF126" s="3">
        <v>40</v>
      </c>
      <c r="EG126" s="3" t="s">
        <v>26</v>
      </c>
      <c r="EH126" s="3">
        <v>0</v>
      </c>
      <c r="EI126" s="3" t="s">
        <v>3</v>
      </c>
      <c r="EJ126" s="3">
        <v>2</v>
      </c>
      <c r="EK126" s="3">
        <v>69</v>
      </c>
      <c r="EL126" s="3" t="s">
        <v>51</v>
      </c>
      <c r="EM126" s="3" t="s">
        <v>52</v>
      </c>
      <c r="EO126" s="3" t="s">
        <v>118</v>
      </c>
      <c r="EQ126" s="3">
        <v>0</v>
      </c>
      <c r="ER126" s="3">
        <v>13.56</v>
      </c>
      <c r="ES126" s="3">
        <v>1.67</v>
      </c>
      <c r="ET126" s="3">
        <v>0</v>
      </c>
      <c r="EU126" s="3">
        <v>0</v>
      </c>
      <c r="EV126" s="3">
        <v>11.89</v>
      </c>
      <c r="EW126" s="3">
        <v>1</v>
      </c>
      <c r="EX126" s="3">
        <v>0</v>
      </c>
      <c r="EY126" s="3">
        <v>0</v>
      </c>
      <c r="FQ126" s="3">
        <v>0</v>
      </c>
      <c r="FR126" s="3">
        <v>0</v>
      </c>
      <c r="FS126" s="3">
        <v>0</v>
      </c>
      <c r="FX126" s="3">
        <v>95</v>
      </c>
      <c r="FY126" s="3">
        <v>53</v>
      </c>
      <c r="GA126" s="3" t="s">
        <v>3</v>
      </c>
      <c r="GD126" s="3">
        <v>1</v>
      </c>
      <c r="GF126" s="3">
        <v>205901832</v>
      </c>
      <c r="GG126" s="3">
        <v>2</v>
      </c>
      <c r="GH126" s="3">
        <v>1</v>
      </c>
      <c r="GI126" s="3">
        <v>2</v>
      </c>
      <c r="GJ126" s="3">
        <v>0</v>
      </c>
      <c r="GK126" s="3">
        <v>0</v>
      </c>
      <c r="GL126" s="3">
        <f t="shared" si="104"/>
        <v>0</v>
      </c>
      <c r="GM126" s="3">
        <f t="shared" si="105"/>
        <v>8469.2999999999993</v>
      </c>
      <c r="GN126" s="3">
        <f t="shared" si="106"/>
        <v>0</v>
      </c>
      <c r="GO126" s="3">
        <f t="shared" si="107"/>
        <v>8469.2999999999993</v>
      </c>
      <c r="GP126" s="3">
        <f t="shared" si="108"/>
        <v>0</v>
      </c>
      <c r="GR126" s="3">
        <v>0</v>
      </c>
      <c r="GS126" s="3">
        <v>3</v>
      </c>
      <c r="GT126" s="3">
        <v>0</v>
      </c>
      <c r="GU126" s="3" t="s">
        <v>3</v>
      </c>
      <c r="GV126" s="3">
        <f t="shared" si="109"/>
        <v>0</v>
      </c>
      <c r="GW126" s="3">
        <v>1</v>
      </c>
      <c r="GX126" s="3">
        <f t="shared" si="110"/>
        <v>0</v>
      </c>
      <c r="HA126" s="3">
        <v>0</v>
      </c>
      <c r="HB126" s="3">
        <v>0</v>
      </c>
      <c r="HC126" s="3">
        <f t="shared" si="111"/>
        <v>0</v>
      </c>
      <c r="HE126" s="3" t="s">
        <v>3</v>
      </c>
      <c r="HF126" s="3" t="s">
        <v>3</v>
      </c>
      <c r="HM126" s="3" t="s">
        <v>3</v>
      </c>
      <c r="HN126" s="3" t="s">
        <v>3</v>
      </c>
      <c r="HO126" s="3" t="s">
        <v>3</v>
      </c>
      <c r="HP126" s="3" t="s">
        <v>3</v>
      </c>
      <c r="HQ126" s="3" t="s">
        <v>3</v>
      </c>
      <c r="HS126" s="3">
        <v>0</v>
      </c>
      <c r="IK126" s="3">
        <v>0</v>
      </c>
    </row>
    <row r="127" spans="1:255" x14ac:dyDescent="0.2">
      <c r="A127" s="2">
        <v>17</v>
      </c>
      <c r="B127" s="2">
        <v>1</v>
      </c>
      <c r="C127" s="2"/>
      <c r="D127" s="2"/>
      <c r="E127" s="2" t="s">
        <v>233</v>
      </c>
      <c r="F127" s="2" t="s">
        <v>234</v>
      </c>
      <c r="G127" s="2" t="s">
        <v>235</v>
      </c>
      <c r="H127" s="2" t="s">
        <v>183</v>
      </c>
      <c r="I127" s="2">
        <v>4</v>
      </c>
      <c r="J127" s="2">
        <v>0</v>
      </c>
      <c r="K127" s="2">
        <v>4</v>
      </c>
      <c r="L127" s="2"/>
      <c r="M127" s="2"/>
      <c r="N127" s="2"/>
      <c r="O127" s="2">
        <f t="shared" si="87"/>
        <v>578.20000000000005</v>
      </c>
      <c r="P127" s="2">
        <f t="shared" si="127"/>
        <v>578.20000000000005</v>
      </c>
      <c r="Q127" s="2">
        <f>(ROUND((ROUND(((ET127)*AV127*I127),2)*BB127),2)+ROUND((ROUND(((AE127-(EU127))*AV127*I127),2)*BS127),2))</f>
        <v>0</v>
      </c>
      <c r="R127" s="2">
        <f>(ROUND((ROUND(((EU127)*AV127*I127),2)*BS127),2)+ROUND((ROUND(((AE127-(EU127))*AV127*I127),2)*BS127),2))</f>
        <v>0</v>
      </c>
      <c r="S127" s="2">
        <f t="shared" si="89"/>
        <v>0</v>
      </c>
      <c r="T127" s="2">
        <f t="shared" si="90"/>
        <v>0</v>
      </c>
      <c r="U127" s="2">
        <f t="shared" si="91"/>
        <v>0</v>
      </c>
      <c r="V127" s="2">
        <f t="shared" si="92"/>
        <v>0</v>
      </c>
      <c r="W127" s="2">
        <f t="shared" si="93"/>
        <v>0</v>
      </c>
      <c r="X127" s="2">
        <f>(ROUND((((S127+ROUND((ROUND(((EU127)*AV127*I127),2)*BS127),2))*AT127)/100),2)+ROUND(((ROUND((ROUND(((AE127-(EU127))*AV127*I127),2)*BS127),2)*AT127)/100),2))</f>
        <v>0</v>
      </c>
      <c r="Y127" s="2">
        <f>(ROUND((((S127+ROUND((ROUND(((EU127)*AV127*I127),2)*BS127),2))*AU127)/100),2)+ROUND(((ROUND((ROUND(((AE127-(EU127))*AV127*I127),2)*BS127),2)*AU127)/100),2))</f>
        <v>0</v>
      </c>
      <c r="Z127" s="2"/>
      <c r="AA127" s="2">
        <v>55937296</v>
      </c>
      <c r="AB127" s="2">
        <f t="shared" si="94"/>
        <v>144.55000000000001</v>
      </c>
      <c r="AC127" s="2">
        <f>ROUND((ES127),6)</f>
        <v>144.55000000000001</v>
      </c>
      <c r="AD127" s="2">
        <f>ROUND((((ET127)-(EU127))+AE127),6)</f>
        <v>0</v>
      </c>
      <c r="AE127" s="2">
        <f>ROUND((EU127),6)</f>
        <v>0</v>
      </c>
      <c r="AF127" s="2">
        <f>ROUND((EV127),6)</f>
        <v>0</v>
      </c>
      <c r="AG127" s="2">
        <f t="shared" si="95"/>
        <v>0</v>
      </c>
      <c r="AH127" s="2">
        <f>(EW127)</f>
        <v>0</v>
      </c>
      <c r="AI127" s="2">
        <f>(EX127)</f>
        <v>0</v>
      </c>
      <c r="AJ127" s="2">
        <f t="shared" si="96"/>
        <v>0</v>
      </c>
      <c r="AK127" s="2">
        <v>144.55000000000001</v>
      </c>
      <c r="AL127" s="2">
        <v>144.55000000000001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3</v>
      </c>
      <c r="BJ127" s="2" t="s">
        <v>234</v>
      </c>
      <c r="BK127" s="2"/>
      <c r="BL127" s="2"/>
      <c r="BM127" s="2">
        <v>400007</v>
      </c>
      <c r="BN127" s="2">
        <v>0</v>
      </c>
      <c r="BO127" s="2" t="s">
        <v>3</v>
      </c>
      <c r="BP127" s="2">
        <v>0</v>
      </c>
      <c r="BQ127" s="2">
        <v>214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0</v>
      </c>
      <c r="CA127" s="2">
        <v>0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3</v>
      </c>
      <c r="CO127" s="2">
        <v>0</v>
      </c>
      <c r="CP127" s="2">
        <f t="shared" si="97"/>
        <v>578.20000000000005</v>
      </c>
      <c r="CQ127" s="2">
        <f t="shared" si="128"/>
        <v>144.55000000000001</v>
      </c>
      <c r="CR127" s="2">
        <f>(ROUND((ROUND(((ET127)*AV127*1),2)*BB127),2)+ROUND((ROUND(((AE127-(EU127))*AV127*1),2)*BS127),2))</f>
        <v>0</v>
      </c>
      <c r="CS127" s="2">
        <f>(ROUND((ROUND(((EU127)*AV127*1),2)*BS127),2)+ROUND((ROUND(((AE127-(EU127))*AV127*1),2)*BS127),2))</f>
        <v>0</v>
      </c>
      <c r="CT127" s="2">
        <f t="shared" si="99"/>
        <v>0</v>
      </c>
      <c r="CU127" s="2">
        <f t="shared" si="100"/>
        <v>0</v>
      </c>
      <c r="CV127" s="2">
        <f t="shared" si="101"/>
        <v>0</v>
      </c>
      <c r="CW127" s="2">
        <f t="shared" si="102"/>
        <v>0</v>
      </c>
      <c r="CX127" s="2">
        <f t="shared" si="103"/>
        <v>0</v>
      </c>
      <c r="CY127" s="2">
        <f>(ROUND((((S127+ROUND((ROUND(((EU127)*AV127*1),2)*BS127),2))*AT127)/100),2)+ROUND(((ROUND((ROUND(((AE127-(EU127))*AV127*1),2)*BS127),2)*AT127)/100),2))</f>
        <v>0</v>
      </c>
      <c r="CZ127" s="2">
        <f>(ROUND((((S127+ROUND((ROUND(((EU127)*AV127*1),2)*BS127),2))*AU127)/100),2)+ROUND(((ROUND((ROUND(((AE127-(EU127))*AV127*1),2)*BS127),2)*AU127)/100),2))</f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183</v>
      </c>
      <c r="DW127" s="2" t="s">
        <v>183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55393630</v>
      </c>
      <c r="EF127" s="2">
        <v>214</v>
      </c>
      <c r="EG127" s="2" t="s">
        <v>184</v>
      </c>
      <c r="EH127" s="2">
        <v>0</v>
      </c>
      <c r="EI127" s="2" t="s">
        <v>3</v>
      </c>
      <c r="EJ127" s="2">
        <v>3</v>
      </c>
      <c r="EK127" s="2">
        <v>400007</v>
      </c>
      <c r="EL127" s="2" t="s">
        <v>184</v>
      </c>
      <c r="EM127" s="2" t="s">
        <v>185</v>
      </c>
      <c r="EN127" s="2"/>
      <c r="EO127" s="2" t="s">
        <v>3</v>
      </c>
      <c r="EP127" s="2"/>
      <c r="EQ127" s="2">
        <v>16</v>
      </c>
      <c r="ER127" s="2">
        <v>0</v>
      </c>
      <c r="ES127" s="2">
        <v>144.55000000000001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f>P127</f>
        <v>578.20000000000005</v>
      </c>
      <c r="FS127" s="2">
        <v>0</v>
      </c>
      <c r="FT127" s="2"/>
      <c r="FU127" s="2"/>
      <c r="FV127" s="2"/>
      <c r="FW127" s="2"/>
      <c r="FX127" s="2">
        <v>0</v>
      </c>
      <c r="FY127" s="2">
        <v>0</v>
      </c>
      <c r="FZ127" s="2"/>
      <c r="GA127" s="2" t="s">
        <v>236</v>
      </c>
      <c r="GB127" s="2"/>
      <c r="GC127" s="2"/>
      <c r="GD127" s="2">
        <v>1</v>
      </c>
      <c r="GE127" s="2"/>
      <c r="GF127" s="2">
        <v>-1153636944</v>
      </c>
      <c r="GG127" s="2">
        <v>2</v>
      </c>
      <c r="GH127" s="2">
        <v>4</v>
      </c>
      <c r="GI127" s="2">
        <v>-2</v>
      </c>
      <c r="GJ127" s="2">
        <v>0</v>
      </c>
      <c r="GK127" s="2">
        <v>0</v>
      </c>
      <c r="GL127" s="2">
        <f t="shared" si="104"/>
        <v>0</v>
      </c>
      <c r="GM127" s="2">
        <f t="shared" si="105"/>
        <v>578.20000000000005</v>
      </c>
      <c r="GN127" s="2">
        <f t="shared" si="106"/>
        <v>0</v>
      </c>
      <c r="GO127" s="2">
        <f t="shared" si="107"/>
        <v>0</v>
      </c>
      <c r="GP127" s="2">
        <f t="shared" si="108"/>
        <v>0</v>
      </c>
      <c r="GQ127" s="2"/>
      <c r="GR127" s="2">
        <v>1</v>
      </c>
      <c r="GS127" s="2">
        <v>2</v>
      </c>
      <c r="GT127" s="2">
        <v>0</v>
      </c>
      <c r="GU127" s="2" t="s">
        <v>3</v>
      </c>
      <c r="GV127" s="2">
        <f t="shared" si="109"/>
        <v>0</v>
      </c>
      <c r="GW127" s="2">
        <v>1</v>
      </c>
      <c r="GX127" s="2">
        <f t="shared" si="110"/>
        <v>0</v>
      </c>
      <c r="GY127" s="2"/>
      <c r="GZ127" s="2"/>
      <c r="HA127" s="2">
        <v>0</v>
      </c>
      <c r="HB127" s="2">
        <v>0</v>
      </c>
      <c r="HC127" s="2">
        <f t="shared" si="111"/>
        <v>0</v>
      </c>
      <c r="HD127" s="2"/>
      <c r="HE127" s="2" t="s">
        <v>34</v>
      </c>
      <c r="HF127" s="2" t="s">
        <v>187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 s="3">
        <v>17</v>
      </c>
      <c r="B128" s="3">
        <v>1</v>
      </c>
      <c r="E128" s="3" t="s">
        <v>233</v>
      </c>
      <c r="F128" s="3" t="s">
        <v>234</v>
      </c>
      <c r="G128" s="3" t="s">
        <v>235</v>
      </c>
      <c r="H128" s="3" t="s">
        <v>183</v>
      </c>
      <c r="I128" s="3">
        <v>4</v>
      </c>
      <c r="J128" s="3">
        <v>0</v>
      </c>
      <c r="K128" s="3">
        <v>4</v>
      </c>
      <c r="O128" s="3">
        <f t="shared" si="87"/>
        <v>4429.01</v>
      </c>
      <c r="P128" s="3">
        <f t="shared" si="127"/>
        <v>4429.01</v>
      </c>
      <c r="Q128" s="3">
        <f>(ROUND((ROUND(((ET128)*AV128*I128),2)*BB128),2)+ROUND((ROUND(((AE128-(EU128))*AV128*I128),2)*BS128),2))</f>
        <v>0</v>
      </c>
      <c r="R128" s="3">
        <f>(ROUND((ROUND(((EU128)*AV128*I128),2)*BS128),2)+ROUND((ROUND(((AE128-(EU128))*AV128*I128),2)*BS128),2))</f>
        <v>0</v>
      </c>
      <c r="S128" s="3">
        <f t="shared" si="89"/>
        <v>0</v>
      </c>
      <c r="T128" s="3">
        <f t="shared" si="90"/>
        <v>0</v>
      </c>
      <c r="U128" s="3">
        <f t="shared" si="91"/>
        <v>0</v>
      </c>
      <c r="V128" s="3">
        <f t="shared" si="92"/>
        <v>0</v>
      </c>
      <c r="W128" s="3">
        <f t="shared" si="93"/>
        <v>0</v>
      </c>
      <c r="X128" s="3">
        <f>(ROUND((((S128+ROUND((ROUND(((EU128)*AV128*I128),2)*BS128),2))*AT128)/100),2)+ROUND(((ROUND((ROUND(((AE128-(EU128))*AV128*I128),2)*BS128),2)*AT128)/100),2))</f>
        <v>0</v>
      </c>
      <c r="Y128" s="3">
        <f>(ROUND((((S128+ROUND((ROUND(((EU128)*AV128*I128),2)*BS128),2))*AU128)/100),2)+ROUND(((ROUND((ROUND(((AE128-(EU128))*AV128*I128),2)*BS128),2)*AU128)/100),2))</f>
        <v>0</v>
      </c>
      <c r="AA128" s="3">
        <v>55937298</v>
      </c>
      <c r="AB128" s="3">
        <f t="shared" si="94"/>
        <v>144.55000000000001</v>
      </c>
      <c r="AC128" s="3">
        <f>ROUND((ES128),6)</f>
        <v>144.55000000000001</v>
      </c>
      <c r="AD128" s="3">
        <f>ROUND((((ET128)-(EU128))+AE128),6)</f>
        <v>0</v>
      </c>
      <c r="AE128" s="3">
        <f>ROUND((EU128),6)</f>
        <v>0</v>
      </c>
      <c r="AF128" s="3">
        <f>ROUND((EV128),6)</f>
        <v>0</v>
      </c>
      <c r="AG128" s="3">
        <f t="shared" si="95"/>
        <v>0</v>
      </c>
      <c r="AH128" s="3">
        <f>(EW128)</f>
        <v>0</v>
      </c>
      <c r="AI128" s="3">
        <f>(EX128)</f>
        <v>0</v>
      </c>
      <c r="AJ128" s="3">
        <f t="shared" si="96"/>
        <v>0</v>
      </c>
      <c r="AK128" s="3">
        <v>144.55000000000001</v>
      </c>
      <c r="AL128" s="3">
        <v>144.55000000000001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1</v>
      </c>
      <c r="AW128" s="3">
        <v>1</v>
      </c>
      <c r="AZ128" s="3">
        <v>1</v>
      </c>
      <c r="BA128" s="3">
        <v>1</v>
      </c>
      <c r="BB128" s="3">
        <v>1</v>
      </c>
      <c r="BC128" s="3">
        <v>7.66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3</v>
      </c>
      <c r="BI128" s="3">
        <v>3</v>
      </c>
      <c r="BJ128" s="3" t="s">
        <v>234</v>
      </c>
      <c r="BM128" s="3">
        <v>400007</v>
      </c>
      <c r="BN128" s="3">
        <v>0</v>
      </c>
      <c r="BO128" s="3" t="s">
        <v>3</v>
      </c>
      <c r="BP128" s="3">
        <v>0</v>
      </c>
      <c r="BQ128" s="3">
        <v>214</v>
      </c>
      <c r="BR128" s="3">
        <v>0</v>
      </c>
      <c r="BS128" s="3">
        <v>1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0</v>
      </c>
      <c r="CA128" s="3">
        <v>0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3</v>
      </c>
      <c r="CO128" s="3">
        <v>0</v>
      </c>
      <c r="CP128" s="3">
        <f t="shared" si="97"/>
        <v>4429.01</v>
      </c>
      <c r="CQ128" s="3">
        <f t="shared" si="128"/>
        <v>1107.25</v>
      </c>
      <c r="CR128" s="3">
        <f>(ROUND((ROUND(((ET128)*AV128*1),2)*BB128),2)+ROUND((ROUND(((AE128-(EU128))*AV128*1),2)*BS128),2))</f>
        <v>0</v>
      </c>
      <c r="CS128" s="3">
        <f>(ROUND((ROUND(((EU128)*AV128*1),2)*BS128),2)+ROUND((ROUND(((AE128-(EU128))*AV128*1),2)*BS128),2))</f>
        <v>0</v>
      </c>
      <c r="CT128" s="3">
        <f t="shared" si="99"/>
        <v>0</v>
      </c>
      <c r="CU128" s="3">
        <f t="shared" si="100"/>
        <v>0</v>
      </c>
      <c r="CV128" s="3">
        <f t="shared" si="101"/>
        <v>0</v>
      </c>
      <c r="CW128" s="3">
        <f t="shared" si="102"/>
        <v>0</v>
      </c>
      <c r="CX128" s="3">
        <f t="shared" si="103"/>
        <v>0</v>
      </c>
      <c r="CY128" s="3">
        <f>(ROUND((((S128+ROUND((ROUND(((EU128)*AV128*1),2)*BS128),2))*AT128)/100),2)+ROUND(((ROUND((ROUND(((AE128-(EU128))*AV128*1),2)*BS128),2)*AT128)/100),2))</f>
        <v>0</v>
      </c>
      <c r="CZ128" s="3">
        <f>(ROUND((((S128+ROUND((ROUND(((EU128)*AV128*1),2)*BS128),2))*AU128)/100),2)+ROUND(((ROUND((ROUND(((AE128-(EU128))*AV128*1),2)*BS128),2)*AU128)/100),2))</f>
        <v>0</v>
      </c>
      <c r="DC128" s="3" t="s">
        <v>3</v>
      </c>
      <c r="DD128" s="3" t="s">
        <v>3</v>
      </c>
      <c r="DE128" s="3" t="s">
        <v>3</v>
      </c>
      <c r="DF128" s="3" t="s">
        <v>3</v>
      </c>
      <c r="DG128" s="3" t="s">
        <v>3</v>
      </c>
      <c r="DH128" s="3" t="s">
        <v>3</v>
      </c>
      <c r="DI128" s="3" t="s">
        <v>3</v>
      </c>
      <c r="DJ128" s="3" t="s">
        <v>3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183</v>
      </c>
      <c r="DW128" s="3" t="s">
        <v>183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55393630</v>
      </c>
      <c r="EF128" s="3">
        <v>214</v>
      </c>
      <c r="EG128" s="3" t="s">
        <v>184</v>
      </c>
      <c r="EH128" s="3">
        <v>0</v>
      </c>
      <c r="EI128" s="3" t="s">
        <v>3</v>
      </c>
      <c r="EJ128" s="3">
        <v>3</v>
      </c>
      <c r="EK128" s="3">
        <v>400007</v>
      </c>
      <c r="EL128" s="3" t="s">
        <v>184</v>
      </c>
      <c r="EM128" s="3" t="s">
        <v>185</v>
      </c>
      <c r="EO128" s="3" t="s">
        <v>3</v>
      </c>
      <c r="EQ128" s="3">
        <v>16</v>
      </c>
      <c r="ER128" s="3">
        <v>0</v>
      </c>
      <c r="ES128" s="3">
        <v>144.55000000000001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5</v>
      </c>
      <c r="FC128" s="3">
        <v>1</v>
      </c>
      <c r="FD128" s="3">
        <v>18</v>
      </c>
      <c r="FF128" s="3">
        <v>1296</v>
      </c>
      <c r="FQ128" s="3">
        <v>0</v>
      </c>
      <c r="FR128" s="3">
        <f>P128</f>
        <v>4429.01</v>
      </c>
      <c r="FS128" s="3">
        <v>0</v>
      </c>
      <c r="FX128" s="3">
        <v>0</v>
      </c>
      <c r="FY128" s="3">
        <v>0</v>
      </c>
      <c r="GA128" s="3" t="s">
        <v>236</v>
      </c>
      <c r="GD128" s="3">
        <v>1</v>
      </c>
      <c r="GF128" s="3">
        <v>-1153636944</v>
      </c>
      <c r="GG128" s="3">
        <v>2</v>
      </c>
      <c r="GH128" s="3">
        <v>3</v>
      </c>
      <c r="GI128" s="3">
        <v>5</v>
      </c>
      <c r="GJ128" s="3">
        <v>0</v>
      </c>
      <c r="GK128" s="3">
        <v>0</v>
      </c>
      <c r="GL128" s="3">
        <f t="shared" si="104"/>
        <v>0</v>
      </c>
      <c r="GM128" s="3">
        <f t="shared" si="105"/>
        <v>4429.01</v>
      </c>
      <c r="GN128" s="3">
        <f t="shared" si="106"/>
        <v>0</v>
      </c>
      <c r="GO128" s="3">
        <f t="shared" si="107"/>
        <v>0</v>
      </c>
      <c r="GP128" s="3">
        <f t="shared" si="108"/>
        <v>0</v>
      </c>
      <c r="GR128" s="3">
        <v>1</v>
      </c>
      <c r="GS128" s="3">
        <v>1</v>
      </c>
      <c r="GT128" s="3">
        <v>0</v>
      </c>
      <c r="GU128" s="3" t="s">
        <v>3</v>
      </c>
      <c r="GV128" s="3">
        <f t="shared" si="109"/>
        <v>0</v>
      </c>
      <c r="GW128" s="3">
        <v>1</v>
      </c>
      <c r="GX128" s="3">
        <f t="shared" si="110"/>
        <v>0</v>
      </c>
      <c r="HA128" s="3">
        <v>0</v>
      </c>
      <c r="HB128" s="3">
        <v>0</v>
      </c>
      <c r="HC128" s="3">
        <f t="shared" si="111"/>
        <v>0</v>
      </c>
      <c r="HE128" s="3" t="s">
        <v>34</v>
      </c>
      <c r="HF128" s="3" t="s">
        <v>187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">
      <c r="A129" s="2">
        <v>17</v>
      </c>
      <c r="B129" s="2">
        <v>1</v>
      </c>
      <c r="C129" s="2">
        <f>ROW(SmtRes!A163)</f>
        <v>163</v>
      </c>
      <c r="D129" s="2">
        <f>ROW(EtalonRes!A211)</f>
        <v>211</v>
      </c>
      <c r="E129" s="2" t="s">
        <v>237</v>
      </c>
      <c r="F129" s="2" t="s">
        <v>54</v>
      </c>
      <c r="G129" s="2" t="s">
        <v>238</v>
      </c>
      <c r="H129" s="2" t="s">
        <v>22</v>
      </c>
      <c r="I129" s="2">
        <v>4</v>
      </c>
      <c r="J129" s="2">
        <v>0</v>
      </c>
      <c r="K129" s="2">
        <v>4</v>
      </c>
      <c r="L129" s="2"/>
      <c r="M129" s="2"/>
      <c r="N129" s="2"/>
      <c r="O129" s="2">
        <f t="shared" ref="O129:O160" si="129">ROUND(CP129,2)</f>
        <v>57.47</v>
      </c>
      <c r="P129" s="2">
        <f t="shared" si="127"/>
        <v>4.2</v>
      </c>
      <c r="Q129" s="2">
        <f>(ROUND((ROUND((((ET129*1.2))*AV129*I129),2)*BB129),2)+ROUND((ROUND(((AE129-((EU129*1.2)))*AV129*I129),2)*BS129),2))</f>
        <v>0</v>
      </c>
      <c r="R129" s="2">
        <f>(ROUND((ROUND((((EU129*1.2))*AV129*I129),2)*BS129),2)+ROUND((ROUND(((AE129-((EU129*1.2)))*AV129*I129),2)*BS129),2))</f>
        <v>0</v>
      </c>
      <c r="S129" s="2">
        <f t="shared" ref="S129:S160" si="130">ROUND((ROUND((AF129*AV129*I129),2)*BA129),2)</f>
        <v>53.27</v>
      </c>
      <c r="T129" s="2">
        <f t="shared" ref="T129:T160" si="131">ROUND(CU129*I129,2)</f>
        <v>0</v>
      </c>
      <c r="U129" s="2">
        <f t="shared" ref="U129:U160" si="132">CV129*I129</f>
        <v>4.2215039999999995</v>
      </c>
      <c r="V129" s="2">
        <f t="shared" ref="V129:V160" si="133">CW129*I129</f>
        <v>0</v>
      </c>
      <c r="W129" s="2">
        <f t="shared" ref="W129:W160" si="134">ROUND(CX129*I129,2)</f>
        <v>0</v>
      </c>
      <c r="X129" s="2">
        <f>(ROUND((((S129+ROUND((ROUND((((EU129*1.2))*AV129*I129),2)*BS129),2))*AT129)/100),2)+ROUND(((ROUND((ROUND(((AE129-((EU129*1.2)))*AV129*I129),2)*BS129),2)*AT129)/100),2))</f>
        <v>47.94</v>
      </c>
      <c r="Y129" s="2">
        <f>(ROUND((((S129+ROUND((ROUND((((EU129*1.2))*AV129*I129),2)*BS129),2))*AU129)/100),2)+ROUND(((ROUND((ROUND(((AE129-((EU129*1.2)))*AV129*I129),2)*BS129),2)*AU129)/100),2))</f>
        <v>24.5</v>
      </c>
      <c r="Z129" s="2"/>
      <c r="AA129" s="2">
        <v>55937296</v>
      </c>
      <c r="AB129" s="2">
        <f t="shared" ref="AB129:AB160" si="135">ROUND((AC129+AD129+AF129),6)</f>
        <v>13.77</v>
      </c>
      <c r="AC129" s="2">
        <f>ROUND(((ES129*1)),6)</f>
        <v>1.05</v>
      </c>
      <c r="AD129" s="2">
        <f>ROUND(((((ET129*1.2))-((EU129*1.2)))+AE129),6)</f>
        <v>0</v>
      </c>
      <c r="AE129" s="2">
        <f>ROUND(((EU129*1.2)),6)</f>
        <v>0</v>
      </c>
      <c r="AF129" s="2">
        <f>ROUND(((EV129*1.2)),6)</f>
        <v>12.72</v>
      </c>
      <c r="AG129" s="2">
        <f t="shared" ref="AG129:AG160" si="136">ROUND((AP129),6)</f>
        <v>0</v>
      </c>
      <c r="AH129" s="2">
        <f>((EW129*1.2))</f>
        <v>1.008</v>
      </c>
      <c r="AI129" s="2">
        <f>((EX129*1.2))</f>
        <v>0</v>
      </c>
      <c r="AJ129" s="2">
        <f t="shared" ref="AJ129:AJ160" si="137">(AS129)</f>
        <v>0</v>
      </c>
      <c r="AK129" s="2">
        <v>11.65</v>
      </c>
      <c r="AL129" s="2">
        <v>1.05</v>
      </c>
      <c r="AM129" s="2">
        <v>0</v>
      </c>
      <c r="AN129" s="2">
        <v>0</v>
      </c>
      <c r="AO129" s="2">
        <v>10.6</v>
      </c>
      <c r="AP129" s="2">
        <v>0</v>
      </c>
      <c r="AQ129" s="2">
        <v>0.84</v>
      </c>
      <c r="AR129" s="2">
        <v>0</v>
      </c>
      <c r="AS129" s="2">
        <v>0</v>
      </c>
      <c r="AT129" s="2">
        <v>90</v>
      </c>
      <c r="AU129" s="2">
        <v>46</v>
      </c>
      <c r="AV129" s="2">
        <v>1.0469999999999999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0</v>
      </c>
      <c r="BI129" s="2">
        <v>2</v>
      </c>
      <c r="BJ129" s="2" t="s">
        <v>56</v>
      </c>
      <c r="BK129" s="2"/>
      <c r="BL129" s="2"/>
      <c r="BM129" s="2">
        <v>68</v>
      </c>
      <c r="BN129" s="2">
        <v>0</v>
      </c>
      <c r="BO129" s="2" t="s">
        <v>54</v>
      </c>
      <c r="BP129" s="2">
        <v>1</v>
      </c>
      <c r="BQ129" s="2">
        <v>40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90</v>
      </c>
      <c r="CA129" s="2">
        <v>46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797</v>
      </c>
      <c r="CO129" s="2">
        <v>0</v>
      </c>
      <c r="CP129" s="2">
        <f t="shared" ref="CP129:CP160" si="138">(P129+Q129+S129)</f>
        <v>57.470000000000006</v>
      </c>
      <c r="CQ129" s="2">
        <f t="shared" si="128"/>
        <v>1.05</v>
      </c>
      <c r="CR129" s="2">
        <f>(ROUND((ROUND((((ET129*1.2))*AV129*1),2)*BB129),2)+ROUND((ROUND(((AE129-((EU129*1.2)))*AV129*1),2)*BS129),2))</f>
        <v>0</v>
      </c>
      <c r="CS129" s="2">
        <f>(ROUND((ROUND((((EU129*1.2))*AV129*1),2)*BS129),2)+ROUND((ROUND(((AE129-((EU129*1.2)))*AV129*1),2)*BS129),2))</f>
        <v>0</v>
      </c>
      <c r="CT129" s="2">
        <f t="shared" ref="CT129:CT160" si="139">ROUND((ROUND((AF129*AV129*1),2)*BA129),2)</f>
        <v>13.32</v>
      </c>
      <c r="CU129" s="2">
        <f t="shared" ref="CU129:CU160" si="140">AG129</f>
        <v>0</v>
      </c>
      <c r="CV129" s="2">
        <f t="shared" ref="CV129:CV160" si="141">(AH129*AV129)</f>
        <v>1.0553759999999999</v>
      </c>
      <c r="CW129" s="2">
        <f t="shared" ref="CW129:CW160" si="142">AI129</f>
        <v>0</v>
      </c>
      <c r="CX129" s="2">
        <f t="shared" ref="CX129:CX160" si="143">AJ129</f>
        <v>0</v>
      </c>
      <c r="CY129" s="2">
        <f>(ROUND((((S129+ROUND((ROUND((((EU129*1.2))*AV129*1),2)*BS129),2))*AT129)/100),2)+ROUND(((ROUND((ROUND(((AE129-((EU129*1.2)))*AV129*1),2)*BS129),2)*AT129)/100),2))</f>
        <v>47.94</v>
      </c>
      <c r="CZ129" s="2">
        <f>(ROUND((((S129+ROUND((ROUND((((EU129*1.2))*AV129*1),2)*BS129),2))*AU129)/100),2)+ROUND(((ROUND((ROUND(((AE129-((EU129*1.2)))*AV129*1),2)*BS129),2)*AU129)/100),2))</f>
        <v>24.5</v>
      </c>
      <c r="DA129" s="2"/>
      <c r="DB129" s="2">
        <v>85</v>
      </c>
      <c r="DC129" s="2" t="s">
        <v>3</v>
      </c>
      <c r="DD129" s="2" t="s">
        <v>113</v>
      </c>
      <c r="DE129" s="2" t="s">
        <v>114</v>
      </c>
      <c r="DF129" s="2" t="s">
        <v>114</v>
      </c>
      <c r="DG129" s="2" t="s">
        <v>114</v>
      </c>
      <c r="DH129" s="2" t="s">
        <v>3</v>
      </c>
      <c r="DI129" s="2" t="s">
        <v>114</v>
      </c>
      <c r="DJ129" s="2" t="s">
        <v>114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22</v>
      </c>
      <c r="DW129" s="2" t="s">
        <v>22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55393700</v>
      </c>
      <c r="EF129" s="2">
        <v>40</v>
      </c>
      <c r="EG129" s="2" t="s">
        <v>26</v>
      </c>
      <c r="EH129" s="2">
        <v>0</v>
      </c>
      <c r="EI129" s="2" t="s">
        <v>3</v>
      </c>
      <c r="EJ129" s="2">
        <v>2</v>
      </c>
      <c r="EK129" s="2">
        <v>68</v>
      </c>
      <c r="EL129" s="2" t="s">
        <v>27</v>
      </c>
      <c r="EM129" s="2" t="s">
        <v>28</v>
      </c>
      <c r="EN129" s="2"/>
      <c r="EO129" s="2" t="s">
        <v>118</v>
      </c>
      <c r="EP129" s="2"/>
      <c r="EQ129" s="2">
        <v>0</v>
      </c>
      <c r="ER129" s="2">
        <v>11.65</v>
      </c>
      <c r="ES129" s="2">
        <v>1.05</v>
      </c>
      <c r="ET129" s="2">
        <v>0</v>
      </c>
      <c r="EU129" s="2">
        <v>0</v>
      </c>
      <c r="EV129" s="2">
        <v>10.6</v>
      </c>
      <c r="EW129" s="2">
        <v>0.84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90</v>
      </c>
      <c r="FY129" s="2">
        <v>46</v>
      </c>
      <c r="FZ129" s="2"/>
      <c r="GA129" s="2" t="s">
        <v>3</v>
      </c>
      <c r="GB129" s="2"/>
      <c r="GC129" s="2"/>
      <c r="GD129" s="2">
        <v>1</v>
      </c>
      <c r="GE129" s="2"/>
      <c r="GF129" s="2">
        <v>-1797125674</v>
      </c>
      <c r="GG129" s="2">
        <v>2</v>
      </c>
      <c r="GH129" s="2">
        <v>1</v>
      </c>
      <c r="GI129" s="2">
        <v>2</v>
      </c>
      <c r="GJ129" s="2">
        <v>0</v>
      </c>
      <c r="GK129" s="2">
        <v>0</v>
      </c>
      <c r="GL129" s="2">
        <f t="shared" ref="GL129:GL160" si="144">ROUND(IF(AND(BH129=3,BI129=3,FS129&lt;&gt;0),P129,0),2)</f>
        <v>0</v>
      </c>
      <c r="GM129" s="2">
        <f t="shared" ref="GM129:GM160" si="145">ROUND(O129+X129+Y129,2)+GX129</f>
        <v>129.91</v>
      </c>
      <c r="GN129" s="2">
        <f t="shared" ref="GN129:GN160" si="146">IF(OR(BI129=0,BI129=1),GM129-GX129,0)</f>
        <v>0</v>
      </c>
      <c r="GO129" s="2">
        <f t="shared" ref="GO129:GO160" si="147">IF(BI129=2,GM129-GX129,0)</f>
        <v>129.91</v>
      </c>
      <c r="GP129" s="2">
        <f t="shared" ref="GP129:GP160" si="148">IF(BI129=4,GM129-GX129,0)</f>
        <v>0</v>
      </c>
      <c r="GQ129" s="2"/>
      <c r="GR129" s="2">
        <v>0</v>
      </c>
      <c r="GS129" s="2">
        <v>3</v>
      </c>
      <c r="GT129" s="2">
        <v>0</v>
      </c>
      <c r="GU129" s="2" t="s">
        <v>3</v>
      </c>
      <c r="GV129" s="2">
        <f t="shared" ref="GV129:GV160" si="149">ROUND((GT129),6)</f>
        <v>0</v>
      </c>
      <c r="GW129" s="2">
        <v>1</v>
      </c>
      <c r="GX129" s="2">
        <f t="shared" ref="GX129:GX160" si="150">ROUND(HC129*I129,2)</f>
        <v>0</v>
      </c>
      <c r="GY129" s="2"/>
      <c r="GZ129" s="2"/>
      <c r="HA129" s="2">
        <v>0</v>
      </c>
      <c r="HB129" s="2">
        <v>0</v>
      </c>
      <c r="HC129" s="2">
        <f t="shared" ref="HC129:HC160" si="151">GV129*GW129</f>
        <v>0</v>
      </c>
      <c r="HD129" s="2"/>
      <c r="HE129" s="2" t="s">
        <v>3</v>
      </c>
      <c r="HF129" s="2" t="s">
        <v>3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 s="3">
        <v>17</v>
      </c>
      <c r="B130" s="3">
        <v>1</v>
      </c>
      <c r="C130" s="3">
        <f>ROW(SmtRes!A164)</f>
        <v>164</v>
      </c>
      <c r="D130" s="3">
        <f>ROW(EtalonRes!A212)</f>
        <v>212</v>
      </c>
      <c r="E130" s="3" t="s">
        <v>237</v>
      </c>
      <c r="F130" s="3" t="s">
        <v>54</v>
      </c>
      <c r="G130" s="3" t="s">
        <v>238</v>
      </c>
      <c r="H130" s="3" t="s">
        <v>22</v>
      </c>
      <c r="I130" s="3">
        <v>4</v>
      </c>
      <c r="J130" s="3">
        <v>0</v>
      </c>
      <c r="K130" s="3">
        <v>4</v>
      </c>
      <c r="O130" s="3">
        <f t="shared" si="129"/>
        <v>3043.09</v>
      </c>
      <c r="P130" s="3">
        <f t="shared" si="127"/>
        <v>41.33</v>
      </c>
      <c r="Q130" s="3">
        <f>(ROUND((ROUND((((ET130*1.2))*AV130*I130),2)*BB130),2)+ROUND((ROUND(((AE130-((EU130*1.2)))*AV130*I130),2)*BS130),2))</f>
        <v>0</v>
      </c>
      <c r="R130" s="3">
        <f>(ROUND((ROUND((((EU130*1.2))*AV130*I130),2)*BS130),2)+ROUND((ROUND(((AE130-((EU130*1.2)))*AV130*I130),2)*BS130),2))</f>
        <v>0</v>
      </c>
      <c r="S130" s="3">
        <f t="shared" si="130"/>
        <v>3001.76</v>
      </c>
      <c r="T130" s="3">
        <f t="shared" si="131"/>
        <v>0</v>
      </c>
      <c r="U130" s="3">
        <f t="shared" si="132"/>
        <v>4.2215039999999995</v>
      </c>
      <c r="V130" s="3">
        <f t="shared" si="133"/>
        <v>0</v>
      </c>
      <c r="W130" s="3">
        <f t="shared" si="134"/>
        <v>0</v>
      </c>
      <c r="X130" s="3">
        <f>(ROUND((((S130+ROUND((ROUND((((EU130*1.2))*AV130*I130),2)*BS130),2))*AT130)/100),2)+ROUND(((ROUND((ROUND(((AE130-((EU130*1.2)))*AV130*I130),2)*BS130),2)*AT130)/100),2))</f>
        <v>2701.58</v>
      </c>
      <c r="Y130" s="3">
        <f>(ROUND((((S130+ROUND((ROUND((((EU130*1.2))*AV130*I130),2)*BS130),2))*AU130)/100),2)+ROUND(((ROUND((ROUND(((AE130-((EU130*1.2)))*AV130*I130),2)*BS130),2)*AU130)/100),2))</f>
        <v>1380.81</v>
      </c>
      <c r="AA130" s="3">
        <v>55937298</v>
      </c>
      <c r="AB130" s="3">
        <f t="shared" si="135"/>
        <v>13.77</v>
      </c>
      <c r="AC130" s="3">
        <f>ROUND(((ES130*1)),6)</f>
        <v>1.05</v>
      </c>
      <c r="AD130" s="3">
        <f>ROUND(((((ET130*1.2))-((EU130*1.2)))+AE130),6)</f>
        <v>0</v>
      </c>
      <c r="AE130" s="3">
        <f>ROUND(((EU130*1.2)),6)</f>
        <v>0</v>
      </c>
      <c r="AF130" s="3">
        <f>ROUND(((EV130*1.2)),6)</f>
        <v>12.72</v>
      </c>
      <c r="AG130" s="3">
        <f t="shared" si="136"/>
        <v>0</v>
      </c>
      <c r="AH130" s="3">
        <f>((EW130*1.2))</f>
        <v>1.008</v>
      </c>
      <c r="AI130" s="3">
        <f>((EX130*1.2))</f>
        <v>0</v>
      </c>
      <c r="AJ130" s="3">
        <f t="shared" si="137"/>
        <v>0</v>
      </c>
      <c r="AK130" s="3">
        <v>11.65</v>
      </c>
      <c r="AL130" s="3">
        <v>1.05</v>
      </c>
      <c r="AM130" s="3">
        <v>0</v>
      </c>
      <c r="AN130" s="3">
        <v>0</v>
      </c>
      <c r="AO130" s="3">
        <v>10.6</v>
      </c>
      <c r="AP130" s="3">
        <v>0</v>
      </c>
      <c r="AQ130" s="3">
        <v>0.84</v>
      </c>
      <c r="AR130" s="3">
        <v>0</v>
      </c>
      <c r="AS130" s="3">
        <v>0</v>
      </c>
      <c r="AT130" s="3">
        <v>90</v>
      </c>
      <c r="AU130" s="3">
        <v>46</v>
      </c>
      <c r="AV130" s="3">
        <v>1.0469999999999999</v>
      </c>
      <c r="AW130" s="3">
        <v>1</v>
      </c>
      <c r="AZ130" s="3">
        <v>1</v>
      </c>
      <c r="BA130" s="3">
        <v>56.35</v>
      </c>
      <c r="BB130" s="3">
        <v>1</v>
      </c>
      <c r="BC130" s="3">
        <v>9.84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0</v>
      </c>
      <c r="BI130" s="3">
        <v>2</v>
      </c>
      <c r="BJ130" s="3" t="s">
        <v>56</v>
      </c>
      <c r="BM130" s="3">
        <v>68</v>
      </c>
      <c r="BN130" s="3">
        <v>0</v>
      </c>
      <c r="BO130" s="3" t="s">
        <v>54</v>
      </c>
      <c r="BP130" s="3">
        <v>1</v>
      </c>
      <c r="BQ130" s="3">
        <v>40</v>
      </c>
      <c r="BR130" s="3">
        <v>0</v>
      </c>
      <c r="BS130" s="3">
        <v>56.35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90</v>
      </c>
      <c r="CA130" s="3">
        <v>46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797</v>
      </c>
      <c r="CO130" s="3">
        <v>0</v>
      </c>
      <c r="CP130" s="3">
        <f t="shared" si="138"/>
        <v>3043.09</v>
      </c>
      <c r="CQ130" s="3">
        <f t="shared" si="128"/>
        <v>10.33</v>
      </c>
      <c r="CR130" s="3">
        <f>(ROUND((ROUND((((ET130*1.2))*AV130*1),2)*BB130),2)+ROUND((ROUND(((AE130-((EU130*1.2)))*AV130*1),2)*BS130),2))</f>
        <v>0</v>
      </c>
      <c r="CS130" s="3">
        <f>(ROUND((ROUND((((EU130*1.2))*AV130*1),2)*BS130),2)+ROUND((ROUND(((AE130-((EU130*1.2)))*AV130*1),2)*BS130),2))</f>
        <v>0</v>
      </c>
      <c r="CT130" s="3">
        <f t="shared" si="139"/>
        <v>750.58</v>
      </c>
      <c r="CU130" s="3">
        <f t="shared" si="140"/>
        <v>0</v>
      </c>
      <c r="CV130" s="3">
        <f t="shared" si="141"/>
        <v>1.0553759999999999</v>
      </c>
      <c r="CW130" s="3">
        <f t="shared" si="142"/>
        <v>0</v>
      </c>
      <c r="CX130" s="3">
        <f t="shared" si="143"/>
        <v>0</v>
      </c>
      <c r="CY130" s="3">
        <f>(ROUND((((S130+ROUND((ROUND((((EU130*1.2))*AV130*1),2)*BS130),2))*AT130)/100),2)+ROUND(((ROUND((ROUND(((AE130-((EU130*1.2)))*AV130*1),2)*BS130),2)*AT130)/100),2))</f>
        <v>2701.58</v>
      </c>
      <c r="CZ130" s="3">
        <f>(ROUND((((S130+ROUND((ROUND((((EU130*1.2))*AV130*1),2)*BS130),2))*AU130)/100),2)+ROUND(((ROUND((ROUND(((AE130-((EU130*1.2)))*AV130*1),2)*BS130),2)*AU130)/100),2))</f>
        <v>1380.81</v>
      </c>
      <c r="DB130" s="3">
        <v>86</v>
      </c>
      <c r="DC130" s="3" t="s">
        <v>3</v>
      </c>
      <c r="DD130" s="3" t="s">
        <v>113</v>
      </c>
      <c r="DE130" s="3" t="s">
        <v>114</v>
      </c>
      <c r="DF130" s="3" t="s">
        <v>114</v>
      </c>
      <c r="DG130" s="3" t="s">
        <v>114</v>
      </c>
      <c r="DH130" s="3" t="s">
        <v>3</v>
      </c>
      <c r="DI130" s="3" t="s">
        <v>114</v>
      </c>
      <c r="DJ130" s="3" t="s">
        <v>114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1013</v>
      </c>
      <c r="DV130" s="3" t="s">
        <v>22</v>
      </c>
      <c r="DW130" s="3" t="s">
        <v>22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55393700</v>
      </c>
      <c r="EF130" s="3">
        <v>40</v>
      </c>
      <c r="EG130" s="3" t="s">
        <v>26</v>
      </c>
      <c r="EH130" s="3">
        <v>0</v>
      </c>
      <c r="EI130" s="3" t="s">
        <v>3</v>
      </c>
      <c r="EJ130" s="3">
        <v>2</v>
      </c>
      <c r="EK130" s="3">
        <v>68</v>
      </c>
      <c r="EL130" s="3" t="s">
        <v>27</v>
      </c>
      <c r="EM130" s="3" t="s">
        <v>28</v>
      </c>
      <c r="EO130" s="3" t="s">
        <v>118</v>
      </c>
      <c r="EQ130" s="3">
        <v>0</v>
      </c>
      <c r="ER130" s="3">
        <v>11.65</v>
      </c>
      <c r="ES130" s="3">
        <v>1.05</v>
      </c>
      <c r="ET130" s="3">
        <v>0</v>
      </c>
      <c r="EU130" s="3">
        <v>0</v>
      </c>
      <c r="EV130" s="3">
        <v>10.6</v>
      </c>
      <c r="EW130" s="3">
        <v>0.84</v>
      </c>
      <c r="EX130" s="3">
        <v>0</v>
      </c>
      <c r="EY130" s="3">
        <v>0</v>
      </c>
      <c r="FQ130" s="3">
        <v>0</v>
      </c>
      <c r="FR130" s="3">
        <v>0</v>
      </c>
      <c r="FS130" s="3">
        <v>0</v>
      </c>
      <c r="FX130" s="3">
        <v>90</v>
      </c>
      <c r="FY130" s="3">
        <v>46</v>
      </c>
      <c r="GA130" s="3" t="s">
        <v>3</v>
      </c>
      <c r="GD130" s="3">
        <v>1</v>
      </c>
      <c r="GF130" s="3">
        <v>-1797125674</v>
      </c>
      <c r="GG130" s="3">
        <v>2</v>
      </c>
      <c r="GH130" s="3">
        <v>1</v>
      </c>
      <c r="GI130" s="3">
        <v>2</v>
      </c>
      <c r="GJ130" s="3">
        <v>0</v>
      </c>
      <c r="GK130" s="3">
        <v>0</v>
      </c>
      <c r="GL130" s="3">
        <f t="shared" si="144"/>
        <v>0</v>
      </c>
      <c r="GM130" s="3">
        <f t="shared" si="145"/>
        <v>7125.48</v>
      </c>
      <c r="GN130" s="3">
        <f t="shared" si="146"/>
        <v>0</v>
      </c>
      <c r="GO130" s="3">
        <f t="shared" si="147"/>
        <v>7125.48</v>
      </c>
      <c r="GP130" s="3">
        <f t="shared" si="148"/>
        <v>0</v>
      </c>
      <c r="GR130" s="3">
        <v>0</v>
      </c>
      <c r="GS130" s="3">
        <v>3</v>
      </c>
      <c r="GT130" s="3">
        <v>0</v>
      </c>
      <c r="GU130" s="3" t="s">
        <v>3</v>
      </c>
      <c r="GV130" s="3">
        <f t="shared" si="149"/>
        <v>0</v>
      </c>
      <c r="GW130" s="3">
        <v>1</v>
      </c>
      <c r="GX130" s="3">
        <f t="shared" si="150"/>
        <v>0</v>
      </c>
      <c r="HA130" s="3">
        <v>0</v>
      </c>
      <c r="HB130" s="3">
        <v>0</v>
      </c>
      <c r="HC130" s="3">
        <f t="shared" si="151"/>
        <v>0</v>
      </c>
      <c r="HE130" s="3" t="s">
        <v>3</v>
      </c>
      <c r="HF130" s="3" t="s">
        <v>3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">
      <c r="A131" s="2">
        <v>17</v>
      </c>
      <c r="B131" s="2">
        <v>1</v>
      </c>
      <c r="C131" s="2"/>
      <c r="D131" s="2"/>
      <c r="E131" s="2" t="s">
        <v>239</v>
      </c>
      <c r="F131" s="2" t="s">
        <v>240</v>
      </c>
      <c r="G131" s="2" t="s">
        <v>799</v>
      </c>
      <c r="H131" s="2" t="s">
        <v>217</v>
      </c>
      <c r="I131" s="2">
        <v>4</v>
      </c>
      <c r="J131" s="2">
        <v>0</v>
      </c>
      <c r="K131" s="2">
        <v>4</v>
      </c>
      <c r="L131" s="2"/>
      <c r="M131" s="2"/>
      <c r="N131" s="2"/>
      <c r="O131" s="2">
        <f t="shared" si="129"/>
        <v>139.76</v>
      </c>
      <c r="P131" s="2">
        <f>ROUND((ROUND((AC131*I131),2)*BC131),2)</f>
        <v>139.76</v>
      </c>
      <c r="Q131" s="2">
        <f>(ROUND((ROUND(((ET131)*AV131*I131),2)*BB131),2)+ROUND((ROUND(((AE131-(EU131))*AV131*I131),2)*BS131),2))</f>
        <v>0</v>
      </c>
      <c r="R131" s="2">
        <f>(ROUND((ROUND(((EU131)*AV131*I131),2)*BS131),2)+ROUND((ROUND(((AE131-(EU131))*AV131*I131),2)*BS131),2))</f>
        <v>0</v>
      </c>
      <c r="S131" s="2">
        <f t="shared" si="130"/>
        <v>0</v>
      </c>
      <c r="T131" s="2">
        <f t="shared" si="131"/>
        <v>0</v>
      </c>
      <c r="U131" s="2">
        <f t="shared" si="132"/>
        <v>0</v>
      </c>
      <c r="V131" s="2">
        <f t="shared" si="133"/>
        <v>0</v>
      </c>
      <c r="W131" s="2">
        <f t="shared" si="134"/>
        <v>0</v>
      </c>
      <c r="X131" s="2">
        <f>(ROUND((((S131+ROUND((ROUND(((EU131)*AV131*I131),2)*BS131),2))*AT131)/100),2)+ROUND(((ROUND((ROUND(((AE131-(EU131))*AV131*I131),2)*BS131),2)*AT131)/100),2))</f>
        <v>0</v>
      </c>
      <c r="Y131" s="2">
        <f>(ROUND((((S131+ROUND((ROUND(((EU131)*AV131*I131),2)*BS131),2))*AU131)/100),2)+ROUND(((ROUND((ROUND(((AE131-(EU131))*AV131*I131),2)*BS131),2)*AU131)/100),2))</f>
        <v>0</v>
      </c>
      <c r="Z131" s="2"/>
      <c r="AA131" s="2">
        <v>55937296</v>
      </c>
      <c r="AB131" s="2">
        <f t="shared" si="135"/>
        <v>34.94</v>
      </c>
      <c r="AC131" s="2">
        <f>ROUND((ES131),6)</f>
        <v>34.94</v>
      </c>
      <c r="AD131" s="2">
        <f>ROUND((((ET131)-(EU131))+AE131),6)</f>
        <v>0</v>
      </c>
      <c r="AE131" s="2">
        <f>ROUND((EU131),6)</f>
        <v>0</v>
      </c>
      <c r="AF131" s="2">
        <f>ROUND((EV131),6)</f>
        <v>0</v>
      </c>
      <c r="AG131" s="2">
        <f t="shared" si="136"/>
        <v>0</v>
      </c>
      <c r="AH131" s="2">
        <f>(EW131)</f>
        <v>0</v>
      </c>
      <c r="AI131" s="2">
        <f>(EX131)</f>
        <v>0</v>
      </c>
      <c r="AJ131" s="2">
        <f t="shared" si="137"/>
        <v>0</v>
      </c>
      <c r="AK131" s="2">
        <v>34.94</v>
      </c>
      <c r="AL131" s="2">
        <v>34.94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3</v>
      </c>
      <c r="BJ131" s="2" t="s">
        <v>241</v>
      </c>
      <c r="BK131" s="2"/>
      <c r="BL131" s="2"/>
      <c r="BM131" s="2">
        <v>746</v>
      </c>
      <c r="BN131" s="2">
        <v>0</v>
      </c>
      <c r="BO131" s="2" t="s">
        <v>3</v>
      </c>
      <c r="BP131" s="2">
        <v>0</v>
      </c>
      <c r="BQ131" s="2">
        <v>130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0</v>
      </c>
      <c r="CA131" s="2">
        <v>0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3</v>
      </c>
      <c r="CO131" s="2">
        <v>0</v>
      </c>
      <c r="CP131" s="2">
        <f t="shared" si="138"/>
        <v>139.76</v>
      </c>
      <c r="CQ131" s="2">
        <f>ROUND((ROUND((AC131*1),2)*BC131),2)</f>
        <v>34.94</v>
      </c>
      <c r="CR131" s="2">
        <f>(ROUND((ROUND(((ET131)*AV131*1),2)*BB131),2)+ROUND((ROUND(((AE131-(EU131))*AV131*1),2)*BS131),2))</f>
        <v>0</v>
      </c>
      <c r="CS131" s="2">
        <f>(ROUND((ROUND(((EU131)*AV131*1),2)*BS131),2)+ROUND((ROUND(((AE131-(EU131))*AV131*1),2)*BS131),2))</f>
        <v>0</v>
      </c>
      <c r="CT131" s="2">
        <f t="shared" si="139"/>
        <v>0</v>
      </c>
      <c r="CU131" s="2">
        <f t="shared" si="140"/>
        <v>0</v>
      </c>
      <c r="CV131" s="2">
        <f t="shared" si="141"/>
        <v>0</v>
      </c>
      <c r="CW131" s="2">
        <f t="shared" si="142"/>
        <v>0</v>
      </c>
      <c r="CX131" s="2">
        <f t="shared" si="143"/>
        <v>0</v>
      </c>
      <c r="CY131" s="2">
        <f>(ROUND((((S131+ROUND((ROUND(((EU131)*AV131*1),2)*BS131),2))*AT131)/100),2)+ROUND(((ROUND((ROUND(((AE131-(EU131))*AV131*1),2)*BS131),2)*AT131)/100),2))</f>
        <v>0</v>
      </c>
      <c r="CZ131" s="2">
        <f>(ROUND((((S131+ROUND((ROUND(((EU131)*AV131*1),2)*BS131),2))*AU131)/100),2)+ROUND(((ROUND((ROUND(((AE131-(EU131))*AV131*1),2)*BS131),2)*AU131)/100),2))</f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217</v>
      </c>
      <c r="DW131" s="2" t="s">
        <v>217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55393806</v>
      </c>
      <c r="EF131" s="2">
        <v>130</v>
      </c>
      <c r="EG131" s="2" t="s">
        <v>219</v>
      </c>
      <c r="EH131" s="2">
        <v>0</v>
      </c>
      <c r="EI131" s="2" t="s">
        <v>3</v>
      </c>
      <c r="EJ131" s="2">
        <v>3</v>
      </c>
      <c r="EK131" s="2">
        <v>746</v>
      </c>
      <c r="EL131" s="2" t="s">
        <v>220</v>
      </c>
      <c r="EM131" s="2" t="s">
        <v>221</v>
      </c>
      <c r="EN131" s="2"/>
      <c r="EO131" s="2" t="s">
        <v>3</v>
      </c>
      <c r="EP131" s="2"/>
      <c r="EQ131" s="2">
        <v>0</v>
      </c>
      <c r="ER131" s="2">
        <v>34.94</v>
      </c>
      <c r="ES131" s="2">
        <v>34.94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f>P131</f>
        <v>139.76</v>
      </c>
      <c r="FS131" s="2">
        <v>0</v>
      </c>
      <c r="FT131" s="2"/>
      <c r="FU131" s="2"/>
      <c r="FV131" s="2"/>
      <c r="FW131" s="2"/>
      <c r="FX131" s="2">
        <v>0</v>
      </c>
      <c r="FY131" s="2">
        <v>0</v>
      </c>
      <c r="FZ131" s="2"/>
      <c r="GA131" s="2" t="s">
        <v>3</v>
      </c>
      <c r="GB131" s="2"/>
      <c r="GC131" s="2"/>
      <c r="GD131" s="2">
        <v>1</v>
      </c>
      <c r="GE131" s="2"/>
      <c r="GF131" s="2">
        <v>1129817184</v>
      </c>
      <c r="GG131" s="2">
        <v>2</v>
      </c>
      <c r="GH131" s="2">
        <v>1</v>
      </c>
      <c r="GI131" s="2">
        <v>-2</v>
      </c>
      <c r="GJ131" s="2">
        <v>0</v>
      </c>
      <c r="GK131" s="2">
        <v>0</v>
      </c>
      <c r="GL131" s="2">
        <f t="shared" si="144"/>
        <v>0</v>
      </c>
      <c r="GM131" s="2">
        <f t="shared" si="145"/>
        <v>139.76</v>
      </c>
      <c r="GN131" s="2">
        <f t="shared" si="146"/>
        <v>0</v>
      </c>
      <c r="GO131" s="2">
        <f t="shared" si="147"/>
        <v>0</v>
      </c>
      <c r="GP131" s="2">
        <f t="shared" si="148"/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si="149"/>
        <v>0</v>
      </c>
      <c r="GW131" s="2">
        <v>1</v>
      </c>
      <c r="GX131" s="2">
        <f t="shared" si="150"/>
        <v>0</v>
      </c>
      <c r="GY131" s="2"/>
      <c r="GZ131" s="2"/>
      <c r="HA131" s="2">
        <v>0</v>
      </c>
      <c r="HB131" s="2">
        <v>0</v>
      </c>
      <c r="HC131" s="2">
        <f t="shared" si="151"/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 s="3">
        <v>17</v>
      </c>
      <c r="B132" s="3">
        <v>1</v>
      </c>
      <c r="E132" s="3" t="s">
        <v>239</v>
      </c>
      <c r="F132" s="3" t="s">
        <v>240</v>
      </c>
      <c r="G132" s="3" t="s">
        <v>799</v>
      </c>
      <c r="H132" s="3" t="s">
        <v>217</v>
      </c>
      <c r="I132" s="3">
        <v>4</v>
      </c>
      <c r="J132" s="3">
        <v>0</v>
      </c>
      <c r="K132" s="3">
        <v>4</v>
      </c>
      <c r="O132" s="3">
        <f t="shared" si="129"/>
        <v>592.58000000000004</v>
      </c>
      <c r="P132" s="3">
        <f>ROUND((ROUND((AC132*I132),2)*BC132),2)</f>
        <v>592.58000000000004</v>
      </c>
      <c r="Q132" s="3">
        <f>(ROUND((ROUND(((ET132)*AV132*I132),2)*BB132),2)+ROUND((ROUND(((AE132-(EU132))*AV132*I132),2)*BS132),2))</f>
        <v>0</v>
      </c>
      <c r="R132" s="3">
        <f>(ROUND((ROUND(((EU132)*AV132*I132),2)*BS132),2)+ROUND((ROUND(((AE132-(EU132))*AV132*I132),2)*BS132),2))</f>
        <v>0</v>
      </c>
      <c r="S132" s="3">
        <f t="shared" si="130"/>
        <v>0</v>
      </c>
      <c r="T132" s="3">
        <f t="shared" si="131"/>
        <v>0</v>
      </c>
      <c r="U132" s="3">
        <f t="shared" si="132"/>
        <v>0</v>
      </c>
      <c r="V132" s="3">
        <f t="shared" si="133"/>
        <v>0</v>
      </c>
      <c r="W132" s="3">
        <f t="shared" si="134"/>
        <v>0</v>
      </c>
      <c r="X132" s="3">
        <f>(ROUND((((S132+ROUND((ROUND(((EU132)*AV132*I132),2)*BS132),2))*AT132)/100),2)+ROUND(((ROUND((ROUND(((AE132-(EU132))*AV132*I132),2)*BS132),2)*AT132)/100),2))</f>
        <v>0</v>
      </c>
      <c r="Y132" s="3">
        <f>(ROUND((((S132+ROUND((ROUND(((EU132)*AV132*I132),2)*BS132),2))*AU132)/100),2)+ROUND(((ROUND((ROUND(((AE132-(EU132))*AV132*I132),2)*BS132),2)*AU132)/100),2))</f>
        <v>0</v>
      </c>
      <c r="AA132" s="3">
        <v>55937298</v>
      </c>
      <c r="AB132" s="3">
        <f t="shared" si="135"/>
        <v>34.94</v>
      </c>
      <c r="AC132" s="3">
        <f>ROUND((ES132),6)</f>
        <v>34.94</v>
      </c>
      <c r="AD132" s="3">
        <f>ROUND((((ET132)-(EU132))+AE132),6)</f>
        <v>0</v>
      </c>
      <c r="AE132" s="3">
        <f>ROUND((EU132),6)</f>
        <v>0</v>
      </c>
      <c r="AF132" s="3">
        <f>ROUND((EV132),6)</f>
        <v>0</v>
      </c>
      <c r="AG132" s="3">
        <f t="shared" si="136"/>
        <v>0</v>
      </c>
      <c r="AH132" s="3">
        <f>(EW132)</f>
        <v>0</v>
      </c>
      <c r="AI132" s="3">
        <f>(EX132)</f>
        <v>0</v>
      </c>
      <c r="AJ132" s="3">
        <f t="shared" si="137"/>
        <v>0</v>
      </c>
      <c r="AK132" s="3">
        <v>34.94</v>
      </c>
      <c r="AL132" s="3">
        <v>34.94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1</v>
      </c>
      <c r="AW132" s="3">
        <v>1</v>
      </c>
      <c r="AZ132" s="3">
        <v>1</v>
      </c>
      <c r="BA132" s="3">
        <v>1</v>
      </c>
      <c r="BB132" s="3">
        <v>1</v>
      </c>
      <c r="BC132" s="3">
        <v>4.24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3</v>
      </c>
      <c r="BI132" s="3">
        <v>3</v>
      </c>
      <c r="BJ132" s="3" t="s">
        <v>241</v>
      </c>
      <c r="BM132" s="3">
        <v>746</v>
      </c>
      <c r="BN132" s="3">
        <v>0</v>
      </c>
      <c r="BO132" s="3" t="s">
        <v>3</v>
      </c>
      <c r="BP132" s="3">
        <v>0</v>
      </c>
      <c r="BQ132" s="3">
        <v>130</v>
      </c>
      <c r="BR132" s="3">
        <v>0</v>
      </c>
      <c r="BS132" s="3">
        <v>1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0</v>
      </c>
      <c r="CA132" s="3">
        <v>0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3</v>
      </c>
      <c r="CO132" s="3">
        <v>0</v>
      </c>
      <c r="CP132" s="3">
        <f t="shared" si="138"/>
        <v>592.58000000000004</v>
      </c>
      <c r="CQ132" s="3">
        <f>ROUND((ROUND((AC132*1),2)*BC132),2)</f>
        <v>148.15</v>
      </c>
      <c r="CR132" s="3">
        <f>(ROUND((ROUND(((ET132)*AV132*1),2)*BB132),2)+ROUND((ROUND(((AE132-(EU132))*AV132*1),2)*BS132),2))</f>
        <v>0</v>
      </c>
      <c r="CS132" s="3">
        <f>(ROUND((ROUND(((EU132)*AV132*1),2)*BS132),2)+ROUND((ROUND(((AE132-(EU132))*AV132*1),2)*BS132),2))</f>
        <v>0</v>
      </c>
      <c r="CT132" s="3">
        <f t="shared" si="139"/>
        <v>0</v>
      </c>
      <c r="CU132" s="3">
        <f t="shared" si="140"/>
        <v>0</v>
      </c>
      <c r="CV132" s="3">
        <f t="shared" si="141"/>
        <v>0</v>
      </c>
      <c r="CW132" s="3">
        <f t="shared" si="142"/>
        <v>0</v>
      </c>
      <c r="CX132" s="3">
        <f t="shared" si="143"/>
        <v>0</v>
      </c>
      <c r="CY132" s="3">
        <f>(ROUND((((S132+ROUND((ROUND(((EU132)*AV132*1),2)*BS132),2))*AT132)/100),2)+ROUND(((ROUND((ROUND(((AE132-(EU132))*AV132*1),2)*BS132),2)*AT132)/100),2))</f>
        <v>0</v>
      </c>
      <c r="CZ132" s="3">
        <f>(ROUND((((S132+ROUND((ROUND(((EU132)*AV132*1),2)*BS132),2))*AU132)/100),2)+ROUND(((ROUND((ROUND(((AE132-(EU132))*AV132*1),2)*BS132),2)*AU132)/100),2))</f>
        <v>0</v>
      </c>
      <c r="DC132" s="3" t="s">
        <v>3</v>
      </c>
      <c r="DD132" s="3" t="s">
        <v>3</v>
      </c>
      <c r="DE132" s="3" t="s">
        <v>3</v>
      </c>
      <c r="DF132" s="3" t="s">
        <v>3</v>
      </c>
      <c r="DG132" s="3" t="s">
        <v>3</v>
      </c>
      <c r="DH132" s="3" t="s">
        <v>3</v>
      </c>
      <c r="DI132" s="3" t="s">
        <v>3</v>
      </c>
      <c r="DJ132" s="3" t="s">
        <v>3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1010</v>
      </c>
      <c r="DV132" s="3" t="s">
        <v>217</v>
      </c>
      <c r="DW132" s="3" t="s">
        <v>217</v>
      </c>
      <c r="DX132" s="3">
        <v>1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55393806</v>
      </c>
      <c r="EF132" s="3">
        <v>130</v>
      </c>
      <c r="EG132" s="3" t="s">
        <v>219</v>
      </c>
      <c r="EH132" s="3">
        <v>0</v>
      </c>
      <c r="EI132" s="3" t="s">
        <v>3</v>
      </c>
      <c r="EJ132" s="3">
        <v>3</v>
      </c>
      <c r="EK132" s="3">
        <v>746</v>
      </c>
      <c r="EL132" s="3" t="s">
        <v>220</v>
      </c>
      <c r="EM132" s="3" t="s">
        <v>221</v>
      </c>
      <c r="EO132" s="3" t="s">
        <v>3</v>
      </c>
      <c r="EQ132" s="3">
        <v>0</v>
      </c>
      <c r="ER132" s="3">
        <v>34.94</v>
      </c>
      <c r="ES132" s="3">
        <v>34.94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FQ132" s="3">
        <v>0</v>
      </c>
      <c r="FR132" s="3">
        <f>P132</f>
        <v>592.58000000000004</v>
      </c>
      <c r="FS132" s="3">
        <v>0</v>
      </c>
      <c r="FX132" s="3">
        <v>0</v>
      </c>
      <c r="FY132" s="3">
        <v>0</v>
      </c>
      <c r="GA132" s="3" t="s">
        <v>3</v>
      </c>
      <c r="GD132" s="3">
        <v>1</v>
      </c>
      <c r="GF132" s="3">
        <v>1129817184</v>
      </c>
      <c r="GG132" s="3">
        <v>2</v>
      </c>
      <c r="GH132" s="3">
        <v>1</v>
      </c>
      <c r="GI132" s="3">
        <v>2</v>
      </c>
      <c r="GJ132" s="3">
        <v>0</v>
      </c>
      <c r="GK132" s="3">
        <v>0</v>
      </c>
      <c r="GL132" s="3">
        <f t="shared" si="144"/>
        <v>0</v>
      </c>
      <c r="GM132" s="3">
        <f t="shared" si="145"/>
        <v>592.58000000000004</v>
      </c>
      <c r="GN132" s="3">
        <f t="shared" si="146"/>
        <v>0</v>
      </c>
      <c r="GO132" s="3">
        <f t="shared" si="147"/>
        <v>0</v>
      </c>
      <c r="GP132" s="3">
        <f t="shared" si="148"/>
        <v>0</v>
      </c>
      <c r="GR132" s="3">
        <v>0</v>
      </c>
      <c r="GS132" s="3">
        <v>3</v>
      </c>
      <c r="GT132" s="3">
        <v>0</v>
      </c>
      <c r="GU132" s="3" t="s">
        <v>3</v>
      </c>
      <c r="GV132" s="3">
        <f t="shared" si="149"/>
        <v>0</v>
      </c>
      <c r="GW132" s="3">
        <v>1</v>
      </c>
      <c r="GX132" s="3">
        <f t="shared" si="150"/>
        <v>0</v>
      </c>
      <c r="HA132" s="3">
        <v>0</v>
      </c>
      <c r="HB132" s="3">
        <v>0</v>
      </c>
      <c r="HC132" s="3">
        <f t="shared" si="151"/>
        <v>0</v>
      </c>
      <c r="HE132" s="3" t="s">
        <v>3</v>
      </c>
      <c r="HF132" s="3" t="s">
        <v>3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">
      <c r="A133" s="2">
        <v>17</v>
      </c>
      <c r="B133" s="2">
        <v>1</v>
      </c>
      <c r="C133" s="2">
        <f>ROW(SmtRes!A170)</f>
        <v>170</v>
      </c>
      <c r="D133" s="2">
        <f>ROW(EtalonRes!A220)</f>
        <v>220</v>
      </c>
      <c r="E133" s="2" t="s">
        <v>242</v>
      </c>
      <c r="F133" s="2" t="s">
        <v>58</v>
      </c>
      <c r="G133" s="2" t="s">
        <v>243</v>
      </c>
      <c r="H133" s="2" t="s">
        <v>60</v>
      </c>
      <c r="I133" s="2">
        <f>ROUND((4+4+4)/100,9)</f>
        <v>0.12</v>
      </c>
      <c r="J133" s="2">
        <v>0</v>
      </c>
      <c r="K133" s="2">
        <f>ROUND((4+4+4)/100,9)</f>
        <v>0.12</v>
      </c>
      <c r="L133" s="2"/>
      <c r="M133" s="2"/>
      <c r="N133" s="2"/>
      <c r="O133" s="2">
        <f t="shared" si="129"/>
        <v>189.65</v>
      </c>
      <c r="P133" s="2">
        <f>ROUND((ROUND((AC133*AW133*I133),2)*BC133),2)</f>
        <v>9.76</v>
      </c>
      <c r="Q133" s="2">
        <f>(ROUND((ROUND((((ET133*1.2))*AV133*I133),2)*BB133),2)+ROUND((ROUND(((AE133-((EU133*1.2)))*AV133*I133),2)*BS133),2))</f>
        <v>14.07</v>
      </c>
      <c r="R133" s="2">
        <f>(ROUND((ROUND((((EU133*1.2))*AV133*I133),2)*BS133),2)+ROUND((ROUND(((AE133-((EU133*1.2)))*AV133*I133),2)*BS133),2))</f>
        <v>1.96</v>
      </c>
      <c r="S133" s="2">
        <f t="shared" si="130"/>
        <v>165.82</v>
      </c>
      <c r="T133" s="2">
        <f t="shared" si="131"/>
        <v>0</v>
      </c>
      <c r="U133" s="2">
        <f t="shared" si="132"/>
        <v>12.765526559999998</v>
      </c>
      <c r="V133" s="2">
        <f t="shared" si="133"/>
        <v>0</v>
      </c>
      <c r="W133" s="2">
        <f t="shared" si="134"/>
        <v>0</v>
      </c>
      <c r="X133" s="2">
        <f>(ROUND((((S133+ROUND((ROUND((((EU133*1.2))*AV133*I133),2)*BS133),2))*AT133)/100),2)+ROUND(((ROUND((ROUND(((AE133-((EU133*1.2)))*AV133*I133),2)*BS133),2)*AT133)/100),2))</f>
        <v>162.75</v>
      </c>
      <c r="Y133" s="2">
        <f>(ROUND((((S133+ROUND((ROUND((((EU133*1.2))*AV133*I133),2)*BS133),2))*AU133)/100),2)+ROUND(((ROUND((ROUND(((AE133-((EU133*1.2)))*AV133*I133),2)*BS133),2)*AU133)/100),2))</f>
        <v>85.57</v>
      </c>
      <c r="Z133" s="2"/>
      <c r="AA133" s="2">
        <v>55937296</v>
      </c>
      <c r="AB133" s="2">
        <f t="shared" si="135"/>
        <v>1513.1759999999999</v>
      </c>
      <c r="AC133" s="2">
        <f>ROUND(((ES133*1)),6)</f>
        <v>81.36</v>
      </c>
      <c r="AD133" s="2">
        <f>ROUND(((((ET133*1.2))-((EU133*1.2)))+AE133),6)</f>
        <v>111.98399999999999</v>
      </c>
      <c r="AE133" s="2">
        <f>ROUND(((EU133*1.2)),6)</f>
        <v>15.6</v>
      </c>
      <c r="AF133" s="2">
        <f>ROUND(((EV133*1.2)),6)</f>
        <v>1319.8320000000001</v>
      </c>
      <c r="AG133" s="2">
        <f t="shared" si="136"/>
        <v>0</v>
      </c>
      <c r="AH133" s="2">
        <f>((EW133*1.2))</f>
        <v>101.604</v>
      </c>
      <c r="AI133" s="2">
        <f>((EX133*1.2))</f>
        <v>0</v>
      </c>
      <c r="AJ133" s="2">
        <f t="shared" si="137"/>
        <v>0</v>
      </c>
      <c r="AK133" s="2">
        <v>1274.54</v>
      </c>
      <c r="AL133" s="2">
        <v>81.36</v>
      </c>
      <c r="AM133" s="2">
        <v>93.32</v>
      </c>
      <c r="AN133" s="2">
        <v>13</v>
      </c>
      <c r="AO133" s="2">
        <v>1099.8599999999999</v>
      </c>
      <c r="AP133" s="2">
        <v>0</v>
      </c>
      <c r="AQ133" s="2">
        <v>84.67</v>
      </c>
      <c r="AR133" s="2">
        <v>0</v>
      </c>
      <c r="AS133" s="2">
        <v>0</v>
      </c>
      <c r="AT133" s="2">
        <v>97</v>
      </c>
      <c r="AU133" s="2">
        <v>51</v>
      </c>
      <c r="AV133" s="2">
        <v>1.0469999999999999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0</v>
      </c>
      <c r="BI133" s="2">
        <v>2</v>
      </c>
      <c r="BJ133" s="2" t="s">
        <v>61</v>
      </c>
      <c r="BK133" s="2"/>
      <c r="BL133" s="2"/>
      <c r="BM133" s="2">
        <v>67</v>
      </c>
      <c r="BN133" s="2">
        <v>0</v>
      </c>
      <c r="BO133" s="2" t="s">
        <v>58</v>
      </c>
      <c r="BP133" s="2">
        <v>1</v>
      </c>
      <c r="BQ133" s="2">
        <v>40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97</v>
      </c>
      <c r="CA133" s="2">
        <v>51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797</v>
      </c>
      <c r="CO133" s="2">
        <v>0</v>
      </c>
      <c r="CP133" s="2">
        <f t="shared" si="138"/>
        <v>189.64999999999998</v>
      </c>
      <c r="CQ133" s="2">
        <f>ROUND((ROUND((AC133*AW133*1),2)*BC133),2)</f>
        <v>81.36</v>
      </c>
      <c r="CR133" s="2">
        <f>(ROUND((ROUND((((ET133*1.2))*AV133*1),2)*BB133),2)+ROUND((ROUND(((AE133-((EU133*1.2)))*AV133*1),2)*BS133),2))</f>
        <v>117.25</v>
      </c>
      <c r="CS133" s="2">
        <f>(ROUND((ROUND((((EU133*1.2))*AV133*1),2)*BS133),2)+ROUND((ROUND(((AE133-((EU133*1.2)))*AV133*1),2)*BS133),2))</f>
        <v>16.329999999999998</v>
      </c>
      <c r="CT133" s="2">
        <f t="shared" si="139"/>
        <v>1381.86</v>
      </c>
      <c r="CU133" s="2">
        <f t="shared" si="140"/>
        <v>0</v>
      </c>
      <c r="CV133" s="2">
        <f t="shared" si="141"/>
        <v>106.37938799999999</v>
      </c>
      <c r="CW133" s="2">
        <f t="shared" si="142"/>
        <v>0</v>
      </c>
      <c r="CX133" s="2">
        <f t="shared" si="143"/>
        <v>0</v>
      </c>
      <c r="CY133" s="2">
        <f>(ROUND((((S133+ROUND((ROUND((((EU133*1.2))*AV133*1),2)*BS133),2))*AT133)/100),2)+ROUND(((ROUND((ROUND(((AE133-((EU133*1.2)))*AV133*1),2)*BS133),2)*AT133)/100),2))</f>
        <v>176.69</v>
      </c>
      <c r="CZ133" s="2">
        <f>(ROUND((((S133+ROUND((ROUND((((EU133*1.2))*AV133*1),2)*BS133),2))*AU133)/100),2)+ROUND(((ROUND((ROUND(((AE133-((EU133*1.2)))*AV133*1),2)*BS133),2)*AU133)/100),2))</f>
        <v>92.9</v>
      </c>
      <c r="DA133" s="2"/>
      <c r="DB133" s="2">
        <v>87</v>
      </c>
      <c r="DC133" s="2" t="s">
        <v>3</v>
      </c>
      <c r="DD133" s="2" t="s">
        <v>113</v>
      </c>
      <c r="DE133" s="2" t="s">
        <v>114</v>
      </c>
      <c r="DF133" s="2" t="s">
        <v>114</v>
      </c>
      <c r="DG133" s="2" t="s">
        <v>114</v>
      </c>
      <c r="DH133" s="2" t="s">
        <v>3</v>
      </c>
      <c r="DI133" s="2" t="s">
        <v>114</v>
      </c>
      <c r="DJ133" s="2" t="s">
        <v>114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60</v>
      </c>
      <c r="DW133" s="2" t="s">
        <v>60</v>
      </c>
      <c r="DX133" s="2">
        <v>100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55393699</v>
      </c>
      <c r="EF133" s="2">
        <v>40</v>
      </c>
      <c r="EG133" s="2" t="s">
        <v>26</v>
      </c>
      <c r="EH133" s="2">
        <v>0</v>
      </c>
      <c r="EI133" s="2" t="s">
        <v>3</v>
      </c>
      <c r="EJ133" s="2">
        <v>2</v>
      </c>
      <c r="EK133" s="2">
        <v>67</v>
      </c>
      <c r="EL133" s="2" t="s">
        <v>62</v>
      </c>
      <c r="EM133" s="2" t="s">
        <v>63</v>
      </c>
      <c r="EN133" s="2"/>
      <c r="EO133" s="2" t="s">
        <v>118</v>
      </c>
      <c r="EP133" s="2"/>
      <c r="EQ133" s="2">
        <v>0</v>
      </c>
      <c r="ER133" s="2">
        <v>1274.54</v>
      </c>
      <c r="ES133" s="2">
        <v>81.36</v>
      </c>
      <c r="ET133" s="2">
        <v>93.32</v>
      </c>
      <c r="EU133" s="2">
        <v>13</v>
      </c>
      <c r="EV133" s="2">
        <v>1099.8599999999999</v>
      </c>
      <c r="EW133" s="2">
        <v>84.67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97</v>
      </c>
      <c r="FY133" s="2">
        <v>51</v>
      </c>
      <c r="FZ133" s="2"/>
      <c r="GA133" s="2" t="s">
        <v>3</v>
      </c>
      <c r="GB133" s="2"/>
      <c r="GC133" s="2"/>
      <c r="GD133" s="2">
        <v>1</v>
      </c>
      <c r="GE133" s="2"/>
      <c r="GF133" s="2">
        <v>-222864710</v>
      </c>
      <c r="GG133" s="2">
        <v>2</v>
      </c>
      <c r="GH133" s="2">
        <v>1</v>
      </c>
      <c r="GI133" s="2">
        <v>2</v>
      </c>
      <c r="GJ133" s="2">
        <v>0</v>
      </c>
      <c r="GK133" s="2">
        <v>0</v>
      </c>
      <c r="GL133" s="2">
        <f t="shared" si="144"/>
        <v>0</v>
      </c>
      <c r="GM133" s="2">
        <f t="shared" si="145"/>
        <v>437.97</v>
      </c>
      <c r="GN133" s="2">
        <f t="shared" si="146"/>
        <v>0</v>
      </c>
      <c r="GO133" s="2">
        <f t="shared" si="147"/>
        <v>437.97</v>
      </c>
      <c r="GP133" s="2">
        <f t="shared" si="148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49"/>
        <v>0</v>
      </c>
      <c r="GW133" s="2">
        <v>1</v>
      </c>
      <c r="GX133" s="2">
        <f t="shared" si="150"/>
        <v>0</v>
      </c>
      <c r="GY133" s="2"/>
      <c r="GZ133" s="2"/>
      <c r="HA133" s="2">
        <v>0</v>
      </c>
      <c r="HB133" s="2">
        <v>0</v>
      </c>
      <c r="HC133" s="2">
        <f t="shared" si="151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3">
        <v>17</v>
      </c>
      <c r="B134" s="3">
        <v>1</v>
      </c>
      <c r="C134" s="3">
        <f>ROW(SmtRes!A176)</f>
        <v>176</v>
      </c>
      <c r="D134" s="3">
        <f>ROW(EtalonRes!A228)</f>
        <v>228</v>
      </c>
      <c r="E134" s="3" t="s">
        <v>242</v>
      </c>
      <c r="F134" s="3" t="s">
        <v>58</v>
      </c>
      <c r="G134" s="3" t="s">
        <v>243</v>
      </c>
      <c r="H134" s="3" t="s">
        <v>60</v>
      </c>
      <c r="I134" s="3">
        <f>ROUND((4+4+4)/100,9)</f>
        <v>0.12</v>
      </c>
      <c r="J134" s="3">
        <v>0</v>
      </c>
      <c r="K134" s="3">
        <f>ROUND((4+4+4)/100,9)</f>
        <v>0.12</v>
      </c>
      <c r="O134" s="3">
        <f t="shared" si="129"/>
        <v>9678.93</v>
      </c>
      <c r="P134" s="3">
        <f>ROUND((ROUND((AC134*AW134*I134),2)*BC134),2)</f>
        <v>103.94</v>
      </c>
      <c r="Q134" s="3">
        <f>(ROUND((ROUND((((ET134*1.2))*AV134*I134),2)*BB134),2)+ROUND((ROUND(((AE134-((EU134*1.2)))*AV134*I134),2)*BS134),2))</f>
        <v>231.03</v>
      </c>
      <c r="R134" s="3">
        <f>(ROUND((ROUND((((EU134*1.2))*AV134*I134),2)*BS134),2)+ROUND((ROUND(((AE134-((EU134*1.2)))*AV134*I134),2)*BS134),2))</f>
        <v>110.45</v>
      </c>
      <c r="S134" s="3">
        <f t="shared" si="130"/>
        <v>9343.9599999999991</v>
      </c>
      <c r="T134" s="3">
        <f t="shared" si="131"/>
        <v>0</v>
      </c>
      <c r="U134" s="3">
        <f t="shared" si="132"/>
        <v>12.765526559999998</v>
      </c>
      <c r="V134" s="3">
        <f t="shared" si="133"/>
        <v>0</v>
      </c>
      <c r="W134" s="3">
        <f t="shared" si="134"/>
        <v>0</v>
      </c>
      <c r="X134" s="3">
        <f>(ROUND((((S134+ROUND((ROUND((((EU134*1.2))*AV134*I134),2)*BS134),2))*AT134)/100),2)+ROUND(((ROUND((ROUND(((AE134-((EU134*1.2)))*AV134*I134),2)*BS134),2)*AT134)/100),2))</f>
        <v>9170.7800000000007</v>
      </c>
      <c r="Y134" s="3">
        <f>(ROUND((((S134+ROUND((ROUND((((EU134*1.2))*AV134*I134),2)*BS134),2))*AU134)/100),2)+ROUND(((ROUND((ROUND(((AE134-((EU134*1.2)))*AV134*I134),2)*BS134),2)*AU134)/100),2))</f>
        <v>4821.75</v>
      </c>
      <c r="AA134" s="3">
        <v>55937298</v>
      </c>
      <c r="AB134" s="3">
        <f t="shared" si="135"/>
        <v>1513.1759999999999</v>
      </c>
      <c r="AC134" s="3">
        <f>ROUND(((ES134*1)),6)</f>
        <v>81.36</v>
      </c>
      <c r="AD134" s="3">
        <f>ROUND(((((ET134*1.2))-((EU134*1.2)))+AE134),6)</f>
        <v>111.98399999999999</v>
      </c>
      <c r="AE134" s="3">
        <f>ROUND(((EU134*1.2)),6)</f>
        <v>15.6</v>
      </c>
      <c r="AF134" s="3">
        <f>ROUND(((EV134*1.2)),6)</f>
        <v>1319.8320000000001</v>
      </c>
      <c r="AG134" s="3">
        <f t="shared" si="136"/>
        <v>0</v>
      </c>
      <c r="AH134" s="3">
        <f>((EW134*1.2))</f>
        <v>101.604</v>
      </c>
      <c r="AI134" s="3">
        <f>((EX134*1.2))</f>
        <v>0</v>
      </c>
      <c r="AJ134" s="3">
        <f t="shared" si="137"/>
        <v>0</v>
      </c>
      <c r="AK134" s="3">
        <v>1274.54</v>
      </c>
      <c r="AL134" s="3">
        <v>81.36</v>
      </c>
      <c r="AM134" s="3">
        <v>93.32</v>
      </c>
      <c r="AN134" s="3">
        <v>13</v>
      </c>
      <c r="AO134" s="3">
        <v>1099.8599999999999</v>
      </c>
      <c r="AP134" s="3">
        <v>0</v>
      </c>
      <c r="AQ134" s="3">
        <v>84.67</v>
      </c>
      <c r="AR134" s="3">
        <v>0</v>
      </c>
      <c r="AS134" s="3">
        <v>0</v>
      </c>
      <c r="AT134" s="3">
        <v>97</v>
      </c>
      <c r="AU134" s="3">
        <v>51</v>
      </c>
      <c r="AV134" s="3">
        <v>1.0469999999999999</v>
      </c>
      <c r="AW134" s="3">
        <v>1</v>
      </c>
      <c r="AZ134" s="3">
        <v>1</v>
      </c>
      <c r="BA134" s="3">
        <v>56.35</v>
      </c>
      <c r="BB134" s="3">
        <v>16.420000000000002</v>
      </c>
      <c r="BC134" s="3">
        <v>10.65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0</v>
      </c>
      <c r="BI134" s="3">
        <v>2</v>
      </c>
      <c r="BJ134" s="3" t="s">
        <v>61</v>
      </c>
      <c r="BM134" s="3">
        <v>67</v>
      </c>
      <c r="BN134" s="3">
        <v>0</v>
      </c>
      <c r="BO134" s="3" t="s">
        <v>58</v>
      </c>
      <c r="BP134" s="3">
        <v>1</v>
      </c>
      <c r="BQ134" s="3">
        <v>40</v>
      </c>
      <c r="BR134" s="3">
        <v>0</v>
      </c>
      <c r="BS134" s="3">
        <v>56.35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97</v>
      </c>
      <c r="CA134" s="3">
        <v>51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797</v>
      </c>
      <c r="CO134" s="3">
        <v>0</v>
      </c>
      <c r="CP134" s="3">
        <f t="shared" si="138"/>
        <v>9678.9299999999985</v>
      </c>
      <c r="CQ134" s="3">
        <f>ROUND((ROUND((AC134*AW134*1),2)*BC134),2)</f>
        <v>866.48</v>
      </c>
      <c r="CR134" s="3">
        <f>(ROUND((ROUND((((ET134*1.2))*AV134*1),2)*BB134),2)+ROUND((ROUND(((AE134-((EU134*1.2)))*AV134*1),2)*BS134),2))</f>
        <v>1925.25</v>
      </c>
      <c r="CS134" s="3">
        <f>(ROUND((ROUND((((EU134*1.2))*AV134*1),2)*BS134),2)+ROUND((ROUND(((AE134-((EU134*1.2)))*AV134*1),2)*BS134),2))</f>
        <v>920.2</v>
      </c>
      <c r="CT134" s="3">
        <f t="shared" si="139"/>
        <v>77867.81</v>
      </c>
      <c r="CU134" s="3">
        <f t="shared" si="140"/>
        <v>0</v>
      </c>
      <c r="CV134" s="3">
        <f t="shared" si="141"/>
        <v>106.37938799999999</v>
      </c>
      <c r="CW134" s="3">
        <f t="shared" si="142"/>
        <v>0</v>
      </c>
      <c r="CX134" s="3">
        <f t="shared" si="143"/>
        <v>0</v>
      </c>
      <c r="CY134" s="3">
        <f>(ROUND((((S134+ROUND((ROUND((((EU134*1.2))*AV134*1),2)*BS134),2))*AT134)/100),2)+ROUND(((ROUND((ROUND(((AE134-((EU134*1.2)))*AV134*1),2)*BS134),2)*AT134)/100),2))</f>
        <v>9956.24</v>
      </c>
      <c r="CZ134" s="3">
        <f>(ROUND((((S134+ROUND((ROUND((((EU134*1.2))*AV134*1),2)*BS134),2))*AU134)/100),2)+ROUND(((ROUND((ROUND(((AE134-((EU134*1.2)))*AV134*1),2)*BS134),2)*AU134)/100),2))</f>
        <v>5234.72</v>
      </c>
      <c r="DB134" s="3">
        <v>88</v>
      </c>
      <c r="DC134" s="3" t="s">
        <v>3</v>
      </c>
      <c r="DD134" s="3" t="s">
        <v>113</v>
      </c>
      <c r="DE134" s="3" t="s">
        <v>114</v>
      </c>
      <c r="DF134" s="3" t="s">
        <v>114</v>
      </c>
      <c r="DG134" s="3" t="s">
        <v>114</v>
      </c>
      <c r="DH134" s="3" t="s">
        <v>3</v>
      </c>
      <c r="DI134" s="3" t="s">
        <v>114</v>
      </c>
      <c r="DJ134" s="3" t="s">
        <v>114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1010</v>
      </c>
      <c r="DV134" s="3" t="s">
        <v>60</v>
      </c>
      <c r="DW134" s="3" t="s">
        <v>60</v>
      </c>
      <c r="DX134" s="3">
        <v>100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55393699</v>
      </c>
      <c r="EF134" s="3">
        <v>40</v>
      </c>
      <c r="EG134" s="3" t="s">
        <v>26</v>
      </c>
      <c r="EH134" s="3">
        <v>0</v>
      </c>
      <c r="EI134" s="3" t="s">
        <v>3</v>
      </c>
      <c r="EJ134" s="3">
        <v>2</v>
      </c>
      <c r="EK134" s="3">
        <v>67</v>
      </c>
      <c r="EL134" s="3" t="s">
        <v>62</v>
      </c>
      <c r="EM134" s="3" t="s">
        <v>63</v>
      </c>
      <c r="EO134" s="3" t="s">
        <v>118</v>
      </c>
      <c r="EQ134" s="3">
        <v>0</v>
      </c>
      <c r="ER134" s="3">
        <v>1274.54</v>
      </c>
      <c r="ES134" s="3">
        <v>81.36</v>
      </c>
      <c r="ET134" s="3">
        <v>93.32</v>
      </c>
      <c r="EU134" s="3">
        <v>13</v>
      </c>
      <c r="EV134" s="3">
        <v>1099.8599999999999</v>
      </c>
      <c r="EW134" s="3">
        <v>84.67</v>
      </c>
      <c r="EX134" s="3">
        <v>0</v>
      </c>
      <c r="EY134" s="3">
        <v>0</v>
      </c>
      <c r="FQ134" s="3">
        <v>0</v>
      </c>
      <c r="FR134" s="3">
        <v>0</v>
      </c>
      <c r="FS134" s="3">
        <v>0</v>
      </c>
      <c r="FX134" s="3">
        <v>97</v>
      </c>
      <c r="FY134" s="3">
        <v>51</v>
      </c>
      <c r="GA134" s="3" t="s">
        <v>3</v>
      </c>
      <c r="GD134" s="3">
        <v>1</v>
      </c>
      <c r="GF134" s="3">
        <v>-222864710</v>
      </c>
      <c r="GG134" s="3">
        <v>2</v>
      </c>
      <c r="GH134" s="3">
        <v>1</v>
      </c>
      <c r="GI134" s="3">
        <v>2</v>
      </c>
      <c r="GJ134" s="3">
        <v>0</v>
      </c>
      <c r="GK134" s="3">
        <v>0</v>
      </c>
      <c r="GL134" s="3">
        <f t="shared" si="144"/>
        <v>0</v>
      </c>
      <c r="GM134" s="3">
        <f t="shared" si="145"/>
        <v>23671.46</v>
      </c>
      <c r="GN134" s="3">
        <f t="shared" si="146"/>
        <v>0</v>
      </c>
      <c r="GO134" s="3">
        <f t="shared" si="147"/>
        <v>23671.46</v>
      </c>
      <c r="GP134" s="3">
        <f t="shared" si="148"/>
        <v>0</v>
      </c>
      <c r="GR134" s="3">
        <v>0</v>
      </c>
      <c r="GS134" s="3">
        <v>3</v>
      </c>
      <c r="GT134" s="3">
        <v>0</v>
      </c>
      <c r="GU134" s="3" t="s">
        <v>3</v>
      </c>
      <c r="GV134" s="3">
        <f t="shared" si="149"/>
        <v>0</v>
      </c>
      <c r="GW134" s="3">
        <v>1</v>
      </c>
      <c r="GX134" s="3">
        <f t="shared" si="150"/>
        <v>0</v>
      </c>
      <c r="HA134" s="3">
        <v>0</v>
      </c>
      <c r="HB134" s="3">
        <v>0</v>
      </c>
      <c r="HC134" s="3">
        <f t="shared" si="151"/>
        <v>0</v>
      </c>
      <c r="HE134" s="3" t="s">
        <v>3</v>
      </c>
      <c r="HF134" s="3" t="s">
        <v>3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">
      <c r="A135" s="2">
        <v>17</v>
      </c>
      <c r="B135" s="2">
        <v>1</v>
      </c>
      <c r="C135" s="2"/>
      <c r="D135" s="2"/>
      <c r="E135" s="2" t="s">
        <v>244</v>
      </c>
      <c r="F135" s="2" t="s">
        <v>245</v>
      </c>
      <c r="G135" s="2" t="s">
        <v>800</v>
      </c>
      <c r="H135" s="2" t="s">
        <v>217</v>
      </c>
      <c r="I135" s="2">
        <v>12</v>
      </c>
      <c r="J135" s="2">
        <v>0</v>
      </c>
      <c r="K135" s="2">
        <v>12</v>
      </c>
      <c r="L135" s="2"/>
      <c r="M135" s="2"/>
      <c r="N135" s="2"/>
      <c r="O135" s="2">
        <f t="shared" si="129"/>
        <v>1689.36</v>
      </c>
      <c r="P135" s="2">
        <f>ROUND((ROUND((AC135*I135),2)*BC135),2)</f>
        <v>1689.36</v>
      </c>
      <c r="Q135" s="2">
        <f>(ROUND((ROUND(((ET135)*AV135*I135),2)*BB135),2)+ROUND((ROUND(((AE135-(EU135))*AV135*I135),2)*BS135),2))</f>
        <v>0</v>
      </c>
      <c r="R135" s="2">
        <f>(ROUND((ROUND(((EU135)*AV135*I135),2)*BS135),2)+ROUND((ROUND(((AE135-(EU135))*AV135*I135),2)*BS135),2))</f>
        <v>0</v>
      </c>
      <c r="S135" s="2">
        <f t="shared" si="130"/>
        <v>0</v>
      </c>
      <c r="T135" s="2">
        <f t="shared" si="131"/>
        <v>0</v>
      </c>
      <c r="U135" s="2">
        <f t="shared" si="132"/>
        <v>0</v>
      </c>
      <c r="V135" s="2">
        <f t="shared" si="133"/>
        <v>0</v>
      </c>
      <c r="W135" s="2">
        <f t="shared" si="134"/>
        <v>0</v>
      </c>
      <c r="X135" s="2">
        <f>(ROUND((((S135+ROUND((ROUND(((EU135)*AV135*I135),2)*BS135),2))*AT135)/100),2)+ROUND(((ROUND((ROUND(((AE135-(EU135))*AV135*I135),2)*BS135),2)*AT135)/100),2))</f>
        <v>0</v>
      </c>
      <c r="Y135" s="2">
        <f>(ROUND((((S135+ROUND((ROUND(((EU135)*AV135*I135),2)*BS135),2))*AU135)/100),2)+ROUND(((ROUND((ROUND(((AE135-(EU135))*AV135*I135),2)*BS135),2)*AU135)/100),2))</f>
        <v>0</v>
      </c>
      <c r="Z135" s="2"/>
      <c r="AA135" s="2">
        <v>55937296</v>
      </c>
      <c r="AB135" s="2">
        <f t="shared" si="135"/>
        <v>140.78</v>
      </c>
      <c r="AC135" s="2">
        <f>ROUND((ES135),6)</f>
        <v>140.78</v>
      </c>
      <c r="AD135" s="2">
        <f>ROUND((((ET135)-(EU135))+AE135),6)</f>
        <v>0</v>
      </c>
      <c r="AE135" s="2">
        <f>ROUND((EU135),6)</f>
        <v>0</v>
      </c>
      <c r="AF135" s="2">
        <f>ROUND((EV135),6)</f>
        <v>0</v>
      </c>
      <c r="AG135" s="2">
        <f t="shared" si="136"/>
        <v>0</v>
      </c>
      <c r="AH135" s="2">
        <f>(EW135)</f>
        <v>0</v>
      </c>
      <c r="AI135" s="2">
        <f>(EX135)</f>
        <v>0</v>
      </c>
      <c r="AJ135" s="2">
        <f t="shared" si="137"/>
        <v>0</v>
      </c>
      <c r="AK135" s="2">
        <v>140.78</v>
      </c>
      <c r="AL135" s="2">
        <v>140.78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3</v>
      </c>
      <c r="BJ135" s="2" t="s">
        <v>246</v>
      </c>
      <c r="BK135" s="2"/>
      <c r="BL135" s="2"/>
      <c r="BM135" s="2">
        <v>746</v>
      </c>
      <c r="BN135" s="2">
        <v>0</v>
      </c>
      <c r="BO135" s="2" t="s">
        <v>3</v>
      </c>
      <c r="BP135" s="2">
        <v>0</v>
      </c>
      <c r="BQ135" s="2">
        <v>130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0</v>
      </c>
      <c r="CA135" s="2">
        <v>0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3</v>
      </c>
      <c r="CO135" s="2">
        <v>0</v>
      </c>
      <c r="CP135" s="2">
        <f t="shared" si="138"/>
        <v>1689.36</v>
      </c>
      <c r="CQ135" s="2">
        <f>ROUND((ROUND((AC135*1),2)*BC135),2)</f>
        <v>140.78</v>
      </c>
      <c r="CR135" s="2">
        <f>(ROUND((ROUND(((ET135)*AV135*1),2)*BB135),2)+ROUND((ROUND(((AE135-(EU135))*AV135*1),2)*BS135),2))</f>
        <v>0</v>
      </c>
      <c r="CS135" s="2">
        <f>(ROUND((ROUND(((EU135)*AV135*1),2)*BS135),2)+ROUND((ROUND(((AE135-(EU135))*AV135*1),2)*BS135),2))</f>
        <v>0</v>
      </c>
      <c r="CT135" s="2">
        <f t="shared" si="139"/>
        <v>0</v>
      </c>
      <c r="CU135" s="2">
        <f t="shared" si="140"/>
        <v>0</v>
      </c>
      <c r="CV135" s="2">
        <f t="shared" si="141"/>
        <v>0</v>
      </c>
      <c r="CW135" s="2">
        <f t="shared" si="142"/>
        <v>0</v>
      </c>
      <c r="CX135" s="2">
        <f t="shared" si="143"/>
        <v>0</v>
      </c>
      <c r="CY135" s="2">
        <f>(ROUND((((S135+ROUND((ROUND(((EU135)*AV135*1),2)*BS135),2))*AT135)/100),2)+ROUND(((ROUND((ROUND(((AE135-(EU135))*AV135*1),2)*BS135),2)*AT135)/100),2))</f>
        <v>0</v>
      </c>
      <c r="CZ135" s="2">
        <f>(ROUND((((S135+ROUND((ROUND(((EU135)*AV135*1),2)*BS135),2))*AU135)/100),2)+ROUND(((ROUND((ROUND(((AE135-(EU135))*AV135*1),2)*BS135),2)*AU135)/100),2))</f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217</v>
      </c>
      <c r="DW135" s="2" t="s">
        <v>217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55393806</v>
      </c>
      <c r="EF135" s="2">
        <v>130</v>
      </c>
      <c r="EG135" s="2" t="s">
        <v>219</v>
      </c>
      <c r="EH135" s="2">
        <v>0</v>
      </c>
      <c r="EI135" s="2" t="s">
        <v>3</v>
      </c>
      <c r="EJ135" s="2">
        <v>3</v>
      </c>
      <c r="EK135" s="2">
        <v>746</v>
      </c>
      <c r="EL135" s="2" t="s">
        <v>220</v>
      </c>
      <c r="EM135" s="2" t="s">
        <v>221</v>
      </c>
      <c r="EN135" s="2"/>
      <c r="EO135" s="2" t="s">
        <v>3</v>
      </c>
      <c r="EP135" s="2"/>
      <c r="EQ135" s="2">
        <v>0</v>
      </c>
      <c r="ER135" s="2">
        <v>140.78</v>
      </c>
      <c r="ES135" s="2">
        <v>140.78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f>P135</f>
        <v>1689.36</v>
      </c>
      <c r="FS135" s="2">
        <v>0</v>
      </c>
      <c r="FT135" s="2"/>
      <c r="FU135" s="2"/>
      <c r="FV135" s="2"/>
      <c r="FW135" s="2"/>
      <c r="FX135" s="2">
        <v>0</v>
      </c>
      <c r="FY135" s="2">
        <v>0</v>
      </c>
      <c r="FZ135" s="2"/>
      <c r="GA135" s="2" t="s">
        <v>3</v>
      </c>
      <c r="GB135" s="2"/>
      <c r="GC135" s="2"/>
      <c r="GD135" s="2">
        <v>1</v>
      </c>
      <c r="GE135" s="2"/>
      <c r="GF135" s="2">
        <v>436805915</v>
      </c>
      <c r="GG135" s="2">
        <v>2</v>
      </c>
      <c r="GH135" s="2">
        <v>1</v>
      </c>
      <c r="GI135" s="2">
        <v>-2</v>
      </c>
      <c r="GJ135" s="2">
        <v>0</v>
      </c>
      <c r="GK135" s="2">
        <v>0</v>
      </c>
      <c r="GL135" s="2">
        <f t="shared" si="144"/>
        <v>0</v>
      </c>
      <c r="GM135" s="2">
        <f t="shared" si="145"/>
        <v>1689.36</v>
      </c>
      <c r="GN135" s="2">
        <f t="shared" si="146"/>
        <v>0</v>
      </c>
      <c r="GO135" s="2">
        <f t="shared" si="147"/>
        <v>0</v>
      </c>
      <c r="GP135" s="2">
        <f t="shared" si="148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49"/>
        <v>0</v>
      </c>
      <c r="GW135" s="2">
        <v>1</v>
      </c>
      <c r="GX135" s="2">
        <f t="shared" si="150"/>
        <v>0</v>
      </c>
      <c r="GY135" s="2"/>
      <c r="GZ135" s="2"/>
      <c r="HA135" s="2">
        <v>0</v>
      </c>
      <c r="HB135" s="2">
        <v>0</v>
      </c>
      <c r="HC135" s="2">
        <f t="shared" si="151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3">
        <v>17</v>
      </c>
      <c r="B136" s="3">
        <v>1</v>
      </c>
      <c r="E136" s="3" t="s">
        <v>244</v>
      </c>
      <c r="F136" s="3" t="s">
        <v>245</v>
      </c>
      <c r="G136" s="3" t="s">
        <v>800</v>
      </c>
      <c r="H136" s="3" t="s">
        <v>217</v>
      </c>
      <c r="I136" s="3">
        <v>12</v>
      </c>
      <c r="J136" s="3">
        <v>0</v>
      </c>
      <c r="K136" s="3">
        <v>12</v>
      </c>
      <c r="O136" s="3">
        <f t="shared" si="129"/>
        <v>8683.31</v>
      </c>
      <c r="P136" s="3">
        <f>ROUND((ROUND((AC136*I136),2)*BC136),2)</f>
        <v>8683.31</v>
      </c>
      <c r="Q136" s="3">
        <f>(ROUND((ROUND(((ET136)*AV136*I136),2)*BB136),2)+ROUND((ROUND(((AE136-(EU136))*AV136*I136),2)*BS136),2))</f>
        <v>0</v>
      </c>
      <c r="R136" s="3">
        <f>(ROUND((ROUND(((EU136)*AV136*I136),2)*BS136),2)+ROUND((ROUND(((AE136-(EU136))*AV136*I136),2)*BS136),2))</f>
        <v>0</v>
      </c>
      <c r="S136" s="3">
        <f t="shared" si="130"/>
        <v>0</v>
      </c>
      <c r="T136" s="3">
        <f t="shared" si="131"/>
        <v>0</v>
      </c>
      <c r="U136" s="3">
        <f t="shared" si="132"/>
        <v>0</v>
      </c>
      <c r="V136" s="3">
        <f t="shared" si="133"/>
        <v>0</v>
      </c>
      <c r="W136" s="3">
        <f t="shared" si="134"/>
        <v>0</v>
      </c>
      <c r="X136" s="3">
        <f>(ROUND((((S136+ROUND((ROUND(((EU136)*AV136*I136),2)*BS136),2))*AT136)/100),2)+ROUND(((ROUND((ROUND(((AE136-(EU136))*AV136*I136),2)*BS136),2)*AT136)/100),2))</f>
        <v>0</v>
      </c>
      <c r="Y136" s="3">
        <f>(ROUND((((S136+ROUND((ROUND(((EU136)*AV136*I136),2)*BS136),2))*AU136)/100),2)+ROUND(((ROUND((ROUND(((AE136-(EU136))*AV136*I136),2)*BS136),2)*AU136)/100),2))</f>
        <v>0</v>
      </c>
      <c r="AA136" s="3">
        <v>55937298</v>
      </c>
      <c r="AB136" s="3">
        <f t="shared" si="135"/>
        <v>140.78</v>
      </c>
      <c r="AC136" s="3">
        <f>ROUND((ES136),6)</f>
        <v>140.78</v>
      </c>
      <c r="AD136" s="3">
        <f>ROUND((((ET136)-(EU136))+AE136),6)</f>
        <v>0</v>
      </c>
      <c r="AE136" s="3">
        <f>ROUND((EU136),6)</f>
        <v>0</v>
      </c>
      <c r="AF136" s="3">
        <f>ROUND((EV136),6)</f>
        <v>0</v>
      </c>
      <c r="AG136" s="3">
        <f t="shared" si="136"/>
        <v>0</v>
      </c>
      <c r="AH136" s="3">
        <f>(EW136)</f>
        <v>0</v>
      </c>
      <c r="AI136" s="3">
        <f>(EX136)</f>
        <v>0</v>
      </c>
      <c r="AJ136" s="3">
        <f t="shared" si="137"/>
        <v>0</v>
      </c>
      <c r="AK136" s="3">
        <v>140.78</v>
      </c>
      <c r="AL136" s="3">
        <v>140.78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1</v>
      </c>
      <c r="AW136" s="3">
        <v>1</v>
      </c>
      <c r="AZ136" s="3">
        <v>1</v>
      </c>
      <c r="BA136" s="3">
        <v>1</v>
      </c>
      <c r="BB136" s="3">
        <v>1</v>
      </c>
      <c r="BC136" s="3">
        <v>5.14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3</v>
      </c>
      <c r="BI136" s="3">
        <v>3</v>
      </c>
      <c r="BJ136" s="3" t="s">
        <v>246</v>
      </c>
      <c r="BM136" s="3">
        <v>746</v>
      </c>
      <c r="BN136" s="3">
        <v>0</v>
      </c>
      <c r="BO136" s="3" t="s">
        <v>3</v>
      </c>
      <c r="BP136" s="3">
        <v>0</v>
      </c>
      <c r="BQ136" s="3">
        <v>130</v>
      </c>
      <c r="BR136" s="3">
        <v>0</v>
      </c>
      <c r="BS136" s="3">
        <v>1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0</v>
      </c>
      <c r="CA136" s="3">
        <v>0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3</v>
      </c>
      <c r="CO136" s="3">
        <v>0</v>
      </c>
      <c r="CP136" s="3">
        <f t="shared" si="138"/>
        <v>8683.31</v>
      </c>
      <c r="CQ136" s="3">
        <f>ROUND((ROUND((AC136*1),2)*BC136),2)</f>
        <v>723.61</v>
      </c>
      <c r="CR136" s="3">
        <f>(ROUND((ROUND(((ET136)*AV136*1),2)*BB136),2)+ROUND((ROUND(((AE136-(EU136))*AV136*1),2)*BS136),2))</f>
        <v>0</v>
      </c>
      <c r="CS136" s="3">
        <f>(ROUND((ROUND(((EU136)*AV136*1),2)*BS136),2)+ROUND((ROUND(((AE136-(EU136))*AV136*1),2)*BS136),2))</f>
        <v>0</v>
      </c>
      <c r="CT136" s="3">
        <f t="shared" si="139"/>
        <v>0</v>
      </c>
      <c r="CU136" s="3">
        <f t="shared" si="140"/>
        <v>0</v>
      </c>
      <c r="CV136" s="3">
        <f t="shared" si="141"/>
        <v>0</v>
      </c>
      <c r="CW136" s="3">
        <f t="shared" si="142"/>
        <v>0</v>
      </c>
      <c r="CX136" s="3">
        <f t="shared" si="143"/>
        <v>0</v>
      </c>
      <c r="CY136" s="3">
        <f>(ROUND((((S136+ROUND((ROUND(((EU136)*AV136*1),2)*BS136),2))*AT136)/100),2)+ROUND(((ROUND((ROUND(((AE136-(EU136))*AV136*1),2)*BS136),2)*AT136)/100),2))</f>
        <v>0</v>
      </c>
      <c r="CZ136" s="3">
        <f>(ROUND((((S136+ROUND((ROUND(((EU136)*AV136*1),2)*BS136),2))*AU136)/100),2)+ROUND(((ROUND((ROUND(((AE136-(EU136))*AV136*1),2)*BS136),2)*AU136)/100),2))</f>
        <v>0</v>
      </c>
      <c r="DC136" s="3" t="s">
        <v>3</v>
      </c>
      <c r="DD136" s="3" t="s">
        <v>3</v>
      </c>
      <c r="DE136" s="3" t="s">
        <v>3</v>
      </c>
      <c r="DF136" s="3" t="s">
        <v>3</v>
      </c>
      <c r="DG136" s="3" t="s">
        <v>3</v>
      </c>
      <c r="DH136" s="3" t="s">
        <v>3</v>
      </c>
      <c r="DI136" s="3" t="s">
        <v>3</v>
      </c>
      <c r="DJ136" s="3" t="s">
        <v>3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1010</v>
      </c>
      <c r="DV136" s="3" t="s">
        <v>217</v>
      </c>
      <c r="DW136" s="3" t="s">
        <v>217</v>
      </c>
      <c r="DX136" s="3">
        <v>1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55393806</v>
      </c>
      <c r="EF136" s="3">
        <v>130</v>
      </c>
      <c r="EG136" s="3" t="s">
        <v>219</v>
      </c>
      <c r="EH136" s="3">
        <v>0</v>
      </c>
      <c r="EI136" s="3" t="s">
        <v>3</v>
      </c>
      <c r="EJ136" s="3">
        <v>3</v>
      </c>
      <c r="EK136" s="3">
        <v>746</v>
      </c>
      <c r="EL136" s="3" t="s">
        <v>220</v>
      </c>
      <c r="EM136" s="3" t="s">
        <v>221</v>
      </c>
      <c r="EO136" s="3" t="s">
        <v>3</v>
      </c>
      <c r="EQ136" s="3">
        <v>0</v>
      </c>
      <c r="ER136" s="3">
        <v>140.78</v>
      </c>
      <c r="ES136" s="3">
        <v>140.78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FQ136" s="3">
        <v>0</v>
      </c>
      <c r="FR136" s="3">
        <f>P136</f>
        <v>8683.31</v>
      </c>
      <c r="FS136" s="3">
        <v>0</v>
      </c>
      <c r="FX136" s="3">
        <v>0</v>
      </c>
      <c r="FY136" s="3">
        <v>0</v>
      </c>
      <c r="GA136" s="3" t="s">
        <v>3</v>
      </c>
      <c r="GD136" s="3">
        <v>1</v>
      </c>
      <c r="GF136" s="3">
        <v>436805915</v>
      </c>
      <c r="GG136" s="3">
        <v>2</v>
      </c>
      <c r="GH136" s="3">
        <v>1</v>
      </c>
      <c r="GI136" s="3">
        <v>2</v>
      </c>
      <c r="GJ136" s="3">
        <v>0</v>
      </c>
      <c r="GK136" s="3">
        <v>0</v>
      </c>
      <c r="GL136" s="3">
        <f t="shared" si="144"/>
        <v>0</v>
      </c>
      <c r="GM136" s="3">
        <f t="shared" si="145"/>
        <v>8683.31</v>
      </c>
      <c r="GN136" s="3">
        <f t="shared" si="146"/>
        <v>0</v>
      </c>
      <c r="GO136" s="3">
        <f t="shared" si="147"/>
        <v>0</v>
      </c>
      <c r="GP136" s="3">
        <f t="shared" si="148"/>
        <v>0</v>
      </c>
      <c r="GR136" s="3">
        <v>0</v>
      </c>
      <c r="GS136" s="3">
        <v>3</v>
      </c>
      <c r="GT136" s="3">
        <v>0</v>
      </c>
      <c r="GU136" s="3" t="s">
        <v>3</v>
      </c>
      <c r="GV136" s="3">
        <f t="shared" si="149"/>
        <v>0</v>
      </c>
      <c r="GW136" s="3">
        <v>1</v>
      </c>
      <c r="GX136" s="3">
        <f t="shared" si="150"/>
        <v>0</v>
      </c>
      <c r="HA136" s="3">
        <v>0</v>
      </c>
      <c r="HB136" s="3">
        <v>0</v>
      </c>
      <c r="HC136" s="3">
        <f t="shared" si="151"/>
        <v>0</v>
      </c>
      <c r="HE136" s="3" t="s">
        <v>3</v>
      </c>
      <c r="HF136" s="3" t="s">
        <v>3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">
      <c r="A137" s="2">
        <v>17</v>
      </c>
      <c r="B137" s="2">
        <v>1</v>
      </c>
      <c r="C137" s="2">
        <f>ROW(SmtRes!A177)</f>
        <v>177</v>
      </c>
      <c r="D137" s="2">
        <f>ROW(EtalonRes!A229)</f>
        <v>229</v>
      </c>
      <c r="E137" s="2" t="s">
        <v>247</v>
      </c>
      <c r="F137" s="2" t="s">
        <v>44</v>
      </c>
      <c r="G137" s="2" t="s">
        <v>227</v>
      </c>
      <c r="H137" s="2" t="s">
        <v>22</v>
      </c>
      <c r="I137" s="2">
        <v>4</v>
      </c>
      <c r="J137" s="2">
        <v>0</v>
      </c>
      <c r="K137" s="2">
        <v>4</v>
      </c>
      <c r="L137" s="2"/>
      <c r="M137" s="2"/>
      <c r="N137" s="2"/>
      <c r="O137" s="2">
        <f t="shared" si="129"/>
        <v>111.88</v>
      </c>
      <c r="P137" s="2">
        <f t="shared" ref="P137:P150" si="152">ROUND((ROUND((AC137*AW137*I137),2)*BC137),2)</f>
        <v>5.04</v>
      </c>
      <c r="Q137" s="2">
        <f>(ROUND((ROUND((((ET137*1.2))*AV137*I137),2)*BB137),2)+ROUND((ROUND(((AE137-((EU137*1.2)))*AV137*I137),2)*BS137),2))</f>
        <v>0.3</v>
      </c>
      <c r="R137" s="2">
        <f>(ROUND((ROUND((((EU137*1.2))*AV137*I137),2)*BS137),2)+ROUND((ROUND(((AE137-((EU137*1.2)))*AV137*I137),2)*BS137),2))</f>
        <v>0.05</v>
      </c>
      <c r="S137" s="2">
        <f t="shared" si="130"/>
        <v>106.54</v>
      </c>
      <c r="T137" s="2">
        <f t="shared" si="131"/>
        <v>0</v>
      </c>
      <c r="U137" s="2">
        <f t="shared" si="132"/>
        <v>8.443007999999999</v>
      </c>
      <c r="V137" s="2">
        <f t="shared" si="133"/>
        <v>0</v>
      </c>
      <c r="W137" s="2">
        <f t="shared" si="134"/>
        <v>0</v>
      </c>
      <c r="X137" s="2">
        <f>(ROUND((((S137+ROUND((ROUND((((EU137*1.2))*AV137*I137),2)*BS137),2))*AT137)/100),2)+ROUND(((ROUND((ROUND(((AE137-((EU137*1.2)))*AV137*I137),2)*BS137),2)*AT137)/100),2))</f>
        <v>95.93</v>
      </c>
      <c r="Y137" s="2">
        <f>(ROUND((((S137+ROUND((ROUND((((EU137*1.2))*AV137*I137),2)*BS137),2))*AU137)/100),2)+ROUND(((ROUND((ROUND(((AE137-((EU137*1.2)))*AV137*I137),2)*BS137),2)*AU137)/100),2))</f>
        <v>49.03</v>
      </c>
      <c r="Z137" s="2"/>
      <c r="AA137" s="2">
        <v>55937296</v>
      </c>
      <c r="AB137" s="2">
        <f t="shared" si="135"/>
        <v>26.771999999999998</v>
      </c>
      <c r="AC137" s="2">
        <f>ROUND(((ES137*1)),6)</f>
        <v>1.26</v>
      </c>
      <c r="AD137" s="2">
        <f>ROUND(((((ET137*1.2))-((EU137*1.2)))+AE137),6)</f>
        <v>7.1999999999999995E-2</v>
      </c>
      <c r="AE137" s="2">
        <f>ROUND(((EU137*1.2)),6)</f>
        <v>1.2E-2</v>
      </c>
      <c r="AF137" s="2">
        <f>ROUND(((EV137*1.2)),6)</f>
        <v>25.44</v>
      </c>
      <c r="AG137" s="2">
        <f t="shared" si="136"/>
        <v>0</v>
      </c>
      <c r="AH137" s="2">
        <f>((EW137*1.2))</f>
        <v>2.016</v>
      </c>
      <c r="AI137" s="2">
        <f>((EX137*1.2))</f>
        <v>0</v>
      </c>
      <c r="AJ137" s="2">
        <f t="shared" si="137"/>
        <v>0</v>
      </c>
      <c r="AK137" s="2">
        <v>22.52</v>
      </c>
      <c r="AL137" s="2">
        <v>1.26</v>
      </c>
      <c r="AM137" s="2">
        <v>0.06</v>
      </c>
      <c r="AN137" s="2">
        <v>0.01</v>
      </c>
      <c r="AO137" s="2">
        <v>21.2</v>
      </c>
      <c r="AP137" s="2">
        <v>0</v>
      </c>
      <c r="AQ137" s="2">
        <v>1.68</v>
      </c>
      <c r="AR137" s="2">
        <v>0</v>
      </c>
      <c r="AS137" s="2">
        <v>0</v>
      </c>
      <c r="AT137" s="2">
        <v>90</v>
      </c>
      <c r="AU137" s="2">
        <v>46</v>
      </c>
      <c r="AV137" s="2">
        <v>1.0469999999999999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2</v>
      </c>
      <c r="BJ137" s="2" t="s">
        <v>46</v>
      </c>
      <c r="BK137" s="2"/>
      <c r="BL137" s="2"/>
      <c r="BM137" s="2">
        <v>68</v>
      </c>
      <c r="BN137" s="2">
        <v>0</v>
      </c>
      <c r="BO137" s="2" t="s">
        <v>44</v>
      </c>
      <c r="BP137" s="2">
        <v>1</v>
      </c>
      <c r="BQ137" s="2">
        <v>40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90</v>
      </c>
      <c r="CA137" s="2">
        <v>46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797</v>
      </c>
      <c r="CO137" s="2">
        <v>0</v>
      </c>
      <c r="CP137" s="2">
        <f t="shared" si="138"/>
        <v>111.88000000000001</v>
      </c>
      <c r="CQ137" s="2">
        <f t="shared" ref="CQ137:CQ150" si="153">ROUND((ROUND((AC137*AW137*1),2)*BC137),2)</f>
        <v>1.26</v>
      </c>
      <c r="CR137" s="2">
        <f>(ROUND((ROUND((((ET137*1.2))*AV137*1),2)*BB137),2)+ROUND((ROUND(((AE137-((EU137*1.2)))*AV137*1),2)*BS137),2))</f>
        <v>0.08</v>
      </c>
      <c r="CS137" s="2">
        <f>(ROUND((ROUND((((EU137*1.2))*AV137*1),2)*BS137),2)+ROUND((ROUND(((AE137-((EU137*1.2)))*AV137*1),2)*BS137),2))</f>
        <v>0.01</v>
      </c>
      <c r="CT137" s="2">
        <f t="shared" si="139"/>
        <v>26.64</v>
      </c>
      <c r="CU137" s="2">
        <f t="shared" si="140"/>
        <v>0</v>
      </c>
      <c r="CV137" s="2">
        <f t="shared" si="141"/>
        <v>2.1107519999999997</v>
      </c>
      <c r="CW137" s="2">
        <f t="shared" si="142"/>
        <v>0</v>
      </c>
      <c r="CX137" s="2">
        <f t="shared" si="143"/>
        <v>0</v>
      </c>
      <c r="CY137" s="2">
        <f>(ROUND((((S137+ROUND((ROUND((((EU137*1.2))*AV137*1),2)*BS137),2))*AT137)/100),2)+ROUND(((ROUND((ROUND(((AE137-((EU137*1.2)))*AV137*1),2)*BS137),2)*AT137)/100),2))</f>
        <v>95.9</v>
      </c>
      <c r="CZ137" s="2">
        <f>(ROUND((((S137+ROUND((ROUND((((EU137*1.2))*AV137*1),2)*BS137),2))*AU137)/100),2)+ROUND(((ROUND((ROUND(((AE137-((EU137*1.2)))*AV137*1),2)*BS137),2)*AU137)/100),2))</f>
        <v>49.01</v>
      </c>
      <c r="DA137" s="2"/>
      <c r="DB137" s="2">
        <v>89</v>
      </c>
      <c r="DC137" s="2" t="s">
        <v>3</v>
      </c>
      <c r="DD137" s="2" t="s">
        <v>113</v>
      </c>
      <c r="DE137" s="2" t="s">
        <v>114</v>
      </c>
      <c r="DF137" s="2" t="s">
        <v>114</v>
      </c>
      <c r="DG137" s="2" t="s">
        <v>114</v>
      </c>
      <c r="DH137" s="2" t="s">
        <v>3</v>
      </c>
      <c r="DI137" s="2" t="s">
        <v>114</v>
      </c>
      <c r="DJ137" s="2" t="s">
        <v>114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1013</v>
      </c>
      <c r="DV137" s="2" t="s">
        <v>22</v>
      </c>
      <c r="DW137" s="2" t="s">
        <v>22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55393700</v>
      </c>
      <c r="EF137" s="2">
        <v>40</v>
      </c>
      <c r="EG137" s="2" t="s">
        <v>26</v>
      </c>
      <c r="EH137" s="2">
        <v>0</v>
      </c>
      <c r="EI137" s="2" t="s">
        <v>3</v>
      </c>
      <c r="EJ137" s="2">
        <v>2</v>
      </c>
      <c r="EK137" s="2">
        <v>68</v>
      </c>
      <c r="EL137" s="2" t="s">
        <v>27</v>
      </c>
      <c r="EM137" s="2" t="s">
        <v>28</v>
      </c>
      <c r="EN137" s="2"/>
      <c r="EO137" s="2" t="s">
        <v>118</v>
      </c>
      <c r="EP137" s="2"/>
      <c r="EQ137" s="2">
        <v>0</v>
      </c>
      <c r="ER137" s="2">
        <v>22.52</v>
      </c>
      <c r="ES137" s="2">
        <v>1.26</v>
      </c>
      <c r="ET137" s="2">
        <v>0.06</v>
      </c>
      <c r="EU137" s="2">
        <v>0.01</v>
      </c>
      <c r="EV137" s="2">
        <v>21.2</v>
      </c>
      <c r="EW137" s="2">
        <v>1.68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90</v>
      </c>
      <c r="FY137" s="2">
        <v>46</v>
      </c>
      <c r="FZ137" s="2"/>
      <c r="GA137" s="2" t="s">
        <v>3</v>
      </c>
      <c r="GB137" s="2"/>
      <c r="GC137" s="2"/>
      <c r="GD137" s="2">
        <v>1</v>
      </c>
      <c r="GE137" s="2"/>
      <c r="GF137" s="2">
        <v>-2112753472</v>
      </c>
      <c r="GG137" s="2">
        <v>2</v>
      </c>
      <c r="GH137" s="2">
        <v>1</v>
      </c>
      <c r="GI137" s="2">
        <v>2</v>
      </c>
      <c r="GJ137" s="2">
        <v>0</v>
      </c>
      <c r="GK137" s="2">
        <v>0</v>
      </c>
      <c r="GL137" s="2">
        <f t="shared" si="144"/>
        <v>0</v>
      </c>
      <c r="GM137" s="2">
        <f t="shared" si="145"/>
        <v>256.83999999999997</v>
      </c>
      <c r="GN137" s="2">
        <f t="shared" si="146"/>
        <v>0</v>
      </c>
      <c r="GO137" s="2">
        <f t="shared" si="147"/>
        <v>256.83999999999997</v>
      </c>
      <c r="GP137" s="2">
        <f t="shared" si="148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49"/>
        <v>0</v>
      </c>
      <c r="GW137" s="2">
        <v>1</v>
      </c>
      <c r="GX137" s="2">
        <f t="shared" si="150"/>
        <v>0</v>
      </c>
      <c r="GY137" s="2"/>
      <c r="GZ137" s="2"/>
      <c r="HA137" s="2">
        <v>0</v>
      </c>
      <c r="HB137" s="2">
        <v>0</v>
      </c>
      <c r="HC137" s="2">
        <f t="shared" si="151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3">
        <v>17</v>
      </c>
      <c r="B138" s="3">
        <v>1</v>
      </c>
      <c r="C138" s="3">
        <f>ROW(SmtRes!A178)</f>
        <v>178</v>
      </c>
      <c r="D138" s="3">
        <f>ROW(EtalonRes!A230)</f>
        <v>230</v>
      </c>
      <c r="E138" s="3" t="s">
        <v>247</v>
      </c>
      <c r="F138" s="3" t="s">
        <v>44</v>
      </c>
      <c r="G138" s="3" t="s">
        <v>227</v>
      </c>
      <c r="H138" s="3" t="s">
        <v>22</v>
      </c>
      <c r="I138" s="3">
        <v>4</v>
      </c>
      <c r="J138" s="3">
        <v>0</v>
      </c>
      <c r="K138" s="3">
        <v>4</v>
      </c>
      <c r="O138" s="3">
        <f t="shared" si="129"/>
        <v>6058.67</v>
      </c>
      <c r="P138" s="3">
        <f t="shared" si="152"/>
        <v>49.59</v>
      </c>
      <c r="Q138" s="3">
        <f>(ROUND((ROUND((((ET138*1.2))*AV138*I138),2)*BB138),2)+ROUND((ROUND(((AE138-((EU138*1.2)))*AV138*I138),2)*BS138),2))</f>
        <v>5.55</v>
      </c>
      <c r="R138" s="3">
        <f>(ROUND((ROUND((((EU138*1.2))*AV138*I138),2)*BS138),2)+ROUND((ROUND(((AE138-((EU138*1.2)))*AV138*I138),2)*BS138),2))</f>
        <v>2.82</v>
      </c>
      <c r="S138" s="3">
        <f t="shared" si="130"/>
        <v>6003.53</v>
      </c>
      <c r="T138" s="3">
        <f t="shared" si="131"/>
        <v>0</v>
      </c>
      <c r="U138" s="3">
        <f t="shared" si="132"/>
        <v>8.443007999999999</v>
      </c>
      <c r="V138" s="3">
        <f t="shared" si="133"/>
        <v>0</v>
      </c>
      <c r="W138" s="3">
        <f t="shared" si="134"/>
        <v>0</v>
      </c>
      <c r="X138" s="3">
        <f>(ROUND((((S138+ROUND((ROUND((((EU138*1.2))*AV138*I138),2)*BS138),2))*AT138)/100),2)+ROUND(((ROUND((ROUND(((AE138-((EU138*1.2)))*AV138*I138),2)*BS138),2)*AT138)/100),2))</f>
        <v>5405.72</v>
      </c>
      <c r="Y138" s="3">
        <f>(ROUND((((S138+ROUND((ROUND((((EU138*1.2))*AV138*I138),2)*BS138),2))*AU138)/100),2)+ROUND(((ROUND((ROUND(((AE138-((EU138*1.2)))*AV138*I138),2)*BS138),2)*AU138)/100),2))</f>
        <v>2762.92</v>
      </c>
      <c r="AA138" s="3">
        <v>55937298</v>
      </c>
      <c r="AB138" s="3">
        <f t="shared" si="135"/>
        <v>26.771999999999998</v>
      </c>
      <c r="AC138" s="3">
        <f>ROUND(((ES138*1)),6)</f>
        <v>1.26</v>
      </c>
      <c r="AD138" s="3">
        <f>ROUND(((((ET138*1.2))-((EU138*1.2)))+AE138),6)</f>
        <v>7.1999999999999995E-2</v>
      </c>
      <c r="AE138" s="3">
        <f>ROUND(((EU138*1.2)),6)</f>
        <v>1.2E-2</v>
      </c>
      <c r="AF138" s="3">
        <f>ROUND(((EV138*1.2)),6)</f>
        <v>25.44</v>
      </c>
      <c r="AG138" s="3">
        <f t="shared" si="136"/>
        <v>0</v>
      </c>
      <c r="AH138" s="3">
        <f>((EW138*1.2))</f>
        <v>2.016</v>
      </c>
      <c r="AI138" s="3">
        <f>((EX138*1.2))</f>
        <v>0</v>
      </c>
      <c r="AJ138" s="3">
        <f t="shared" si="137"/>
        <v>0</v>
      </c>
      <c r="AK138" s="3">
        <v>22.52</v>
      </c>
      <c r="AL138" s="3">
        <v>1.26</v>
      </c>
      <c r="AM138" s="3">
        <v>0.06</v>
      </c>
      <c r="AN138" s="3">
        <v>0.01</v>
      </c>
      <c r="AO138" s="3">
        <v>21.2</v>
      </c>
      <c r="AP138" s="3">
        <v>0</v>
      </c>
      <c r="AQ138" s="3">
        <v>1.68</v>
      </c>
      <c r="AR138" s="3">
        <v>0</v>
      </c>
      <c r="AS138" s="3">
        <v>0</v>
      </c>
      <c r="AT138" s="3">
        <v>90</v>
      </c>
      <c r="AU138" s="3">
        <v>46</v>
      </c>
      <c r="AV138" s="3">
        <v>1.0469999999999999</v>
      </c>
      <c r="AW138" s="3">
        <v>1</v>
      </c>
      <c r="AZ138" s="3">
        <v>1</v>
      </c>
      <c r="BA138" s="3">
        <v>56.35</v>
      </c>
      <c r="BB138" s="3">
        <v>18.5</v>
      </c>
      <c r="BC138" s="3">
        <v>9.84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0</v>
      </c>
      <c r="BI138" s="3">
        <v>2</v>
      </c>
      <c r="BJ138" s="3" t="s">
        <v>46</v>
      </c>
      <c r="BM138" s="3">
        <v>68</v>
      </c>
      <c r="BN138" s="3">
        <v>0</v>
      </c>
      <c r="BO138" s="3" t="s">
        <v>44</v>
      </c>
      <c r="BP138" s="3">
        <v>1</v>
      </c>
      <c r="BQ138" s="3">
        <v>40</v>
      </c>
      <c r="BR138" s="3">
        <v>0</v>
      </c>
      <c r="BS138" s="3">
        <v>56.35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90</v>
      </c>
      <c r="CA138" s="3">
        <v>46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797</v>
      </c>
      <c r="CO138" s="3">
        <v>0</v>
      </c>
      <c r="CP138" s="3">
        <f t="shared" si="138"/>
        <v>6058.67</v>
      </c>
      <c r="CQ138" s="3">
        <f t="shared" si="153"/>
        <v>12.4</v>
      </c>
      <c r="CR138" s="3">
        <f>(ROUND((ROUND((((ET138*1.2))*AV138*1),2)*BB138),2)+ROUND((ROUND(((AE138-((EU138*1.2)))*AV138*1),2)*BS138),2))</f>
        <v>1.48</v>
      </c>
      <c r="CS138" s="3">
        <f>(ROUND((ROUND((((EU138*1.2))*AV138*1),2)*BS138),2)+ROUND((ROUND(((AE138-((EU138*1.2)))*AV138*1),2)*BS138),2))</f>
        <v>0.56000000000000005</v>
      </c>
      <c r="CT138" s="3">
        <f t="shared" si="139"/>
        <v>1501.16</v>
      </c>
      <c r="CU138" s="3">
        <f t="shared" si="140"/>
        <v>0</v>
      </c>
      <c r="CV138" s="3">
        <f t="shared" si="141"/>
        <v>2.1107519999999997</v>
      </c>
      <c r="CW138" s="3">
        <f t="shared" si="142"/>
        <v>0</v>
      </c>
      <c r="CX138" s="3">
        <f t="shared" si="143"/>
        <v>0</v>
      </c>
      <c r="CY138" s="3">
        <f>(ROUND((((S138+ROUND((ROUND((((EU138*1.2))*AV138*1),2)*BS138),2))*AT138)/100),2)+ROUND(((ROUND((ROUND(((AE138-((EU138*1.2)))*AV138*1),2)*BS138),2)*AT138)/100),2))</f>
        <v>5403.68</v>
      </c>
      <c r="CZ138" s="3">
        <f>(ROUND((((S138+ROUND((ROUND((((EU138*1.2))*AV138*1),2)*BS138),2))*AU138)/100),2)+ROUND(((ROUND((ROUND(((AE138-((EU138*1.2)))*AV138*1),2)*BS138),2)*AU138)/100),2))</f>
        <v>2761.88</v>
      </c>
      <c r="DB138" s="3">
        <v>90</v>
      </c>
      <c r="DC138" s="3" t="s">
        <v>3</v>
      </c>
      <c r="DD138" s="3" t="s">
        <v>113</v>
      </c>
      <c r="DE138" s="3" t="s">
        <v>114</v>
      </c>
      <c r="DF138" s="3" t="s">
        <v>114</v>
      </c>
      <c r="DG138" s="3" t="s">
        <v>114</v>
      </c>
      <c r="DH138" s="3" t="s">
        <v>3</v>
      </c>
      <c r="DI138" s="3" t="s">
        <v>114</v>
      </c>
      <c r="DJ138" s="3" t="s">
        <v>114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1013</v>
      </c>
      <c r="DV138" s="3" t="s">
        <v>22</v>
      </c>
      <c r="DW138" s="3" t="s">
        <v>22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55393700</v>
      </c>
      <c r="EF138" s="3">
        <v>40</v>
      </c>
      <c r="EG138" s="3" t="s">
        <v>26</v>
      </c>
      <c r="EH138" s="3">
        <v>0</v>
      </c>
      <c r="EI138" s="3" t="s">
        <v>3</v>
      </c>
      <c r="EJ138" s="3">
        <v>2</v>
      </c>
      <c r="EK138" s="3">
        <v>68</v>
      </c>
      <c r="EL138" s="3" t="s">
        <v>27</v>
      </c>
      <c r="EM138" s="3" t="s">
        <v>28</v>
      </c>
      <c r="EO138" s="3" t="s">
        <v>118</v>
      </c>
      <c r="EQ138" s="3">
        <v>0</v>
      </c>
      <c r="ER138" s="3">
        <v>22.52</v>
      </c>
      <c r="ES138" s="3">
        <v>1.26</v>
      </c>
      <c r="ET138" s="3">
        <v>0.06</v>
      </c>
      <c r="EU138" s="3">
        <v>0.01</v>
      </c>
      <c r="EV138" s="3">
        <v>21.2</v>
      </c>
      <c r="EW138" s="3">
        <v>1.68</v>
      </c>
      <c r="EX138" s="3">
        <v>0</v>
      </c>
      <c r="EY138" s="3">
        <v>0</v>
      </c>
      <c r="FQ138" s="3">
        <v>0</v>
      </c>
      <c r="FR138" s="3">
        <v>0</v>
      </c>
      <c r="FS138" s="3">
        <v>0</v>
      </c>
      <c r="FX138" s="3">
        <v>90</v>
      </c>
      <c r="FY138" s="3">
        <v>46</v>
      </c>
      <c r="GA138" s="3" t="s">
        <v>3</v>
      </c>
      <c r="GD138" s="3">
        <v>1</v>
      </c>
      <c r="GF138" s="3">
        <v>-2112753472</v>
      </c>
      <c r="GG138" s="3">
        <v>2</v>
      </c>
      <c r="GH138" s="3">
        <v>1</v>
      </c>
      <c r="GI138" s="3">
        <v>2</v>
      </c>
      <c r="GJ138" s="3">
        <v>0</v>
      </c>
      <c r="GK138" s="3">
        <v>0</v>
      </c>
      <c r="GL138" s="3">
        <f t="shared" si="144"/>
        <v>0</v>
      </c>
      <c r="GM138" s="3">
        <f t="shared" si="145"/>
        <v>14227.31</v>
      </c>
      <c r="GN138" s="3">
        <f t="shared" si="146"/>
        <v>0</v>
      </c>
      <c r="GO138" s="3">
        <f t="shared" si="147"/>
        <v>14227.31</v>
      </c>
      <c r="GP138" s="3">
        <f t="shared" si="148"/>
        <v>0</v>
      </c>
      <c r="GR138" s="3">
        <v>0</v>
      </c>
      <c r="GS138" s="3">
        <v>3</v>
      </c>
      <c r="GT138" s="3">
        <v>0</v>
      </c>
      <c r="GU138" s="3" t="s">
        <v>3</v>
      </c>
      <c r="GV138" s="3">
        <f t="shared" si="149"/>
        <v>0</v>
      </c>
      <c r="GW138" s="3">
        <v>1</v>
      </c>
      <c r="GX138" s="3">
        <f t="shared" si="150"/>
        <v>0</v>
      </c>
      <c r="HA138" s="3">
        <v>0</v>
      </c>
      <c r="HB138" s="3">
        <v>0</v>
      </c>
      <c r="HC138" s="3">
        <f t="shared" si="151"/>
        <v>0</v>
      </c>
      <c r="HE138" s="3" t="s">
        <v>3</v>
      </c>
      <c r="HF138" s="3" t="s">
        <v>3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">
      <c r="A139" s="2">
        <v>17</v>
      </c>
      <c r="B139" s="2">
        <v>1</v>
      </c>
      <c r="C139" s="2"/>
      <c r="D139" s="2"/>
      <c r="E139" s="2" t="s">
        <v>248</v>
      </c>
      <c r="F139" s="2" t="s">
        <v>249</v>
      </c>
      <c r="G139" s="2" t="s">
        <v>250</v>
      </c>
      <c r="H139" s="2" t="s">
        <v>183</v>
      </c>
      <c r="I139" s="2">
        <v>4</v>
      </c>
      <c r="J139" s="2">
        <v>0</v>
      </c>
      <c r="K139" s="2">
        <v>4</v>
      </c>
      <c r="L139" s="2"/>
      <c r="M139" s="2"/>
      <c r="N139" s="2"/>
      <c r="O139" s="2">
        <f t="shared" si="129"/>
        <v>364.96</v>
      </c>
      <c r="P139" s="2">
        <f t="shared" si="152"/>
        <v>364.96</v>
      </c>
      <c r="Q139" s="2">
        <f>(ROUND((ROUND(((ET139)*AV139*I139),2)*BB139),2)+ROUND((ROUND(((AE139-(EU139))*AV139*I139),2)*BS139),2))</f>
        <v>0</v>
      </c>
      <c r="R139" s="2">
        <f>(ROUND((ROUND(((EU139)*AV139*I139),2)*BS139),2)+ROUND((ROUND(((AE139-(EU139))*AV139*I139),2)*BS139),2))</f>
        <v>0</v>
      </c>
      <c r="S139" s="2">
        <f t="shared" si="130"/>
        <v>0</v>
      </c>
      <c r="T139" s="2">
        <f t="shared" si="131"/>
        <v>0</v>
      </c>
      <c r="U139" s="2">
        <f t="shared" si="132"/>
        <v>0</v>
      </c>
      <c r="V139" s="2">
        <f t="shared" si="133"/>
        <v>0</v>
      </c>
      <c r="W139" s="2">
        <f t="shared" si="134"/>
        <v>0</v>
      </c>
      <c r="X139" s="2">
        <f>(ROUND((((S139+ROUND((ROUND(((EU139)*AV139*I139),2)*BS139),2))*AT139)/100),2)+ROUND(((ROUND((ROUND(((AE139-(EU139))*AV139*I139),2)*BS139),2)*AT139)/100),2))</f>
        <v>0</v>
      </c>
      <c r="Y139" s="2">
        <f>(ROUND((((S139+ROUND((ROUND(((EU139)*AV139*I139),2)*BS139),2))*AU139)/100),2)+ROUND(((ROUND((ROUND(((AE139-(EU139))*AV139*I139),2)*BS139),2)*AU139)/100),2))</f>
        <v>0</v>
      </c>
      <c r="Z139" s="2"/>
      <c r="AA139" s="2">
        <v>55937296</v>
      </c>
      <c r="AB139" s="2">
        <f t="shared" si="135"/>
        <v>91.24</v>
      </c>
      <c r="AC139" s="2">
        <f>ROUND((ES139),6)</f>
        <v>91.24</v>
      </c>
      <c r="AD139" s="2">
        <f>ROUND((((ET139)-(EU139))+AE139),6)</f>
        <v>0</v>
      </c>
      <c r="AE139" s="2">
        <f>ROUND((EU139),6)</f>
        <v>0</v>
      </c>
      <c r="AF139" s="2">
        <f>ROUND((EV139),6)</f>
        <v>0</v>
      </c>
      <c r="AG139" s="2">
        <f t="shared" si="136"/>
        <v>0</v>
      </c>
      <c r="AH139" s="2">
        <f>(EW139)</f>
        <v>0</v>
      </c>
      <c r="AI139" s="2">
        <f>(EX139)</f>
        <v>0</v>
      </c>
      <c r="AJ139" s="2">
        <f t="shared" si="137"/>
        <v>0</v>
      </c>
      <c r="AK139" s="2">
        <v>91.24</v>
      </c>
      <c r="AL139" s="2">
        <v>91.24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3</v>
      </c>
      <c r="BJ139" s="2" t="s">
        <v>249</v>
      </c>
      <c r="BK139" s="2"/>
      <c r="BL139" s="2"/>
      <c r="BM139" s="2">
        <v>400007</v>
      </c>
      <c r="BN139" s="2">
        <v>0</v>
      </c>
      <c r="BO139" s="2" t="s">
        <v>3</v>
      </c>
      <c r="BP139" s="2">
        <v>0</v>
      </c>
      <c r="BQ139" s="2">
        <v>214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0</v>
      </c>
      <c r="CA139" s="2">
        <v>0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3</v>
      </c>
      <c r="CO139" s="2">
        <v>0</v>
      </c>
      <c r="CP139" s="2">
        <f t="shared" si="138"/>
        <v>364.96</v>
      </c>
      <c r="CQ139" s="2">
        <f t="shared" si="153"/>
        <v>91.24</v>
      </c>
      <c r="CR139" s="2">
        <f>(ROUND((ROUND(((ET139)*AV139*1),2)*BB139),2)+ROUND((ROUND(((AE139-(EU139))*AV139*1),2)*BS139),2))</f>
        <v>0</v>
      </c>
      <c r="CS139" s="2">
        <f>(ROUND((ROUND(((EU139)*AV139*1),2)*BS139),2)+ROUND((ROUND(((AE139-(EU139))*AV139*1),2)*BS139),2))</f>
        <v>0</v>
      </c>
      <c r="CT139" s="2">
        <f t="shared" si="139"/>
        <v>0</v>
      </c>
      <c r="CU139" s="2">
        <f t="shared" si="140"/>
        <v>0</v>
      </c>
      <c r="CV139" s="2">
        <f t="shared" si="141"/>
        <v>0</v>
      </c>
      <c r="CW139" s="2">
        <f t="shared" si="142"/>
        <v>0</v>
      </c>
      <c r="CX139" s="2">
        <f t="shared" si="143"/>
        <v>0</v>
      </c>
      <c r="CY139" s="2">
        <f>(ROUND((((S139+ROUND((ROUND(((EU139)*AV139*1),2)*BS139),2))*AT139)/100),2)+ROUND(((ROUND((ROUND(((AE139-(EU139))*AV139*1),2)*BS139),2)*AT139)/100),2))</f>
        <v>0</v>
      </c>
      <c r="CZ139" s="2">
        <f>(ROUND((((S139+ROUND((ROUND(((EU139)*AV139*1),2)*BS139),2))*AU139)/100),2)+ROUND(((ROUND((ROUND(((AE139-(EU139))*AV139*1),2)*BS139),2)*AU139)/100),2))</f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183</v>
      </c>
      <c r="DW139" s="2" t="s">
        <v>183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55393630</v>
      </c>
      <c r="EF139" s="2">
        <v>214</v>
      </c>
      <c r="EG139" s="2" t="s">
        <v>184</v>
      </c>
      <c r="EH139" s="2">
        <v>0</v>
      </c>
      <c r="EI139" s="2" t="s">
        <v>3</v>
      </c>
      <c r="EJ139" s="2">
        <v>3</v>
      </c>
      <c r="EK139" s="2">
        <v>400007</v>
      </c>
      <c r="EL139" s="2" t="s">
        <v>184</v>
      </c>
      <c r="EM139" s="2" t="s">
        <v>185</v>
      </c>
      <c r="EN139" s="2"/>
      <c r="EO139" s="2" t="s">
        <v>3</v>
      </c>
      <c r="EP139" s="2"/>
      <c r="EQ139" s="2">
        <v>16</v>
      </c>
      <c r="ER139" s="2">
        <v>0</v>
      </c>
      <c r="ES139" s="2">
        <v>91.24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f>P139</f>
        <v>364.96</v>
      </c>
      <c r="FS139" s="2">
        <v>0</v>
      </c>
      <c r="FT139" s="2"/>
      <c r="FU139" s="2"/>
      <c r="FV139" s="2"/>
      <c r="FW139" s="2"/>
      <c r="FX139" s="2">
        <v>0</v>
      </c>
      <c r="FY139" s="2">
        <v>0</v>
      </c>
      <c r="FZ139" s="2"/>
      <c r="GA139" s="2" t="s">
        <v>251</v>
      </c>
      <c r="GB139" s="2"/>
      <c r="GC139" s="2"/>
      <c r="GD139" s="2">
        <v>1</v>
      </c>
      <c r="GE139" s="2"/>
      <c r="GF139" s="2">
        <v>1654929342</v>
      </c>
      <c r="GG139" s="2">
        <v>2</v>
      </c>
      <c r="GH139" s="2">
        <v>4</v>
      </c>
      <c r="GI139" s="2">
        <v>-2</v>
      </c>
      <c r="GJ139" s="2">
        <v>0</v>
      </c>
      <c r="GK139" s="2">
        <v>0</v>
      </c>
      <c r="GL139" s="2">
        <f t="shared" si="144"/>
        <v>0</v>
      </c>
      <c r="GM139" s="2">
        <f t="shared" si="145"/>
        <v>364.96</v>
      </c>
      <c r="GN139" s="2">
        <f t="shared" si="146"/>
        <v>0</v>
      </c>
      <c r="GO139" s="2">
        <f t="shared" si="147"/>
        <v>0</v>
      </c>
      <c r="GP139" s="2">
        <f t="shared" si="148"/>
        <v>0</v>
      </c>
      <c r="GQ139" s="2"/>
      <c r="GR139" s="2">
        <v>1</v>
      </c>
      <c r="GS139" s="2">
        <v>2</v>
      </c>
      <c r="GT139" s="2">
        <v>0</v>
      </c>
      <c r="GU139" s="2" t="s">
        <v>3</v>
      </c>
      <c r="GV139" s="2">
        <f t="shared" si="149"/>
        <v>0</v>
      </c>
      <c r="GW139" s="2">
        <v>1</v>
      </c>
      <c r="GX139" s="2">
        <f t="shared" si="150"/>
        <v>0</v>
      </c>
      <c r="GY139" s="2"/>
      <c r="GZ139" s="2"/>
      <c r="HA139" s="2">
        <v>0</v>
      </c>
      <c r="HB139" s="2">
        <v>0</v>
      </c>
      <c r="HC139" s="2">
        <f t="shared" si="151"/>
        <v>0</v>
      </c>
      <c r="HD139" s="2"/>
      <c r="HE139" s="2" t="s">
        <v>34</v>
      </c>
      <c r="HF139" s="2" t="s">
        <v>187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 s="3">
        <v>17</v>
      </c>
      <c r="B140" s="3">
        <v>1</v>
      </c>
      <c r="E140" s="3" t="s">
        <v>248</v>
      </c>
      <c r="F140" s="3" t="s">
        <v>249</v>
      </c>
      <c r="G140" s="3" t="s">
        <v>250</v>
      </c>
      <c r="H140" s="3" t="s">
        <v>183</v>
      </c>
      <c r="I140" s="3">
        <v>4</v>
      </c>
      <c r="J140" s="3">
        <v>0</v>
      </c>
      <c r="K140" s="3">
        <v>4</v>
      </c>
      <c r="O140" s="3">
        <f t="shared" si="129"/>
        <v>2795.59</v>
      </c>
      <c r="P140" s="3">
        <f t="shared" si="152"/>
        <v>2795.59</v>
      </c>
      <c r="Q140" s="3">
        <f>(ROUND((ROUND(((ET140)*AV140*I140),2)*BB140),2)+ROUND((ROUND(((AE140-(EU140))*AV140*I140),2)*BS140),2))</f>
        <v>0</v>
      </c>
      <c r="R140" s="3">
        <f>(ROUND((ROUND(((EU140)*AV140*I140),2)*BS140),2)+ROUND((ROUND(((AE140-(EU140))*AV140*I140),2)*BS140),2))</f>
        <v>0</v>
      </c>
      <c r="S140" s="3">
        <f t="shared" si="130"/>
        <v>0</v>
      </c>
      <c r="T140" s="3">
        <f t="shared" si="131"/>
        <v>0</v>
      </c>
      <c r="U140" s="3">
        <f t="shared" si="132"/>
        <v>0</v>
      </c>
      <c r="V140" s="3">
        <f t="shared" si="133"/>
        <v>0</v>
      </c>
      <c r="W140" s="3">
        <f t="shared" si="134"/>
        <v>0</v>
      </c>
      <c r="X140" s="3">
        <f>(ROUND((((S140+ROUND((ROUND(((EU140)*AV140*I140),2)*BS140),2))*AT140)/100),2)+ROUND(((ROUND((ROUND(((AE140-(EU140))*AV140*I140),2)*BS140),2)*AT140)/100),2))</f>
        <v>0</v>
      </c>
      <c r="Y140" s="3">
        <f>(ROUND((((S140+ROUND((ROUND(((EU140)*AV140*I140),2)*BS140),2))*AU140)/100),2)+ROUND(((ROUND((ROUND(((AE140-(EU140))*AV140*I140),2)*BS140),2)*AU140)/100),2))</f>
        <v>0</v>
      </c>
      <c r="AA140" s="3">
        <v>55937298</v>
      </c>
      <c r="AB140" s="3">
        <f t="shared" si="135"/>
        <v>91.24</v>
      </c>
      <c r="AC140" s="3">
        <f>ROUND((ES140),6)</f>
        <v>91.24</v>
      </c>
      <c r="AD140" s="3">
        <f>ROUND((((ET140)-(EU140))+AE140),6)</f>
        <v>0</v>
      </c>
      <c r="AE140" s="3">
        <f>ROUND((EU140),6)</f>
        <v>0</v>
      </c>
      <c r="AF140" s="3">
        <f>ROUND((EV140),6)</f>
        <v>0</v>
      </c>
      <c r="AG140" s="3">
        <f t="shared" si="136"/>
        <v>0</v>
      </c>
      <c r="AH140" s="3">
        <f>(EW140)</f>
        <v>0</v>
      </c>
      <c r="AI140" s="3">
        <f>(EX140)</f>
        <v>0</v>
      </c>
      <c r="AJ140" s="3">
        <f t="shared" si="137"/>
        <v>0</v>
      </c>
      <c r="AK140" s="3">
        <v>91.24</v>
      </c>
      <c r="AL140" s="3">
        <v>91.24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1</v>
      </c>
      <c r="AW140" s="3">
        <v>1</v>
      </c>
      <c r="AZ140" s="3">
        <v>1</v>
      </c>
      <c r="BA140" s="3">
        <v>1</v>
      </c>
      <c r="BB140" s="3">
        <v>1</v>
      </c>
      <c r="BC140" s="3">
        <v>7.66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3</v>
      </c>
      <c r="BI140" s="3">
        <v>3</v>
      </c>
      <c r="BJ140" s="3" t="s">
        <v>249</v>
      </c>
      <c r="BM140" s="3">
        <v>400007</v>
      </c>
      <c r="BN140" s="3">
        <v>0</v>
      </c>
      <c r="BO140" s="3" t="s">
        <v>3</v>
      </c>
      <c r="BP140" s="3">
        <v>0</v>
      </c>
      <c r="BQ140" s="3">
        <v>214</v>
      </c>
      <c r="BR140" s="3">
        <v>0</v>
      </c>
      <c r="BS140" s="3">
        <v>1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0</v>
      </c>
      <c r="CA140" s="3">
        <v>0</v>
      </c>
      <c r="CB140" s="3" t="s">
        <v>3</v>
      </c>
      <c r="CE140" s="3">
        <v>1566</v>
      </c>
      <c r="CF140" s="3">
        <v>0</v>
      </c>
      <c r="CG140" s="3">
        <v>0</v>
      </c>
      <c r="CM140" s="3">
        <v>0</v>
      </c>
      <c r="CN140" s="3" t="s">
        <v>3</v>
      </c>
      <c r="CO140" s="3">
        <v>0</v>
      </c>
      <c r="CP140" s="3">
        <f t="shared" si="138"/>
        <v>2795.59</v>
      </c>
      <c r="CQ140" s="3">
        <f t="shared" si="153"/>
        <v>698.9</v>
      </c>
      <c r="CR140" s="3">
        <f>(ROUND((ROUND(((ET140)*AV140*1),2)*BB140),2)+ROUND((ROUND(((AE140-(EU140))*AV140*1),2)*BS140),2))</f>
        <v>0</v>
      </c>
      <c r="CS140" s="3">
        <f>(ROUND((ROUND(((EU140)*AV140*1),2)*BS140),2)+ROUND((ROUND(((AE140-(EU140))*AV140*1),2)*BS140),2))</f>
        <v>0</v>
      </c>
      <c r="CT140" s="3">
        <f t="shared" si="139"/>
        <v>0</v>
      </c>
      <c r="CU140" s="3">
        <f t="shared" si="140"/>
        <v>0</v>
      </c>
      <c r="CV140" s="3">
        <f t="shared" si="141"/>
        <v>0</v>
      </c>
      <c r="CW140" s="3">
        <f t="shared" si="142"/>
        <v>0</v>
      </c>
      <c r="CX140" s="3">
        <f t="shared" si="143"/>
        <v>0</v>
      </c>
      <c r="CY140" s="3">
        <f>(ROUND((((S140+ROUND((ROUND(((EU140)*AV140*1),2)*BS140),2))*AT140)/100),2)+ROUND(((ROUND((ROUND(((AE140-(EU140))*AV140*1),2)*BS140),2)*AT140)/100),2))</f>
        <v>0</v>
      </c>
      <c r="CZ140" s="3">
        <f>(ROUND((((S140+ROUND((ROUND(((EU140)*AV140*1),2)*BS140),2))*AU140)/100),2)+ROUND(((ROUND((ROUND(((AE140-(EU140))*AV140*1),2)*BS140),2)*AU140)/100),2))</f>
        <v>0</v>
      </c>
      <c r="DC140" s="3" t="s">
        <v>3</v>
      </c>
      <c r="DD140" s="3" t="s">
        <v>3</v>
      </c>
      <c r="DE140" s="3" t="s">
        <v>3</v>
      </c>
      <c r="DF140" s="3" t="s">
        <v>3</v>
      </c>
      <c r="DG140" s="3" t="s">
        <v>3</v>
      </c>
      <c r="DH140" s="3" t="s">
        <v>3</v>
      </c>
      <c r="DI140" s="3" t="s">
        <v>3</v>
      </c>
      <c r="DJ140" s="3" t="s">
        <v>3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1013</v>
      </c>
      <c r="DV140" s="3" t="s">
        <v>183</v>
      </c>
      <c r="DW140" s="3" t="s">
        <v>183</v>
      </c>
      <c r="DX140" s="3">
        <v>1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55393630</v>
      </c>
      <c r="EF140" s="3">
        <v>214</v>
      </c>
      <c r="EG140" s="3" t="s">
        <v>184</v>
      </c>
      <c r="EH140" s="3">
        <v>0</v>
      </c>
      <c r="EI140" s="3" t="s">
        <v>3</v>
      </c>
      <c r="EJ140" s="3">
        <v>3</v>
      </c>
      <c r="EK140" s="3">
        <v>400007</v>
      </c>
      <c r="EL140" s="3" t="s">
        <v>184</v>
      </c>
      <c r="EM140" s="3" t="s">
        <v>185</v>
      </c>
      <c r="EO140" s="3" t="s">
        <v>3</v>
      </c>
      <c r="EQ140" s="3">
        <v>16</v>
      </c>
      <c r="ER140" s="3">
        <v>0</v>
      </c>
      <c r="ES140" s="3">
        <v>91.24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5</v>
      </c>
      <c r="FC140" s="3">
        <v>1</v>
      </c>
      <c r="FD140" s="3">
        <v>18</v>
      </c>
      <c r="FF140" s="3">
        <v>818</v>
      </c>
      <c r="FQ140" s="3">
        <v>0</v>
      </c>
      <c r="FR140" s="3">
        <f>P140</f>
        <v>2795.59</v>
      </c>
      <c r="FS140" s="3">
        <v>0</v>
      </c>
      <c r="FX140" s="3">
        <v>0</v>
      </c>
      <c r="FY140" s="3">
        <v>0</v>
      </c>
      <c r="GA140" s="3" t="s">
        <v>251</v>
      </c>
      <c r="GD140" s="3">
        <v>1</v>
      </c>
      <c r="GF140" s="3">
        <v>1654929342</v>
      </c>
      <c r="GG140" s="3">
        <v>2</v>
      </c>
      <c r="GH140" s="3">
        <v>3</v>
      </c>
      <c r="GI140" s="3">
        <v>5</v>
      </c>
      <c r="GJ140" s="3">
        <v>0</v>
      </c>
      <c r="GK140" s="3">
        <v>0</v>
      </c>
      <c r="GL140" s="3">
        <f t="shared" si="144"/>
        <v>0</v>
      </c>
      <c r="GM140" s="3">
        <f t="shared" si="145"/>
        <v>2795.59</v>
      </c>
      <c r="GN140" s="3">
        <f t="shared" si="146"/>
        <v>0</v>
      </c>
      <c r="GO140" s="3">
        <f t="shared" si="147"/>
        <v>0</v>
      </c>
      <c r="GP140" s="3">
        <f t="shared" si="148"/>
        <v>0</v>
      </c>
      <c r="GR140" s="3">
        <v>1</v>
      </c>
      <c r="GS140" s="3">
        <v>1</v>
      </c>
      <c r="GT140" s="3">
        <v>0</v>
      </c>
      <c r="GU140" s="3" t="s">
        <v>3</v>
      </c>
      <c r="GV140" s="3">
        <f t="shared" si="149"/>
        <v>0</v>
      </c>
      <c r="GW140" s="3">
        <v>1</v>
      </c>
      <c r="GX140" s="3">
        <f t="shared" si="150"/>
        <v>0</v>
      </c>
      <c r="HA140" s="3">
        <v>0</v>
      </c>
      <c r="HB140" s="3">
        <v>0</v>
      </c>
      <c r="HC140" s="3">
        <f t="shared" si="151"/>
        <v>0</v>
      </c>
      <c r="HE140" s="3" t="s">
        <v>34</v>
      </c>
      <c r="HF140" s="3" t="s">
        <v>187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">
      <c r="A141" s="2">
        <v>17</v>
      </c>
      <c r="B141" s="2">
        <v>1</v>
      </c>
      <c r="C141" s="2">
        <f>ROW(SmtRes!A182)</f>
        <v>182</v>
      </c>
      <c r="D141" s="2">
        <f>ROW(EtalonRes!A236)</f>
        <v>236</v>
      </c>
      <c r="E141" s="2" t="s">
        <v>252</v>
      </c>
      <c r="F141" s="2" t="s">
        <v>67</v>
      </c>
      <c r="G141" s="2" t="s">
        <v>253</v>
      </c>
      <c r="H141" s="2" t="s">
        <v>22</v>
      </c>
      <c r="I141" s="2">
        <f>ROUND(3+2+2+2,9)</f>
        <v>9</v>
      </c>
      <c r="J141" s="2">
        <v>0</v>
      </c>
      <c r="K141" s="2">
        <f>ROUND(3+2+2+2,9)</f>
        <v>9</v>
      </c>
      <c r="L141" s="2"/>
      <c r="M141" s="2"/>
      <c r="N141" s="2"/>
      <c r="O141" s="2">
        <f t="shared" si="129"/>
        <v>125.06</v>
      </c>
      <c r="P141" s="2">
        <f t="shared" si="152"/>
        <v>12.12</v>
      </c>
      <c r="Q141" s="2">
        <f>(ROUND((ROUND((((ET141*1.2))*AV141*I141),2)*BB141),2)+ROUND((ROUND(((AE141-((EU141*1.2)))*AV141*I141),2)*BS141),2))</f>
        <v>0.57999999999999996</v>
      </c>
      <c r="R141" s="2">
        <f>(ROUND((ROUND((((EU141*1.2))*AV141*I141),2)*BS141),2)+ROUND((ROUND(((AE141-((EU141*1.2)))*AV141*I141),2)*BS141),2))</f>
        <v>0</v>
      </c>
      <c r="S141" s="2">
        <f t="shared" si="130"/>
        <v>112.36</v>
      </c>
      <c r="T141" s="2">
        <f t="shared" si="131"/>
        <v>0</v>
      </c>
      <c r="U141" s="2">
        <f t="shared" si="132"/>
        <v>6.914159999999999</v>
      </c>
      <c r="V141" s="2">
        <f t="shared" si="133"/>
        <v>0</v>
      </c>
      <c r="W141" s="2">
        <f t="shared" si="134"/>
        <v>0</v>
      </c>
      <c r="X141" s="2">
        <f>(ROUND((((S141+ROUND((ROUND((((EU141*1.2))*AV141*I141),2)*BS141),2))*AT141)/100),2)+ROUND(((ROUND((ROUND(((AE141-((EU141*1.2)))*AV141*I141),2)*BS141),2)*AT141)/100),2))</f>
        <v>103.37</v>
      </c>
      <c r="Y141" s="2">
        <f>(ROUND((((S141+ROUND((ROUND((((EU141*1.2))*AV141*I141),2)*BS141),2))*AU141)/100),2)+ROUND(((ROUND((ROUND(((AE141-((EU141*1.2)))*AV141*I141),2)*BS141),2)*AU141)/100),2))</f>
        <v>55.06</v>
      </c>
      <c r="Z141" s="2"/>
      <c r="AA141" s="2">
        <v>55937296</v>
      </c>
      <c r="AB141" s="2">
        <f t="shared" si="135"/>
        <v>13.07</v>
      </c>
      <c r="AC141" s="2">
        <f>ROUND(((ES141*1)),6)</f>
        <v>1.31</v>
      </c>
      <c r="AD141" s="2">
        <f>ROUND(((((ET141*1.2))-((EU141*1.2)))+AE141),6)</f>
        <v>0.06</v>
      </c>
      <c r="AE141" s="2">
        <f>ROUND(((EU141*1.2)),6)</f>
        <v>0</v>
      </c>
      <c r="AF141" s="2">
        <f>ROUND(((EV141*1.2)),6)</f>
        <v>11.7</v>
      </c>
      <c r="AG141" s="2">
        <f t="shared" si="136"/>
        <v>0</v>
      </c>
      <c r="AH141" s="2">
        <f>((EW141*1.2))</f>
        <v>0.72</v>
      </c>
      <c r="AI141" s="2">
        <f>((EX141*1.2))</f>
        <v>0</v>
      </c>
      <c r="AJ141" s="2">
        <f t="shared" si="137"/>
        <v>0</v>
      </c>
      <c r="AK141" s="2">
        <v>11.11</v>
      </c>
      <c r="AL141" s="2">
        <v>1.31</v>
      </c>
      <c r="AM141" s="2">
        <v>0.05</v>
      </c>
      <c r="AN141" s="2">
        <v>0</v>
      </c>
      <c r="AO141" s="2">
        <v>9.75</v>
      </c>
      <c r="AP141" s="2">
        <v>0</v>
      </c>
      <c r="AQ141" s="2">
        <v>0.6</v>
      </c>
      <c r="AR141" s="2">
        <v>0</v>
      </c>
      <c r="AS141" s="2">
        <v>0</v>
      </c>
      <c r="AT141" s="2">
        <v>92</v>
      </c>
      <c r="AU141" s="2">
        <v>49</v>
      </c>
      <c r="AV141" s="2">
        <v>1.0669999999999999</v>
      </c>
      <c r="AW141" s="2">
        <v>1.028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0</v>
      </c>
      <c r="BI141" s="2">
        <v>2</v>
      </c>
      <c r="BJ141" s="2" t="s">
        <v>69</v>
      </c>
      <c r="BK141" s="2"/>
      <c r="BL141" s="2"/>
      <c r="BM141" s="2">
        <v>84</v>
      </c>
      <c r="BN141" s="2">
        <v>0</v>
      </c>
      <c r="BO141" s="2" t="s">
        <v>67</v>
      </c>
      <c r="BP141" s="2">
        <v>1</v>
      </c>
      <c r="BQ141" s="2">
        <v>40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92</v>
      </c>
      <c r="CA141" s="2">
        <v>49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797</v>
      </c>
      <c r="CO141" s="2">
        <v>0</v>
      </c>
      <c r="CP141" s="2">
        <f t="shared" si="138"/>
        <v>125.06</v>
      </c>
      <c r="CQ141" s="2">
        <f t="shared" si="153"/>
        <v>1.35</v>
      </c>
      <c r="CR141" s="2">
        <f>(ROUND((ROUND((((ET141*1.2))*AV141*1),2)*BB141),2)+ROUND((ROUND(((AE141-((EU141*1.2)))*AV141*1),2)*BS141),2))</f>
        <v>0.06</v>
      </c>
      <c r="CS141" s="2">
        <f>(ROUND((ROUND((((EU141*1.2))*AV141*1),2)*BS141),2)+ROUND((ROUND(((AE141-((EU141*1.2)))*AV141*1),2)*BS141),2))</f>
        <v>0</v>
      </c>
      <c r="CT141" s="2">
        <f t="shared" si="139"/>
        <v>12.48</v>
      </c>
      <c r="CU141" s="2">
        <f t="shared" si="140"/>
        <v>0</v>
      </c>
      <c r="CV141" s="2">
        <f t="shared" si="141"/>
        <v>0.76823999999999992</v>
      </c>
      <c r="CW141" s="2">
        <f t="shared" si="142"/>
        <v>0</v>
      </c>
      <c r="CX141" s="2">
        <f t="shared" si="143"/>
        <v>0</v>
      </c>
      <c r="CY141" s="2">
        <f>(ROUND((((S141+ROUND((ROUND((((EU141*1.2))*AV141*1),2)*BS141),2))*AT141)/100),2)+ROUND(((ROUND((ROUND(((AE141-((EU141*1.2)))*AV141*1),2)*BS141),2)*AT141)/100),2))</f>
        <v>103.37</v>
      </c>
      <c r="CZ141" s="2">
        <f>(ROUND((((S141+ROUND((ROUND((((EU141*1.2))*AV141*1),2)*BS141),2))*AU141)/100),2)+ROUND(((ROUND((ROUND(((AE141-((EU141*1.2)))*AV141*1),2)*BS141),2)*AU141)/100),2))</f>
        <v>55.06</v>
      </c>
      <c r="DA141" s="2"/>
      <c r="DB141" s="2">
        <v>91</v>
      </c>
      <c r="DC141" s="2" t="s">
        <v>3</v>
      </c>
      <c r="DD141" s="2" t="s">
        <v>113</v>
      </c>
      <c r="DE141" s="2" t="s">
        <v>114</v>
      </c>
      <c r="DF141" s="2" t="s">
        <v>114</v>
      </c>
      <c r="DG141" s="2" t="s">
        <v>114</v>
      </c>
      <c r="DH141" s="2" t="s">
        <v>3</v>
      </c>
      <c r="DI141" s="2" t="s">
        <v>114</v>
      </c>
      <c r="DJ141" s="2" t="s">
        <v>114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22</v>
      </c>
      <c r="DW141" s="2" t="s">
        <v>22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55393716</v>
      </c>
      <c r="EF141" s="2">
        <v>40</v>
      </c>
      <c r="EG141" s="2" t="s">
        <v>26</v>
      </c>
      <c r="EH141" s="2">
        <v>0</v>
      </c>
      <c r="EI141" s="2" t="s">
        <v>3</v>
      </c>
      <c r="EJ141" s="2">
        <v>2</v>
      </c>
      <c r="EK141" s="2">
        <v>84</v>
      </c>
      <c r="EL141" s="2" t="s">
        <v>70</v>
      </c>
      <c r="EM141" s="2" t="s">
        <v>71</v>
      </c>
      <c r="EN141" s="2"/>
      <c r="EO141" s="2" t="s">
        <v>118</v>
      </c>
      <c r="EP141" s="2"/>
      <c r="EQ141" s="2">
        <v>0</v>
      </c>
      <c r="ER141" s="2">
        <v>11.11</v>
      </c>
      <c r="ES141" s="2">
        <v>1.31</v>
      </c>
      <c r="ET141" s="2">
        <v>0.05</v>
      </c>
      <c r="EU141" s="2">
        <v>0</v>
      </c>
      <c r="EV141" s="2">
        <v>9.75</v>
      </c>
      <c r="EW141" s="2">
        <v>0.6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2</v>
      </c>
      <c r="FT141" s="2"/>
      <c r="FU141" s="2"/>
      <c r="FV141" s="2"/>
      <c r="FW141" s="2"/>
      <c r="FX141" s="2">
        <v>92</v>
      </c>
      <c r="FY141" s="2">
        <v>49</v>
      </c>
      <c r="FZ141" s="2"/>
      <c r="GA141" s="2" t="s">
        <v>3</v>
      </c>
      <c r="GB141" s="2"/>
      <c r="GC141" s="2"/>
      <c r="GD141" s="2">
        <v>1</v>
      </c>
      <c r="GE141" s="2"/>
      <c r="GF141" s="2">
        <v>377394387</v>
      </c>
      <c r="GG141" s="2">
        <v>2</v>
      </c>
      <c r="GH141" s="2">
        <v>1</v>
      </c>
      <c r="GI141" s="2">
        <v>2</v>
      </c>
      <c r="GJ141" s="2">
        <v>0</v>
      </c>
      <c r="GK141" s="2">
        <v>0</v>
      </c>
      <c r="GL141" s="2">
        <f t="shared" si="144"/>
        <v>0</v>
      </c>
      <c r="GM141" s="2">
        <f t="shared" si="145"/>
        <v>283.49</v>
      </c>
      <c r="GN141" s="2">
        <f t="shared" si="146"/>
        <v>0</v>
      </c>
      <c r="GO141" s="2">
        <f t="shared" si="147"/>
        <v>283.49</v>
      </c>
      <c r="GP141" s="2">
        <f t="shared" si="148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49"/>
        <v>0</v>
      </c>
      <c r="GW141" s="2">
        <v>1</v>
      </c>
      <c r="GX141" s="2">
        <f t="shared" si="150"/>
        <v>0</v>
      </c>
      <c r="GY141" s="2"/>
      <c r="GZ141" s="2"/>
      <c r="HA141" s="2">
        <v>0</v>
      </c>
      <c r="HB141" s="2">
        <v>0</v>
      </c>
      <c r="HC141" s="2">
        <f t="shared" si="151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 s="3">
        <v>17</v>
      </c>
      <c r="B142" s="3">
        <v>1</v>
      </c>
      <c r="C142" s="3">
        <f>ROW(SmtRes!A186)</f>
        <v>186</v>
      </c>
      <c r="D142" s="3">
        <f>ROW(EtalonRes!A242)</f>
        <v>242</v>
      </c>
      <c r="E142" s="3" t="s">
        <v>252</v>
      </c>
      <c r="F142" s="3" t="s">
        <v>67</v>
      </c>
      <c r="G142" s="3" t="s">
        <v>253</v>
      </c>
      <c r="H142" s="3" t="s">
        <v>22</v>
      </c>
      <c r="I142" s="3">
        <f>ROUND(3+2+2+2,9)</f>
        <v>9</v>
      </c>
      <c r="J142" s="3">
        <v>0</v>
      </c>
      <c r="K142" s="3">
        <f>ROUND(3+2+2+2,9)</f>
        <v>9</v>
      </c>
      <c r="O142" s="3">
        <f t="shared" si="129"/>
        <v>6371.74</v>
      </c>
      <c r="P142" s="3">
        <f t="shared" si="152"/>
        <v>35.15</v>
      </c>
      <c r="Q142" s="3">
        <f>(ROUND((ROUND((((ET142*1.2))*AV142*I142),2)*BB142),2)+ROUND((ROUND(((AE142-((EU142*1.2)))*AV142*I142),2)*BS142),2))</f>
        <v>5.0999999999999996</v>
      </c>
      <c r="R142" s="3">
        <f>(ROUND((ROUND((((EU142*1.2))*AV142*I142),2)*BS142),2)+ROUND((ROUND(((AE142-((EU142*1.2)))*AV142*I142),2)*BS142),2))</f>
        <v>0</v>
      </c>
      <c r="S142" s="3">
        <f t="shared" si="130"/>
        <v>6331.49</v>
      </c>
      <c r="T142" s="3">
        <f t="shared" si="131"/>
        <v>0</v>
      </c>
      <c r="U142" s="3">
        <f t="shared" si="132"/>
        <v>6.914159999999999</v>
      </c>
      <c r="V142" s="3">
        <f t="shared" si="133"/>
        <v>0</v>
      </c>
      <c r="W142" s="3">
        <f t="shared" si="134"/>
        <v>0</v>
      </c>
      <c r="X142" s="3">
        <f>(ROUND((((S142+ROUND((ROUND((((EU142*1.2))*AV142*I142),2)*BS142),2))*AT142)/100),2)+ROUND(((ROUND((ROUND(((AE142-((EU142*1.2)))*AV142*I142),2)*BS142),2)*AT142)/100),2))</f>
        <v>5824.97</v>
      </c>
      <c r="Y142" s="3">
        <f>(ROUND((((S142+ROUND((ROUND((((EU142*1.2))*AV142*I142),2)*BS142),2))*AU142)/100),2)+ROUND(((ROUND((ROUND(((AE142-((EU142*1.2)))*AV142*I142),2)*BS142),2)*AU142)/100),2))</f>
        <v>3102.43</v>
      </c>
      <c r="AA142" s="3">
        <v>55937298</v>
      </c>
      <c r="AB142" s="3">
        <f t="shared" si="135"/>
        <v>13.07</v>
      </c>
      <c r="AC142" s="3">
        <f>ROUND(((ES142*1)),6)</f>
        <v>1.31</v>
      </c>
      <c r="AD142" s="3">
        <f>ROUND(((((ET142*1.2))-((EU142*1.2)))+AE142),6)</f>
        <v>0.06</v>
      </c>
      <c r="AE142" s="3">
        <f>ROUND(((EU142*1.2)),6)</f>
        <v>0</v>
      </c>
      <c r="AF142" s="3">
        <f>ROUND(((EV142*1.2)),6)</f>
        <v>11.7</v>
      </c>
      <c r="AG142" s="3">
        <f t="shared" si="136"/>
        <v>0</v>
      </c>
      <c r="AH142" s="3">
        <f>((EW142*1.2))</f>
        <v>0.72</v>
      </c>
      <c r="AI142" s="3">
        <f>((EX142*1.2))</f>
        <v>0</v>
      </c>
      <c r="AJ142" s="3">
        <f t="shared" si="137"/>
        <v>0</v>
      </c>
      <c r="AK142" s="3">
        <v>11.11</v>
      </c>
      <c r="AL142" s="3">
        <v>1.31</v>
      </c>
      <c r="AM142" s="3">
        <v>0.05</v>
      </c>
      <c r="AN142" s="3">
        <v>0</v>
      </c>
      <c r="AO142" s="3">
        <v>9.75</v>
      </c>
      <c r="AP142" s="3">
        <v>0</v>
      </c>
      <c r="AQ142" s="3">
        <v>0.6</v>
      </c>
      <c r="AR142" s="3">
        <v>0</v>
      </c>
      <c r="AS142" s="3">
        <v>0</v>
      </c>
      <c r="AT142" s="3">
        <v>92</v>
      </c>
      <c r="AU142" s="3">
        <v>49</v>
      </c>
      <c r="AV142" s="3">
        <v>1.0669999999999999</v>
      </c>
      <c r="AW142" s="3">
        <v>1.028</v>
      </c>
      <c r="AZ142" s="3">
        <v>1</v>
      </c>
      <c r="BA142" s="3">
        <v>56.35</v>
      </c>
      <c r="BB142" s="3">
        <v>8.8000000000000007</v>
      </c>
      <c r="BC142" s="3">
        <v>2.9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0</v>
      </c>
      <c r="BI142" s="3">
        <v>2</v>
      </c>
      <c r="BJ142" s="3" t="s">
        <v>69</v>
      </c>
      <c r="BM142" s="3">
        <v>84</v>
      </c>
      <c r="BN142" s="3">
        <v>0</v>
      </c>
      <c r="BO142" s="3" t="s">
        <v>67</v>
      </c>
      <c r="BP142" s="3">
        <v>1</v>
      </c>
      <c r="BQ142" s="3">
        <v>40</v>
      </c>
      <c r="BR142" s="3">
        <v>0</v>
      </c>
      <c r="BS142" s="3">
        <v>56.35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92</v>
      </c>
      <c r="CA142" s="3">
        <v>49</v>
      </c>
      <c r="CB142" s="3" t="s">
        <v>3</v>
      </c>
      <c r="CE142" s="3">
        <v>1566</v>
      </c>
      <c r="CF142" s="3">
        <v>0</v>
      </c>
      <c r="CG142" s="3">
        <v>0</v>
      </c>
      <c r="CM142" s="3">
        <v>0</v>
      </c>
      <c r="CN142" s="3" t="s">
        <v>797</v>
      </c>
      <c r="CO142" s="3">
        <v>0</v>
      </c>
      <c r="CP142" s="3">
        <f t="shared" si="138"/>
        <v>6371.74</v>
      </c>
      <c r="CQ142" s="3">
        <f t="shared" si="153"/>
        <v>3.92</v>
      </c>
      <c r="CR142" s="3">
        <f>(ROUND((ROUND((((ET142*1.2))*AV142*1),2)*BB142),2)+ROUND((ROUND(((AE142-((EU142*1.2)))*AV142*1),2)*BS142),2))</f>
        <v>0.53</v>
      </c>
      <c r="CS142" s="3">
        <f>(ROUND((ROUND((((EU142*1.2))*AV142*1),2)*BS142),2)+ROUND((ROUND(((AE142-((EU142*1.2)))*AV142*1),2)*BS142),2))</f>
        <v>0</v>
      </c>
      <c r="CT142" s="3">
        <f t="shared" si="139"/>
        <v>703.25</v>
      </c>
      <c r="CU142" s="3">
        <f t="shared" si="140"/>
        <v>0</v>
      </c>
      <c r="CV142" s="3">
        <f t="shared" si="141"/>
        <v>0.76823999999999992</v>
      </c>
      <c r="CW142" s="3">
        <f t="shared" si="142"/>
        <v>0</v>
      </c>
      <c r="CX142" s="3">
        <f t="shared" si="143"/>
        <v>0</v>
      </c>
      <c r="CY142" s="3">
        <f>(ROUND((((S142+ROUND((ROUND((((EU142*1.2))*AV142*1),2)*BS142),2))*AT142)/100),2)+ROUND(((ROUND((ROUND(((AE142-((EU142*1.2)))*AV142*1),2)*BS142),2)*AT142)/100),2))</f>
        <v>5824.97</v>
      </c>
      <c r="CZ142" s="3">
        <f>(ROUND((((S142+ROUND((ROUND((((EU142*1.2))*AV142*1),2)*BS142),2))*AU142)/100),2)+ROUND(((ROUND((ROUND(((AE142-((EU142*1.2)))*AV142*1),2)*BS142),2)*AU142)/100),2))</f>
        <v>3102.43</v>
      </c>
      <c r="DB142" s="3">
        <v>92</v>
      </c>
      <c r="DC142" s="3" t="s">
        <v>3</v>
      </c>
      <c r="DD142" s="3" t="s">
        <v>113</v>
      </c>
      <c r="DE142" s="3" t="s">
        <v>114</v>
      </c>
      <c r="DF142" s="3" t="s">
        <v>114</v>
      </c>
      <c r="DG142" s="3" t="s">
        <v>114</v>
      </c>
      <c r="DH142" s="3" t="s">
        <v>3</v>
      </c>
      <c r="DI142" s="3" t="s">
        <v>114</v>
      </c>
      <c r="DJ142" s="3" t="s">
        <v>114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1013</v>
      </c>
      <c r="DV142" s="3" t="s">
        <v>22</v>
      </c>
      <c r="DW142" s="3" t="s">
        <v>22</v>
      </c>
      <c r="DX142" s="3">
        <v>1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55393716</v>
      </c>
      <c r="EF142" s="3">
        <v>40</v>
      </c>
      <c r="EG142" s="3" t="s">
        <v>26</v>
      </c>
      <c r="EH142" s="3">
        <v>0</v>
      </c>
      <c r="EI142" s="3" t="s">
        <v>3</v>
      </c>
      <c r="EJ142" s="3">
        <v>2</v>
      </c>
      <c r="EK142" s="3">
        <v>84</v>
      </c>
      <c r="EL142" s="3" t="s">
        <v>70</v>
      </c>
      <c r="EM142" s="3" t="s">
        <v>71</v>
      </c>
      <c r="EO142" s="3" t="s">
        <v>118</v>
      </c>
      <c r="EQ142" s="3">
        <v>0</v>
      </c>
      <c r="ER142" s="3">
        <v>11.11</v>
      </c>
      <c r="ES142" s="3">
        <v>1.31</v>
      </c>
      <c r="ET142" s="3">
        <v>0.05</v>
      </c>
      <c r="EU142" s="3">
        <v>0</v>
      </c>
      <c r="EV142" s="3">
        <v>9.75</v>
      </c>
      <c r="EW142" s="3">
        <v>0.6</v>
      </c>
      <c r="EX142" s="3">
        <v>0</v>
      </c>
      <c r="EY142" s="3">
        <v>0</v>
      </c>
      <c r="FQ142" s="3">
        <v>0</v>
      </c>
      <c r="FR142" s="3">
        <v>0</v>
      </c>
      <c r="FS142" s="3">
        <v>2</v>
      </c>
      <c r="FX142" s="3">
        <v>92</v>
      </c>
      <c r="FY142" s="3">
        <v>49</v>
      </c>
      <c r="GA142" s="3" t="s">
        <v>3</v>
      </c>
      <c r="GD142" s="3">
        <v>1</v>
      </c>
      <c r="GF142" s="3">
        <v>377394387</v>
      </c>
      <c r="GG142" s="3">
        <v>2</v>
      </c>
      <c r="GH142" s="3">
        <v>1</v>
      </c>
      <c r="GI142" s="3">
        <v>2</v>
      </c>
      <c r="GJ142" s="3">
        <v>0</v>
      </c>
      <c r="GK142" s="3">
        <v>0</v>
      </c>
      <c r="GL142" s="3">
        <f t="shared" si="144"/>
        <v>0</v>
      </c>
      <c r="GM142" s="3">
        <f t="shared" si="145"/>
        <v>15299.14</v>
      </c>
      <c r="GN142" s="3">
        <f t="shared" si="146"/>
        <v>0</v>
      </c>
      <c r="GO142" s="3">
        <f t="shared" si="147"/>
        <v>15299.14</v>
      </c>
      <c r="GP142" s="3">
        <f t="shared" si="148"/>
        <v>0</v>
      </c>
      <c r="GR142" s="3">
        <v>0</v>
      </c>
      <c r="GS142" s="3">
        <v>3</v>
      </c>
      <c r="GT142" s="3">
        <v>0</v>
      </c>
      <c r="GU142" s="3" t="s">
        <v>3</v>
      </c>
      <c r="GV142" s="3">
        <f t="shared" si="149"/>
        <v>0</v>
      </c>
      <c r="GW142" s="3">
        <v>1</v>
      </c>
      <c r="GX142" s="3">
        <f t="shared" si="150"/>
        <v>0</v>
      </c>
      <c r="HA142" s="3">
        <v>0</v>
      </c>
      <c r="HB142" s="3">
        <v>0</v>
      </c>
      <c r="HC142" s="3">
        <f t="shared" si="151"/>
        <v>0</v>
      </c>
      <c r="HE142" s="3" t="s">
        <v>3</v>
      </c>
      <c r="HF142" s="3" t="s">
        <v>3</v>
      </c>
      <c r="HM142" s="3" t="s">
        <v>3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">
      <c r="A143" s="2">
        <v>17</v>
      </c>
      <c r="B143" s="2">
        <v>1</v>
      </c>
      <c r="C143" s="2"/>
      <c r="D143" s="2"/>
      <c r="E143" s="2" t="s">
        <v>254</v>
      </c>
      <c r="F143" s="2" t="s">
        <v>255</v>
      </c>
      <c r="G143" s="2" t="s">
        <v>256</v>
      </c>
      <c r="H143" s="2" t="s">
        <v>183</v>
      </c>
      <c r="I143" s="2">
        <v>3</v>
      </c>
      <c r="J143" s="2">
        <v>0</v>
      </c>
      <c r="K143" s="2">
        <v>3</v>
      </c>
      <c r="L143" s="2"/>
      <c r="M143" s="2"/>
      <c r="N143" s="2"/>
      <c r="O143" s="2">
        <f t="shared" si="129"/>
        <v>69886.02</v>
      </c>
      <c r="P143" s="2">
        <f t="shared" si="152"/>
        <v>69886.02</v>
      </c>
      <c r="Q143" s="2">
        <f t="shared" ref="Q143:Q154" si="154">(ROUND((ROUND(((ET143)*AV143*I143),2)*BB143),2)+ROUND((ROUND(((AE143-(EU143))*AV143*I143),2)*BS143),2))</f>
        <v>0</v>
      </c>
      <c r="R143" s="2">
        <f t="shared" ref="R143:R154" si="155">(ROUND((ROUND(((EU143)*AV143*I143),2)*BS143),2)+ROUND((ROUND(((AE143-(EU143))*AV143*I143),2)*BS143),2))</f>
        <v>0</v>
      </c>
      <c r="S143" s="2">
        <f t="shared" si="130"/>
        <v>0</v>
      </c>
      <c r="T143" s="2">
        <f t="shared" si="131"/>
        <v>0</v>
      </c>
      <c r="U143" s="2">
        <f t="shared" si="132"/>
        <v>0</v>
      </c>
      <c r="V143" s="2">
        <f t="shared" si="133"/>
        <v>0</v>
      </c>
      <c r="W143" s="2">
        <f t="shared" si="134"/>
        <v>0</v>
      </c>
      <c r="X143" s="2">
        <f t="shared" ref="X143:X154" si="156">(ROUND((((S143+ROUND((ROUND(((EU143)*AV143*I143),2)*BS143),2))*AT143)/100),2)+ROUND(((ROUND((ROUND(((AE143-(EU143))*AV143*I143),2)*BS143),2)*AT143)/100),2))</f>
        <v>0</v>
      </c>
      <c r="Y143" s="2">
        <f t="shared" ref="Y143:Y154" si="157">(ROUND((((S143+ROUND((ROUND(((EU143)*AV143*I143),2)*BS143),2))*AU143)/100),2)+ROUND(((ROUND((ROUND(((AE143-(EU143))*AV143*I143),2)*BS143),2)*AU143)/100),2))</f>
        <v>0</v>
      </c>
      <c r="Z143" s="2"/>
      <c r="AA143" s="2">
        <v>55937296</v>
      </c>
      <c r="AB143" s="2">
        <f t="shared" si="135"/>
        <v>23295.34</v>
      </c>
      <c r="AC143" s="2">
        <f t="shared" ref="AC143:AC154" si="158">ROUND((ES143),6)</f>
        <v>23295.34</v>
      </c>
      <c r="AD143" s="2">
        <f t="shared" ref="AD143:AD154" si="159">ROUND((((ET143)-(EU143))+AE143),6)</f>
        <v>0</v>
      </c>
      <c r="AE143" s="2">
        <f t="shared" ref="AE143:AE154" si="160">ROUND((EU143),6)</f>
        <v>0</v>
      </c>
      <c r="AF143" s="2">
        <f t="shared" ref="AF143:AF154" si="161">ROUND((EV143),6)</f>
        <v>0</v>
      </c>
      <c r="AG143" s="2">
        <f t="shared" si="136"/>
        <v>0</v>
      </c>
      <c r="AH143" s="2">
        <f t="shared" ref="AH143:AH154" si="162">(EW143)</f>
        <v>0</v>
      </c>
      <c r="AI143" s="2">
        <f t="shared" ref="AI143:AI154" si="163">(EX143)</f>
        <v>0</v>
      </c>
      <c r="AJ143" s="2">
        <f t="shared" si="137"/>
        <v>0</v>
      </c>
      <c r="AK143" s="2">
        <v>23295.34</v>
      </c>
      <c r="AL143" s="2">
        <v>23295.34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3</v>
      </c>
      <c r="BJ143" s="2" t="s">
        <v>255</v>
      </c>
      <c r="BK143" s="2"/>
      <c r="BL143" s="2"/>
      <c r="BM143" s="2">
        <v>400007</v>
      </c>
      <c r="BN143" s="2">
        <v>0</v>
      </c>
      <c r="BO143" s="2" t="s">
        <v>3</v>
      </c>
      <c r="BP143" s="2">
        <v>0</v>
      </c>
      <c r="BQ143" s="2">
        <v>214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0</v>
      </c>
      <c r="CA143" s="2">
        <v>0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3</v>
      </c>
      <c r="CO143" s="2">
        <v>0</v>
      </c>
      <c r="CP143" s="2">
        <f t="shared" si="138"/>
        <v>69886.02</v>
      </c>
      <c r="CQ143" s="2">
        <f t="shared" si="153"/>
        <v>23295.34</v>
      </c>
      <c r="CR143" s="2">
        <f t="shared" ref="CR143:CR154" si="164">(ROUND((ROUND(((ET143)*AV143*1),2)*BB143),2)+ROUND((ROUND(((AE143-(EU143))*AV143*1),2)*BS143),2))</f>
        <v>0</v>
      </c>
      <c r="CS143" s="2">
        <f t="shared" ref="CS143:CS154" si="165">(ROUND((ROUND(((EU143)*AV143*1),2)*BS143),2)+ROUND((ROUND(((AE143-(EU143))*AV143*1),2)*BS143),2))</f>
        <v>0</v>
      </c>
      <c r="CT143" s="2">
        <f t="shared" si="139"/>
        <v>0</v>
      </c>
      <c r="CU143" s="2">
        <f t="shared" si="140"/>
        <v>0</v>
      </c>
      <c r="CV143" s="2">
        <f t="shared" si="141"/>
        <v>0</v>
      </c>
      <c r="CW143" s="2">
        <f t="shared" si="142"/>
        <v>0</v>
      </c>
      <c r="CX143" s="2">
        <f t="shared" si="143"/>
        <v>0</v>
      </c>
      <c r="CY143" s="2">
        <f t="shared" ref="CY143:CY154" si="166">(ROUND((((S143+ROUND((ROUND(((EU143)*AV143*1),2)*BS143),2))*AT143)/100),2)+ROUND(((ROUND((ROUND(((AE143-(EU143))*AV143*1),2)*BS143),2)*AT143)/100),2))</f>
        <v>0</v>
      </c>
      <c r="CZ143" s="2">
        <f t="shared" ref="CZ143:CZ154" si="167">(ROUND((((S143+ROUND((ROUND(((EU143)*AV143*1),2)*BS143),2))*AU143)/100),2)+ROUND(((ROUND((ROUND(((AE143-(EU143))*AV143*1),2)*BS143),2)*AU143)/100),2))</f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183</v>
      </c>
      <c r="DW143" s="2" t="s">
        <v>183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55393630</v>
      </c>
      <c r="EF143" s="2">
        <v>214</v>
      </c>
      <c r="EG143" s="2" t="s">
        <v>184</v>
      </c>
      <c r="EH143" s="2">
        <v>0</v>
      </c>
      <c r="EI143" s="2" t="s">
        <v>3</v>
      </c>
      <c r="EJ143" s="2">
        <v>3</v>
      </c>
      <c r="EK143" s="2">
        <v>400007</v>
      </c>
      <c r="EL143" s="2" t="s">
        <v>184</v>
      </c>
      <c r="EM143" s="2" t="s">
        <v>185</v>
      </c>
      <c r="EN143" s="2"/>
      <c r="EO143" s="2" t="s">
        <v>3</v>
      </c>
      <c r="EP143" s="2"/>
      <c r="EQ143" s="2">
        <v>16</v>
      </c>
      <c r="ER143" s="2">
        <v>0</v>
      </c>
      <c r="ES143" s="2">
        <v>23295.34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f t="shared" ref="FR143:FR154" si="168">P143</f>
        <v>69886.02</v>
      </c>
      <c r="FS143" s="2">
        <v>0</v>
      </c>
      <c r="FT143" s="2"/>
      <c r="FU143" s="2"/>
      <c r="FV143" s="2"/>
      <c r="FW143" s="2"/>
      <c r="FX143" s="2">
        <v>0</v>
      </c>
      <c r="FY143" s="2">
        <v>0</v>
      </c>
      <c r="FZ143" s="2"/>
      <c r="GA143" s="2" t="s">
        <v>257</v>
      </c>
      <c r="GB143" s="2"/>
      <c r="GC143" s="2"/>
      <c r="GD143" s="2">
        <v>1</v>
      </c>
      <c r="GE143" s="2"/>
      <c r="GF143" s="2">
        <v>-846992528</v>
      </c>
      <c r="GG143" s="2">
        <v>2</v>
      </c>
      <c r="GH143" s="2">
        <v>4</v>
      </c>
      <c r="GI143" s="2">
        <v>-2</v>
      </c>
      <c r="GJ143" s="2">
        <v>0</v>
      </c>
      <c r="GK143" s="2">
        <v>0</v>
      </c>
      <c r="GL143" s="2">
        <f t="shared" si="144"/>
        <v>0</v>
      </c>
      <c r="GM143" s="2">
        <f t="shared" si="145"/>
        <v>69886.02</v>
      </c>
      <c r="GN143" s="2">
        <f t="shared" si="146"/>
        <v>0</v>
      </c>
      <c r="GO143" s="2">
        <f t="shared" si="147"/>
        <v>0</v>
      </c>
      <c r="GP143" s="2">
        <f t="shared" si="148"/>
        <v>0</v>
      </c>
      <c r="GQ143" s="2"/>
      <c r="GR143" s="2">
        <v>1</v>
      </c>
      <c r="GS143" s="2">
        <v>2</v>
      </c>
      <c r="GT143" s="2">
        <v>0</v>
      </c>
      <c r="GU143" s="2" t="s">
        <v>3</v>
      </c>
      <c r="GV143" s="2">
        <f t="shared" si="149"/>
        <v>0</v>
      </c>
      <c r="GW143" s="2">
        <v>1</v>
      </c>
      <c r="GX143" s="2">
        <f t="shared" si="150"/>
        <v>0</v>
      </c>
      <c r="GY143" s="2"/>
      <c r="GZ143" s="2"/>
      <c r="HA143" s="2">
        <v>0</v>
      </c>
      <c r="HB143" s="2">
        <v>0</v>
      </c>
      <c r="HC143" s="2">
        <f t="shared" si="151"/>
        <v>0</v>
      </c>
      <c r="HD143" s="2"/>
      <c r="HE143" s="2" t="s">
        <v>34</v>
      </c>
      <c r="HF143" s="2" t="s">
        <v>187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 s="3">
        <v>17</v>
      </c>
      <c r="B144" s="3">
        <v>1</v>
      </c>
      <c r="E144" s="3" t="s">
        <v>254</v>
      </c>
      <c r="F144" s="3" t="s">
        <v>255</v>
      </c>
      <c r="G144" s="3" t="s">
        <v>256</v>
      </c>
      <c r="H144" s="3" t="s">
        <v>183</v>
      </c>
      <c r="I144" s="3">
        <v>3</v>
      </c>
      <c r="J144" s="3">
        <v>0</v>
      </c>
      <c r="K144" s="3">
        <v>3</v>
      </c>
      <c r="O144" s="3">
        <f t="shared" si="129"/>
        <v>535326.91</v>
      </c>
      <c r="P144" s="3">
        <f t="shared" si="152"/>
        <v>535326.91</v>
      </c>
      <c r="Q144" s="3">
        <f t="shared" si="154"/>
        <v>0</v>
      </c>
      <c r="R144" s="3">
        <f t="shared" si="155"/>
        <v>0</v>
      </c>
      <c r="S144" s="3">
        <f t="shared" si="130"/>
        <v>0</v>
      </c>
      <c r="T144" s="3">
        <f t="shared" si="131"/>
        <v>0</v>
      </c>
      <c r="U144" s="3">
        <f t="shared" si="132"/>
        <v>0</v>
      </c>
      <c r="V144" s="3">
        <f t="shared" si="133"/>
        <v>0</v>
      </c>
      <c r="W144" s="3">
        <f t="shared" si="134"/>
        <v>0</v>
      </c>
      <c r="X144" s="3">
        <f t="shared" si="156"/>
        <v>0</v>
      </c>
      <c r="Y144" s="3">
        <f t="shared" si="157"/>
        <v>0</v>
      </c>
      <c r="AA144" s="3">
        <v>55937298</v>
      </c>
      <c r="AB144" s="3">
        <f t="shared" si="135"/>
        <v>23295.34</v>
      </c>
      <c r="AC144" s="3">
        <f t="shared" si="158"/>
        <v>23295.34</v>
      </c>
      <c r="AD144" s="3">
        <f t="shared" si="159"/>
        <v>0</v>
      </c>
      <c r="AE144" s="3">
        <f t="shared" si="160"/>
        <v>0</v>
      </c>
      <c r="AF144" s="3">
        <f t="shared" si="161"/>
        <v>0</v>
      </c>
      <c r="AG144" s="3">
        <f t="shared" si="136"/>
        <v>0</v>
      </c>
      <c r="AH144" s="3">
        <f t="shared" si="162"/>
        <v>0</v>
      </c>
      <c r="AI144" s="3">
        <f t="shared" si="163"/>
        <v>0</v>
      </c>
      <c r="AJ144" s="3">
        <f t="shared" si="137"/>
        <v>0</v>
      </c>
      <c r="AK144" s="3">
        <v>23295.34</v>
      </c>
      <c r="AL144" s="3">
        <v>23295.34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1</v>
      </c>
      <c r="AW144" s="3">
        <v>1</v>
      </c>
      <c r="AZ144" s="3">
        <v>1</v>
      </c>
      <c r="BA144" s="3">
        <v>1</v>
      </c>
      <c r="BB144" s="3">
        <v>1</v>
      </c>
      <c r="BC144" s="3">
        <v>7.66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3</v>
      </c>
      <c r="BI144" s="3">
        <v>3</v>
      </c>
      <c r="BJ144" s="3" t="s">
        <v>255</v>
      </c>
      <c r="BM144" s="3">
        <v>400007</v>
      </c>
      <c r="BN144" s="3">
        <v>0</v>
      </c>
      <c r="BO144" s="3" t="s">
        <v>3</v>
      </c>
      <c r="BP144" s="3">
        <v>0</v>
      </c>
      <c r="BQ144" s="3">
        <v>214</v>
      </c>
      <c r="BR144" s="3">
        <v>0</v>
      </c>
      <c r="BS144" s="3">
        <v>1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0</v>
      </c>
      <c r="CA144" s="3">
        <v>0</v>
      </c>
      <c r="CB144" s="3" t="s">
        <v>3</v>
      </c>
      <c r="CE144" s="3">
        <v>1566</v>
      </c>
      <c r="CF144" s="3">
        <v>0</v>
      </c>
      <c r="CG144" s="3">
        <v>0</v>
      </c>
      <c r="CM144" s="3">
        <v>0</v>
      </c>
      <c r="CN144" s="3" t="s">
        <v>3</v>
      </c>
      <c r="CO144" s="3">
        <v>0</v>
      </c>
      <c r="CP144" s="3">
        <f t="shared" si="138"/>
        <v>535326.91</v>
      </c>
      <c r="CQ144" s="3">
        <f t="shared" si="153"/>
        <v>178442.3</v>
      </c>
      <c r="CR144" s="3">
        <f t="shared" si="164"/>
        <v>0</v>
      </c>
      <c r="CS144" s="3">
        <f t="shared" si="165"/>
        <v>0</v>
      </c>
      <c r="CT144" s="3">
        <f t="shared" si="139"/>
        <v>0</v>
      </c>
      <c r="CU144" s="3">
        <f t="shared" si="140"/>
        <v>0</v>
      </c>
      <c r="CV144" s="3">
        <f t="shared" si="141"/>
        <v>0</v>
      </c>
      <c r="CW144" s="3">
        <f t="shared" si="142"/>
        <v>0</v>
      </c>
      <c r="CX144" s="3">
        <f t="shared" si="143"/>
        <v>0</v>
      </c>
      <c r="CY144" s="3">
        <f t="shared" si="166"/>
        <v>0</v>
      </c>
      <c r="CZ144" s="3">
        <f t="shared" si="167"/>
        <v>0</v>
      </c>
      <c r="DC144" s="3" t="s">
        <v>3</v>
      </c>
      <c r="DD144" s="3" t="s">
        <v>3</v>
      </c>
      <c r="DE144" s="3" t="s">
        <v>3</v>
      </c>
      <c r="DF144" s="3" t="s">
        <v>3</v>
      </c>
      <c r="DG144" s="3" t="s">
        <v>3</v>
      </c>
      <c r="DH144" s="3" t="s">
        <v>3</v>
      </c>
      <c r="DI144" s="3" t="s">
        <v>3</v>
      </c>
      <c r="DJ144" s="3" t="s">
        <v>3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1013</v>
      </c>
      <c r="DV144" s="3" t="s">
        <v>183</v>
      </c>
      <c r="DW144" s="3" t="s">
        <v>183</v>
      </c>
      <c r="DX144" s="3">
        <v>1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55393630</v>
      </c>
      <c r="EF144" s="3">
        <v>214</v>
      </c>
      <c r="EG144" s="3" t="s">
        <v>184</v>
      </c>
      <c r="EH144" s="3">
        <v>0</v>
      </c>
      <c r="EI144" s="3" t="s">
        <v>3</v>
      </c>
      <c r="EJ144" s="3">
        <v>3</v>
      </c>
      <c r="EK144" s="3">
        <v>400007</v>
      </c>
      <c r="EL144" s="3" t="s">
        <v>184</v>
      </c>
      <c r="EM144" s="3" t="s">
        <v>185</v>
      </c>
      <c r="EO144" s="3" t="s">
        <v>3</v>
      </c>
      <c r="EQ144" s="3">
        <v>16</v>
      </c>
      <c r="ER144" s="3">
        <v>0</v>
      </c>
      <c r="ES144" s="3">
        <v>23295.34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5</v>
      </c>
      <c r="FC144" s="3">
        <v>1</v>
      </c>
      <c r="FD144" s="3">
        <v>18</v>
      </c>
      <c r="FF144" s="3">
        <v>208852.58</v>
      </c>
      <c r="FQ144" s="3">
        <v>0</v>
      </c>
      <c r="FR144" s="3">
        <f t="shared" si="168"/>
        <v>535326.91</v>
      </c>
      <c r="FS144" s="3">
        <v>0</v>
      </c>
      <c r="FX144" s="3">
        <v>0</v>
      </c>
      <c r="FY144" s="3">
        <v>0</v>
      </c>
      <c r="GA144" s="3" t="s">
        <v>257</v>
      </c>
      <c r="GD144" s="3">
        <v>1</v>
      </c>
      <c r="GF144" s="3">
        <v>-846992528</v>
      </c>
      <c r="GG144" s="3">
        <v>2</v>
      </c>
      <c r="GH144" s="3">
        <v>3</v>
      </c>
      <c r="GI144" s="3">
        <v>5</v>
      </c>
      <c r="GJ144" s="3">
        <v>0</v>
      </c>
      <c r="GK144" s="3">
        <v>0</v>
      </c>
      <c r="GL144" s="3">
        <f t="shared" si="144"/>
        <v>0</v>
      </c>
      <c r="GM144" s="3">
        <f t="shared" si="145"/>
        <v>535326.91</v>
      </c>
      <c r="GN144" s="3">
        <f t="shared" si="146"/>
        <v>0</v>
      </c>
      <c r="GO144" s="3">
        <f t="shared" si="147"/>
        <v>0</v>
      </c>
      <c r="GP144" s="3">
        <f t="shared" si="148"/>
        <v>0</v>
      </c>
      <c r="GR144" s="3">
        <v>1</v>
      </c>
      <c r="GS144" s="3">
        <v>1</v>
      </c>
      <c r="GT144" s="3">
        <v>0</v>
      </c>
      <c r="GU144" s="3" t="s">
        <v>3</v>
      </c>
      <c r="GV144" s="3">
        <f t="shared" si="149"/>
        <v>0</v>
      </c>
      <c r="GW144" s="3">
        <v>1</v>
      </c>
      <c r="GX144" s="3">
        <f t="shared" si="150"/>
        <v>0</v>
      </c>
      <c r="HA144" s="3">
        <v>0</v>
      </c>
      <c r="HB144" s="3">
        <v>0</v>
      </c>
      <c r="HC144" s="3">
        <f t="shared" si="151"/>
        <v>0</v>
      </c>
      <c r="HE144" s="3" t="s">
        <v>34</v>
      </c>
      <c r="HF144" s="3" t="s">
        <v>187</v>
      </c>
      <c r="HM144" s="3" t="s">
        <v>3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">
      <c r="A145" s="2">
        <v>17</v>
      </c>
      <c r="B145" s="2">
        <v>1</v>
      </c>
      <c r="C145" s="2"/>
      <c r="D145" s="2"/>
      <c r="E145" s="2" t="s">
        <v>258</v>
      </c>
      <c r="F145" s="2" t="s">
        <v>259</v>
      </c>
      <c r="G145" s="2" t="s">
        <v>260</v>
      </c>
      <c r="H145" s="2" t="s">
        <v>183</v>
      </c>
      <c r="I145" s="2">
        <v>2</v>
      </c>
      <c r="J145" s="2">
        <v>0</v>
      </c>
      <c r="K145" s="2">
        <v>2</v>
      </c>
      <c r="L145" s="2"/>
      <c r="M145" s="2"/>
      <c r="N145" s="2"/>
      <c r="O145" s="2">
        <f t="shared" si="129"/>
        <v>39704.42</v>
      </c>
      <c r="P145" s="2">
        <f t="shared" si="152"/>
        <v>39704.42</v>
      </c>
      <c r="Q145" s="2">
        <f t="shared" si="154"/>
        <v>0</v>
      </c>
      <c r="R145" s="2">
        <f t="shared" si="155"/>
        <v>0</v>
      </c>
      <c r="S145" s="2">
        <f t="shared" si="130"/>
        <v>0</v>
      </c>
      <c r="T145" s="2">
        <f t="shared" si="131"/>
        <v>0</v>
      </c>
      <c r="U145" s="2">
        <f t="shared" si="132"/>
        <v>0</v>
      </c>
      <c r="V145" s="2">
        <f t="shared" si="133"/>
        <v>0</v>
      </c>
      <c r="W145" s="2">
        <f t="shared" si="134"/>
        <v>0</v>
      </c>
      <c r="X145" s="2">
        <f t="shared" si="156"/>
        <v>0</v>
      </c>
      <c r="Y145" s="2">
        <f t="shared" si="157"/>
        <v>0</v>
      </c>
      <c r="Z145" s="2"/>
      <c r="AA145" s="2">
        <v>55937296</v>
      </c>
      <c r="AB145" s="2">
        <f t="shared" si="135"/>
        <v>19852.21</v>
      </c>
      <c r="AC145" s="2">
        <f t="shared" si="158"/>
        <v>19852.21</v>
      </c>
      <c r="AD145" s="2">
        <f t="shared" si="159"/>
        <v>0</v>
      </c>
      <c r="AE145" s="2">
        <f t="shared" si="160"/>
        <v>0</v>
      </c>
      <c r="AF145" s="2">
        <f t="shared" si="161"/>
        <v>0</v>
      </c>
      <c r="AG145" s="2">
        <f t="shared" si="136"/>
        <v>0</v>
      </c>
      <c r="AH145" s="2">
        <f t="shared" si="162"/>
        <v>0</v>
      </c>
      <c r="AI145" s="2">
        <f t="shared" si="163"/>
        <v>0</v>
      </c>
      <c r="AJ145" s="2">
        <f t="shared" si="137"/>
        <v>0</v>
      </c>
      <c r="AK145" s="2">
        <v>19852.210000000003</v>
      </c>
      <c r="AL145" s="2">
        <v>19852.210000000003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3</v>
      </c>
      <c r="BJ145" s="2" t="s">
        <v>259</v>
      </c>
      <c r="BK145" s="2"/>
      <c r="BL145" s="2"/>
      <c r="BM145" s="2">
        <v>400007</v>
      </c>
      <c r="BN145" s="2">
        <v>0</v>
      </c>
      <c r="BO145" s="2" t="s">
        <v>3</v>
      </c>
      <c r="BP145" s="2">
        <v>0</v>
      </c>
      <c r="BQ145" s="2">
        <v>214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38"/>
        <v>39704.42</v>
      </c>
      <c r="CQ145" s="2">
        <f t="shared" si="153"/>
        <v>19852.21</v>
      </c>
      <c r="CR145" s="2">
        <f t="shared" si="164"/>
        <v>0</v>
      </c>
      <c r="CS145" s="2">
        <f t="shared" si="165"/>
        <v>0</v>
      </c>
      <c r="CT145" s="2">
        <f t="shared" si="139"/>
        <v>0</v>
      </c>
      <c r="CU145" s="2">
        <f t="shared" si="140"/>
        <v>0</v>
      </c>
      <c r="CV145" s="2">
        <f t="shared" si="141"/>
        <v>0</v>
      </c>
      <c r="CW145" s="2">
        <f t="shared" si="142"/>
        <v>0</v>
      </c>
      <c r="CX145" s="2">
        <f t="shared" si="143"/>
        <v>0</v>
      </c>
      <c r="CY145" s="2">
        <f t="shared" si="166"/>
        <v>0</v>
      </c>
      <c r="CZ145" s="2">
        <f t="shared" si="167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183</v>
      </c>
      <c r="DW145" s="2" t="s">
        <v>183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55393630</v>
      </c>
      <c r="EF145" s="2">
        <v>214</v>
      </c>
      <c r="EG145" s="2" t="s">
        <v>184</v>
      </c>
      <c r="EH145" s="2">
        <v>0</v>
      </c>
      <c r="EI145" s="2" t="s">
        <v>3</v>
      </c>
      <c r="EJ145" s="2">
        <v>3</v>
      </c>
      <c r="EK145" s="2">
        <v>400007</v>
      </c>
      <c r="EL145" s="2" t="s">
        <v>184</v>
      </c>
      <c r="EM145" s="2" t="s">
        <v>185</v>
      </c>
      <c r="EN145" s="2"/>
      <c r="EO145" s="2" t="s">
        <v>3</v>
      </c>
      <c r="EP145" s="2"/>
      <c r="EQ145" s="2">
        <v>16</v>
      </c>
      <c r="ER145" s="2">
        <v>0</v>
      </c>
      <c r="ES145" s="2">
        <v>19852.210000000003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f t="shared" si="168"/>
        <v>39704.42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261</v>
      </c>
      <c r="GB145" s="2"/>
      <c r="GC145" s="2"/>
      <c r="GD145" s="2">
        <v>1</v>
      </c>
      <c r="GE145" s="2"/>
      <c r="GF145" s="2">
        <v>1026443751</v>
      </c>
      <c r="GG145" s="2">
        <v>2</v>
      </c>
      <c r="GH145" s="2">
        <v>4</v>
      </c>
      <c r="GI145" s="2">
        <v>-2</v>
      </c>
      <c r="GJ145" s="2">
        <v>0</v>
      </c>
      <c r="GK145" s="2">
        <v>0</v>
      </c>
      <c r="GL145" s="2">
        <f t="shared" si="144"/>
        <v>0</v>
      </c>
      <c r="GM145" s="2">
        <f t="shared" si="145"/>
        <v>39704.42</v>
      </c>
      <c r="GN145" s="2">
        <f t="shared" si="146"/>
        <v>0</v>
      </c>
      <c r="GO145" s="2">
        <f t="shared" si="147"/>
        <v>0</v>
      </c>
      <c r="GP145" s="2">
        <f t="shared" si="148"/>
        <v>0</v>
      </c>
      <c r="GQ145" s="2"/>
      <c r="GR145" s="2">
        <v>1</v>
      </c>
      <c r="GS145" s="2">
        <v>2</v>
      </c>
      <c r="GT145" s="2">
        <v>0</v>
      </c>
      <c r="GU145" s="2" t="s">
        <v>3</v>
      </c>
      <c r="GV145" s="2">
        <f t="shared" si="149"/>
        <v>0</v>
      </c>
      <c r="GW145" s="2">
        <v>1</v>
      </c>
      <c r="GX145" s="2">
        <f t="shared" si="150"/>
        <v>0</v>
      </c>
      <c r="GY145" s="2"/>
      <c r="GZ145" s="2"/>
      <c r="HA145" s="2">
        <v>0</v>
      </c>
      <c r="HB145" s="2">
        <v>0</v>
      </c>
      <c r="HC145" s="2">
        <f t="shared" si="151"/>
        <v>0</v>
      </c>
      <c r="HD145" s="2"/>
      <c r="HE145" s="2" t="s">
        <v>34</v>
      </c>
      <c r="HF145" s="2" t="s">
        <v>187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 s="3">
        <v>17</v>
      </c>
      <c r="B146" s="3">
        <v>1</v>
      </c>
      <c r="E146" s="3" t="s">
        <v>258</v>
      </c>
      <c r="F146" s="3" t="s">
        <v>259</v>
      </c>
      <c r="G146" s="3" t="s">
        <v>260</v>
      </c>
      <c r="H146" s="3" t="s">
        <v>183</v>
      </c>
      <c r="I146" s="3">
        <v>2</v>
      </c>
      <c r="J146" s="3">
        <v>0</v>
      </c>
      <c r="K146" s="3">
        <v>2</v>
      </c>
      <c r="O146" s="3">
        <f t="shared" si="129"/>
        <v>304135.86</v>
      </c>
      <c r="P146" s="3">
        <f t="shared" si="152"/>
        <v>304135.86</v>
      </c>
      <c r="Q146" s="3">
        <f t="shared" si="154"/>
        <v>0</v>
      </c>
      <c r="R146" s="3">
        <f t="shared" si="155"/>
        <v>0</v>
      </c>
      <c r="S146" s="3">
        <f t="shared" si="130"/>
        <v>0</v>
      </c>
      <c r="T146" s="3">
        <f t="shared" si="131"/>
        <v>0</v>
      </c>
      <c r="U146" s="3">
        <f t="shared" si="132"/>
        <v>0</v>
      </c>
      <c r="V146" s="3">
        <f t="shared" si="133"/>
        <v>0</v>
      </c>
      <c r="W146" s="3">
        <f t="shared" si="134"/>
        <v>0</v>
      </c>
      <c r="X146" s="3">
        <f t="shared" si="156"/>
        <v>0</v>
      </c>
      <c r="Y146" s="3">
        <f t="shared" si="157"/>
        <v>0</v>
      </c>
      <c r="AA146" s="3">
        <v>55937298</v>
      </c>
      <c r="AB146" s="3">
        <f t="shared" si="135"/>
        <v>19852.21</v>
      </c>
      <c r="AC146" s="3">
        <f t="shared" si="158"/>
        <v>19852.21</v>
      </c>
      <c r="AD146" s="3">
        <f t="shared" si="159"/>
        <v>0</v>
      </c>
      <c r="AE146" s="3">
        <f t="shared" si="160"/>
        <v>0</v>
      </c>
      <c r="AF146" s="3">
        <f t="shared" si="161"/>
        <v>0</v>
      </c>
      <c r="AG146" s="3">
        <f t="shared" si="136"/>
        <v>0</v>
      </c>
      <c r="AH146" s="3">
        <f t="shared" si="162"/>
        <v>0</v>
      </c>
      <c r="AI146" s="3">
        <f t="shared" si="163"/>
        <v>0</v>
      </c>
      <c r="AJ146" s="3">
        <f t="shared" si="137"/>
        <v>0</v>
      </c>
      <c r="AK146" s="3">
        <v>19852.210000000003</v>
      </c>
      <c r="AL146" s="3">
        <v>19852.210000000003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1</v>
      </c>
      <c r="AW146" s="3">
        <v>1</v>
      </c>
      <c r="AZ146" s="3">
        <v>1</v>
      </c>
      <c r="BA146" s="3">
        <v>1</v>
      </c>
      <c r="BB146" s="3">
        <v>1</v>
      </c>
      <c r="BC146" s="3">
        <v>7.66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3</v>
      </c>
      <c r="BI146" s="3">
        <v>3</v>
      </c>
      <c r="BJ146" s="3" t="s">
        <v>259</v>
      </c>
      <c r="BM146" s="3">
        <v>400007</v>
      </c>
      <c r="BN146" s="3">
        <v>0</v>
      </c>
      <c r="BO146" s="3" t="s">
        <v>3</v>
      </c>
      <c r="BP146" s="3">
        <v>0</v>
      </c>
      <c r="BQ146" s="3">
        <v>214</v>
      </c>
      <c r="BR146" s="3">
        <v>0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0</v>
      </c>
      <c r="CA146" s="3">
        <v>0</v>
      </c>
      <c r="CB146" s="3" t="s">
        <v>3</v>
      </c>
      <c r="CE146" s="3">
        <v>1566</v>
      </c>
      <c r="CF146" s="3">
        <v>0</v>
      </c>
      <c r="CG146" s="3">
        <v>0</v>
      </c>
      <c r="CM146" s="3">
        <v>0</v>
      </c>
      <c r="CN146" s="3" t="s">
        <v>3</v>
      </c>
      <c r="CO146" s="3">
        <v>0</v>
      </c>
      <c r="CP146" s="3">
        <f t="shared" si="138"/>
        <v>304135.86</v>
      </c>
      <c r="CQ146" s="3">
        <f t="shared" si="153"/>
        <v>152067.93</v>
      </c>
      <c r="CR146" s="3">
        <f t="shared" si="164"/>
        <v>0</v>
      </c>
      <c r="CS146" s="3">
        <f t="shared" si="165"/>
        <v>0</v>
      </c>
      <c r="CT146" s="3">
        <f t="shared" si="139"/>
        <v>0</v>
      </c>
      <c r="CU146" s="3">
        <f t="shared" si="140"/>
        <v>0</v>
      </c>
      <c r="CV146" s="3">
        <f t="shared" si="141"/>
        <v>0</v>
      </c>
      <c r="CW146" s="3">
        <f t="shared" si="142"/>
        <v>0</v>
      </c>
      <c r="CX146" s="3">
        <f t="shared" si="143"/>
        <v>0</v>
      </c>
      <c r="CY146" s="3">
        <f t="shared" si="166"/>
        <v>0</v>
      </c>
      <c r="CZ146" s="3">
        <f t="shared" si="167"/>
        <v>0</v>
      </c>
      <c r="DC146" s="3" t="s">
        <v>3</v>
      </c>
      <c r="DD146" s="3" t="s">
        <v>3</v>
      </c>
      <c r="DE146" s="3" t="s">
        <v>3</v>
      </c>
      <c r="DF146" s="3" t="s">
        <v>3</v>
      </c>
      <c r="DG146" s="3" t="s">
        <v>3</v>
      </c>
      <c r="DH146" s="3" t="s">
        <v>3</v>
      </c>
      <c r="DI146" s="3" t="s">
        <v>3</v>
      </c>
      <c r="DJ146" s="3" t="s">
        <v>3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1013</v>
      </c>
      <c r="DV146" s="3" t="s">
        <v>183</v>
      </c>
      <c r="DW146" s="3" t="s">
        <v>183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55393630</v>
      </c>
      <c r="EF146" s="3">
        <v>214</v>
      </c>
      <c r="EG146" s="3" t="s">
        <v>184</v>
      </c>
      <c r="EH146" s="3">
        <v>0</v>
      </c>
      <c r="EI146" s="3" t="s">
        <v>3</v>
      </c>
      <c r="EJ146" s="3">
        <v>3</v>
      </c>
      <c r="EK146" s="3">
        <v>400007</v>
      </c>
      <c r="EL146" s="3" t="s">
        <v>184</v>
      </c>
      <c r="EM146" s="3" t="s">
        <v>185</v>
      </c>
      <c r="EO146" s="3" t="s">
        <v>3</v>
      </c>
      <c r="EQ146" s="3">
        <v>16</v>
      </c>
      <c r="ER146" s="3">
        <v>0</v>
      </c>
      <c r="ES146" s="3">
        <v>19852.210000000003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5</v>
      </c>
      <c r="FC146" s="3">
        <v>1</v>
      </c>
      <c r="FD146" s="3">
        <v>18</v>
      </c>
      <c r="FF146" s="3">
        <v>177983.57</v>
      </c>
      <c r="FQ146" s="3">
        <v>0</v>
      </c>
      <c r="FR146" s="3">
        <f t="shared" si="168"/>
        <v>304135.86</v>
      </c>
      <c r="FS146" s="3">
        <v>0</v>
      </c>
      <c r="FX146" s="3">
        <v>0</v>
      </c>
      <c r="FY146" s="3">
        <v>0</v>
      </c>
      <c r="GA146" s="3" t="s">
        <v>261</v>
      </c>
      <c r="GD146" s="3">
        <v>1</v>
      </c>
      <c r="GF146" s="3">
        <v>1026443751</v>
      </c>
      <c r="GG146" s="3">
        <v>2</v>
      </c>
      <c r="GH146" s="3">
        <v>3</v>
      </c>
      <c r="GI146" s="3">
        <v>5</v>
      </c>
      <c r="GJ146" s="3">
        <v>0</v>
      </c>
      <c r="GK146" s="3">
        <v>0</v>
      </c>
      <c r="GL146" s="3">
        <f t="shared" si="144"/>
        <v>0</v>
      </c>
      <c r="GM146" s="3">
        <f t="shared" si="145"/>
        <v>304135.86</v>
      </c>
      <c r="GN146" s="3">
        <f t="shared" si="146"/>
        <v>0</v>
      </c>
      <c r="GO146" s="3">
        <f t="shared" si="147"/>
        <v>0</v>
      </c>
      <c r="GP146" s="3">
        <f t="shared" si="148"/>
        <v>0</v>
      </c>
      <c r="GR146" s="3">
        <v>1</v>
      </c>
      <c r="GS146" s="3">
        <v>1</v>
      </c>
      <c r="GT146" s="3">
        <v>0</v>
      </c>
      <c r="GU146" s="3" t="s">
        <v>3</v>
      </c>
      <c r="GV146" s="3">
        <f t="shared" si="149"/>
        <v>0</v>
      </c>
      <c r="GW146" s="3">
        <v>1</v>
      </c>
      <c r="GX146" s="3">
        <f t="shared" si="150"/>
        <v>0</v>
      </c>
      <c r="HA146" s="3">
        <v>0</v>
      </c>
      <c r="HB146" s="3">
        <v>0</v>
      </c>
      <c r="HC146" s="3">
        <f t="shared" si="151"/>
        <v>0</v>
      </c>
      <c r="HE146" s="3" t="s">
        <v>34</v>
      </c>
      <c r="HF146" s="3" t="s">
        <v>187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7" spans="1:255" x14ac:dyDescent="0.2">
      <c r="A147" s="2">
        <v>17</v>
      </c>
      <c r="B147" s="2">
        <v>1</v>
      </c>
      <c r="C147" s="2"/>
      <c r="D147" s="2"/>
      <c r="E147" s="2" t="s">
        <v>262</v>
      </c>
      <c r="F147" s="2" t="s">
        <v>263</v>
      </c>
      <c r="G147" s="2" t="s">
        <v>264</v>
      </c>
      <c r="H147" s="2" t="s">
        <v>183</v>
      </c>
      <c r="I147" s="2">
        <v>2</v>
      </c>
      <c r="J147" s="2">
        <v>0</v>
      </c>
      <c r="K147" s="2">
        <v>2</v>
      </c>
      <c r="L147" s="2"/>
      <c r="M147" s="2"/>
      <c r="N147" s="2"/>
      <c r="O147" s="2">
        <f t="shared" si="129"/>
        <v>49252.22</v>
      </c>
      <c r="P147" s="2">
        <f t="shared" si="152"/>
        <v>49252.22</v>
      </c>
      <c r="Q147" s="2">
        <f t="shared" si="154"/>
        <v>0</v>
      </c>
      <c r="R147" s="2">
        <f t="shared" si="155"/>
        <v>0</v>
      </c>
      <c r="S147" s="2">
        <f t="shared" si="130"/>
        <v>0</v>
      </c>
      <c r="T147" s="2">
        <f t="shared" si="131"/>
        <v>0</v>
      </c>
      <c r="U147" s="2">
        <f t="shared" si="132"/>
        <v>0</v>
      </c>
      <c r="V147" s="2">
        <f t="shared" si="133"/>
        <v>0</v>
      </c>
      <c r="W147" s="2">
        <f t="shared" si="134"/>
        <v>0</v>
      </c>
      <c r="X147" s="2">
        <f t="shared" si="156"/>
        <v>0</v>
      </c>
      <c r="Y147" s="2">
        <f t="shared" si="157"/>
        <v>0</v>
      </c>
      <c r="Z147" s="2"/>
      <c r="AA147" s="2">
        <v>55937296</v>
      </c>
      <c r="AB147" s="2">
        <f t="shared" si="135"/>
        <v>24626.11</v>
      </c>
      <c r="AC147" s="2">
        <f t="shared" si="158"/>
        <v>24626.11</v>
      </c>
      <c r="AD147" s="2">
        <f t="shared" si="159"/>
        <v>0</v>
      </c>
      <c r="AE147" s="2">
        <f t="shared" si="160"/>
        <v>0</v>
      </c>
      <c r="AF147" s="2">
        <f t="shared" si="161"/>
        <v>0</v>
      </c>
      <c r="AG147" s="2">
        <f t="shared" si="136"/>
        <v>0</v>
      </c>
      <c r="AH147" s="2">
        <f t="shared" si="162"/>
        <v>0</v>
      </c>
      <c r="AI147" s="2">
        <f t="shared" si="163"/>
        <v>0</v>
      </c>
      <c r="AJ147" s="2">
        <f t="shared" si="137"/>
        <v>0</v>
      </c>
      <c r="AK147" s="2">
        <v>24626.109999999997</v>
      </c>
      <c r="AL147" s="2">
        <v>24626.109999999997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3</v>
      </c>
      <c r="BJ147" s="2" t="s">
        <v>263</v>
      </c>
      <c r="BK147" s="2"/>
      <c r="BL147" s="2"/>
      <c r="BM147" s="2">
        <v>400007</v>
      </c>
      <c r="BN147" s="2">
        <v>0</v>
      </c>
      <c r="BO147" s="2" t="s">
        <v>3</v>
      </c>
      <c r="BP147" s="2">
        <v>0</v>
      </c>
      <c r="BQ147" s="2">
        <v>214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0</v>
      </c>
      <c r="CA147" s="2">
        <v>0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3</v>
      </c>
      <c r="CO147" s="2">
        <v>0</v>
      </c>
      <c r="CP147" s="2">
        <f t="shared" si="138"/>
        <v>49252.22</v>
      </c>
      <c r="CQ147" s="2">
        <f t="shared" si="153"/>
        <v>24626.11</v>
      </c>
      <c r="CR147" s="2">
        <f t="shared" si="164"/>
        <v>0</v>
      </c>
      <c r="CS147" s="2">
        <f t="shared" si="165"/>
        <v>0</v>
      </c>
      <c r="CT147" s="2">
        <f t="shared" si="139"/>
        <v>0</v>
      </c>
      <c r="CU147" s="2">
        <f t="shared" si="140"/>
        <v>0</v>
      </c>
      <c r="CV147" s="2">
        <f t="shared" si="141"/>
        <v>0</v>
      </c>
      <c r="CW147" s="2">
        <f t="shared" si="142"/>
        <v>0</v>
      </c>
      <c r="CX147" s="2">
        <f t="shared" si="143"/>
        <v>0</v>
      </c>
      <c r="CY147" s="2">
        <f t="shared" si="166"/>
        <v>0</v>
      </c>
      <c r="CZ147" s="2">
        <f t="shared" si="167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183</v>
      </c>
      <c r="DW147" s="2" t="s">
        <v>183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55393630</v>
      </c>
      <c r="EF147" s="2">
        <v>214</v>
      </c>
      <c r="EG147" s="2" t="s">
        <v>184</v>
      </c>
      <c r="EH147" s="2">
        <v>0</v>
      </c>
      <c r="EI147" s="2" t="s">
        <v>3</v>
      </c>
      <c r="EJ147" s="2">
        <v>3</v>
      </c>
      <c r="EK147" s="2">
        <v>400007</v>
      </c>
      <c r="EL147" s="2" t="s">
        <v>184</v>
      </c>
      <c r="EM147" s="2" t="s">
        <v>185</v>
      </c>
      <c r="EN147" s="2"/>
      <c r="EO147" s="2" t="s">
        <v>3</v>
      </c>
      <c r="EP147" s="2"/>
      <c r="EQ147" s="2">
        <v>16</v>
      </c>
      <c r="ER147" s="2">
        <v>0</v>
      </c>
      <c r="ES147" s="2">
        <v>24626.109999999997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f t="shared" si="168"/>
        <v>49252.22</v>
      </c>
      <c r="FS147" s="2">
        <v>0</v>
      </c>
      <c r="FT147" s="2"/>
      <c r="FU147" s="2"/>
      <c r="FV147" s="2"/>
      <c r="FW147" s="2"/>
      <c r="FX147" s="2">
        <v>0</v>
      </c>
      <c r="FY147" s="2">
        <v>0</v>
      </c>
      <c r="FZ147" s="2"/>
      <c r="GA147" s="2" t="s">
        <v>265</v>
      </c>
      <c r="GB147" s="2"/>
      <c r="GC147" s="2"/>
      <c r="GD147" s="2">
        <v>1</v>
      </c>
      <c r="GE147" s="2"/>
      <c r="GF147" s="2">
        <v>291412241</v>
      </c>
      <c r="GG147" s="2">
        <v>2</v>
      </c>
      <c r="GH147" s="2">
        <v>4</v>
      </c>
      <c r="GI147" s="2">
        <v>-2</v>
      </c>
      <c r="GJ147" s="2">
        <v>0</v>
      </c>
      <c r="GK147" s="2">
        <v>0</v>
      </c>
      <c r="GL147" s="2">
        <f t="shared" si="144"/>
        <v>0</v>
      </c>
      <c r="GM147" s="2">
        <f t="shared" si="145"/>
        <v>49252.22</v>
      </c>
      <c r="GN147" s="2">
        <f t="shared" si="146"/>
        <v>0</v>
      </c>
      <c r="GO147" s="2">
        <f t="shared" si="147"/>
        <v>0</v>
      </c>
      <c r="GP147" s="2">
        <f t="shared" si="148"/>
        <v>0</v>
      </c>
      <c r="GQ147" s="2"/>
      <c r="GR147" s="2">
        <v>1</v>
      </c>
      <c r="GS147" s="2">
        <v>2</v>
      </c>
      <c r="GT147" s="2">
        <v>0</v>
      </c>
      <c r="GU147" s="2" t="s">
        <v>3</v>
      </c>
      <c r="GV147" s="2">
        <f t="shared" si="149"/>
        <v>0</v>
      </c>
      <c r="GW147" s="2">
        <v>1</v>
      </c>
      <c r="GX147" s="2">
        <f t="shared" si="150"/>
        <v>0</v>
      </c>
      <c r="GY147" s="2"/>
      <c r="GZ147" s="2"/>
      <c r="HA147" s="2">
        <v>0</v>
      </c>
      <c r="HB147" s="2">
        <v>0</v>
      </c>
      <c r="HC147" s="2">
        <f t="shared" si="151"/>
        <v>0</v>
      </c>
      <c r="HD147" s="2"/>
      <c r="HE147" s="2" t="s">
        <v>34</v>
      </c>
      <c r="HF147" s="2" t="s">
        <v>187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 s="3">
        <v>17</v>
      </c>
      <c r="B148" s="3">
        <v>1</v>
      </c>
      <c r="E148" s="3" t="s">
        <v>262</v>
      </c>
      <c r="F148" s="3" t="s">
        <v>263</v>
      </c>
      <c r="G148" s="3" t="s">
        <v>264</v>
      </c>
      <c r="H148" s="3" t="s">
        <v>183</v>
      </c>
      <c r="I148" s="3">
        <v>2</v>
      </c>
      <c r="J148" s="3">
        <v>0</v>
      </c>
      <c r="K148" s="3">
        <v>2</v>
      </c>
      <c r="O148" s="3">
        <f t="shared" si="129"/>
        <v>377272.01</v>
      </c>
      <c r="P148" s="3">
        <f t="shared" si="152"/>
        <v>377272.01</v>
      </c>
      <c r="Q148" s="3">
        <f t="shared" si="154"/>
        <v>0</v>
      </c>
      <c r="R148" s="3">
        <f t="shared" si="155"/>
        <v>0</v>
      </c>
      <c r="S148" s="3">
        <f t="shared" si="130"/>
        <v>0</v>
      </c>
      <c r="T148" s="3">
        <f t="shared" si="131"/>
        <v>0</v>
      </c>
      <c r="U148" s="3">
        <f t="shared" si="132"/>
        <v>0</v>
      </c>
      <c r="V148" s="3">
        <f t="shared" si="133"/>
        <v>0</v>
      </c>
      <c r="W148" s="3">
        <f t="shared" si="134"/>
        <v>0</v>
      </c>
      <c r="X148" s="3">
        <f t="shared" si="156"/>
        <v>0</v>
      </c>
      <c r="Y148" s="3">
        <f t="shared" si="157"/>
        <v>0</v>
      </c>
      <c r="AA148" s="3">
        <v>55937298</v>
      </c>
      <c r="AB148" s="3">
        <f t="shared" si="135"/>
        <v>24626.11</v>
      </c>
      <c r="AC148" s="3">
        <f t="shared" si="158"/>
        <v>24626.11</v>
      </c>
      <c r="AD148" s="3">
        <f t="shared" si="159"/>
        <v>0</v>
      </c>
      <c r="AE148" s="3">
        <f t="shared" si="160"/>
        <v>0</v>
      </c>
      <c r="AF148" s="3">
        <f t="shared" si="161"/>
        <v>0</v>
      </c>
      <c r="AG148" s="3">
        <f t="shared" si="136"/>
        <v>0</v>
      </c>
      <c r="AH148" s="3">
        <f t="shared" si="162"/>
        <v>0</v>
      </c>
      <c r="AI148" s="3">
        <f t="shared" si="163"/>
        <v>0</v>
      </c>
      <c r="AJ148" s="3">
        <f t="shared" si="137"/>
        <v>0</v>
      </c>
      <c r="AK148" s="3">
        <v>24626.109999999997</v>
      </c>
      <c r="AL148" s="3">
        <v>24626.109999999997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1</v>
      </c>
      <c r="AW148" s="3">
        <v>1</v>
      </c>
      <c r="AZ148" s="3">
        <v>1</v>
      </c>
      <c r="BA148" s="3">
        <v>1</v>
      </c>
      <c r="BB148" s="3">
        <v>1</v>
      </c>
      <c r="BC148" s="3">
        <v>7.66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>
        <v>3</v>
      </c>
      <c r="BI148" s="3">
        <v>3</v>
      </c>
      <c r="BJ148" s="3" t="s">
        <v>263</v>
      </c>
      <c r="BM148" s="3">
        <v>400007</v>
      </c>
      <c r="BN148" s="3">
        <v>0</v>
      </c>
      <c r="BO148" s="3" t="s">
        <v>3</v>
      </c>
      <c r="BP148" s="3">
        <v>0</v>
      </c>
      <c r="BQ148" s="3">
        <v>214</v>
      </c>
      <c r="BR148" s="3">
        <v>0</v>
      </c>
      <c r="BS148" s="3">
        <v>1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 t="s">
        <v>3</v>
      </c>
      <c r="BZ148" s="3">
        <v>0</v>
      </c>
      <c r="CA148" s="3">
        <v>0</v>
      </c>
      <c r="CB148" s="3" t="s">
        <v>3</v>
      </c>
      <c r="CE148" s="3">
        <v>1566</v>
      </c>
      <c r="CF148" s="3">
        <v>0</v>
      </c>
      <c r="CG148" s="3">
        <v>0</v>
      </c>
      <c r="CM148" s="3">
        <v>0</v>
      </c>
      <c r="CN148" s="3" t="s">
        <v>3</v>
      </c>
      <c r="CO148" s="3">
        <v>0</v>
      </c>
      <c r="CP148" s="3">
        <f t="shared" si="138"/>
        <v>377272.01</v>
      </c>
      <c r="CQ148" s="3">
        <f t="shared" si="153"/>
        <v>188636</v>
      </c>
      <c r="CR148" s="3">
        <f t="shared" si="164"/>
        <v>0</v>
      </c>
      <c r="CS148" s="3">
        <f t="shared" si="165"/>
        <v>0</v>
      </c>
      <c r="CT148" s="3">
        <f t="shared" si="139"/>
        <v>0</v>
      </c>
      <c r="CU148" s="3">
        <f t="shared" si="140"/>
        <v>0</v>
      </c>
      <c r="CV148" s="3">
        <f t="shared" si="141"/>
        <v>0</v>
      </c>
      <c r="CW148" s="3">
        <f t="shared" si="142"/>
        <v>0</v>
      </c>
      <c r="CX148" s="3">
        <f t="shared" si="143"/>
        <v>0</v>
      </c>
      <c r="CY148" s="3">
        <f t="shared" si="166"/>
        <v>0</v>
      </c>
      <c r="CZ148" s="3">
        <f t="shared" si="167"/>
        <v>0</v>
      </c>
      <c r="DC148" s="3" t="s">
        <v>3</v>
      </c>
      <c r="DD148" s="3" t="s">
        <v>3</v>
      </c>
      <c r="DE148" s="3" t="s">
        <v>3</v>
      </c>
      <c r="DF148" s="3" t="s">
        <v>3</v>
      </c>
      <c r="DG148" s="3" t="s">
        <v>3</v>
      </c>
      <c r="DH148" s="3" t="s">
        <v>3</v>
      </c>
      <c r="DI148" s="3" t="s">
        <v>3</v>
      </c>
      <c r="DJ148" s="3" t="s">
        <v>3</v>
      </c>
      <c r="DK148" s="3" t="s">
        <v>3</v>
      </c>
      <c r="DL148" s="3" t="s">
        <v>3</v>
      </c>
      <c r="DM148" s="3" t="s">
        <v>3</v>
      </c>
      <c r="DN148" s="3">
        <v>0</v>
      </c>
      <c r="DO148" s="3">
        <v>0</v>
      </c>
      <c r="DP148" s="3">
        <v>1</v>
      </c>
      <c r="DQ148" s="3">
        <v>1</v>
      </c>
      <c r="DU148" s="3">
        <v>1013</v>
      </c>
      <c r="DV148" s="3" t="s">
        <v>183</v>
      </c>
      <c r="DW148" s="3" t="s">
        <v>183</v>
      </c>
      <c r="DX148" s="3">
        <v>1</v>
      </c>
      <c r="DZ148" s="3" t="s">
        <v>3</v>
      </c>
      <c r="EA148" s="3" t="s">
        <v>3</v>
      </c>
      <c r="EB148" s="3" t="s">
        <v>3</v>
      </c>
      <c r="EC148" s="3" t="s">
        <v>3</v>
      </c>
      <c r="EE148" s="3">
        <v>55393630</v>
      </c>
      <c r="EF148" s="3">
        <v>214</v>
      </c>
      <c r="EG148" s="3" t="s">
        <v>184</v>
      </c>
      <c r="EH148" s="3">
        <v>0</v>
      </c>
      <c r="EI148" s="3" t="s">
        <v>3</v>
      </c>
      <c r="EJ148" s="3">
        <v>3</v>
      </c>
      <c r="EK148" s="3">
        <v>400007</v>
      </c>
      <c r="EL148" s="3" t="s">
        <v>184</v>
      </c>
      <c r="EM148" s="3" t="s">
        <v>185</v>
      </c>
      <c r="EO148" s="3" t="s">
        <v>3</v>
      </c>
      <c r="EQ148" s="3">
        <v>16</v>
      </c>
      <c r="ER148" s="3">
        <v>0</v>
      </c>
      <c r="ES148" s="3">
        <v>24626.109999999997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5</v>
      </c>
      <c r="FC148" s="3">
        <v>1</v>
      </c>
      <c r="FD148" s="3">
        <v>18</v>
      </c>
      <c r="FF148" s="3">
        <v>220783.55</v>
      </c>
      <c r="FQ148" s="3">
        <v>0</v>
      </c>
      <c r="FR148" s="3">
        <f t="shared" si="168"/>
        <v>377272.01</v>
      </c>
      <c r="FS148" s="3">
        <v>0</v>
      </c>
      <c r="FX148" s="3">
        <v>0</v>
      </c>
      <c r="FY148" s="3">
        <v>0</v>
      </c>
      <c r="GA148" s="3" t="s">
        <v>265</v>
      </c>
      <c r="GD148" s="3">
        <v>1</v>
      </c>
      <c r="GF148" s="3">
        <v>291412241</v>
      </c>
      <c r="GG148" s="3">
        <v>2</v>
      </c>
      <c r="GH148" s="3">
        <v>3</v>
      </c>
      <c r="GI148" s="3">
        <v>5</v>
      </c>
      <c r="GJ148" s="3">
        <v>0</v>
      </c>
      <c r="GK148" s="3">
        <v>0</v>
      </c>
      <c r="GL148" s="3">
        <f t="shared" si="144"/>
        <v>0</v>
      </c>
      <c r="GM148" s="3">
        <f t="shared" si="145"/>
        <v>377272.01</v>
      </c>
      <c r="GN148" s="3">
        <f t="shared" si="146"/>
        <v>0</v>
      </c>
      <c r="GO148" s="3">
        <f t="shared" si="147"/>
        <v>0</v>
      </c>
      <c r="GP148" s="3">
        <f t="shared" si="148"/>
        <v>0</v>
      </c>
      <c r="GR148" s="3">
        <v>1</v>
      </c>
      <c r="GS148" s="3">
        <v>1</v>
      </c>
      <c r="GT148" s="3">
        <v>0</v>
      </c>
      <c r="GU148" s="3" t="s">
        <v>3</v>
      </c>
      <c r="GV148" s="3">
        <f t="shared" si="149"/>
        <v>0</v>
      </c>
      <c r="GW148" s="3">
        <v>1</v>
      </c>
      <c r="GX148" s="3">
        <f t="shared" si="150"/>
        <v>0</v>
      </c>
      <c r="HA148" s="3">
        <v>0</v>
      </c>
      <c r="HB148" s="3">
        <v>0</v>
      </c>
      <c r="HC148" s="3">
        <f t="shared" si="151"/>
        <v>0</v>
      </c>
      <c r="HE148" s="3" t="s">
        <v>34</v>
      </c>
      <c r="HF148" s="3" t="s">
        <v>187</v>
      </c>
      <c r="HM148" s="3" t="s">
        <v>3</v>
      </c>
      <c r="HN148" s="3" t="s">
        <v>3</v>
      </c>
      <c r="HO148" s="3" t="s">
        <v>3</v>
      </c>
      <c r="HP148" s="3" t="s">
        <v>3</v>
      </c>
      <c r="HQ148" s="3" t="s">
        <v>3</v>
      </c>
      <c r="HS148" s="3">
        <v>0</v>
      </c>
      <c r="IK148" s="3">
        <v>0</v>
      </c>
    </row>
    <row r="149" spans="1:255" x14ac:dyDescent="0.2">
      <c r="A149" s="2">
        <v>17</v>
      </c>
      <c r="B149" s="2">
        <v>1</v>
      </c>
      <c r="C149" s="2"/>
      <c r="D149" s="2"/>
      <c r="E149" s="2" t="s">
        <v>266</v>
      </c>
      <c r="F149" s="2" t="s">
        <v>267</v>
      </c>
      <c r="G149" s="2" t="s">
        <v>268</v>
      </c>
      <c r="H149" s="2" t="s">
        <v>183</v>
      </c>
      <c r="I149" s="2">
        <v>2</v>
      </c>
      <c r="J149" s="2">
        <v>0</v>
      </c>
      <c r="K149" s="2">
        <v>2</v>
      </c>
      <c r="L149" s="2"/>
      <c r="M149" s="2"/>
      <c r="N149" s="2"/>
      <c r="O149" s="2">
        <f t="shared" si="129"/>
        <v>47727.08</v>
      </c>
      <c r="P149" s="2">
        <f t="shared" si="152"/>
        <v>47727.08</v>
      </c>
      <c r="Q149" s="2">
        <f t="shared" si="154"/>
        <v>0</v>
      </c>
      <c r="R149" s="2">
        <f t="shared" si="155"/>
        <v>0</v>
      </c>
      <c r="S149" s="2">
        <f t="shared" si="130"/>
        <v>0</v>
      </c>
      <c r="T149" s="2">
        <f t="shared" si="131"/>
        <v>0</v>
      </c>
      <c r="U149" s="2">
        <f t="shared" si="132"/>
        <v>0</v>
      </c>
      <c r="V149" s="2">
        <f t="shared" si="133"/>
        <v>0</v>
      </c>
      <c r="W149" s="2">
        <f t="shared" si="134"/>
        <v>0</v>
      </c>
      <c r="X149" s="2">
        <f t="shared" si="156"/>
        <v>0</v>
      </c>
      <c r="Y149" s="2">
        <f t="shared" si="157"/>
        <v>0</v>
      </c>
      <c r="Z149" s="2"/>
      <c r="AA149" s="2">
        <v>55937296</v>
      </c>
      <c r="AB149" s="2">
        <f t="shared" si="135"/>
        <v>23863.54</v>
      </c>
      <c r="AC149" s="2">
        <f t="shared" si="158"/>
        <v>23863.54</v>
      </c>
      <c r="AD149" s="2">
        <f t="shared" si="159"/>
        <v>0</v>
      </c>
      <c r="AE149" s="2">
        <f t="shared" si="160"/>
        <v>0</v>
      </c>
      <c r="AF149" s="2">
        <f t="shared" si="161"/>
        <v>0</v>
      </c>
      <c r="AG149" s="2">
        <f t="shared" si="136"/>
        <v>0</v>
      </c>
      <c r="AH149" s="2">
        <f t="shared" si="162"/>
        <v>0</v>
      </c>
      <c r="AI149" s="2">
        <f t="shared" si="163"/>
        <v>0</v>
      </c>
      <c r="AJ149" s="2">
        <f t="shared" si="137"/>
        <v>0</v>
      </c>
      <c r="AK149" s="2">
        <v>23863.54</v>
      </c>
      <c r="AL149" s="2">
        <v>23863.54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3</v>
      </c>
      <c r="BJ149" s="2" t="s">
        <v>267</v>
      </c>
      <c r="BK149" s="2"/>
      <c r="BL149" s="2"/>
      <c r="BM149" s="2">
        <v>400007</v>
      </c>
      <c r="BN149" s="2">
        <v>0</v>
      </c>
      <c r="BO149" s="2" t="s">
        <v>3</v>
      </c>
      <c r="BP149" s="2">
        <v>0</v>
      </c>
      <c r="BQ149" s="2">
        <v>214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0</v>
      </c>
      <c r="CA149" s="2">
        <v>0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38"/>
        <v>47727.08</v>
      </c>
      <c r="CQ149" s="2">
        <f t="shared" si="153"/>
        <v>23863.54</v>
      </c>
      <c r="CR149" s="2">
        <f t="shared" si="164"/>
        <v>0</v>
      </c>
      <c r="CS149" s="2">
        <f t="shared" si="165"/>
        <v>0</v>
      </c>
      <c r="CT149" s="2">
        <f t="shared" si="139"/>
        <v>0</v>
      </c>
      <c r="CU149" s="2">
        <f t="shared" si="140"/>
        <v>0</v>
      </c>
      <c r="CV149" s="2">
        <f t="shared" si="141"/>
        <v>0</v>
      </c>
      <c r="CW149" s="2">
        <f t="shared" si="142"/>
        <v>0</v>
      </c>
      <c r="CX149" s="2">
        <f t="shared" si="143"/>
        <v>0</v>
      </c>
      <c r="CY149" s="2">
        <f t="shared" si="166"/>
        <v>0</v>
      </c>
      <c r="CZ149" s="2">
        <f t="shared" si="167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183</v>
      </c>
      <c r="DW149" s="2" t="s">
        <v>183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55393630</v>
      </c>
      <c r="EF149" s="2">
        <v>214</v>
      </c>
      <c r="EG149" s="2" t="s">
        <v>184</v>
      </c>
      <c r="EH149" s="2">
        <v>0</v>
      </c>
      <c r="EI149" s="2" t="s">
        <v>3</v>
      </c>
      <c r="EJ149" s="2">
        <v>3</v>
      </c>
      <c r="EK149" s="2">
        <v>400007</v>
      </c>
      <c r="EL149" s="2" t="s">
        <v>184</v>
      </c>
      <c r="EM149" s="2" t="s">
        <v>185</v>
      </c>
      <c r="EN149" s="2"/>
      <c r="EO149" s="2" t="s">
        <v>3</v>
      </c>
      <c r="EP149" s="2"/>
      <c r="EQ149" s="2">
        <v>16</v>
      </c>
      <c r="ER149" s="2">
        <v>0</v>
      </c>
      <c r="ES149" s="2">
        <v>23863.54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f t="shared" si="168"/>
        <v>47727.08</v>
      </c>
      <c r="FS149" s="2">
        <v>0</v>
      </c>
      <c r="FT149" s="2"/>
      <c r="FU149" s="2"/>
      <c r="FV149" s="2"/>
      <c r="FW149" s="2"/>
      <c r="FX149" s="2">
        <v>0</v>
      </c>
      <c r="FY149" s="2">
        <v>0</v>
      </c>
      <c r="FZ149" s="2"/>
      <c r="GA149" s="2" t="s">
        <v>269</v>
      </c>
      <c r="GB149" s="2"/>
      <c r="GC149" s="2"/>
      <c r="GD149" s="2">
        <v>1</v>
      </c>
      <c r="GE149" s="2"/>
      <c r="GF149" s="2">
        <v>2055575023</v>
      </c>
      <c r="GG149" s="2">
        <v>2</v>
      </c>
      <c r="GH149" s="2">
        <v>4</v>
      </c>
      <c r="GI149" s="2">
        <v>-2</v>
      </c>
      <c r="GJ149" s="2">
        <v>0</v>
      </c>
      <c r="GK149" s="2">
        <v>0</v>
      </c>
      <c r="GL149" s="2">
        <f t="shared" si="144"/>
        <v>0</v>
      </c>
      <c r="GM149" s="2">
        <f t="shared" si="145"/>
        <v>47727.08</v>
      </c>
      <c r="GN149" s="2">
        <f t="shared" si="146"/>
        <v>0</v>
      </c>
      <c r="GO149" s="2">
        <f t="shared" si="147"/>
        <v>0</v>
      </c>
      <c r="GP149" s="2">
        <f t="shared" si="148"/>
        <v>0</v>
      </c>
      <c r="GQ149" s="2"/>
      <c r="GR149" s="2">
        <v>1</v>
      </c>
      <c r="GS149" s="2">
        <v>2</v>
      </c>
      <c r="GT149" s="2">
        <v>0</v>
      </c>
      <c r="GU149" s="2" t="s">
        <v>3</v>
      </c>
      <c r="GV149" s="2">
        <f t="shared" si="149"/>
        <v>0</v>
      </c>
      <c r="GW149" s="2">
        <v>1</v>
      </c>
      <c r="GX149" s="2">
        <f t="shared" si="150"/>
        <v>0</v>
      </c>
      <c r="GY149" s="2"/>
      <c r="GZ149" s="2"/>
      <c r="HA149" s="2">
        <v>0</v>
      </c>
      <c r="HB149" s="2">
        <v>0</v>
      </c>
      <c r="HC149" s="2">
        <f t="shared" si="151"/>
        <v>0</v>
      </c>
      <c r="HD149" s="2"/>
      <c r="HE149" s="2" t="s">
        <v>34</v>
      </c>
      <c r="HF149" s="2" t="s">
        <v>187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 s="3">
        <v>17</v>
      </c>
      <c r="B150" s="3">
        <v>1</v>
      </c>
      <c r="E150" s="3" t="s">
        <v>266</v>
      </c>
      <c r="F150" s="3" t="s">
        <v>267</v>
      </c>
      <c r="G150" s="3" t="s">
        <v>268</v>
      </c>
      <c r="H150" s="3" t="s">
        <v>183</v>
      </c>
      <c r="I150" s="3">
        <v>2</v>
      </c>
      <c r="J150" s="3">
        <v>0</v>
      </c>
      <c r="K150" s="3">
        <v>2</v>
      </c>
      <c r="O150" s="3">
        <f t="shared" si="129"/>
        <v>365589.43</v>
      </c>
      <c r="P150" s="3">
        <f t="shared" si="152"/>
        <v>365589.43</v>
      </c>
      <c r="Q150" s="3">
        <f t="shared" si="154"/>
        <v>0</v>
      </c>
      <c r="R150" s="3">
        <f t="shared" si="155"/>
        <v>0</v>
      </c>
      <c r="S150" s="3">
        <f t="shared" si="130"/>
        <v>0</v>
      </c>
      <c r="T150" s="3">
        <f t="shared" si="131"/>
        <v>0</v>
      </c>
      <c r="U150" s="3">
        <f t="shared" si="132"/>
        <v>0</v>
      </c>
      <c r="V150" s="3">
        <f t="shared" si="133"/>
        <v>0</v>
      </c>
      <c r="W150" s="3">
        <f t="shared" si="134"/>
        <v>0</v>
      </c>
      <c r="X150" s="3">
        <f t="shared" si="156"/>
        <v>0</v>
      </c>
      <c r="Y150" s="3">
        <f t="shared" si="157"/>
        <v>0</v>
      </c>
      <c r="AA150" s="3">
        <v>55937298</v>
      </c>
      <c r="AB150" s="3">
        <f t="shared" si="135"/>
        <v>23863.54</v>
      </c>
      <c r="AC150" s="3">
        <f t="shared" si="158"/>
        <v>23863.54</v>
      </c>
      <c r="AD150" s="3">
        <f t="shared" si="159"/>
        <v>0</v>
      </c>
      <c r="AE150" s="3">
        <f t="shared" si="160"/>
        <v>0</v>
      </c>
      <c r="AF150" s="3">
        <f t="shared" si="161"/>
        <v>0</v>
      </c>
      <c r="AG150" s="3">
        <f t="shared" si="136"/>
        <v>0</v>
      </c>
      <c r="AH150" s="3">
        <f t="shared" si="162"/>
        <v>0</v>
      </c>
      <c r="AI150" s="3">
        <f t="shared" si="163"/>
        <v>0</v>
      </c>
      <c r="AJ150" s="3">
        <f t="shared" si="137"/>
        <v>0</v>
      </c>
      <c r="AK150" s="3">
        <v>23863.54</v>
      </c>
      <c r="AL150" s="3">
        <v>23863.54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1</v>
      </c>
      <c r="AW150" s="3">
        <v>1</v>
      </c>
      <c r="AZ150" s="3">
        <v>1</v>
      </c>
      <c r="BA150" s="3">
        <v>1</v>
      </c>
      <c r="BB150" s="3">
        <v>1</v>
      </c>
      <c r="BC150" s="3">
        <v>7.66</v>
      </c>
      <c r="BD150" s="3" t="s">
        <v>3</v>
      </c>
      <c r="BE150" s="3" t="s">
        <v>3</v>
      </c>
      <c r="BF150" s="3" t="s">
        <v>3</v>
      </c>
      <c r="BG150" s="3" t="s">
        <v>3</v>
      </c>
      <c r="BH150" s="3">
        <v>3</v>
      </c>
      <c r="BI150" s="3">
        <v>3</v>
      </c>
      <c r="BJ150" s="3" t="s">
        <v>267</v>
      </c>
      <c r="BM150" s="3">
        <v>400007</v>
      </c>
      <c r="BN150" s="3">
        <v>0</v>
      </c>
      <c r="BO150" s="3" t="s">
        <v>3</v>
      </c>
      <c r="BP150" s="3">
        <v>0</v>
      </c>
      <c r="BQ150" s="3">
        <v>214</v>
      </c>
      <c r="BR150" s="3">
        <v>0</v>
      </c>
      <c r="BS150" s="3">
        <v>1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 t="s">
        <v>3</v>
      </c>
      <c r="BZ150" s="3">
        <v>0</v>
      </c>
      <c r="CA150" s="3">
        <v>0</v>
      </c>
      <c r="CB150" s="3" t="s">
        <v>3</v>
      </c>
      <c r="CE150" s="3">
        <v>1566</v>
      </c>
      <c r="CF150" s="3">
        <v>0</v>
      </c>
      <c r="CG150" s="3">
        <v>0</v>
      </c>
      <c r="CM150" s="3">
        <v>0</v>
      </c>
      <c r="CN150" s="3" t="s">
        <v>3</v>
      </c>
      <c r="CO150" s="3">
        <v>0</v>
      </c>
      <c r="CP150" s="3">
        <f t="shared" si="138"/>
        <v>365589.43</v>
      </c>
      <c r="CQ150" s="3">
        <f t="shared" si="153"/>
        <v>182794.72</v>
      </c>
      <c r="CR150" s="3">
        <f t="shared" si="164"/>
        <v>0</v>
      </c>
      <c r="CS150" s="3">
        <f t="shared" si="165"/>
        <v>0</v>
      </c>
      <c r="CT150" s="3">
        <f t="shared" si="139"/>
        <v>0</v>
      </c>
      <c r="CU150" s="3">
        <f t="shared" si="140"/>
        <v>0</v>
      </c>
      <c r="CV150" s="3">
        <f t="shared" si="141"/>
        <v>0</v>
      </c>
      <c r="CW150" s="3">
        <f t="shared" si="142"/>
        <v>0</v>
      </c>
      <c r="CX150" s="3">
        <f t="shared" si="143"/>
        <v>0</v>
      </c>
      <c r="CY150" s="3">
        <f t="shared" si="166"/>
        <v>0</v>
      </c>
      <c r="CZ150" s="3">
        <f t="shared" si="167"/>
        <v>0</v>
      </c>
      <c r="DC150" s="3" t="s">
        <v>3</v>
      </c>
      <c r="DD150" s="3" t="s">
        <v>3</v>
      </c>
      <c r="DE150" s="3" t="s">
        <v>3</v>
      </c>
      <c r="DF150" s="3" t="s">
        <v>3</v>
      </c>
      <c r="DG150" s="3" t="s">
        <v>3</v>
      </c>
      <c r="DH150" s="3" t="s">
        <v>3</v>
      </c>
      <c r="DI150" s="3" t="s">
        <v>3</v>
      </c>
      <c r="DJ150" s="3" t="s">
        <v>3</v>
      </c>
      <c r="DK150" s="3" t="s">
        <v>3</v>
      </c>
      <c r="DL150" s="3" t="s">
        <v>3</v>
      </c>
      <c r="DM150" s="3" t="s">
        <v>3</v>
      </c>
      <c r="DN150" s="3">
        <v>0</v>
      </c>
      <c r="DO150" s="3">
        <v>0</v>
      </c>
      <c r="DP150" s="3">
        <v>1</v>
      </c>
      <c r="DQ150" s="3">
        <v>1</v>
      </c>
      <c r="DU150" s="3">
        <v>1013</v>
      </c>
      <c r="DV150" s="3" t="s">
        <v>183</v>
      </c>
      <c r="DW150" s="3" t="s">
        <v>183</v>
      </c>
      <c r="DX150" s="3">
        <v>1</v>
      </c>
      <c r="DZ150" s="3" t="s">
        <v>3</v>
      </c>
      <c r="EA150" s="3" t="s">
        <v>3</v>
      </c>
      <c r="EB150" s="3" t="s">
        <v>3</v>
      </c>
      <c r="EC150" s="3" t="s">
        <v>3</v>
      </c>
      <c r="EE150" s="3">
        <v>55393630</v>
      </c>
      <c r="EF150" s="3">
        <v>214</v>
      </c>
      <c r="EG150" s="3" t="s">
        <v>184</v>
      </c>
      <c r="EH150" s="3">
        <v>0</v>
      </c>
      <c r="EI150" s="3" t="s">
        <v>3</v>
      </c>
      <c r="EJ150" s="3">
        <v>3</v>
      </c>
      <c r="EK150" s="3">
        <v>400007</v>
      </c>
      <c r="EL150" s="3" t="s">
        <v>184</v>
      </c>
      <c r="EM150" s="3" t="s">
        <v>185</v>
      </c>
      <c r="EO150" s="3" t="s">
        <v>3</v>
      </c>
      <c r="EQ150" s="3">
        <v>16</v>
      </c>
      <c r="ER150" s="3">
        <v>0</v>
      </c>
      <c r="ES150" s="3">
        <v>23863.54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5</v>
      </c>
      <c r="FC150" s="3">
        <v>1</v>
      </c>
      <c r="FD150" s="3">
        <v>18</v>
      </c>
      <c r="FF150" s="3">
        <v>213946.76</v>
      </c>
      <c r="FQ150" s="3">
        <v>0</v>
      </c>
      <c r="FR150" s="3">
        <f t="shared" si="168"/>
        <v>365589.43</v>
      </c>
      <c r="FS150" s="3">
        <v>0</v>
      </c>
      <c r="FX150" s="3">
        <v>0</v>
      </c>
      <c r="FY150" s="3">
        <v>0</v>
      </c>
      <c r="GA150" s="3" t="s">
        <v>269</v>
      </c>
      <c r="GD150" s="3">
        <v>1</v>
      </c>
      <c r="GF150" s="3">
        <v>2055575023</v>
      </c>
      <c r="GG150" s="3">
        <v>2</v>
      </c>
      <c r="GH150" s="3">
        <v>3</v>
      </c>
      <c r="GI150" s="3">
        <v>5</v>
      </c>
      <c r="GJ150" s="3">
        <v>0</v>
      </c>
      <c r="GK150" s="3">
        <v>0</v>
      </c>
      <c r="GL150" s="3">
        <f t="shared" si="144"/>
        <v>0</v>
      </c>
      <c r="GM150" s="3">
        <f t="shared" si="145"/>
        <v>365589.43</v>
      </c>
      <c r="GN150" s="3">
        <f t="shared" si="146"/>
        <v>0</v>
      </c>
      <c r="GO150" s="3">
        <f t="shared" si="147"/>
        <v>0</v>
      </c>
      <c r="GP150" s="3">
        <f t="shared" si="148"/>
        <v>0</v>
      </c>
      <c r="GR150" s="3">
        <v>1</v>
      </c>
      <c r="GS150" s="3">
        <v>1</v>
      </c>
      <c r="GT150" s="3">
        <v>0</v>
      </c>
      <c r="GU150" s="3" t="s">
        <v>3</v>
      </c>
      <c r="GV150" s="3">
        <f t="shared" si="149"/>
        <v>0</v>
      </c>
      <c r="GW150" s="3">
        <v>1</v>
      </c>
      <c r="GX150" s="3">
        <f t="shared" si="150"/>
        <v>0</v>
      </c>
      <c r="HA150" s="3">
        <v>0</v>
      </c>
      <c r="HB150" s="3">
        <v>0</v>
      </c>
      <c r="HC150" s="3">
        <f t="shared" si="151"/>
        <v>0</v>
      </c>
      <c r="HE150" s="3" t="s">
        <v>34</v>
      </c>
      <c r="HF150" s="3" t="s">
        <v>187</v>
      </c>
      <c r="HM150" s="3" t="s">
        <v>3</v>
      </c>
      <c r="HN150" s="3" t="s">
        <v>3</v>
      </c>
      <c r="HO150" s="3" t="s">
        <v>3</v>
      </c>
      <c r="HP150" s="3" t="s">
        <v>3</v>
      </c>
      <c r="HQ150" s="3" t="s">
        <v>3</v>
      </c>
      <c r="HS150" s="3">
        <v>0</v>
      </c>
      <c r="IK150" s="3">
        <v>0</v>
      </c>
    </row>
    <row r="151" spans="1:255" x14ac:dyDescent="0.2">
      <c r="A151" s="2">
        <v>17</v>
      </c>
      <c r="B151" s="2">
        <v>1</v>
      </c>
      <c r="C151" s="2"/>
      <c r="D151" s="2"/>
      <c r="E151" s="2" t="s">
        <v>270</v>
      </c>
      <c r="F151" s="2" t="s">
        <v>271</v>
      </c>
      <c r="G151" s="2" t="s">
        <v>272</v>
      </c>
      <c r="H151" s="2" t="s">
        <v>217</v>
      </c>
      <c r="I151" s="2">
        <v>2</v>
      </c>
      <c r="J151" s="2">
        <v>0</v>
      </c>
      <c r="K151" s="2">
        <v>2</v>
      </c>
      <c r="L151" s="2"/>
      <c r="M151" s="2"/>
      <c r="N151" s="2"/>
      <c r="O151" s="2">
        <f t="shared" si="129"/>
        <v>2320.98</v>
      </c>
      <c r="P151" s="2">
        <f>ROUND((ROUND((AC151*I151),2)*BC151),2)</f>
        <v>2320.98</v>
      </c>
      <c r="Q151" s="2">
        <f t="shared" si="154"/>
        <v>0</v>
      </c>
      <c r="R151" s="2">
        <f t="shared" si="155"/>
        <v>0</v>
      </c>
      <c r="S151" s="2">
        <f t="shared" si="130"/>
        <v>0</v>
      </c>
      <c r="T151" s="2">
        <f t="shared" si="131"/>
        <v>0</v>
      </c>
      <c r="U151" s="2">
        <f t="shared" si="132"/>
        <v>0</v>
      </c>
      <c r="V151" s="2">
        <f t="shared" si="133"/>
        <v>0</v>
      </c>
      <c r="W151" s="2">
        <f t="shared" si="134"/>
        <v>0</v>
      </c>
      <c r="X151" s="2">
        <f t="shared" si="156"/>
        <v>0</v>
      </c>
      <c r="Y151" s="2">
        <f t="shared" si="157"/>
        <v>0</v>
      </c>
      <c r="Z151" s="2"/>
      <c r="AA151" s="2">
        <v>55937296</v>
      </c>
      <c r="AB151" s="2">
        <f t="shared" si="135"/>
        <v>1160.49</v>
      </c>
      <c r="AC151" s="2">
        <f t="shared" si="158"/>
        <v>1160.49</v>
      </c>
      <c r="AD151" s="2">
        <f t="shared" si="159"/>
        <v>0</v>
      </c>
      <c r="AE151" s="2">
        <f t="shared" si="160"/>
        <v>0</v>
      </c>
      <c r="AF151" s="2">
        <f t="shared" si="161"/>
        <v>0</v>
      </c>
      <c r="AG151" s="2">
        <f t="shared" si="136"/>
        <v>0</v>
      </c>
      <c r="AH151" s="2">
        <f t="shared" si="162"/>
        <v>0</v>
      </c>
      <c r="AI151" s="2">
        <f t="shared" si="163"/>
        <v>0</v>
      </c>
      <c r="AJ151" s="2">
        <f t="shared" si="137"/>
        <v>0</v>
      </c>
      <c r="AK151" s="2">
        <v>1160.49</v>
      </c>
      <c r="AL151" s="2">
        <v>1160.49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3</v>
      </c>
      <c r="BJ151" s="2" t="s">
        <v>273</v>
      </c>
      <c r="BK151" s="2"/>
      <c r="BL151" s="2"/>
      <c r="BM151" s="2">
        <v>746</v>
      </c>
      <c r="BN151" s="2">
        <v>0</v>
      </c>
      <c r="BO151" s="2" t="s">
        <v>3</v>
      </c>
      <c r="BP151" s="2">
        <v>0</v>
      </c>
      <c r="BQ151" s="2">
        <v>130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0</v>
      </c>
      <c r="CA151" s="2">
        <v>0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3</v>
      </c>
      <c r="CO151" s="2">
        <v>0</v>
      </c>
      <c r="CP151" s="2">
        <f t="shared" si="138"/>
        <v>2320.98</v>
      </c>
      <c r="CQ151" s="2">
        <f>ROUND((ROUND((AC151*1),2)*BC151),2)</f>
        <v>1160.49</v>
      </c>
      <c r="CR151" s="2">
        <f t="shared" si="164"/>
        <v>0</v>
      </c>
      <c r="CS151" s="2">
        <f t="shared" si="165"/>
        <v>0</v>
      </c>
      <c r="CT151" s="2">
        <f t="shared" si="139"/>
        <v>0</v>
      </c>
      <c r="CU151" s="2">
        <f t="shared" si="140"/>
        <v>0</v>
      </c>
      <c r="CV151" s="2">
        <f t="shared" si="141"/>
        <v>0</v>
      </c>
      <c r="CW151" s="2">
        <f t="shared" si="142"/>
        <v>0</v>
      </c>
      <c r="CX151" s="2">
        <f t="shared" si="143"/>
        <v>0</v>
      </c>
      <c r="CY151" s="2">
        <f t="shared" si="166"/>
        <v>0</v>
      </c>
      <c r="CZ151" s="2">
        <f t="shared" si="167"/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1010</v>
      </c>
      <c r="DV151" s="2" t="s">
        <v>217</v>
      </c>
      <c r="DW151" s="2" t="s">
        <v>217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55393806</v>
      </c>
      <c r="EF151" s="2">
        <v>130</v>
      </c>
      <c r="EG151" s="2" t="s">
        <v>219</v>
      </c>
      <c r="EH151" s="2">
        <v>0</v>
      </c>
      <c r="EI151" s="2" t="s">
        <v>3</v>
      </c>
      <c r="EJ151" s="2">
        <v>3</v>
      </c>
      <c r="EK151" s="2">
        <v>746</v>
      </c>
      <c r="EL151" s="2" t="s">
        <v>220</v>
      </c>
      <c r="EM151" s="2" t="s">
        <v>221</v>
      </c>
      <c r="EN151" s="2"/>
      <c r="EO151" s="2" t="s">
        <v>3</v>
      </c>
      <c r="EP151" s="2"/>
      <c r="EQ151" s="2">
        <v>0</v>
      </c>
      <c r="ER151" s="2">
        <v>1160.49</v>
      </c>
      <c r="ES151" s="2">
        <v>1160.49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f t="shared" si="168"/>
        <v>2320.98</v>
      </c>
      <c r="FS151" s="2">
        <v>0</v>
      </c>
      <c r="FT151" s="2"/>
      <c r="FU151" s="2"/>
      <c r="FV151" s="2"/>
      <c r="FW151" s="2"/>
      <c r="FX151" s="2">
        <v>0</v>
      </c>
      <c r="FY151" s="2">
        <v>0</v>
      </c>
      <c r="FZ151" s="2"/>
      <c r="GA151" s="2" t="s">
        <v>3</v>
      </c>
      <c r="GB151" s="2"/>
      <c r="GC151" s="2"/>
      <c r="GD151" s="2">
        <v>1</v>
      </c>
      <c r="GE151" s="2"/>
      <c r="GF151" s="2">
        <v>-665896871</v>
      </c>
      <c r="GG151" s="2">
        <v>2</v>
      </c>
      <c r="GH151" s="2">
        <v>1</v>
      </c>
      <c r="GI151" s="2">
        <v>-2</v>
      </c>
      <c r="GJ151" s="2">
        <v>0</v>
      </c>
      <c r="GK151" s="2">
        <v>0</v>
      </c>
      <c r="GL151" s="2">
        <f t="shared" si="144"/>
        <v>0</v>
      </c>
      <c r="GM151" s="2">
        <f t="shared" si="145"/>
        <v>2320.98</v>
      </c>
      <c r="GN151" s="2">
        <f t="shared" si="146"/>
        <v>0</v>
      </c>
      <c r="GO151" s="2">
        <f t="shared" si="147"/>
        <v>0</v>
      </c>
      <c r="GP151" s="2">
        <f t="shared" si="148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149"/>
        <v>0</v>
      </c>
      <c r="GW151" s="2">
        <v>1</v>
      </c>
      <c r="GX151" s="2">
        <f t="shared" si="150"/>
        <v>0</v>
      </c>
      <c r="GY151" s="2"/>
      <c r="GZ151" s="2"/>
      <c r="HA151" s="2">
        <v>0</v>
      </c>
      <c r="HB151" s="2">
        <v>0</v>
      </c>
      <c r="HC151" s="2">
        <f t="shared" si="151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 s="3">
        <v>17</v>
      </c>
      <c r="B152" s="3">
        <v>1</v>
      </c>
      <c r="E152" s="3" t="s">
        <v>270</v>
      </c>
      <c r="F152" s="3" t="s">
        <v>271</v>
      </c>
      <c r="G152" s="3" t="s">
        <v>272</v>
      </c>
      <c r="H152" s="3" t="s">
        <v>217</v>
      </c>
      <c r="I152" s="3">
        <v>2</v>
      </c>
      <c r="J152" s="3">
        <v>0</v>
      </c>
      <c r="K152" s="3">
        <v>2</v>
      </c>
      <c r="O152" s="3">
        <f t="shared" si="129"/>
        <v>10815.77</v>
      </c>
      <c r="P152" s="3">
        <f>ROUND((ROUND((AC152*I152),2)*BC152),2)</f>
        <v>10815.77</v>
      </c>
      <c r="Q152" s="3">
        <f t="shared" si="154"/>
        <v>0</v>
      </c>
      <c r="R152" s="3">
        <f t="shared" si="155"/>
        <v>0</v>
      </c>
      <c r="S152" s="3">
        <f t="shared" si="130"/>
        <v>0</v>
      </c>
      <c r="T152" s="3">
        <f t="shared" si="131"/>
        <v>0</v>
      </c>
      <c r="U152" s="3">
        <f t="shared" si="132"/>
        <v>0</v>
      </c>
      <c r="V152" s="3">
        <f t="shared" si="133"/>
        <v>0</v>
      </c>
      <c r="W152" s="3">
        <f t="shared" si="134"/>
        <v>0</v>
      </c>
      <c r="X152" s="3">
        <f t="shared" si="156"/>
        <v>0</v>
      </c>
      <c r="Y152" s="3">
        <f t="shared" si="157"/>
        <v>0</v>
      </c>
      <c r="AA152" s="3">
        <v>55937298</v>
      </c>
      <c r="AB152" s="3">
        <f t="shared" si="135"/>
        <v>1160.49</v>
      </c>
      <c r="AC152" s="3">
        <f t="shared" si="158"/>
        <v>1160.49</v>
      </c>
      <c r="AD152" s="3">
        <f t="shared" si="159"/>
        <v>0</v>
      </c>
      <c r="AE152" s="3">
        <f t="shared" si="160"/>
        <v>0</v>
      </c>
      <c r="AF152" s="3">
        <f t="shared" si="161"/>
        <v>0</v>
      </c>
      <c r="AG152" s="3">
        <f t="shared" si="136"/>
        <v>0</v>
      </c>
      <c r="AH152" s="3">
        <f t="shared" si="162"/>
        <v>0</v>
      </c>
      <c r="AI152" s="3">
        <f t="shared" si="163"/>
        <v>0</v>
      </c>
      <c r="AJ152" s="3">
        <f t="shared" si="137"/>
        <v>0</v>
      </c>
      <c r="AK152" s="3">
        <v>1160.49</v>
      </c>
      <c r="AL152" s="3">
        <v>1160.49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1</v>
      </c>
      <c r="AW152" s="3">
        <v>1</v>
      </c>
      <c r="AZ152" s="3">
        <v>1</v>
      </c>
      <c r="BA152" s="3">
        <v>1</v>
      </c>
      <c r="BB152" s="3">
        <v>1</v>
      </c>
      <c r="BC152" s="3">
        <v>4.66</v>
      </c>
      <c r="BD152" s="3" t="s">
        <v>3</v>
      </c>
      <c r="BE152" s="3" t="s">
        <v>3</v>
      </c>
      <c r="BF152" s="3" t="s">
        <v>3</v>
      </c>
      <c r="BG152" s="3" t="s">
        <v>3</v>
      </c>
      <c r="BH152" s="3">
        <v>3</v>
      </c>
      <c r="BI152" s="3">
        <v>3</v>
      </c>
      <c r="BJ152" s="3" t="s">
        <v>273</v>
      </c>
      <c r="BM152" s="3">
        <v>746</v>
      </c>
      <c r="BN152" s="3">
        <v>0</v>
      </c>
      <c r="BO152" s="3" t="s">
        <v>3</v>
      </c>
      <c r="BP152" s="3">
        <v>0</v>
      </c>
      <c r="BQ152" s="3">
        <v>130</v>
      </c>
      <c r="BR152" s="3">
        <v>0</v>
      </c>
      <c r="BS152" s="3">
        <v>1</v>
      </c>
      <c r="BT152" s="3">
        <v>1</v>
      </c>
      <c r="BU152" s="3">
        <v>1</v>
      </c>
      <c r="BV152" s="3">
        <v>1</v>
      </c>
      <c r="BW152" s="3">
        <v>1</v>
      </c>
      <c r="BX152" s="3">
        <v>1</v>
      </c>
      <c r="BY152" s="3" t="s">
        <v>3</v>
      </c>
      <c r="BZ152" s="3">
        <v>0</v>
      </c>
      <c r="CA152" s="3">
        <v>0</v>
      </c>
      <c r="CB152" s="3" t="s">
        <v>3</v>
      </c>
      <c r="CE152" s="3">
        <v>1566</v>
      </c>
      <c r="CF152" s="3">
        <v>0</v>
      </c>
      <c r="CG152" s="3">
        <v>0</v>
      </c>
      <c r="CM152" s="3">
        <v>0</v>
      </c>
      <c r="CN152" s="3" t="s">
        <v>3</v>
      </c>
      <c r="CO152" s="3">
        <v>0</v>
      </c>
      <c r="CP152" s="3">
        <f t="shared" si="138"/>
        <v>10815.77</v>
      </c>
      <c r="CQ152" s="3">
        <f>ROUND((ROUND((AC152*1),2)*BC152),2)</f>
        <v>5407.88</v>
      </c>
      <c r="CR152" s="3">
        <f t="shared" si="164"/>
        <v>0</v>
      </c>
      <c r="CS152" s="3">
        <f t="shared" si="165"/>
        <v>0</v>
      </c>
      <c r="CT152" s="3">
        <f t="shared" si="139"/>
        <v>0</v>
      </c>
      <c r="CU152" s="3">
        <f t="shared" si="140"/>
        <v>0</v>
      </c>
      <c r="CV152" s="3">
        <f t="shared" si="141"/>
        <v>0</v>
      </c>
      <c r="CW152" s="3">
        <f t="shared" si="142"/>
        <v>0</v>
      </c>
      <c r="CX152" s="3">
        <f t="shared" si="143"/>
        <v>0</v>
      </c>
      <c r="CY152" s="3">
        <f t="shared" si="166"/>
        <v>0</v>
      </c>
      <c r="CZ152" s="3">
        <f t="shared" si="167"/>
        <v>0</v>
      </c>
      <c r="DC152" s="3" t="s">
        <v>3</v>
      </c>
      <c r="DD152" s="3" t="s">
        <v>3</v>
      </c>
      <c r="DE152" s="3" t="s">
        <v>3</v>
      </c>
      <c r="DF152" s="3" t="s">
        <v>3</v>
      </c>
      <c r="DG152" s="3" t="s">
        <v>3</v>
      </c>
      <c r="DH152" s="3" t="s">
        <v>3</v>
      </c>
      <c r="DI152" s="3" t="s">
        <v>3</v>
      </c>
      <c r="DJ152" s="3" t="s">
        <v>3</v>
      </c>
      <c r="DK152" s="3" t="s">
        <v>3</v>
      </c>
      <c r="DL152" s="3" t="s">
        <v>3</v>
      </c>
      <c r="DM152" s="3" t="s">
        <v>3</v>
      </c>
      <c r="DN152" s="3">
        <v>0</v>
      </c>
      <c r="DO152" s="3">
        <v>0</v>
      </c>
      <c r="DP152" s="3">
        <v>1</v>
      </c>
      <c r="DQ152" s="3">
        <v>1</v>
      </c>
      <c r="DU152" s="3">
        <v>1010</v>
      </c>
      <c r="DV152" s="3" t="s">
        <v>217</v>
      </c>
      <c r="DW152" s="3" t="s">
        <v>217</v>
      </c>
      <c r="DX152" s="3">
        <v>1</v>
      </c>
      <c r="DZ152" s="3" t="s">
        <v>3</v>
      </c>
      <c r="EA152" s="3" t="s">
        <v>3</v>
      </c>
      <c r="EB152" s="3" t="s">
        <v>3</v>
      </c>
      <c r="EC152" s="3" t="s">
        <v>3</v>
      </c>
      <c r="EE152" s="3">
        <v>55393806</v>
      </c>
      <c r="EF152" s="3">
        <v>130</v>
      </c>
      <c r="EG152" s="3" t="s">
        <v>219</v>
      </c>
      <c r="EH152" s="3">
        <v>0</v>
      </c>
      <c r="EI152" s="3" t="s">
        <v>3</v>
      </c>
      <c r="EJ152" s="3">
        <v>3</v>
      </c>
      <c r="EK152" s="3">
        <v>746</v>
      </c>
      <c r="EL152" s="3" t="s">
        <v>220</v>
      </c>
      <c r="EM152" s="3" t="s">
        <v>221</v>
      </c>
      <c r="EO152" s="3" t="s">
        <v>3</v>
      </c>
      <c r="EQ152" s="3">
        <v>0</v>
      </c>
      <c r="ER152" s="3">
        <v>1160.49</v>
      </c>
      <c r="ES152" s="3">
        <v>1160.49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FQ152" s="3">
        <v>0</v>
      </c>
      <c r="FR152" s="3">
        <f t="shared" si="168"/>
        <v>10815.77</v>
      </c>
      <c r="FS152" s="3">
        <v>0</v>
      </c>
      <c r="FX152" s="3">
        <v>0</v>
      </c>
      <c r="FY152" s="3">
        <v>0</v>
      </c>
      <c r="GA152" s="3" t="s">
        <v>3</v>
      </c>
      <c r="GD152" s="3">
        <v>1</v>
      </c>
      <c r="GF152" s="3">
        <v>-665896871</v>
      </c>
      <c r="GG152" s="3">
        <v>2</v>
      </c>
      <c r="GH152" s="3">
        <v>1</v>
      </c>
      <c r="GI152" s="3">
        <v>2</v>
      </c>
      <c r="GJ152" s="3">
        <v>0</v>
      </c>
      <c r="GK152" s="3">
        <v>0</v>
      </c>
      <c r="GL152" s="3">
        <f t="shared" si="144"/>
        <v>0</v>
      </c>
      <c r="GM152" s="3">
        <f t="shared" si="145"/>
        <v>10815.77</v>
      </c>
      <c r="GN152" s="3">
        <f t="shared" si="146"/>
        <v>0</v>
      </c>
      <c r="GO152" s="3">
        <f t="shared" si="147"/>
        <v>0</v>
      </c>
      <c r="GP152" s="3">
        <f t="shared" si="148"/>
        <v>0</v>
      </c>
      <c r="GR152" s="3">
        <v>0</v>
      </c>
      <c r="GS152" s="3">
        <v>3</v>
      </c>
      <c r="GT152" s="3">
        <v>0</v>
      </c>
      <c r="GU152" s="3" t="s">
        <v>3</v>
      </c>
      <c r="GV152" s="3">
        <f t="shared" si="149"/>
        <v>0</v>
      </c>
      <c r="GW152" s="3">
        <v>1</v>
      </c>
      <c r="GX152" s="3">
        <f t="shared" si="150"/>
        <v>0</v>
      </c>
      <c r="HA152" s="3">
        <v>0</v>
      </c>
      <c r="HB152" s="3">
        <v>0</v>
      </c>
      <c r="HC152" s="3">
        <f t="shared" si="151"/>
        <v>0</v>
      </c>
      <c r="HE152" s="3" t="s">
        <v>3</v>
      </c>
      <c r="HF152" s="3" t="s">
        <v>3</v>
      </c>
      <c r="HM152" s="3" t="s">
        <v>3</v>
      </c>
      <c r="HN152" s="3" t="s">
        <v>3</v>
      </c>
      <c r="HO152" s="3" t="s">
        <v>3</v>
      </c>
      <c r="HP152" s="3" t="s">
        <v>3</v>
      </c>
      <c r="HQ152" s="3" t="s">
        <v>3</v>
      </c>
      <c r="HS152" s="3">
        <v>0</v>
      </c>
      <c r="IK152" s="3">
        <v>0</v>
      </c>
    </row>
    <row r="153" spans="1:255" x14ac:dyDescent="0.2">
      <c r="A153" s="2">
        <v>17</v>
      </c>
      <c r="B153" s="2">
        <v>1</v>
      </c>
      <c r="C153" s="2"/>
      <c r="D153" s="2"/>
      <c r="E153" s="2" t="s">
        <v>274</v>
      </c>
      <c r="F153" s="2" t="s">
        <v>275</v>
      </c>
      <c r="G153" s="2" t="s">
        <v>276</v>
      </c>
      <c r="H153" s="2" t="s">
        <v>183</v>
      </c>
      <c r="I153" s="2">
        <v>1</v>
      </c>
      <c r="J153" s="2">
        <v>0</v>
      </c>
      <c r="K153" s="2">
        <v>1</v>
      </c>
      <c r="L153" s="2"/>
      <c r="M153" s="2"/>
      <c r="N153" s="2"/>
      <c r="O153" s="2">
        <f t="shared" si="129"/>
        <v>282.2</v>
      </c>
      <c r="P153" s="2">
        <f t="shared" ref="P153:P166" si="169">ROUND((ROUND((AC153*AW153*I153),2)*BC153),2)</f>
        <v>282.2</v>
      </c>
      <c r="Q153" s="2">
        <f t="shared" si="154"/>
        <v>0</v>
      </c>
      <c r="R153" s="2">
        <f t="shared" si="155"/>
        <v>0</v>
      </c>
      <c r="S153" s="2">
        <f t="shared" si="130"/>
        <v>0</v>
      </c>
      <c r="T153" s="2">
        <f t="shared" si="131"/>
        <v>0</v>
      </c>
      <c r="U153" s="2">
        <f t="shared" si="132"/>
        <v>0</v>
      </c>
      <c r="V153" s="2">
        <f t="shared" si="133"/>
        <v>0</v>
      </c>
      <c r="W153" s="2">
        <f t="shared" si="134"/>
        <v>0</v>
      </c>
      <c r="X153" s="2">
        <f t="shared" si="156"/>
        <v>0</v>
      </c>
      <c r="Y153" s="2">
        <f t="shared" si="157"/>
        <v>0</v>
      </c>
      <c r="Z153" s="2"/>
      <c r="AA153" s="2">
        <v>55937296</v>
      </c>
      <c r="AB153" s="2">
        <f t="shared" si="135"/>
        <v>282.2</v>
      </c>
      <c r="AC153" s="2">
        <f t="shared" si="158"/>
        <v>282.2</v>
      </c>
      <c r="AD153" s="2">
        <f t="shared" si="159"/>
        <v>0</v>
      </c>
      <c r="AE153" s="2">
        <f t="shared" si="160"/>
        <v>0</v>
      </c>
      <c r="AF153" s="2">
        <f t="shared" si="161"/>
        <v>0</v>
      </c>
      <c r="AG153" s="2">
        <f t="shared" si="136"/>
        <v>0</v>
      </c>
      <c r="AH153" s="2">
        <f t="shared" si="162"/>
        <v>0</v>
      </c>
      <c r="AI153" s="2">
        <f t="shared" si="163"/>
        <v>0</v>
      </c>
      <c r="AJ153" s="2">
        <f t="shared" si="137"/>
        <v>0</v>
      </c>
      <c r="AK153" s="2">
        <v>282.20000000000005</v>
      </c>
      <c r="AL153" s="2">
        <v>282.20000000000005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3</v>
      </c>
      <c r="BJ153" s="2" t="s">
        <v>275</v>
      </c>
      <c r="BK153" s="2"/>
      <c r="BL153" s="2"/>
      <c r="BM153" s="2">
        <v>400007</v>
      </c>
      <c r="BN153" s="2">
        <v>0</v>
      </c>
      <c r="BO153" s="2" t="s">
        <v>3</v>
      </c>
      <c r="BP153" s="2">
        <v>0</v>
      </c>
      <c r="BQ153" s="2">
        <v>214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0</v>
      </c>
      <c r="CA153" s="2">
        <v>0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38"/>
        <v>282.2</v>
      </c>
      <c r="CQ153" s="2">
        <f t="shared" ref="CQ153:CQ166" si="170">ROUND((ROUND((AC153*AW153*1),2)*BC153),2)</f>
        <v>282.2</v>
      </c>
      <c r="CR153" s="2">
        <f t="shared" si="164"/>
        <v>0</v>
      </c>
      <c r="CS153" s="2">
        <f t="shared" si="165"/>
        <v>0</v>
      </c>
      <c r="CT153" s="2">
        <f t="shared" si="139"/>
        <v>0</v>
      </c>
      <c r="CU153" s="2">
        <f t="shared" si="140"/>
        <v>0</v>
      </c>
      <c r="CV153" s="2">
        <f t="shared" si="141"/>
        <v>0</v>
      </c>
      <c r="CW153" s="2">
        <f t="shared" si="142"/>
        <v>0</v>
      </c>
      <c r="CX153" s="2">
        <f t="shared" si="143"/>
        <v>0</v>
      </c>
      <c r="CY153" s="2">
        <f t="shared" si="166"/>
        <v>0</v>
      </c>
      <c r="CZ153" s="2">
        <f t="shared" si="167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183</v>
      </c>
      <c r="DW153" s="2" t="s">
        <v>183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55393630</v>
      </c>
      <c r="EF153" s="2">
        <v>214</v>
      </c>
      <c r="EG153" s="2" t="s">
        <v>184</v>
      </c>
      <c r="EH153" s="2">
        <v>0</v>
      </c>
      <c r="EI153" s="2" t="s">
        <v>3</v>
      </c>
      <c r="EJ153" s="2">
        <v>3</v>
      </c>
      <c r="EK153" s="2">
        <v>400007</v>
      </c>
      <c r="EL153" s="2" t="s">
        <v>184</v>
      </c>
      <c r="EM153" s="2" t="s">
        <v>185</v>
      </c>
      <c r="EN153" s="2"/>
      <c r="EO153" s="2" t="s">
        <v>3</v>
      </c>
      <c r="EP153" s="2"/>
      <c r="EQ153" s="2">
        <v>16</v>
      </c>
      <c r="ER153" s="2">
        <v>0</v>
      </c>
      <c r="ES153" s="2">
        <v>282.20000000000005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f t="shared" si="168"/>
        <v>282.2</v>
      </c>
      <c r="FS153" s="2">
        <v>0</v>
      </c>
      <c r="FT153" s="2"/>
      <c r="FU153" s="2"/>
      <c r="FV153" s="2"/>
      <c r="FW153" s="2"/>
      <c r="FX153" s="2">
        <v>0</v>
      </c>
      <c r="FY153" s="2">
        <v>0</v>
      </c>
      <c r="FZ153" s="2"/>
      <c r="GA153" s="2" t="s">
        <v>277</v>
      </c>
      <c r="GB153" s="2"/>
      <c r="GC153" s="2"/>
      <c r="GD153" s="2">
        <v>1</v>
      </c>
      <c r="GE153" s="2"/>
      <c r="GF153" s="2">
        <v>628762815</v>
      </c>
      <c r="GG153" s="2">
        <v>2</v>
      </c>
      <c r="GH153" s="2">
        <v>4</v>
      </c>
      <c r="GI153" s="2">
        <v>-2</v>
      </c>
      <c r="GJ153" s="2">
        <v>0</v>
      </c>
      <c r="GK153" s="2">
        <v>0</v>
      </c>
      <c r="GL153" s="2">
        <f t="shared" si="144"/>
        <v>0</v>
      </c>
      <c r="GM153" s="2">
        <f t="shared" si="145"/>
        <v>282.2</v>
      </c>
      <c r="GN153" s="2">
        <f t="shared" si="146"/>
        <v>0</v>
      </c>
      <c r="GO153" s="2">
        <f t="shared" si="147"/>
        <v>0</v>
      </c>
      <c r="GP153" s="2">
        <f t="shared" si="148"/>
        <v>0</v>
      </c>
      <c r="GQ153" s="2"/>
      <c r="GR153" s="2">
        <v>1</v>
      </c>
      <c r="GS153" s="2">
        <v>2</v>
      </c>
      <c r="GT153" s="2">
        <v>0</v>
      </c>
      <c r="GU153" s="2" t="s">
        <v>3</v>
      </c>
      <c r="GV153" s="2">
        <f t="shared" si="149"/>
        <v>0</v>
      </c>
      <c r="GW153" s="2">
        <v>1</v>
      </c>
      <c r="GX153" s="2">
        <f t="shared" si="150"/>
        <v>0</v>
      </c>
      <c r="GY153" s="2"/>
      <c r="GZ153" s="2"/>
      <c r="HA153" s="2">
        <v>0</v>
      </c>
      <c r="HB153" s="2">
        <v>0</v>
      </c>
      <c r="HC153" s="2">
        <f t="shared" si="151"/>
        <v>0</v>
      </c>
      <c r="HD153" s="2"/>
      <c r="HE153" s="2" t="s">
        <v>34</v>
      </c>
      <c r="HF153" s="2" t="s">
        <v>187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 s="3">
        <v>17</v>
      </c>
      <c r="B154" s="3">
        <v>1</v>
      </c>
      <c r="E154" s="3" t="s">
        <v>274</v>
      </c>
      <c r="F154" s="3" t="s">
        <v>275</v>
      </c>
      <c r="G154" s="3" t="s">
        <v>276</v>
      </c>
      <c r="H154" s="3" t="s">
        <v>183</v>
      </c>
      <c r="I154" s="3">
        <v>1</v>
      </c>
      <c r="J154" s="3">
        <v>0</v>
      </c>
      <c r="K154" s="3">
        <v>1</v>
      </c>
      <c r="O154" s="3">
        <f t="shared" si="129"/>
        <v>2161.65</v>
      </c>
      <c r="P154" s="3">
        <f t="shared" si="169"/>
        <v>2161.65</v>
      </c>
      <c r="Q154" s="3">
        <f t="shared" si="154"/>
        <v>0</v>
      </c>
      <c r="R154" s="3">
        <f t="shared" si="155"/>
        <v>0</v>
      </c>
      <c r="S154" s="3">
        <f t="shared" si="130"/>
        <v>0</v>
      </c>
      <c r="T154" s="3">
        <f t="shared" si="131"/>
        <v>0</v>
      </c>
      <c r="U154" s="3">
        <f t="shared" si="132"/>
        <v>0</v>
      </c>
      <c r="V154" s="3">
        <f t="shared" si="133"/>
        <v>0</v>
      </c>
      <c r="W154" s="3">
        <f t="shared" si="134"/>
        <v>0</v>
      </c>
      <c r="X154" s="3">
        <f t="shared" si="156"/>
        <v>0</v>
      </c>
      <c r="Y154" s="3">
        <f t="shared" si="157"/>
        <v>0</v>
      </c>
      <c r="AA154" s="3">
        <v>55937298</v>
      </c>
      <c r="AB154" s="3">
        <f t="shared" si="135"/>
        <v>282.2</v>
      </c>
      <c r="AC154" s="3">
        <f t="shared" si="158"/>
        <v>282.2</v>
      </c>
      <c r="AD154" s="3">
        <f t="shared" si="159"/>
        <v>0</v>
      </c>
      <c r="AE154" s="3">
        <f t="shared" si="160"/>
        <v>0</v>
      </c>
      <c r="AF154" s="3">
        <f t="shared" si="161"/>
        <v>0</v>
      </c>
      <c r="AG154" s="3">
        <f t="shared" si="136"/>
        <v>0</v>
      </c>
      <c r="AH154" s="3">
        <f t="shared" si="162"/>
        <v>0</v>
      </c>
      <c r="AI154" s="3">
        <f t="shared" si="163"/>
        <v>0</v>
      </c>
      <c r="AJ154" s="3">
        <f t="shared" si="137"/>
        <v>0</v>
      </c>
      <c r="AK154" s="3">
        <v>282.20000000000005</v>
      </c>
      <c r="AL154" s="3">
        <v>282.20000000000005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1</v>
      </c>
      <c r="AW154" s="3">
        <v>1</v>
      </c>
      <c r="AZ154" s="3">
        <v>1</v>
      </c>
      <c r="BA154" s="3">
        <v>1</v>
      </c>
      <c r="BB154" s="3">
        <v>1</v>
      </c>
      <c r="BC154" s="3">
        <v>7.66</v>
      </c>
      <c r="BD154" s="3" t="s">
        <v>3</v>
      </c>
      <c r="BE154" s="3" t="s">
        <v>3</v>
      </c>
      <c r="BF154" s="3" t="s">
        <v>3</v>
      </c>
      <c r="BG154" s="3" t="s">
        <v>3</v>
      </c>
      <c r="BH154" s="3">
        <v>3</v>
      </c>
      <c r="BI154" s="3">
        <v>3</v>
      </c>
      <c r="BJ154" s="3" t="s">
        <v>275</v>
      </c>
      <c r="BM154" s="3">
        <v>400007</v>
      </c>
      <c r="BN154" s="3">
        <v>0</v>
      </c>
      <c r="BO154" s="3" t="s">
        <v>3</v>
      </c>
      <c r="BP154" s="3">
        <v>0</v>
      </c>
      <c r="BQ154" s="3">
        <v>214</v>
      </c>
      <c r="BR154" s="3">
        <v>0</v>
      </c>
      <c r="BS154" s="3">
        <v>1</v>
      </c>
      <c r="BT154" s="3">
        <v>1</v>
      </c>
      <c r="BU154" s="3">
        <v>1</v>
      </c>
      <c r="BV154" s="3">
        <v>1</v>
      </c>
      <c r="BW154" s="3">
        <v>1</v>
      </c>
      <c r="BX154" s="3">
        <v>1</v>
      </c>
      <c r="BY154" s="3" t="s">
        <v>3</v>
      </c>
      <c r="BZ154" s="3">
        <v>0</v>
      </c>
      <c r="CA154" s="3">
        <v>0</v>
      </c>
      <c r="CB154" s="3" t="s">
        <v>3</v>
      </c>
      <c r="CE154" s="3">
        <v>1566</v>
      </c>
      <c r="CF154" s="3">
        <v>0</v>
      </c>
      <c r="CG154" s="3">
        <v>0</v>
      </c>
      <c r="CM154" s="3">
        <v>0</v>
      </c>
      <c r="CN154" s="3" t="s">
        <v>3</v>
      </c>
      <c r="CO154" s="3">
        <v>0</v>
      </c>
      <c r="CP154" s="3">
        <f t="shared" si="138"/>
        <v>2161.65</v>
      </c>
      <c r="CQ154" s="3">
        <f t="shared" si="170"/>
        <v>2161.65</v>
      </c>
      <c r="CR154" s="3">
        <f t="shared" si="164"/>
        <v>0</v>
      </c>
      <c r="CS154" s="3">
        <f t="shared" si="165"/>
        <v>0</v>
      </c>
      <c r="CT154" s="3">
        <f t="shared" si="139"/>
        <v>0</v>
      </c>
      <c r="CU154" s="3">
        <f t="shared" si="140"/>
        <v>0</v>
      </c>
      <c r="CV154" s="3">
        <f t="shared" si="141"/>
        <v>0</v>
      </c>
      <c r="CW154" s="3">
        <f t="shared" si="142"/>
        <v>0</v>
      </c>
      <c r="CX154" s="3">
        <f t="shared" si="143"/>
        <v>0</v>
      </c>
      <c r="CY154" s="3">
        <f t="shared" si="166"/>
        <v>0</v>
      </c>
      <c r="CZ154" s="3">
        <f t="shared" si="167"/>
        <v>0</v>
      </c>
      <c r="DC154" s="3" t="s">
        <v>3</v>
      </c>
      <c r="DD154" s="3" t="s">
        <v>3</v>
      </c>
      <c r="DE154" s="3" t="s">
        <v>3</v>
      </c>
      <c r="DF154" s="3" t="s">
        <v>3</v>
      </c>
      <c r="DG154" s="3" t="s">
        <v>3</v>
      </c>
      <c r="DH154" s="3" t="s">
        <v>3</v>
      </c>
      <c r="DI154" s="3" t="s">
        <v>3</v>
      </c>
      <c r="DJ154" s="3" t="s">
        <v>3</v>
      </c>
      <c r="DK154" s="3" t="s">
        <v>3</v>
      </c>
      <c r="DL154" s="3" t="s">
        <v>3</v>
      </c>
      <c r="DM154" s="3" t="s">
        <v>3</v>
      </c>
      <c r="DN154" s="3">
        <v>0</v>
      </c>
      <c r="DO154" s="3">
        <v>0</v>
      </c>
      <c r="DP154" s="3">
        <v>1</v>
      </c>
      <c r="DQ154" s="3">
        <v>1</v>
      </c>
      <c r="DU154" s="3">
        <v>1013</v>
      </c>
      <c r="DV154" s="3" t="s">
        <v>183</v>
      </c>
      <c r="DW154" s="3" t="s">
        <v>183</v>
      </c>
      <c r="DX154" s="3">
        <v>1</v>
      </c>
      <c r="DZ154" s="3" t="s">
        <v>3</v>
      </c>
      <c r="EA154" s="3" t="s">
        <v>3</v>
      </c>
      <c r="EB154" s="3" t="s">
        <v>3</v>
      </c>
      <c r="EC154" s="3" t="s">
        <v>3</v>
      </c>
      <c r="EE154" s="3">
        <v>55393630</v>
      </c>
      <c r="EF154" s="3">
        <v>214</v>
      </c>
      <c r="EG154" s="3" t="s">
        <v>184</v>
      </c>
      <c r="EH154" s="3">
        <v>0</v>
      </c>
      <c r="EI154" s="3" t="s">
        <v>3</v>
      </c>
      <c r="EJ154" s="3">
        <v>3</v>
      </c>
      <c r="EK154" s="3">
        <v>400007</v>
      </c>
      <c r="EL154" s="3" t="s">
        <v>184</v>
      </c>
      <c r="EM154" s="3" t="s">
        <v>185</v>
      </c>
      <c r="EO154" s="3" t="s">
        <v>3</v>
      </c>
      <c r="EQ154" s="3">
        <v>16</v>
      </c>
      <c r="ER154" s="3">
        <v>0</v>
      </c>
      <c r="ES154" s="3">
        <v>282.20000000000005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5</v>
      </c>
      <c r="FC154" s="3">
        <v>1</v>
      </c>
      <c r="FD154" s="3">
        <v>18</v>
      </c>
      <c r="FF154" s="3">
        <v>2530</v>
      </c>
      <c r="FQ154" s="3">
        <v>0</v>
      </c>
      <c r="FR154" s="3">
        <f t="shared" si="168"/>
        <v>2161.65</v>
      </c>
      <c r="FS154" s="3">
        <v>0</v>
      </c>
      <c r="FX154" s="3">
        <v>0</v>
      </c>
      <c r="FY154" s="3">
        <v>0</v>
      </c>
      <c r="GA154" s="3" t="s">
        <v>277</v>
      </c>
      <c r="GD154" s="3">
        <v>1</v>
      </c>
      <c r="GF154" s="3">
        <v>628762815</v>
      </c>
      <c r="GG154" s="3">
        <v>2</v>
      </c>
      <c r="GH154" s="3">
        <v>3</v>
      </c>
      <c r="GI154" s="3">
        <v>5</v>
      </c>
      <c r="GJ154" s="3">
        <v>0</v>
      </c>
      <c r="GK154" s="3">
        <v>0</v>
      </c>
      <c r="GL154" s="3">
        <f t="shared" si="144"/>
        <v>0</v>
      </c>
      <c r="GM154" s="3">
        <f t="shared" si="145"/>
        <v>2161.65</v>
      </c>
      <c r="GN154" s="3">
        <f t="shared" si="146"/>
        <v>0</v>
      </c>
      <c r="GO154" s="3">
        <f t="shared" si="147"/>
        <v>0</v>
      </c>
      <c r="GP154" s="3">
        <f t="shared" si="148"/>
        <v>0</v>
      </c>
      <c r="GR154" s="3">
        <v>1</v>
      </c>
      <c r="GS154" s="3">
        <v>1</v>
      </c>
      <c r="GT154" s="3">
        <v>0</v>
      </c>
      <c r="GU154" s="3" t="s">
        <v>3</v>
      </c>
      <c r="GV154" s="3">
        <f t="shared" si="149"/>
        <v>0</v>
      </c>
      <c r="GW154" s="3">
        <v>1</v>
      </c>
      <c r="GX154" s="3">
        <f t="shared" si="150"/>
        <v>0</v>
      </c>
      <c r="HA154" s="3">
        <v>0</v>
      </c>
      <c r="HB154" s="3">
        <v>0</v>
      </c>
      <c r="HC154" s="3">
        <f t="shared" si="151"/>
        <v>0</v>
      </c>
      <c r="HE154" s="3" t="s">
        <v>34</v>
      </c>
      <c r="HF154" s="3" t="s">
        <v>187</v>
      </c>
      <c r="HM154" s="3" t="s">
        <v>3</v>
      </c>
      <c r="HN154" s="3" t="s">
        <v>3</v>
      </c>
      <c r="HO154" s="3" t="s">
        <v>3</v>
      </c>
      <c r="HP154" s="3" t="s">
        <v>3</v>
      </c>
      <c r="HQ154" s="3" t="s">
        <v>3</v>
      </c>
      <c r="HS154" s="3">
        <v>0</v>
      </c>
      <c r="IK154" s="3">
        <v>0</v>
      </c>
    </row>
    <row r="155" spans="1:255" x14ac:dyDescent="0.2">
      <c r="A155" s="2">
        <v>17</v>
      </c>
      <c r="B155" s="2">
        <v>1</v>
      </c>
      <c r="C155" s="2">
        <f>ROW(SmtRes!A194)</f>
        <v>194</v>
      </c>
      <c r="D155" s="2">
        <f>ROW(EtalonRes!A250)</f>
        <v>250</v>
      </c>
      <c r="E155" s="2" t="s">
        <v>278</v>
      </c>
      <c r="F155" s="2" t="s">
        <v>73</v>
      </c>
      <c r="G155" s="2" t="s">
        <v>279</v>
      </c>
      <c r="H155" s="2" t="s">
        <v>75</v>
      </c>
      <c r="I155" s="2">
        <f>ROUND(4/10,9)</f>
        <v>0.4</v>
      </c>
      <c r="J155" s="2">
        <v>0</v>
      </c>
      <c r="K155" s="2">
        <f>ROUND(4/10,9)</f>
        <v>0.4</v>
      </c>
      <c r="L155" s="2"/>
      <c r="M155" s="2"/>
      <c r="N155" s="2"/>
      <c r="O155" s="2">
        <f t="shared" si="129"/>
        <v>392.86</v>
      </c>
      <c r="P155" s="2">
        <f t="shared" si="169"/>
        <v>195.15</v>
      </c>
      <c r="Q155" s="2">
        <f>(ROUND((ROUND(((((ET155*1.25)*1.2))*AV155*I155),2)*BB155),2)+ROUND((ROUND(((AE155-(((EU155*1.25)*1.2)))*AV155*I155),2)*BS155),2))</f>
        <v>74.17</v>
      </c>
      <c r="R155" s="2">
        <f>(ROUND((ROUND(((((EU155*1.25)*1.2))*AV155*I155),2)*BS155),2)+ROUND((ROUND(((AE155-(((EU155*1.25)*1.2)))*AV155*I155),2)*BS155),2))</f>
        <v>11.19</v>
      </c>
      <c r="S155" s="2">
        <f t="shared" si="130"/>
        <v>123.54</v>
      </c>
      <c r="T155" s="2">
        <f t="shared" si="131"/>
        <v>0</v>
      </c>
      <c r="U155" s="2">
        <f t="shared" si="132"/>
        <v>11.028441119999998</v>
      </c>
      <c r="V155" s="2">
        <f t="shared" si="133"/>
        <v>0</v>
      </c>
      <c r="W155" s="2">
        <f t="shared" si="134"/>
        <v>0</v>
      </c>
      <c r="X155" s="2">
        <f>(ROUND((((S155+ROUND((ROUND(((((EU155*1.25)*1.2))*AV155*I155),2)*BS155),2))*AT155)/100),2)+ROUND(((ROUND((ROUND(((AE155-(((EU155*1.25)*1.2)))*AV155*I155),2)*BS155),2)*AT155)/100),2))</f>
        <v>125.3</v>
      </c>
      <c r="Y155" s="2">
        <f>(ROUND((((S155+ROUND((ROUND(((((EU155*1.25)*1.2))*AV155*I155),2)*BS155),2))*AU155)/100),2)+ROUND(((ROUND((ROUND(((AE155-(((EU155*1.25)*1.2)))*AV155*I155),2)*BS155),2)*AU155)/100),2))</f>
        <v>83.53</v>
      </c>
      <c r="Z155" s="2"/>
      <c r="AA155" s="2">
        <v>55937296</v>
      </c>
      <c r="AB155" s="2">
        <f t="shared" si="135"/>
        <v>942.60320000000002</v>
      </c>
      <c r="AC155" s="2">
        <f>ROUND((((ES155*1)*1)),6)</f>
        <v>487.88</v>
      </c>
      <c r="AD155" s="2">
        <f>ROUND((((((ET155*1.25)*1.2))-(((EU155*1.25)*1.2)))+AE155),6)</f>
        <v>170.595</v>
      </c>
      <c r="AE155" s="2">
        <f>ROUND((((EU155*1.25)*1.2)),6)</f>
        <v>25.74</v>
      </c>
      <c r="AF155" s="2">
        <f>ROUND((((EV155*1.15)*1.2)),6)</f>
        <v>284.12819999999999</v>
      </c>
      <c r="AG155" s="2">
        <f t="shared" si="136"/>
        <v>0</v>
      </c>
      <c r="AH155" s="2">
        <f>(((EW155*1.15)*1.2))</f>
        <v>25.364399999999996</v>
      </c>
      <c r="AI155" s="2">
        <f>(((EX155*1.25)*1.2))</f>
        <v>0</v>
      </c>
      <c r="AJ155" s="2">
        <f t="shared" si="137"/>
        <v>0</v>
      </c>
      <c r="AK155" s="2">
        <v>807.5</v>
      </c>
      <c r="AL155" s="2">
        <v>487.88</v>
      </c>
      <c r="AM155" s="2">
        <v>113.73</v>
      </c>
      <c r="AN155" s="2">
        <v>17.16</v>
      </c>
      <c r="AO155" s="2">
        <v>205.89</v>
      </c>
      <c r="AP155" s="2">
        <v>0</v>
      </c>
      <c r="AQ155" s="2">
        <v>18.38</v>
      </c>
      <c r="AR155" s="2">
        <v>0</v>
      </c>
      <c r="AS155" s="2">
        <v>0</v>
      </c>
      <c r="AT155" s="2">
        <v>93</v>
      </c>
      <c r="AU155" s="2">
        <v>62</v>
      </c>
      <c r="AV155" s="2">
        <v>1.087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1</v>
      </c>
      <c r="BJ155" s="2" t="s">
        <v>76</v>
      </c>
      <c r="BK155" s="2"/>
      <c r="BL155" s="2"/>
      <c r="BM155" s="2">
        <v>13</v>
      </c>
      <c r="BN155" s="2">
        <v>0</v>
      </c>
      <c r="BO155" s="2" t="s">
        <v>73</v>
      </c>
      <c r="BP155" s="2">
        <v>1</v>
      </c>
      <c r="BQ155" s="2">
        <v>30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93</v>
      </c>
      <c r="CA155" s="2">
        <v>62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801</v>
      </c>
      <c r="CO155" s="2">
        <v>0</v>
      </c>
      <c r="CP155" s="2">
        <f t="shared" si="138"/>
        <v>392.86</v>
      </c>
      <c r="CQ155" s="2">
        <f t="shared" si="170"/>
        <v>487.88</v>
      </c>
      <c r="CR155" s="2">
        <f>(ROUND((ROUND(((((ET155*1.25)*1.2))*AV155*1),2)*BB155),2)+ROUND((ROUND(((AE155-(((EU155*1.25)*1.2)))*AV155*1),2)*BS155),2))</f>
        <v>185.44</v>
      </c>
      <c r="CS155" s="2">
        <f>(ROUND((ROUND(((((EU155*1.25)*1.2))*AV155*1),2)*BS155),2)+ROUND((ROUND(((AE155-(((EU155*1.25)*1.2)))*AV155*1),2)*BS155),2))</f>
        <v>27.98</v>
      </c>
      <c r="CT155" s="2">
        <f t="shared" si="139"/>
        <v>308.85000000000002</v>
      </c>
      <c r="CU155" s="2">
        <f t="shared" si="140"/>
        <v>0</v>
      </c>
      <c r="CV155" s="2">
        <f t="shared" si="141"/>
        <v>27.571102799999995</v>
      </c>
      <c r="CW155" s="2">
        <f t="shared" si="142"/>
        <v>0</v>
      </c>
      <c r="CX155" s="2">
        <f t="shared" si="143"/>
        <v>0</v>
      </c>
      <c r="CY155" s="2">
        <f>(ROUND((((S155+ROUND((ROUND(((((EU155*1.25)*1.2))*AV155*1),2)*BS155),2))*AT155)/100),2)+ROUND(((ROUND((ROUND(((AE155-(((EU155*1.25)*1.2)))*AV155*1),2)*BS155),2)*AT155)/100),2))</f>
        <v>140.91</v>
      </c>
      <c r="CZ155" s="2">
        <f>(ROUND((((S155+ROUND((ROUND(((((EU155*1.25)*1.2))*AV155*1),2)*BS155),2))*AU155)/100),2)+ROUND(((ROUND((ROUND(((AE155-(((EU155*1.25)*1.2)))*AV155*1),2)*BS155),2)*AU155)/100),2))</f>
        <v>93.94</v>
      </c>
      <c r="DA155" s="2"/>
      <c r="DB155" s="2">
        <v>93</v>
      </c>
      <c r="DC155" s="2" t="s">
        <v>3</v>
      </c>
      <c r="DD155" s="2" t="s">
        <v>280</v>
      </c>
      <c r="DE155" s="2" t="s">
        <v>281</v>
      </c>
      <c r="DF155" s="2" t="s">
        <v>281</v>
      </c>
      <c r="DG155" s="2" t="s">
        <v>282</v>
      </c>
      <c r="DH155" s="2" t="s">
        <v>3</v>
      </c>
      <c r="DI155" s="2" t="s">
        <v>282</v>
      </c>
      <c r="DJ155" s="2" t="s">
        <v>281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1010</v>
      </c>
      <c r="DV155" s="2" t="s">
        <v>75</v>
      </c>
      <c r="DW155" s="2" t="s">
        <v>75</v>
      </c>
      <c r="DX155" s="2">
        <v>10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55393642</v>
      </c>
      <c r="EF155" s="2">
        <v>30</v>
      </c>
      <c r="EG155" s="2" t="s">
        <v>80</v>
      </c>
      <c r="EH155" s="2">
        <v>0</v>
      </c>
      <c r="EI155" s="2" t="s">
        <v>3</v>
      </c>
      <c r="EJ155" s="2">
        <v>1</v>
      </c>
      <c r="EK155" s="2">
        <v>13</v>
      </c>
      <c r="EL155" s="2" t="s">
        <v>81</v>
      </c>
      <c r="EM155" s="2" t="s">
        <v>82</v>
      </c>
      <c r="EN155" s="2"/>
      <c r="EO155" s="2" t="s">
        <v>283</v>
      </c>
      <c r="EP155" s="2"/>
      <c r="EQ155" s="2">
        <v>0</v>
      </c>
      <c r="ER155" s="2">
        <v>807.5</v>
      </c>
      <c r="ES155" s="2">
        <v>487.88</v>
      </c>
      <c r="ET155" s="2">
        <v>113.73</v>
      </c>
      <c r="EU155" s="2">
        <v>17.16</v>
      </c>
      <c r="EV155" s="2">
        <v>205.89</v>
      </c>
      <c r="EW155" s="2">
        <v>18.38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93</v>
      </c>
      <c r="FY155" s="2">
        <v>62</v>
      </c>
      <c r="FZ155" s="2"/>
      <c r="GA155" s="2" t="s">
        <v>3</v>
      </c>
      <c r="GB155" s="2"/>
      <c r="GC155" s="2"/>
      <c r="GD155" s="2">
        <v>1</v>
      </c>
      <c r="GE155" s="2"/>
      <c r="GF155" s="2">
        <v>302129174</v>
      </c>
      <c r="GG155" s="2">
        <v>2</v>
      </c>
      <c r="GH155" s="2">
        <v>1</v>
      </c>
      <c r="GI155" s="2">
        <v>2</v>
      </c>
      <c r="GJ155" s="2">
        <v>0</v>
      </c>
      <c r="GK155" s="2">
        <v>0</v>
      </c>
      <c r="GL155" s="2">
        <f t="shared" si="144"/>
        <v>0</v>
      </c>
      <c r="GM155" s="2">
        <f t="shared" si="145"/>
        <v>601.69000000000005</v>
      </c>
      <c r="GN155" s="2">
        <f t="shared" si="146"/>
        <v>601.69000000000005</v>
      </c>
      <c r="GO155" s="2">
        <f t="shared" si="147"/>
        <v>0</v>
      </c>
      <c r="GP155" s="2">
        <f t="shared" si="148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149"/>
        <v>0</v>
      </c>
      <c r="GW155" s="2">
        <v>1</v>
      </c>
      <c r="GX155" s="2">
        <f t="shared" si="150"/>
        <v>0</v>
      </c>
      <c r="GY155" s="2"/>
      <c r="GZ155" s="2"/>
      <c r="HA155" s="2">
        <v>0</v>
      </c>
      <c r="HB155" s="2">
        <v>0</v>
      </c>
      <c r="HC155" s="2">
        <f t="shared" si="151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 s="3">
        <v>17</v>
      </c>
      <c r="B156" s="3">
        <v>1</v>
      </c>
      <c r="C156" s="3">
        <f>ROW(SmtRes!A202)</f>
        <v>202</v>
      </c>
      <c r="D156" s="3">
        <f>ROW(EtalonRes!A258)</f>
        <v>258</v>
      </c>
      <c r="E156" s="3" t="s">
        <v>278</v>
      </c>
      <c r="F156" s="3" t="s">
        <v>73</v>
      </c>
      <c r="G156" s="3" t="s">
        <v>279</v>
      </c>
      <c r="H156" s="3" t="s">
        <v>75</v>
      </c>
      <c r="I156" s="3">
        <f>ROUND(4/10,9)</f>
        <v>0.4</v>
      </c>
      <c r="J156" s="3">
        <v>0</v>
      </c>
      <c r="K156" s="3">
        <f>ROUND(4/10,9)</f>
        <v>0.4</v>
      </c>
      <c r="O156" s="3">
        <f t="shared" si="129"/>
        <v>9472.81</v>
      </c>
      <c r="P156" s="3">
        <f t="shared" si="169"/>
        <v>1248.96</v>
      </c>
      <c r="Q156" s="3">
        <f>(ROUND((ROUND(((((ET156*1.25)*1.2))*AV156*I156),2)*BB156),2)+ROUND((ROUND(((AE156-(((EU156*1.25)*1.2)))*AV156*I156),2)*BS156),2))</f>
        <v>1262.3699999999999</v>
      </c>
      <c r="R156" s="3">
        <f>(ROUND((ROUND(((((EU156*1.25)*1.2))*AV156*I156),2)*BS156),2)+ROUND((ROUND(((AE156-(((EU156*1.25)*1.2)))*AV156*I156),2)*BS156),2))</f>
        <v>630.55999999999995</v>
      </c>
      <c r="S156" s="3">
        <f t="shared" si="130"/>
        <v>6961.48</v>
      </c>
      <c r="T156" s="3">
        <f t="shared" si="131"/>
        <v>0</v>
      </c>
      <c r="U156" s="3">
        <f t="shared" si="132"/>
        <v>11.028441119999998</v>
      </c>
      <c r="V156" s="3">
        <f t="shared" si="133"/>
        <v>0</v>
      </c>
      <c r="W156" s="3">
        <f t="shared" si="134"/>
        <v>0</v>
      </c>
      <c r="X156" s="3">
        <f>(ROUND((((S156+ROUND((ROUND(((((EU156*1.25)*1.2))*AV156*I156),2)*BS156),2))*AT156)/100),2)+ROUND(((ROUND((ROUND(((AE156-(((EU156*1.25)*1.2)))*AV156*I156),2)*BS156),2)*AT156)/100),2))</f>
        <v>7060.6</v>
      </c>
      <c r="Y156" s="3">
        <f>(ROUND((((S156+ROUND((ROUND(((((EU156*1.25)*1.2))*AV156*I156),2)*BS156),2))*AU156)/100),2)+ROUND(((ROUND((ROUND(((AE156-(((EU156*1.25)*1.2)))*AV156*I156),2)*BS156),2)*AU156)/100),2))</f>
        <v>4707.0600000000004</v>
      </c>
      <c r="AA156" s="3">
        <v>55937298</v>
      </c>
      <c r="AB156" s="3">
        <f t="shared" si="135"/>
        <v>942.60320000000002</v>
      </c>
      <c r="AC156" s="3">
        <f>ROUND((((ES156*1)*1)),6)</f>
        <v>487.88</v>
      </c>
      <c r="AD156" s="3">
        <f>ROUND((((((ET156*1.25)*1.2))-(((EU156*1.25)*1.2)))+AE156),6)</f>
        <v>170.595</v>
      </c>
      <c r="AE156" s="3">
        <f>ROUND((((EU156*1.25)*1.2)),6)</f>
        <v>25.74</v>
      </c>
      <c r="AF156" s="3">
        <f>ROUND((((EV156*1.15)*1.2)),6)</f>
        <v>284.12819999999999</v>
      </c>
      <c r="AG156" s="3">
        <f t="shared" si="136"/>
        <v>0</v>
      </c>
      <c r="AH156" s="3">
        <f>(((EW156*1.15)*1.2))</f>
        <v>25.364399999999996</v>
      </c>
      <c r="AI156" s="3">
        <f>(((EX156*1.25)*1.2))</f>
        <v>0</v>
      </c>
      <c r="AJ156" s="3">
        <f t="shared" si="137"/>
        <v>0</v>
      </c>
      <c r="AK156" s="3">
        <v>807.5</v>
      </c>
      <c r="AL156" s="3">
        <v>487.88</v>
      </c>
      <c r="AM156" s="3">
        <v>113.73</v>
      </c>
      <c r="AN156" s="3">
        <v>17.16</v>
      </c>
      <c r="AO156" s="3">
        <v>205.89</v>
      </c>
      <c r="AP156" s="3">
        <v>0</v>
      </c>
      <c r="AQ156" s="3">
        <v>18.38</v>
      </c>
      <c r="AR156" s="3">
        <v>0</v>
      </c>
      <c r="AS156" s="3">
        <v>0</v>
      </c>
      <c r="AT156" s="3">
        <v>93</v>
      </c>
      <c r="AU156" s="3">
        <v>62</v>
      </c>
      <c r="AV156" s="3">
        <v>1.087</v>
      </c>
      <c r="AW156" s="3">
        <v>1</v>
      </c>
      <c r="AZ156" s="3">
        <v>1</v>
      </c>
      <c r="BA156" s="3">
        <v>56.35</v>
      </c>
      <c r="BB156" s="3">
        <v>17.02</v>
      </c>
      <c r="BC156" s="3">
        <v>6.4</v>
      </c>
      <c r="BD156" s="3" t="s">
        <v>3</v>
      </c>
      <c r="BE156" s="3" t="s">
        <v>3</v>
      </c>
      <c r="BF156" s="3" t="s">
        <v>3</v>
      </c>
      <c r="BG156" s="3" t="s">
        <v>3</v>
      </c>
      <c r="BH156" s="3">
        <v>0</v>
      </c>
      <c r="BI156" s="3">
        <v>1</v>
      </c>
      <c r="BJ156" s="3" t="s">
        <v>76</v>
      </c>
      <c r="BM156" s="3">
        <v>13</v>
      </c>
      <c r="BN156" s="3">
        <v>0</v>
      </c>
      <c r="BO156" s="3" t="s">
        <v>73</v>
      </c>
      <c r="BP156" s="3">
        <v>1</v>
      </c>
      <c r="BQ156" s="3">
        <v>30</v>
      </c>
      <c r="BR156" s="3">
        <v>0</v>
      </c>
      <c r="BS156" s="3">
        <v>56.35</v>
      </c>
      <c r="BT156" s="3">
        <v>1</v>
      </c>
      <c r="BU156" s="3">
        <v>1</v>
      </c>
      <c r="BV156" s="3">
        <v>1</v>
      </c>
      <c r="BW156" s="3">
        <v>1</v>
      </c>
      <c r="BX156" s="3">
        <v>1</v>
      </c>
      <c r="BY156" s="3" t="s">
        <v>3</v>
      </c>
      <c r="BZ156" s="3">
        <v>93</v>
      </c>
      <c r="CA156" s="3">
        <v>62</v>
      </c>
      <c r="CB156" s="3" t="s">
        <v>3</v>
      </c>
      <c r="CE156" s="3">
        <v>1566</v>
      </c>
      <c r="CF156" s="3">
        <v>0</v>
      </c>
      <c r="CG156" s="3">
        <v>0</v>
      </c>
      <c r="CM156" s="3">
        <v>0</v>
      </c>
      <c r="CN156" s="3" t="s">
        <v>801</v>
      </c>
      <c r="CO156" s="3">
        <v>0</v>
      </c>
      <c r="CP156" s="3">
        <f t="shared" si="138"/>
        <v>9472.81</v>
      </c>
      <c r="CQ156" s="3">
        <f t="shared" si="170"/>
        <v>3122.43</v>
      </c>
      <c r="CR156" s="3">
        <f>(ROUND((ROUND(((((ET156*1.25)*1.2))*AV156*1),2)*BB156),2)+ROUND((ROUND(((AE156-(((EU156*1.25)*1.2)))*AV156*1),2)*BS156),2))</f>
        <v>3156.19</v>
      </c>
      <c r="CS156" s="3">
        <f>(ROUND((ROUND(((((EU156*1.25)*1.2))*AV156*1),2)*BS156),2)+ROUND((ROUND(((AE156-(((EU156*1.25)*1.2)))*AV156*1),2)*BS156),2))</f>
        <v>1576.67</v>
      </c>
      <c r="CT156" s="3">
        <f t="shared" si="139"/>
        <v>17403.7</v>
      </c>
      <c r="CU156" s="3">
        <f t="shared" si="140"/>
        <v>0</v>
      </c>
      <c r="CV156" s="3">
        <f t="shared" si="141"/>
        <v>27.571102799999995</v>
      </c>
      <c r="CW156" s="3">
        <f t="shared" si="142"/>
        <v>0</v>
      </c>
      <c r="CX156" s="3">
        <f t="shared" si="143"/>
        <v>0</v>
      </c>
      <c r="CY156" s="3">
        <f>(ROUND((((S156+ROUND((ROUND(((((EU156*1.25)*1.2))*AV156*1),2)*BS156),2))*AT156)/100),2)+ROUND(((ROUND((ROUND(((AE156-(((EU156*1.25)*1.2)))*AV156*1),2)*BS156),2)*AT156)/100),2))</f>
        <v>7940.48</v>
      </c>
      <c r="CZ156" s="3">
        <f>(ROUND((((S156+ROUND((ROUND(((((EU156*1.25)*1.2))*AV156*1),2)*BS156),2))*AU156)/100),2)+ROUND(((ROUND((ROUND(((AE156-(((EU156*1.25)*1.2)))*AV156*1),2)*BS156),2)*AU156)/100),2))</f>
        <v>5293.65</v>
      </c>
      <c r="DB156" s="3">
        <v>95</v>
      </c>
      <c r="DC156" s="3" t="s">
        <v>3</v>
      </c>
      <c r="DD156" s="3" t="s">
        <v>280</v>
      </c>
      <c r="DE156" s="3" t="s">
        <v>281</v>
      </c>
      <c r="DF156" s="3" t="s">
        <v>281</v>
      </c>
      <c r="DG156" s="3" t="s">
        <v>282</v>
      </c>
      <c r="DH156" s="3" t="s">
        <v>3</v>
      </c>
      <c r="DI156" s="3" t="s">
        <v>282</v>
      </c>
      <c r="DJ156" s="3" t="s">
        <v>281</v>
      </c>
      <c r="DK156" s="3" t="s">
        <v>3</v>
      </c>
      <c r="DL156" s="3" t="s">
        <v>3</v>
      </c>
      <c r="DM156" s="3" t="s">
        <v>3</v>
      </c>
      <c r="DN156" s="3">
        <v>0</v>
      </c>
      <c r="DO156" s="3">
        <v>0</v>
      </c>
      <c r="DP156" s="3">
        <v>1</v>
      </c>
      <c r="DQ156" s="3">
        <v>1</v>
      </c>
      <c r="DU156" s="3">
        <v>1010</v>
      </c>
      <c r="DV156" s="3" t="s">
        <v>75</v>
      </c>
      <c r="DW156" s="3" t="s">
        <v>75</v>
      </c>
      <c r="DX156" s="3">
        <v>10</v>
      </c>
      <c r="DZ156" s="3" t="s">
        <v>3</v>
      </c>
      <c r="EA156" s="3" t="s">
        <v>3</v>
      </c>
      <c r="EB156" s="3" t="s">
        <v>3</v>
      </c>
      <c r="EC156" s="3" t="s">
        <v>3</v>
      </c>
      <c r="EE156" s="3">
        <v>55393642</v>
      </c>
      <c r="EF156" s="3">
        <v>30</v>
      </c>
      <c r="EG156" s="3" t="s">
        <v>80</v>
      </c>
      <c r="EH156" s="3">
        <v>0</v>
      </c>
      <c r="EI156" s="3" t="s">
        <v>3</v>
      </c>
      <c r="EJ156" s="3">
        <v>1</v>
      </c>
      <c r="EK156" s="3">
        <v>13</v>
      </c>
      <c r="EL156" s="3" t="s">
        <v>81</v>
      </c>
      <c r="EM156" s="3" t="s">
        <v>82</v>
      </c>
      <c r="EO156" s="3" t="s">
        <v>283</v>
      </c>
      <c r="EQ156" s="3">
        <v>0</v>
      </c>
      <c r="ER156" s="3">
        <v>807.5</v>
      </c>
      <c r="ES156" s="3">
        <v>487.88</v>
      </c>
      <c r="ET156" s="3">
        <v>113.73</v>
      </c>
      <c r="EU156" s="3">
        <v>17.16</v>
      </c>
      <c r="EV156" s="3">
        <v>205.89</v>
      </c>
      <c r="EW156" s="3">
        <v>18.38</v>
      </c>
      <c r="EX156" s="3">
        <v>0</v>
      </c>
      <c r="EY156" s="3">
        <v>0</v>
      </c>
      <c r="FQ156" s="3">
        <v>0</v>
      </c>
      <c r="FR156" s="3">
        <v>0</v>
      </c>
      <c r="FS156" s="3">
        <v>0</v>
      </c>
      <c r="FX156" s="3">
        <v>93</v>
      </c>
      <c r="FY156" s="3">
        <v>62</v>
      </c>
      <c r="GA156" s="3" t="s">
        <v>3</v>
      </c>
      <c r="GD156" s="3">
        <v>1</v>
      </c>
      <c r="GF156" s="3">
        <v>302129174</v>
      </c>
      <c r="GG156" s="3">
        <v>2</v>
      </c>
      <c r="GH156" s="3">
        <v>1</v>
      </c>
      <c r="GI156" s="3">
        <v>2</v>
      </c>
      <c r="GJ156" s="3">
        <v>0</v>
      </c>
      <c r="GK156" s="3">
        <v>0</v>
      </c>
      <c r="GL156" s="3">
        <f t="shared" si="144"/>
        <v>0</v>
      </c>
      <c r="GM156" s="3">
        <f t="shared" si="145"/>
        <v>21240.47</v>
      </c>
      <c r="GN156" s="3">
        <f t="shared" si="146"/>
        <v>21240.47</v>
      </c>
      <c r="GO156" s="3">
        <f t="shared" si="147"/>
        <v>0</v>
      </c>
      <c r="GP156" s="3">
        <f t="shared" si="148"/>
        <v>0</v>
      </c>
      <c r="GR156" s="3">
        <v>0</v>
      </c>
      <c r="GS156" s="3">
        <v>3</v>
      </c>
      <c r="GT156" s="3">
        <v>0</v>
      </c>
      <c r="GU156" s="3" t="s">
        <v>3</v>
      </c>
      <c r="GV156" s="3">
        <f t="shared" si="149"/>
        <v>0</v>
      </c>
      <c r="GW156" s="3">
        <v>1</v>
      </c>
      <c r="GX156" s="3">
        <f t="shared" si="150"/>
        <v>0</v>
      </c>
      <c r="HA156" s="3">
        <v>0</v>
      </c>
      <c r="HB156" s="3">
        <v>0</v>
      </c>
      <c r="HC156" s="3">
        <f t="shared" si="151"/>
        <v>0</v>
      </c>
      <c r="HE156" s="3" t="s">
        <v>3</v>
      </c>
      <c r="HF156" s="3" t="s">
        <v>3</v>
      </c>
      <c r="HM156" s="3" t="s">
        <v>3</v>
      </c>
      <c r="HN156" s="3" t="s">
        <v>3</v>
      </c>
      <c r="HO156" s="3" t="s">
        <v>3</v>
      </c>
      <c r="HP156" s="3" t="s">
        <v>3</v>
      </c>
      <c r="HQ156" s="3" t="s">
        <v>3</v>
      </c>
      <c r="HS156" s="3">
        <v>0</v>
      </c>
      <c r="IK156" s="3">
        <v>0</v>
      </c>
    </row>
    <row r="157" spans="1:255" x14ac:dyDescent="0.2">
      <c r="A157" s="2">
        <v>18</v>
      </c>
      <c r="B157" s="2">
        <v>1</v>
      </c>
      <c r="C157" s="2">
        <v>192</v>
      </c>
      <c r="D157" s="2"/>
      <c r="E157" s="2" t="s">
        <v>284</v>
      </c>
      <c r="F157" s="2" t="s">
        <v>285</v>
      </c>
      <c r="G157" s="2" t="s">
        <v>286</v>
      </c>
      <c r="H157" s="2" t="s">
        <v>287</v>
      </c>
      <c r="I157" s="2">
        <f>I155*J157</f>
        <v>0.45079999999999992</v>
      </c>
      <c r="J157" s="2">
        <v>1.1269999999999998</v>
      </c>
      <c r="K157" s="2">
        <v>1.127</v>
      </c>
      <c r="L157" s="2"/>
      <c r="M157" s="2"/>
      <c r="N157" s="2"/>
      <c r="O157" s="2">
        <f t="shared" si="129"/>
        <v>20502.97</v>
      </c>
      <c r="P157" s="2">
        <f t="shared" si="169"/>
        <v>20502.97</v>
      </c>
      <c r="Q157" s="2">
        <f>(ROUND((ROUND(((ET157)*AV157*I157),2)*BB157),2)+ROUND((ROUND(((AE157-(EU157))*AV157*I157),2)*BS157),2))</f>
        <v>0</v>
      </c>
      <c r="R157" s="2">
        <f>(ROUND((ROUND(((EU157)*AV157*I157),2)*BS157),2)+ROUND((ROUND(((AE157-(EU157))*AV157*I157),2)*BS157),2))</f>
        <v>0</v>
      </c>
      <c r="S157" s="2">
        <f t="shared" si="130"/>
        <v>0</v>
      </c>
      <c r="T157" s="2">
        <f t="shared" si="131"/>
        <v>0</v>
      </c>
      <c r="U157" s="2">
        <f t="shared" si="132"/>
        <v>0</v>
      </c>
      <c r="V157" s="2">
        <f t="shared" si="133"/>
        <v>0</v>
      </c>
      <c r="W157" s="2">
        <f t="shared" si="134"/>
        <v>0</v>
      </c>
      <c r="X157" s="2">
        <f>(ROUND((((S157+ROUND((ROUND(((EU157)*AV157*I157),2)*BS157),2))*AT157)/100),2)+ROUND(((ROUND((ROUND(((AE157-(EU157))*AV157*I157),2)*BS157),2)*AT157)/100),2))</f>
        <v>0</v>
      </c>
      <c r="Y157" s="2">
        <f>(ROUND((((S157+ROUND((ROUND(((EU157)*AV157*I157),2)*BS157),2))*AU157)/100),2)+ROUND(((ROUND((ROUND(((AE157-(EU157))*AV157*I157),2)*BS157),2)*AU157)/100),2))</f>
        <v>0</v>
      </c>
      <c r="Z157" s="2"/>
      <c r="AA157" s="2">
        <v>55937296</v>
      </c>
      <c r="AB157" s="2">
        <f t="shared" si="135"/>
        <v>45481.31</v>
      </c>
      <c r="AC157" s="2">
        <f>ROUND((ES157),6)</f>
        <v>45481.31</v>
      </c>
      <c r="AD157" s="2">
        <f>ROUND((((ET157)-(EU157))+AE157),6)</f>
        <v>0</v>
      </c>
      <c r="AE157" s="2">
        <f>ROUND((EU157),6)</f>
        <v>0</v>
      </c>
      <c r="AF157" s="2">
        <f>ROUND((EV157),6)</f>
        <v>0</v>
      </c>
      <c r="AG157" s="2">
        <f t="shared" si="136"/>
        <v>0</v>
      </c>
      <c r="AH157" s="2">
        <f>(EW157)</f>
        <v>0</v>
      </c>
      <c r="AI157" s="2">
        <f>(EX157)</f>
        <v>0</v>
      </c>
      <c r="AJ157" s="2">
        <f t="shared" si="137"/>
        <v>0</v>
      </c>
      <c r="AK157" s="2">
        <v>45481.31</v>
      </c>
      <c r="AL157" s="2">
        <v>45481.31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93</v>
      </c>
      <c r="AU157" s="2">
        <v>62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1</v>
      </c>
      <c r="BJ157" s="2" t="s">
        <v>288</v>
      </c>
      <c r="BK157" s="2"/>
      <c r="BL157" s="2"/>
      <c r="BM157" s="2">
        <v>13</v>
      </c>
      <c r="BN157" s="2">
        <v>0</v>
      </c>
      <c r="BO157" s="2" t="s">
        <v>3</v>
      </c>
      <c r="BP157" s="2">
        <v>0</v>
      </c>
      <c r="BQ157" s="2">
        <v>30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93</v>
      </c>
      <c r="CA157" s="2">
        <v>62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802</v>
      </c>
      <c r="CO157" s="2">
        <v>0</v>
      </c>
      <c r="CP157" s="2">
        <f t="shared" si="138"/>
        <v>20502.97</v>
      </c>
      <c r="CQ157" s="2">
        <f t="shared" si="170"/>
        <v>45481.31</v>
      </c>
      <c r="CR157" s="2">
        <f>(ROUND((ROUND(((ET157)*AV157*1),2)*BB157),2)+ROUND((ROUND(((AE157-(EU157))*AV157*1),2)*BS157),2))</f>
        <v>0</v>
      </c>
      <c r="CS157" s="2">
        <f>(ROUND((ROUND(((EU157)*AV157*1),2)*BS157),2)+ROUND((ROUND(((AE157-(EU157))*AV157*1),2)*BS157),2))</f>
        <v>0</v>
      </c>
      <c r="CT157" s="2">
        <f t="shared" si="139"/>
        <v>0</v>
      </c>
      <c r="CU157" s="2">
        <f t="shared" si="140"/>
        <v>0</v>
      </c>
      <c r="CV157" s="2">
        <f t="shared" si="141"/>
        <v>0</v>
      </c>
      <c r="CW157" s="2">
        <f t="shared" si="142"/>
        <v>0</v>
      </c>
      <c r="CX157" s="2">
        <f t="shared" si="143"/>
        <v>0</v>
      </c>
      <c r="CY157" s="2">
        <f>(ROUND((((S157+ROUND((ROUND(((EU157)*AV157*1),2)*BS157),2))*AT157)/100),2)+ROUND(((ROUND((ROUND(((AE157-(EU157))*AV157*1),2)*BS157),2)*AT157)/100),2))</f>
        <v>0</v>
      </c>
      <c r="CZ157" s="2">
        <f>(ROUND((((S157+ROUND((ROUND(((EU157)*AV157*1),2)*BS157),2))*AU157)/100),2)+ROUND(((ROUND((ROUND(((AE157-(EU157))*AV157*1),2)*BS157),2)*AU157)/100),2))</f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1009</v>
      </c>
      <c r="DV157" s="2" t="s">
        <v>287</v>
      </c>
      <c r="DW157" s="2" t="s">
        <v>287</v>
      </c>
      <c r="DX157" s="2">
        <v>1000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55393642</v>
      </c>
      <c r="EF157" s="2">
        <v>30</v>
      </c>
      <c r="EG157" s="2" t="s">
        <v>80</v>
      </c>
      <c r="EH157" s="2">
        <v>0</v>
      </c>
      <c r="EI157" s="2" t="s">
        <v>3</v>
      </c>
      <c r="EJ157" s="2">
        <v>1</v>
      </c>
      <c r="EK157" s="2">
        <v>13</v>
      </c>
      <c r="EL157" s="2" t="s">
        <v>81</v>
      </c>
      <c r="EM157" s="2" t="s">
        <v>82</v>
      </c>
      <c r="EN157" s="2"/>
      <c r="EO157" s="2" t="s">
        <v>289</v>
      </c>
      <c r="EP157" s="2"/>
      <c r="EQ157" s="2">
        <v>0</v>
      </c>
      <c r="ER157" s="2">
        <v>45481.31</v>
      </c>
      <c r="ES157" s="2">
        <v>45481.31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93</v>
      </c>
      <c r="FY157" s="2">
        <v>62</v>
      </c>
      <c r="FZ157" s="2"/>
      <c r="GA157" s="2" t="s">
        <v>3</v>
      </c>
      <c r="GB157" s="2"/>
      <c r="GC157" s="2"/>
      <c r="GD157" s="2">
        <v>1</v>
      </c>
      <c r="GE157" s="2"/>
      <c r="GF157" s="2">
        <v>-1373885699</v>
      </c>
      <c r="GG157" s="2">
        <v>2</v>
      </c>
      <c r="GH157" s="2">
        <v>1</v>
      </c>
      <c r="GI157" s="2">
        <v>-2</v>
      </c>
      <c r="GJ157" s="2">
        <v>0</v>
      </c>
      <c r="GK157" s="2">
        <v>0</v>
      </c>
      <c r="GL157" s="2">
        <f t="shared" si="144"/>
        <v>0</v>
      </c>
      <c r="GM157" s="2">
        <f t="shared" si="145"/>
        <v>20502.97</v>
      </c>
      <c r="GN157" s="2">
        <f t="shared" si="146"/>
        <v>20502.97</v>
      </c>
      <c r="GO157" s="2">
        <f t="shared" si="147"/>
        <v>0</v>
      </c>
      <c r="GP157" s="2">
        <f t="shared" si="148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149"/>
        <v>0</v>
      </c>
      <c r="GW157" s="2">
        <v>1</v>
      </c>
      <c r="GX157" s="2">
        <f t="shared" si="150"/>
        <v>0</v>
      </c>
      <c r="GY157" s="2"/>
      <c r="GZ157" s="2"/>
      <c r="HA157" s="2">
        <v>0</v>
      </c>
      <c r="HB157" s="2">
        <v>0</v>
      </c>
      <c r="HC157" s="2">
        <f t="shared" si="151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 s="3">
        <v>18</v>
      </c>
      <c r="B158" s="3">
        <v>1</v>
      </c>
      <c r="C158" s="3">
        <v>200</v>
      </c>
      <c r="E158" s="3" t="s">
        <v>284</v>
      </c>
      <c r="F158" s="3" t="s">
        <v>285</v>
      </c>
      <c r="G158" s="3" t="s">
        <v>286</v>
      </c>
      <c r="H158" s="3" t="s">
        <v>287</v>
      </c>
      <c r="I158" s="3">
        <f>I156*J158</f>
        <v>0.45079999999999992</v>
      </c>
      <c r="J158" s="3">
        <v>1.1269999999999998</v>
      </c>
      <c r="K158" s="3">
        <v>1.127</v>
      </c>
      <c r="O158" s="3">
        <f t="shared" si="129"/>
        <v>52077.54</v>
      </c>
      <c r="P158" s="3">
        <f t="shared" si="169"/>
        <v>52077.54</v>
      </c>
      <c r="Q158" s="3">
        <f>(ROUND((ROUND(((ET158)*AV158*I158),2)*BB158),2)+ROUND((ROUND(((AE158-(EU158))*AV158*I158),2)*BS158),2))</f>
        <v>0</v>
      </c>
      <c r="R158" s="3">
        <f>(ROUND((ROUND(((EU158)*AV158*I158),2)*BS158),2)+ROUND((ROUND(((AE158-(EU158))*AV158*I158),2)*BS158),2))</f>
        <v>0</v>
      </c>
      <c r="S158" s="3">
        <f t="shared" si="130"/>
        <v>0</v>
      </c>
      <c r="T158" s="3">
        <f t="shared" si="131"/>
        <v>0</v>
      </c>
      <c r="U158" s="3">
        <f t="shared" si="132"/>
        <v>0</v>
      </c>
      <c r="V158" s="3">
        <f t="shared" si="133"/>
        <v>0</v>
      </c>
      <c r="W158" s="3">
        <f t="shared" si="134"/>
        <v>0</v>
      </c>
      <c r="X158" s="3">
        <f>(ROUND((((S158+ROUND((ROUND(((EU158)*AV158*I158),2)*BS158),2))*AT158)/100),2)+ROUND(((ROUND((ROUND(((AE158-(EU158))*AV158*I158),2)*BS158),2)*AT158)/100),2))</f>
        <v>0</v>
      </c>
      <c r="Y158" s="3">
        <f>(ROUND((((S158+ROUND((ROUND(((EU158)*AV158*I158),2)*BS158),2))*AU158)/100),2)+ROUND(((ROUND((ROUND(((AE158-(EU158))*AV158*I158),2)*BS158),2)*AU158)/100),2))</f>
        <v>0</v>
      </c>
      <c r="AA158" s="3">
        <v>55937298</v>
      </c>
      <c r="AB158" s="3">
        <f t="shared" si="135"/>
        <v>45481.31</v>
      </c>
      <c r="AC158" s="3">
        <f>ROUND((ES158),6)</f>
        <v>45481.31</v>
      </c>
      <c r="AD158" s="3">
        <f>ROUND((((ET158)-(EU158))+AE158),6)</f>
        <v>0</v>
      </c>
      <c r="AE158" s="3">
        <f>ROUND((EU158),6)</f>
        <v>0</v>
      </c>
      <c r="AF158" s="3">
        <f>ROUND((EV158),6)</f>
        <v>0</v>
      </c>
      <c r="AG158" s="3">
        <f t="shared" si="136"/>
        <v>0</v>
      </c>
      <c r="AH158" s="3">
        <f>(EW158)</f>
        <v>0</v>
      </c>
      <c r="AI158" s="3">
        <f>(EX158)</f>
        <v>0</v>
      </c>
      <c r="AJ158" s="3">
        <f t="shared" si="137"/>
        <v>0</v>
      </c>
      <c r="AK158" s="3">
        <v>45481.31</v>
      </c>
      <c r="AL158" s="3">
        <v>45481.31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93</v>
      </c>
      <c r="AU158" s="3">
        <v>62</v>
      </c>
      <c r="AV158" s="3">
        <v>1</v>
      </c>
      <c r="AW158" s="3">
        <v>1</v>
      </c>
      <c r="AZ158" s="3">
        <v>1</v>
      </c>
      <c r="BA158" s="3">
        <v>1</v>
      </c>
      <c r="BB158" s="3">
        <v>1</v>
      </c>
      <c r="BC158" s="3">
        <v>2.54</v>
      </c>
      <c r="BD158" s="3" t="s">
        <v>3</v>
      </c>
      <c r="BE158" s="3" t="s">
        <v>3</v>
      </c>
      <c r="BF158" s="3" t="s">
        <v>3</v>
      </c>
      <c r="BG158" s="3" t="s">
        <v>3</v>
      </c>
      <c r="BH158" s="3">
        <v>3</v>
      </c>
      <c r="BI158" s="3">
        <v>1</v>
      </c>
      <c r="BJ158" s="3" t="s">
        <v>288</v>
      </c>
      <c r="BM158" s="3">
        <v>13</v>
      </c>
      <c r="BN158" s="3">
        <v>0</v>
      </c>
      <c r="BO158" s="3" t="s">
        <v>285</v>
      </c>
      <c r="BP158" s="3">
        <v>1</v>
      </c>
      <c r="BQ158" s="3">
        <v>30</v>
      </c>
      <c r="BR158" s="3">
        <v>0</v>
      </c>
      <c r="BS158" s="3">
        <v>1</v>
      </c>
      <c r="BT158" s="3">
        <v>1</v>
      </c>
      <c r="BU158" s="3">
        <v>1</v>
      </c>
      <c r="BV158" s="3">
        <v>1</v>
      </c>
      <c r="BW158" s="3">
        <v>1</v>
      </c>
      <c r="BX158" s="3">
        <v>1</v>
      </c>
      <c r="BY158" s="3" t="s">
        <v>3</v>
      </c>
      <c r="BZ158" s="3">
        <v>93</v>
      </c>
      <c r="CA158" s="3">
        <v>62</v>
      </c>
      <c r="CB158" s="3" t="s">
        <v>3</v>
      </c>
      <c r="CE158" s="3">
        <v>1566</v>
      </c>
      <c r="CF158" s="3">
        <v>0</v>
      </c>
      <c r="CG158" s="3">
        <v>0</v>
      </c>
      <c r="CM158" s="3">
        <v>0</v>
      </c>
      <c r="CN158" s="3" t="s">
        <v>802</v>
      </c>
      <c r="CO158" s="3">
        <v>0</v>
      </c>
      <c r="CP158" s="3">
        <f t="shared" si="138"/>
        <v>52077.54</v>
      </c>
      <c r="CQ158" s="3">
        <f t="shared" si="170"/>
        <v>115522.53</v>
      </c>
      <c r="CR158" s="3">
        <f>(ROUND((ROUND(((ET158)*AV158*1),2)*BB158),2)+ROUND((ROUND(((AE158-(EU158))*AV158*1),2)*BS158),2))</f>
        <v>0</v>
      </c>
      <c r="CS158" s="3">
        <f>(ROUND((ROUND(((EU158)*AV158*1),2)*BS158),2)+ROUND((ROUND(((AE158-(EU158))*AV158*1),2)*BS158),2))</f>
        <v>0</v>
      </c>
      <c r="CT158" s="3">
        <f t="shared" si="139"/>
        <v>0</v>
      </c>
      <c r="CU158" s="3">
        <f t="shared" si="140"/>
        <v>0</v>
      </c>
      <c r="CV158" s="3">
        <f t="shared" si="141"/>
        <v>0</v>
      </c>
      <c r="CW158" s="3">
        <f t="shared" si="142"/>
        <v>0</v>
      </c>
      <c r="CX158" s="3">
        <f t="shared" si="143"/>
        <v>0</v>
      </c>
      <c r="CY158" s="3">
        <f>(ROUND((((S158+ROUND((ROUND(((EU158)*AV158*1),2)*BS158),2))*AT158)/100),2)+ROUND(((ROUND((ROUND(((AE158-(EU158))*AV158*1),2)*BS158),2)*AT158)/100),2))</f>
        <v>0</v>
      </c>
      <c r="CZ158" s="3">
        <f>(ROUND((((S158+ROUND((ROUND(((EU158)*AV158*1),2)*BS158),2))*AU158)/100),2)+ROUND(((ROUND((ROUND(((AE158-(EU158))*AV158*1),2)*BS158),2)*AU158)/100),2))</f>
        <v>0</v>
      </c>
      <c r="DC158" s="3" t="s">
        <v>3</v>
      </c>
      <c r="DD158" s="3" t="s">
        <v>3</v>
      </c>
      <c r="DE158" s="3" t="s">
        <v>3</v>
      </c>
      <c r="DF158" s="3" t="s">
        <v>3</v>
      </c>
      <c r="DG158" s="3" t="s">
        <v>3</v>
      </c>
      <c r="DH158" s="3" t="s">
        <v>3</v>
      </c>
      <c r="DI158" s="3" t="s">
        <v>3</v>
      </c>
      <c r="DJ158" s="3" t="s">
        <v>3</v>
      </c>
      <c r="DK158" s="3" t="s">
        <v>3</v>
      </c>
      <c r="DL158" s="3" t="s">
        <v>3</v>
      </c>
      <c r="DM158" s="3" t="s">
        <v>3</v>
      </c>
      <c r="DN158" s="3">
        <v>0</v>
      </c>
      <c r="DO158" s="3">
        <v>0</v>
      </c>
      <c r="DP158" s="3">
        <v>1</v>
      </c>
      <c r="DQ158" s="3">
        <v>1</v>
      </c>
      <c r="DU158" s="3">
        <v>1009</v>
      </c>
      <c r="DV158" s="3" t="s">
        <v>287</v>
      </c>
      <c r="DW158" s="3" t="s">
        <v>287</v>
      </c>
      <c r="DX158" s="3">
        <v>1000</v>
      </c>
      <c r="DZ158" s="3" t="s">
        <v>3</v>
      </c>
      <c r="EA158" s="3" t="s">
        <v>3</v>
      </c>
      <c r="EB158" s="3" t="s">
        <v>3</v>
      </c>
      <c r="EC158" s="3" t="s">
        <v>3</v>
      </c>
      <c r="EE158" s="3">
        <v>55393642</v>
      </c>
      <c r="EF158" s="3">
        <v>30</v>
      </c>
      <c r="EG158" s="3" t="s">
        <v>80</v>
      </c>
      <c r="EH158" s="3">
        <v>0</v>
      </c>
      <c r="EI158" s="3" t="s">
        <v>3</v>
      </c>
      <c r="EJ158" s="3">
        <v>1</v>
      </c>
      <c r="EK158" s="3">
        <v>13</v>
      </c>
      <c r="EL158" s="3" t="s">
        <v>81</v>
      </c>
      <c r="EM158" s="3" t="s">
        <v>82</v>
      </c>
      <c r="EO158" s="3" t="s">
        <v>289</v>
      </c>
      <c r="EQ158" s="3">
        <v>0</v>
      </c>
      <c r="ER158" s="3">
        <v>45481.31</v>
      </c>
      <c r="ES158" s="3">
        <v>45481.31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FQ158" s="3">
        <v>0</v>
      </c>
      <c r="FR158" s="3">
        <v>0</v>
      </c>
      <c r="FS158" s="3">
        <v>0</v>
      </c>
      <c r="FX158" s="3">
        <v>93</v>
      </c>
      <c r="FY158" s="3">
        <v>62</v>
      </c>
      <c r="GA158" s="3" t="s">
        <v>3</v>
      </c>
      <c r="GD158" s="3">
        <v>1</v>
      </c>
      <c r="GF158" s="3">
        <v>-1373885699</v>
      </c>
      <c r="GG158" s="3">
        <v>2</v>
      </c>
      <c r="GH158" s="3">
        <v>1</v>
      </c>
      <c r="GI158" s="3">
        <v>2</v>
      </c>
      <c r="GJ158" s="3">
        <v>0</v>
      </c>
      <c r="GK158" s="3">
        <v>0</v>
      </c>
      <c r="GL158" s="3">
        <f t="shared" si="144"/>
        <v>0</v>
      </c>
      <c r="GM158" s="3">
        <f t="shared" si="145"/>
        <v>52077.54</v>
      </c>
      <c r="GN158" s="3">
        <f t="shared" si="146"/>
        <v>52077.54</v>
      </c>
      <c r="GO158" s="3">
        <f t="shared" si="147"/>
        <v>0</v>
      </c>
      <c r="GP158" s="3">
        <f t="shared" si="148"/>
        <v>0</v>
      </c>
      <c r="GR158" s="3">
        <v>0</v>
      </c>
      <c r="GS158" s="3">
        <v>3</v>
      </c>
      <c r="GT158" s="3">
        <v>0</v>
      </c>
      <c r="GU158" s="3" t="s">
        <v>3</v>
      </c>
      <c r="GV158" s="3">
        <f t="shared" si="149"/>
        <v>0</v>
      </c>
      <c r="GW158" s="3">
        <v>1</v>
      </c>
      <c r="GX158" s="3">
        <f t="shared" si="150"/>
        <v>0</v>
      </c>
      <c r="HA158" s="3">
        <v>0</v>
      </c>
      <c r="HB158" s="3">
        <v>0</v>
      </c>
      <c r="HC158" s="3">
        <f t="shared" si="151"/>
        <v>0</v>
      </c>
      <c r="HE158" s="3" t="s">
        <v>3</v>
      </c>
      <c r="HF158" s="3" t="s">
        <v>3</v>
      </c>
      <c r="HM158" s="3" t="s">
        <v>3</v>
      </c>
      <c r="HN158" s="3" t="s">
        <v>3</v>
      </c>
      <c r="HO158" s="3" t="s">
        <v>3</v>
      </c>
      <c r="HP158" s="3" t="s">
        <v>3</v>
      </c>
      <c r="HQ158" s="3" t="s">
        <v>3</v>
      </c>
      <c r="HS158" s="3">
        <v>0</v>
      </c>
      <c r="IK158" s="3">
        <v>0</v>
      </c>
    </row>
    <row r="159" spans="1:255" x14ac:dyDescent="0.2">
      <c r="A159" s="2">
        <v>17</v>
      </c>
      <c r="B159" s="2">
        <v>1</v>
      </c>
      <c r="C159" s="2">
        <f>ROW(SmtRes!A204)</f>
        <v>204</v>
      </c>
      <c r="D159" s="2">
        <f>ROW(EtalonRes!A260)</f>
        <v>260</v>
      </c>
      <c r="E159" s="2" t="s">
        <v>290</v>
      </c>
      <c r="F159" s="2" t="s">
        <v>85</v>
      </c>
      <c r="G159" s="2" t="s">
        <v>291</v>
      </c>
      <c r="H159" s="2" t="s">
        <v>87</v>
      </c>
      <c r="I159" s="2">
        <f>ROUND(4*2,9)</f>
        <v>8</v>
      </c>
      <c r="J159" s="2">
        <v>0</v>
      </c>
      <c r="K159" s="2">
        <f>ROUND(4*2,9)</f>
        <v>8</v>
      </c>
      <c r="L159" s="2"/>
      <c r="M159" s="2"/>
      <c r="N159" s="2"/>
      <c r="O159" s="2">
        <f t="shared" si="129"/>
        <v>7.84</v>
      </c>
      <c r="P159" s="2">
        <f t="shared" si="169"/>
        <v>0</v>
      </c>
      <c r="Q159" s="2">
        <f>(ROUND((ROUND((((ET159*1.2))*AV159*I159),2)*BB159),2)+ROUND((ROUND(((AE159-((EU159*1.2)))*AV159*I159),2)*BS159),2))</f>
        <v>0</v>
      </c>
      <c r="R159" s="2">
        <f>(ROUND((ROUND((((EU159*1.2))*AV159*I159),2)*BS159),2)+ROUND((ROUND(((AE159-((EU159*1.2)))*AV159*I159),2)*BS159),2))</f>
        <v>0</v>
      </c>
      <c r="S159" s="2">
        <f t="shared" si="130"/>
        <v>7.84</v>
      </c>
      <c r="T159" s="2">
        <f t="shared" si="131"/>
        <v>0</v>
      </c>
      <c r="U159" s="2">
        <f t="shared" si="132"/>
        <v>0.70358399999999999</v>
      </c>
      <c r="V159" s="2">
        <f t="shared" si="133"/>
        <v>0</v>
      </c>
      <c r="W159" s="2">
        <f t="shared" si="134"/>
        <v>0</v>
      </c>
      <c r="X159" s="2">
        <f>(ROUND((((S159+ROUND((ROUND((((EU159*1.2))*AV159*I159),2)*BS159),2))*AT159)/100),2)+ROUND(((ROUND((ROUND(((AE159-((EU159*1.2)))*AV159*I159),2)*BS159),2)*AT159)/100),2))</f>
        <v>7.06</v>
      </c>
      <c r="Y159" s="2">
        <f>(ROUND((((S159+ROUND((ROUND((((EU159*1.2))*AV159*I159),2)*BS159),2))*AU159)/100),2)+ROUND(((ROUND((ROUND(((AE159-((EU159*1.2)))*AV159*I159),2)*BS159),2)*AU159)/100),2))</f>
        <v>3.61</v>
      </c>
      <c r="Z159" s="2"/>
      <c r="AA159" s="2">
        <v>55937296</v>
      </c>
      <c r="AB159" s="2">
        <f t="shared" si="135"/>
        <v>0.93600000000000005</v>
      </c>
      <c r="AC159" s="2">
        <f>ROUND(((ES159*1)),6)</f>
        <v>0</v>
      </c>
      <c r="AD159" s="2">
        <f>ROUND(((((ET159*1.2))-((EU159*1.2)))+AE159),6)</f>
        <v>0</v>
      </c>
      <c r="AE159" s="2">
        <f>ROUND(((EU159*1.2)),6)</f>
        <v>0</v>
      </c>
      <c r="AF159" s="2">
        <f>ROUND(((EV159*1.2)),6)</f>
        <v>0.93600000000000005</v>
      </c>
      <c r="AG159" s="2">
        <f t="shared" si="136"/>
        <v>0</v>
      </c>
      <c r="AH159" s="2">
        <f>((EW159*1.2))</f>
        <v>8.4000000000000005E-2</v>
      </c>
      <c r="AI159" s="2">
        <f>((EX159*1.2))</f>
        <v>0</v>
      </c>
      <c r="AJ159" s="2">
        <f t="shared" si="137"/>
        <v>0</v>
      </c>
      <c r="AK159" s="2">
        <v>0.78</v>
      </c>
      <c r="AL159" s="2">
        <v>0</v>
      </c>
      <c r="AM159" s="2">
        <v>0</v>
      </c>
      <c r="AN159" s="2">
        <v>0</v>
      </c>
      <c r="AO159" s="2">
        <v>0.78</v>
      </c>
      <c r="AP159" s="2">
        <v>0</v>
      </c>
      <c r="AQ159" s="2">
        <v>7.0000000000000007E-2</v>
      </c>
      <c r="AR159" s="2">
        <v>0</v>
      </c>
      <c r="AS159" s="2">
        <v>0</v>
      </c>
      <c r="AT159" s="2">
        <v>90</v>
      </c>
      <c r="AU159" s="2">
        <v>46</v>
      </c>
      <c r="AV159" s="2">
        <v>1.0469999999999999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0</v>
      </c>
      <c r="BI159" s="2">
        <v>2</v>
      </c>
      <c r="BJ159" s="2" t="s">
        <v>88</v>
      </c>
      <c r="BK159" s="2"/>
      <c r="BL159" s="2"/>
      <c r="BM159" s="2">
        <v>68</v>
      </c>
      <c r="BN159" s="2">
        <v>0</v>
      </c>
      <c r="BO159" s="2" t="s">
        <v>85</v>
      </c>
      <c r="BP159" s="2">
        <v>1</v>
      </c>
      <c r="BQ159" s="2">
        <v>40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90</v>
      </c>
      <c r="CA159" s="2">
        <v>46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797</v>
      </c>
      <c r="CO159" s="2">
        <v>0</v>
      </c>
      <c r="CP159" s="2">
        <f t="shared" si="138"/>
        <v>7.84</v>
      </c>
      <c r="CQ159" s="2">
        <f t="shared" si="170"/>
        <v>0</v>
      </c>
      <c r="CR159" s="2">
        <f>(ROUND((ROUND((((ET159*1.2))*AV159*1),2)*BB159),2)+ROUND((ROUND(((AE159-((EU159*1.2)))*AV159*1),2)*BS159),2))</f>
        <v>0</v>
      </c>
      <c r="CS159" s="2">
        <f>(ROUND((ROUND((((EU159*1.2))*AV159*1),2)*BS159),2)+ROUND((ROUND(((AE159-((EU159*1.2)))*AV159*1),2)*BS159),2))</f>
        <v>0</v>
      </c>
      <c r="CT159" s="2">
        <f t="shared" si="139"/>
        <v>0.98</v>
      </c>
      <c r="CU159" s="2">
        <f t="shared" si="140"/>
        <v>0</v>
      </c>
      <c r="CV159" s="2">
        <f t="shared" si="141"/>
        <v>8.7947999999999998E-2</v>
      </c>
      <c r="CW159" s="2">
        <f t="shared" si="142"/>
        <v>0</v>
      </c>
      <c r="CX159" s="2">
        <f t="shared" si="143"/>
        <v>0</v>
      </c>
      <c r="CY159" s="2">
        <f>(ROUND((((S159+ROUND((ROUND((((EU159*1.2))*AV159*1),2)*BS159),2))*AT159)/100),2)+ROUND(((ROUND((ROUND(((AE159-((EU159*1.2)))*AV159*1),2)*BS159),2)*AT159)/100),2))</f>
        <v>7.06</v>
      </c>
      <c r="CZ159" s="2">
        <f>(ROUND((((S159+ROUND((ROUND((((EU159*1.2))*AV159*1),2)*BS159),2))*AU159)/100),2)+ROUND(((ROUND((ROUND(((AE159-((EU159*1.2)))*AV159*1),2)*BS159),2)*AU159)/100),2))</f>
        <v>3.61</v>
      </c>
      <c r="DA159" s="2"/>
      <c r="DB159" s="2">
        <v>97</v>
      </c>
      <c r="DC159" s="2" t="s">
        <v>3</v>
      </c>
      <c r="DD159" s="2" t="s">
        <v>113</v>
      </c>
      <c r="DE159" s="2" t="s">
        <v>114</v>
      </c>
      <c r="DF159" s="2" t="s">
        <v>114</v>
      </c>
      <c r="DG159" s="2" t="s">
        <v>114</v>
      </c>
      <c r="DH159" s="2" t="s">
        <v>3</v>
      </c>
      <c r="DI159" s="2" t="s">
        <v>114</v>
      </c>
      <c r="DJ159" s="2" t="s">
        <v>114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1013</v>
      </c>
      <c r="DV159" s="2" t="s">
        <v>87</v>
      </c>
      <c r="DW159" s="2" t="s">
        <v>87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55393700</v>
      </c>
      <c r="EF159" s="2">
        <v>40</v>
      </c>
      <c r="EG159" s="2" t="s">
        <v>26</v>
      </c>
      <c r="EH159" s="2">
        <v>0</v>
      </c>
      <c r="EI159" s="2" t="s">
        <v>3</v>
      </c>
      <c r="EJ159" s="2">
        <v>2</v>
      </c>
      <c r="EK159" s="2">
        <v>68</v>
      </c>
      <c r="EL159" s="2" t="s">
        <v>27</v>
      </c>
      <c r="EM159" s="2" t="s">
        <v>28</v>
      </c>
      <c r="EN159" s="2"/>
      <c r="EO159" s="2" t="s">
        <v>118</v>
      </c>
      <c r="EP159" s="2"/>
      <c r="EQ159" s="2">
        <v>0</v>
      </c>
      <c r="ER159" s="2">
        <v>0.78</v>
      </c>
      <c r="ES159" s="2">
        <v>0</v>
      </c>
      <c r="ET159" s="2">
        <v>0</v>
      </c>
      <c r="EU159" s="2">
        <v>0</v>
      </c>
      <c r="EV159" s="2">
        <v>0.78</v>
      </c>
      <c r="EW159" s="2">
        <v>7.0000000000000007E-2</v>
      </c>
      <c r="EX159" s="2">
        <v>0</v>
      </c>
      <c r="EY159" s="2">
        <v>0</v>
      </c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90</v>
      </c>
      <c r="FY159" s="2">
        <v>46</v>
      </c>
      <c r="FZ159" s="2"/>
      <c r="GA159" s="2" t="s">
        <v>3</v>
      </c>
      <c r="GB159" s="2"/>
      <c r="GC159" s="2"/>
      <c r="GD159" s="2">
        <v>1</v>
      </c>
      <c r="GE159" s="2"/>
      <c r="GF159" s="2">
        <v>1423941871</v>
      </c>
      <c r="GG159" s="2">
        <v>2</v>
      </c>
      <c r="GH159" s="2">
        <v>1</v>
      </c>
      <c r="GI159" s="2">
        <v>2</v>
      </c>
      <c r="GJ159" s="2">
        <v>0</v>
      </c>
      <c r="GK159" s="2">
        <v>0</v>
      </c>
      <c r="GL159" s="2">
        <f t="shared" si="144"/>
        <v>0</v>
      </c>
      <c r="GM159" s="2">
        <f t="shared" si="145"/>
        <v>18.510000000000002</v>
      </c>
      <c r="GN159" s="2">
        <f t="shared" si="146"/>
        <v>0</v>
      </c>
      <c r="GO159" s="2">
        <f t="shared" si="147"/>
        <v>18.510000000000002</v>
      </c>
      <c r="GP159" s="2">
        <f t="shared" si="148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49"/>
        <v>0</v>
      </c>
      <c r="GW159" s="2">
        <v>1</v>
      </c>
      <c r="GX159" s="2">
        <f t="shared" si="150"/>
        <v>0</v>
      </c>
      <c r="GY159" s="2"/>
      <c r="GZ159" s="2"/>
      <c r="HA159" s="2">
        <v>0</v>
      </c>
      <c r="HB159" s="2">
        <v>0</v>
      </c>
      <c r="HC159" s="2">
        <f t="shared" si="151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 s="3">
        <v>17</v>
      </c>
      <c r="B160" s="3">
        <v>1</v>
      </c>
      <c r="C160" s="3">
        <f>ROW(SmtRes!A206)</f>
        <v>206</v>
      </c>
      <c r="D160" s="3">
        <f>ROW(EtalonRes!A262)</f>
        <v>262</v>
      </c>
      <c r="E160" s="3" t="s">
        <v>290</v>
      </c>
      <c r="F160" s="3" t="s">
        <v>85</v>
      </c>
      <c r="G160" s="3" t="s">
        <v>291</v>
      </c>
      <c r="H160" s="3" t="s">
        <v>87</v>
      </c>
      <c r="I160" s="3">
        <f>ROUND(4*2,9)</f>
        <v>8</v>
      </c>
      <c r="J160" s="3">
        <v>0</v>
      </c>
      <c r="K160" s="3">
        <f>ROUND(4*2,9)</f>
        <v>8</v>
      </c>
      <c r="O160" s="3">
        <f t="shared" si="129"/>
        <v>441.78</v>
      </c>
      <c r="P160" s="3">
        <f t="shared" si="169"/>
        <v>0</v>
      </c>
      <c r="Q160" s="3">
        <f>(ROUND((ROUND((((ET160*1.2))*AV160*I160),2)*BB160),2)+ROUND((ROUND(((AE160-((EU160*1.2)))*AV160*I160),2)*BS160),2))</f>
        <v>0</v>
      </c>
      <c r="R160" s="3">
        <f>(ROUND((ROUND((((EU160*1.2))*AV160*I160),2)*BS160),2)+ROUND((ROUND(((AE160-((EU160*1.2)))*AV160*I160),2)*BS160),2))</f>
        <v>0</v>
      </c>
      <c r="S160" s="3">
        <f t="shared" si="130"/>
        <v>441.78</v>
      </c>
      <c r="T160" s="3">
        <f t="shared" si="131"/>
        <v>0</v>
      </c>
      <c r="U160" s="3">
        <f t="shared" si="132"/>
        <v>0.70358399999999999</v>
      </c>
      <c r="V160" s="3">
        <f t="shared" si="133"/>
        <v>0</v>
      </c>
      <c r="W160" s="3">
        <f t="shared" si="134"/>
        <v>0</v>
      </c>
      <c r="X160" s="3">
        <f>(ROUND((((S160+ROUND((ROUND((((EU160*1.2))*AV160*I160),2)*BS160),2))*AT160)/100),2)+ROUND(((ROUND((ROUND(((AE160-((EU160*1.2)))*AV160*I160),2)*BS160),2)*AT160)/100),2))</f>
        <v>397.6</v>
      </c>
      <c r="Y160" s="3">
        <f>(ROUND((((S160+ROUND((ROUND((((EU160*1.2))*AV160*I160),2)*BS160),2))*AU160)/100),2)+ROUND(((ROUND((ROUND(((AE160-((EU160*1.2)))*AV160*I160),2)*BS160),2)*AU160)/100),2))</f>
        <v>203.22</v>
      </c>
      <c r="AA160" s="3">
        <v>55937298</v>
      </c>
      <c r="AB160" s="3">
        <f t="shared" si="135"/>
        <v>0.93600000000000005</v>
      </c>
      <c r="AC160" s="3">
        <f>ROUND(((ES160*1)),6)</f>
        <v>0</v>
      </c>
      <c r="AD160" s="3">
        <f>ROUND(((((ET160*1.2))-((EU160*1.2)))+AE160),6)</f>
        <v>0</v>
      </c>
      <c r="AE160" s="3">
        <f>ROUND(((EU160*1.2)),6)</f>
        <v>0</v>
      </c>
      <c r="AF160" s="3">
        <f>ROUND(((EV160*1.2)),6)</f>
        <v>0.93600000000000005</v>
      </c>
      <c r="AG160" s="3">
        <f t="shared" si="136"/>
        <v>0</v>
      </c>
      <c r="AH160" s="3">
        <f>((EW160*1.2))</f>
        <v>8.4000000000000005E-2</v>
      </c>
      <c r="AI160" s="3">
        <f>((EX160*1.2))</f>
        <v>0</v>
      </c>
      <c r="AJ160" s="3">
        <f t="shared" si="137"/>
        <v>0</v>
      </c>
      <c r="AK160" s="3">
        <v>0.78</v>
      </c>
      <c r="AL160" s="3">
        <v>0</v>
      </c>
      <c r="AM160" s="3">
        <v>0</v>
      </c>
      <c r="AN160" s="3">
        <v>0</v>
      </c>
      <c r="AO160" s="3">
        <v>0.78</v>
      </c>
      <c r="AP160" s="3">
        <v>0</v>
      </c>
      <c r="AQ160" s="3">
        <v>7.0000000000000007E-2</v>
      </c>
      <c r="AR160" s="3">
        <v>0</v>
      </c>
      <c r="AS160" s="3">
        <v>0</v>
      </c>
      <c r="AT160" s="3">
        <v>90</v>
      </c>
      <c r="AU160" s="3">
        <v>46</v>
      </c>
      <c r="AV160" s="3">
        <v>1.0469999999999999</v>
      </c>
      <c r="AW160" s="3">
        <v>1</v>
      </c>
      <c r="AZ160" s="3">
        <v>1</v>
      </c>
      <c r="BA160" s="3">
        <v>56.35</v>
      </c>
      <c r="BB160" s="3">
        <v>1</v>
      </c>
      <c r="BC160" s="3">
        <v>1</v>
      </c>
      <c r="BD160" s="3" t="s">
        <v>3</v>
      </c>
      <c r="BE160" s="3" t="s">
        <v>3</v>
      </c>
      <c r="BF160" s="3" t="s">
        <v>3</v>
      </c>
      <c r="BG160" s="3" t="s">
        <v>3</v>
      </c>
      <c r="BH160" s="3">
        <v>0</v>
      </c>
      <c r="BI160" s="3">
        <v>2</v>
      </c>
      <c r="BJ160" s="3" t="s">
        <v>88</v>
      </c>
      <c r="BM160" s="3">
        <v>68</v>
      </c>
      <c r="BN160" s="3">
        <v>0</v>
      </c>
      <c r="BO160" s="3" t="s">
        <v>85</v>
      </c>
      <c r="BP160" s="3">
        <v>1</v>
      </c>
      <c r="BQ160" s="3">
        <v>40</v>
      </c>
      <c r="BR160" s="3">
        <v>0</v>
      </c>
      <c r="BS160" s="3">
        <v>56.35</v>
      </c>
      <c r="BT160" s="3">
        <v>1</v>
      </c>
      <c r="BU160" s="3">
        <v>1</v>
      </c>
      <c r="BV160" s="3">
        <v>1</v>
      </c>
      <c r="BW160" s="3">
        <v>1</v>
      </c>
      <c r="BX160" s="3">
        <v>1</v>
      </c>
      <c r="BY160" s="3" t="s">
        <v>3</v>
      </c>
      <c r="BZ160" s="3">
        <v>90</v>
      </c>
      <c r="CA160" s="3">
        <v>46</v>
      </c>
      <c r="CB160" s="3" t="s">
        <v>3</v>
      </c>
      <c r="CE160" s="3">
        <v>1566</v>
      </c>
      <c r="CF160" s="3">
        <v>0</v>
      </c>
      <c r="CG160" s="3">
        <v>0</v>
      </c>
      <c r="CM160" s="3">
        <v>0</v>
      </c>
      <c r="CN160" s="3" t="s">
        <v>797</v>
      </c>
      <c r="CO160" s="3">
        <v>0</v>
      </c>
      <c r="CP160" s="3">
        <f t="shared" si="138"/>
        <v>441.78</v>
      </c>
      <c r="CQ160" s="3">
        <f t="shared" si="170"/>
        <v>0</v>
      </c>
      <c r="CR160" s="3">
        <f>(ROUND((ROUND((((ET160*1.2))*AV160*1),2)*BB160),2)+ROUND((ROUND(((AE160-((EU160*1.2)))*AV160*1),2)*BS160),2))</f>
        <v>0</v>
      </c>
      <c r="CS160" s="3">
        <f>(ROUND((ROUND((((EU160*1.2))*AV160*1),2)*BS160),2)+ROUND((ROUND(((AE160-((EU160*1.2)))*AV160*1),2)*BS160),2))</f>
        <v>0</v>
      </c>
      <c r="CT160" s="3">
        <f t="shared" si="139"/>
        <v>55.22</v>
      </c>
      <c r="CU160" s="3">
        <f t="shared" si="140"/>
        <v>0</v>
      </c>
      <c r="CV160" s="3">
        <f t="shared" si="141"/>
        <v>8.7947999999999998E-2</v>
      </c>
      <c r="CW160" s="3">
        <f t="shared" si="142"/>
        <v>0</v>
      </c>
      <c r="CX160" s="3">
        <f t="shared" si="143"/>
        <v>0</v>
      </c>
      <c r="CY160" s="3">
        <f>(ROUND((((S160+ROUND((ROUND((((EU160*1.2))*AV160*1),2)*BS160),2))*AT160)/100),2)+ROUND(((ROUND((ROUND(((AE160-((EU160*1.2)))*AV160*1),2)*BS160),2)*AT160)/100),2))</f>
        <v>397.6</v>
      </c>
      <c r="CZ160" s="3">
        <f>(ROUND((((S160+ROUND((ROUND((((EU160*1.2))*AV160*1),2)*BS160),2))*AU160)/100),2)+ROUND(((ROUND((ROUND(((AE160-((EU160*1.2)))*AV160*1),2)*BS160),2)*AU160)/100),2))</f>
        <v>203.22</v>
      </c>
      <c r="DB160" s="3">
        <v>98</v>
      </c>
      <c r="DC160" s="3" t="s">
        <v>3</v>
      </c>
      <c r="DD160" s="3" t="s">
        <v>113</v>
      </c>
      <c r="DE160" s="3" t="s">
        <v>114</v>
      </c>
      <c r="DF160" s="3" t="s">
        <v>114</v>
      </c>
      <c r="DG160" s="3" t="s">
        <v>114</v>
      </c>
      <c r="DH160" s="3" t="s">
        <v>3</v>
      </c>
      <c r="DI160" s="3" t="s">
        <v>114</v>
      </c>
      <c r="DJ160" s="3" t="s">
        <v>114</v>
      </c>
      <c r="DK160" s="3" t="s">
        <v>3</v>
      </c>
      <c r="DL160" s="3" t="s">
        <v>3</v>
      </c>
      <c r="DM160" s="3" t="s">
        <v>3</v>
      </c>
      <c r="DN160" s="3">
        <v>0</v>
      </c>
      <c r="DO160" s="3">
        <v>0</v>
      </c>
      <c r="DP160" s="3">
        <v>1</v>
      </c>
      <c r="DQ160" s="3">
        <v>1</v>
      </c>
      <c r="DU160" s="3">
        <v>1013</v>
      </c>
      <c r="DV160" s="3" t="s">
        <v>87</v>
      </c>
      <c r="DW160" s="3" t="s">
        <v>87</v>
      </c>
      <c r="DX160" s="3">
        <v>1</v>
      </c>
      <c r="DZ160" s="3" t="s">
        <v>3</v>
      </c>
      <c r="EA160" s="3" t="s">
        <v>3</v>
      </c>
      <c r="EB160" s="3" t="s">
        <v>3</v>
      </c>
      <c r="EC160" s="3" t="s">
        <v>3</v>
      </c>
      <c r="EE160" s="3">
        <v>55393700</v>
      </c>
      <c r="EF160" s="3">
        <v>40</v>
      </c>
      <c r="EG160" s="3" t="s">
        <v>26</v>
      </c>
      <c r="EH160" s="3">
        <v>0</v>
      </c>
      <c r="EI160" s="3" t="s">
        <v>3</v>
      </c>
      <c r="EJ160" s="3">
        <v>2</v>
      </c>
      <c r="EK160" s="3">
        <v>68</v>
      </c>
      <c r="EL160" s="3" t="s">
        <v>27</v>
      </c>
      <c r="EM160" s="3" t="s">
        <v>28</v>
      </c>
      <c r="EO160" s="3" t="s">
        <v>118</v>
      </c>
      <c r="EQ160" s="3">
        <v>0</v>
      </c>
      <c r="ER160" s="3">
        <v>0.78</v>
      </c>
      <c r="ES160" s="3">
        <v>0</v>
      </c>
      <c r="ET160" s="3">
        <v>0</v>
      </c>
      <c r="EU160" s="3">
        <v>0</v>
      </c>
      <c r="EV160" s="3">
        <v>0.78</v>
      </c>
      <c r="EW160" s="3">
        <v>7.0000000000000007E-2</v>
      </c>
      <c r="EX160" s="3">
        <v>0</v>
      </c>
      <c r="EY160" s="3">
        <v>0</v>
      </c>
      <c r="FQ160" s="3">
        <v>0</v>
      </c>
      <c r="FR160" s="3">
        <v>0</v>
      </c>
      <c r="FS160" s="3">
        <v>0</v>
      </c>
      <c r="FX160" s="3">
        <v>90</v>
      </c>
      <c r="FY160" s="3">
        <v>46</v>
      </c>
      <c r="GA160" s="3" t="s">
        <v>3</v>
      </c>
      <c r="GD160" s="3">
        <v>1</v>
      </c>
      <c r="GF160" s="3">
        <v>1423941871</v>
      </c>
      <c r="GG160" s="3">
        <v>2</v>
      </c>
      <c r="GH160" s="3">
        <v>1</v>
      </c>
      <c r="GI160" s="3">
        <v>2</v>
      </c>
      <c r="GJ160" s="3">
        <v>0</v>
      </c>
      <c r="GK160" s="3">
        <v>0</v>
      </c>
      <c r="GL160" s="3">
        <f t="shared" si="144"/>
        <v>0</v>
      </c>
      <c r="GM160" s="3">
        <f t="shared" si="145"/>
        <v>1042.5999999999999</v>
      </c>
      <c r="GN160" s="3">
        <f t="shared" si="146"/>
        <v>0</v>
      </c>
      <c r="GO160" s="3">
        <f t="shared" si="147"/>
        <v>1042.5999999999999</v>
      </c>
      <c r="GP160" s="3">
        <f t="shared" si="148"/>
        <v>0</v>
      </c>
      <c r="GR160" s="3">
        <v>0</v>
      </c>
      <c r="GS160" s="3">
        <v>3</v>
      </c>
      <c r="GT160" s="3">
        <v>0</v>
      </c>
      <c r="GU160" s="3" t="s">
        <v>3</v>
      </c>
      <c r="GV160" s="3">
        <f t="shared" si="149"/>
        <v>0</v>
      </c>
      <c r="GW160" s="3">
        <v>1</v>
      </c>
      <c r="GX160" s="3">
        <f t="shared" si="150"/>
        <v>0</v>
      </c>
      <c r="HA160" s="3">
        <v>0</v>
      </c>
      <c r="HB160" s="3">
        <v>0</v>
      </c>
      <c r="HC160" s="3">
        <f t="shared" si="151"/>
        <v>0</v>
      </c>
      <c r="HE160" s="3" t="s">
        <v>3</v>
      </c>
      <c r="HF160" s="3" t="s">
        <v>3</v>
      </c>
      <c r="HM160" s="3" t="s">
        <v>3</v>
      </c>
      <c r="HN160" s="3" t="s">
        <v>3</v>
      </c>
      <c r="HO160" s="3" t="s">
        <v>3</v>
      </c>
      <c r="HP160" s="3" t="s">
        <v>3</v>
      </c>
      <c r="HQ160" s="3" t="s">
        <v>3</v>
      </c>
      <c r="HS160" s="3">
        <v>0</v>
      </c>
      <c r="IK160" s="3">
        <v>0</v>
      </c>
    </row>
    <row r="161" spans="1:255" x14ac:dyDescent="0.2">
      <c r="A161" s="2">
        <v>18</v>
      </c>
      <c r="B161" s="2">
        <v>1</v>
      </c>
      <c r="C161" s="2">
        <v>204</v>
      </c>
      <c r="D161" s="2"/>
      <c r="E161" s="2" t="s">
        <v>292</v>
      </c>
      <c r="F161" s="2" t="s">
        <v>293</v>
      </c>
      <c r="G161" s="2" t="s">
        <v>294</v>
      </c>
      <c r="H161" s="2" t="s">
        <v>217</v>
      </c>
      <c r="I161" s="2">
        <f>I159*J161</f>
        <v>8</v>
      </c>
      <c r="J161" s="2">
        <v>1</v>
      </c>
      <c r="K161" s="2">
        <v>1</v>
      </c>
      <c r="L161" s="2"/>
      <c r="M161" s="2"/>
      <c r="N161" s="2"/>
      <c r="O161" s="2">
        <f t="shared" ref="O161:O178" si="171">ROUND(CP161,2)</f>
        <v>21920.639999999999</v>
      </c>
      <c r="P161" s="2">
        <f t="shared" si="169"/>
        <v>21920.639999999999</v>
      </c>
      <c r="Q161" s="2">
        <f>(ROUND((ROUND(((ET161)*AV161*I161),2)*BB161),2)+ROUND((ROUND(((AE161-(EU161))*AV161*I161),2)*BS161),2))</f>
        <v>0</v>
      </c>
      <c r="R161" s="2">
        <f>(ROUND((ROUND(((EU161)*AV161*I161),2)*BS161),2)+ROUND((ROUND(((AE161-(EU161))*AV161*I161),2)*BS161),2))</f>
        <v>0</v>
      </c>
      <c r="S161" s="2">
        <f t="shared" ref="S161:S178" si="172">ROUND((ROUND((AF161*AV161*I161),2)*BA161),2)</f>
        <v>0</v>
      </c>
      <c r="T161" s="2">
        <f t="shared" ref="T161:T178" si="173">ROUND(CU161*I161,2)</f>
        <v>0</v>
      </c>
      <c r="U161" s="2">
        <f t="shared" ref="U161:U178" si="174">CV161*I161</f>
        <v>0</v>
      </c>
      <c r="V161" s="2">
        <f t="shared" ref="V161:V178" si="175">CW161*I161</f>
        <v>0</v>
      </c>
      <c r="W161" s="2">
        <f t="shared" ref="W161:W178" si="176">ROUND(CX161*I161,2)</f>
        <v>0</v>
      </c>
      <c r="X161" s="2">
        <f>(ROUND((((S161+ROUND((ROUND(((EU161)*AV161*I161),2)*BS161),2))*AT161)/100),2)+ROUND(((ROUND((ROUND(((AE161-(EU161))*AV161*I161),2)*BS161),2)*AT161)/100),2))</f>
        <v>0</v>
      </c>
      <c r="Y161" s="2">
        <f>(ROUND((((S161+ROUND((ROUND(((EU161)*AV161*I161),2)*BS161),2))*AU161)/100),2)+ROUND(((ROUND((ROUND(((AE161-(EU161))*AV161*I161),2)*BS161),2)*AU161)/100),2))</f>
        <v>0</v>
      </c>
      <c r="Z161" s="2"/>
      <c r="AA161" s="2">
        <v>55937296</v>
      </c>
      <c r="AB161" s="2">
        <f t="shared" ref="AB161:AB178" si="177">ROUND((AC161+AD161+AF161),6)</f>
        <v>2740.08</v>
      </c>
      <c r="AC161" s="2">
        <f>ROUND((ES161),6)</f>
        <v>2740.08</v>
      </c>
      <c r="AD161" s="2">
        <f>ROUND((((ET161)-(EU161))+AE161),6)</f>
        <v>0</v>
      </c>
      <c r="AE161" s="2">
        <f>ROUND((EU161),6)</f>
        <v>0</v>
      </c>
      <c r="AF161" s="2">
        <f>ROUND((EV161),6)</f>
        <v>0</v>
      </c>
      <c r="AG161" s="2">
        <f t="shared" ref="AG161:AG178" si="178">ROUND((AP161),6)</f>
        <v>0</v>
      </c>
      <c r="AH161" s="2">
        <f>(EW161)</f>
        <v>0</v>
      </c>
      <c r="AI161" s="2">
        <f>(EX161)</f>
        <v>0</v>
      </c>
      <c r="AJ161" s="2">
        <f t="shared" ref="AJ161:AJ178" si="179">(AS161)</f>
        <v>0</v>
      </c>
      <c r="AK161" s="2">
        <v>2740.08</v>
      </c>
      <c r="AL161" s="2">
        <v>2740.08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90</v>
      </c>
      <c r="AU161" s="2">
        <v>46</v>
      </c>
      <c r="AV161" s="2">
        <v>1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3</v>
      </c>
      <c r="BI161" s="2">
        <v>2</v>
      </c>
      <c r="BJ161" s="2" t="s">
        <v>295</v>
      </c>
      <c r="BK161" s="2"/>
      <c r="BL161" s="2"/>
      <c r="BM161" s="2">
        <v>68</v>
      </c>
      <c r="BN161" s="2">
        <v>0</v>
      </c>
      <c r="BO161" s="2" t="s">
        <v>3</v>
      </c>
      <c r="BP161" s="2">
        <v>0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90</v>
      </c>
      <c r="CA161" s="2">
        <v>46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798</v>
      </c>
      <c r="CO161" s="2">
        <v>0</v>
      </c>
      <c r="CP161" s="2">
        <f t="shared" ref="CP161:CP178" si="180">(P161+Q161+S161)</f>
        <v>21920.639999999999</v>
      </c>
      <c r="CQ161" s="2">
        <f t="shared" si="170"/>
        <v>2740.08</v>
      </c>
      <c r="CR161" s="2">
        <f>(ROUND((ROUND(((ET161)*AV161*1),2)*BB161),2)+ROUND((ROUND(((AE161-(EU161))*AV161*1),2)*BS161),2))</f>
        <v>0</v>
      </c>
      <c r="CS161" s="2">
        <f>(ROUND((ROUND(((EU161)*AV161*1),2)*BS161),2)+ROUND((ROUND(((AE161-(EU161))*AV161*1),2)*BS161),2))</f>
        <v>0</v>
      </c>
      <c r="CT161" s="2">
        <f t="shared" ref="CT161:CT178" si="181">ROUND((ROUND((AF161*AV161*1),2)*BA161),2)</f>
        <v>0</v>
      </c>
      <c r="CU161" s="2">
        <f t="shared" ref="CU161:CU178" si="182">AG161</f>
        <v>0</v>
      </c>
      <c r="CV161" s="2">
        <f t="shared" ref="CV161:CV178" si="183">(AH161*AV161)</f>
        <v>0</v>
      </c>
      <c r="CW161" s="2">
        <f t="shared" ref="CW161:CW178" si="184">AI161</f>
        <v>0</v>
      </c>
      <c r="CX161" s="2">
        <f t="shared" ref="CX161:CX178" si="185">AJ161</f>
        <v>0</v>
      </c>
      <c r="CY161" s="2">
        <f>(ROUND((((S161+ROUND((ROUND(((EU161)*AV161*1),2)*BS161),2))*AT161)/100),2)+ROUND(((ROUND((ROUND(((AE161-(EU161))*AV161*1),2)*BS161),2)*AT161)/100),2))</f>
        <v>0</v>
      </c>
      <c r="CZ161" s="2">
        <f>(ROUND((((S161+ROUND((ROUND(((EU161)*AV161*1),2)*BS161),2))*AU161)/100),2)+ROUND(((ROUND((ROUND(((AE161-(EU161))*AV161*1),2)*BS161),2)*AU161)/100),2))</f>
        <v>0</v>
      </c>
      <c r="DA161" s="2"/>
      <c r="DB161" s="2"/>
      <c r="DC161" s="2" t="s">
        <v>3</v>
      </c>
      <c r="DD161" s="2" t="s">
        <v>3</v>
      </c>
      <c r="DE161" s="2" t="s">
        <v>3</v>
      </c>
      <c r="DF161" s="2" t="s">
        <v>3</v>
      </c>
      <c r="DG161" s="2" t="s">
        <v>3</v>
      </c>
      <c r="DH161" s="2" t="s">
        <v>3</v>
      </c>
      <c r="DI161" s="2" t="s">
        <v>3</v>
      </c>
      <c r="DJ161" s="2" t="s">
        <v>3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1010</v>
      </c>
      <c r="DV161" s="2" t="s">
        <v>217</v>
      </c>
      <c r="DW161" s="2" t="s">
        <v>217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55393700</v>
      </c>
      <c r="EF161" s="2">
        <v>40</v>
      </c>
      <c r="EG161" s="2" t="s">
        <v>26</v>
      </c>
      <c r="EH161" s="2">
        <v>0</v>
      </c>
      <c r="EI161" s="2" t="s">
        <v>3</v>
      </c>
      <c r="EJ161" s="2">
        <v>2</v>
      </c>
      <c r="EK161" s="2">
        <v>68</v>
      </c>
      <c r="EL161" s="2" t="s">
        <v>27</v>
      </c>
      <c r="EM161" s="2" t="s">
        <v>28</v>
      </c>
      <c r="EN161" s="2"/>
      <c r="EO161" s="2" t="s">
        <v>118</v>
      </c>
      <c r="EP161" s="2"/>
      <c r="EQ161" s="2">
        <v>0</v>
      </c>
      <c r="ER161" s="2">
        <v>2740.08</v>
      </c>
      <c r="ES161" s="2">
        <v>2740.08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90</v>
      </c>
      <c r="FY161" s="2">
        <v>46</v>
      </c>
      <c r="FZ161" s="2"/>
      <c r="GA161" s="2" t="s">
        <v>3</v>
      </c>
      <c r="GB161" s="2"/>
      <c r="GC161" s="2"/>
      <c r="GD161" s="2">
        <v>1</v>
      </c>
      <c r="GE161" s="2"/>
      <c r="GF161" s="2">
        <v>-1253698249</v>
      </c>
      <c r="GG161" s="2">
        <v>2</v>
      </c>
      <c r="GH161" s="2">
        <v>1</v>
      </c>
      <c r="GI161" s="2">
        <v>-2</v>
      </c>
      <c r="GJ161" s="2">
        <v>0</v>
      </c>
      <c r="GK161" s="2">
        <v>0</v>
      </c>
      <c r="GL161" s="2">
        <f t="shared" ref="GL161:GL178" si="186">ROUND(IF(AND(BH161=3,BI161=3,FS161&lt;&gt;0),P161,0),2)</f>
        <v>0</v>
      </c>
      <c r="GM161" s="2">
        <f t="shared" ref="GM161:GM178" si="187">ROUND(O161+X161+Y161,2)+GX161</f>
        <v>21920.639999999999</v>
      </c>
      <c r="GN161" s="2">
        <f t="shared" ref="GN161:GN178" si="188">IF(OR(BI161=0,BI161=1),GM161-GX161,0)</f>
        <v>0</v>
      </c>
      <c r="GO161" s="2">
        <f t="shared" ref="GO161:GO178" si="189">IF(BI161=2,GM161-GX161,0)</f>
        <v>21920.639999999999</v>
      </c>
      <c r="GP161" s="2">
        <f t="shared" ref="GP161:GP178" si="190">IF(BI161=4,GM161-GX161,0)</f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ref="GV161:GV178" si="191">ROUND((GT161),6)</f>
        <v>0</v>
      </c>
      <c r="GW161" s="2">
        <v>1</v>
      </c>
      <c r="GX161" s="2">
        <f t="shared" ref="GX161:GX178" si="192">ROUND(HC161*I161,2)</f>
        <v>0</v>
      </c>
      <c r="GY161" s="2"/>
      <c r="GZ161" s="2"/>
      <c r="HA161" s="2">
        <v>0</v>
      </c>
      <c r="HB161" s="2">
        <v>0</v>
      </c>
      <c r="HC161" s="2">
        <f t="shared" ref="HC161:HC178" si="193">GV161*GW161</f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3">
        <v>18</v>
      </c>
      <c r="B162" s="3">
        <v>1</v>
      </c>
      <c r="C162" s="3">
        <v>206</v>
      </c>
      <c r="E162" s="3" t="s">
        <v>292</v>
      </c>
      <c r="F162" s="3" t="s">
        <v>293</v>
      </c>
      <c r="G162" s="3" t="s">
        <v>294</v>
      </c>
      <c r="H162" s="3" t="s">
        <v>217</v>
      </c>
      <c r="I162" s="3">
        <f>I160*J162</f>
        <v>8</v>
      </c>
      <c r="J162" s="3">
        <v>1</v>
      </c>
      <c r="K162" s="3">
        <v>1</v>
      </c>
      <c r="O162" s="3">
        <f t="shared" si="171"/>
        <v>130647.01</v>
      </c>
      <c r="P162" s="3">
        <f t="shared" si="169"/>
        <v>130647.01</v>
      </c>
      <c r="Q162" s="3">
        <f>(ROUND((ROUND(((ET162)*AV162*I162),2)*BB162),2)+ROUND((ROUND(((AE162-(EU162))*AV162*I162),2)*BS162),2))</f>
        <v>0</v>
      </c>
      <c r="R162" s="3">
        <f>(ROUND((ROUND(((EU162)*AV162*I162),2)*BS162),2)+ROUND((ROUND(((AE162-(EU162))*AV162*I162),2)*BS162),2))</f>
        <v>0</v>
      </c>
      <c r="S162" s="3">
        <f t="shared" si="172"/>
        <v>0</v>
      </c>
      <c r="T162" s="3">
        <f t="shared" si="173"/>
        <v>0</v>
      </c>
      <c r="U162" s="3">
        <f t="shared" si="174"/>
        <v>0</v>
      </c>
      <c r="V162" s="3">
        <f t="shared" si="175"/>
        <v>0</v>
      </c>
      <c r="W162" s="3">
        <f t="shared" si="176"/>
        <v>0</v>
      </c>
      <c r="X162" s="3">
        <f>(ROUND((((S162+ROUND((ROUND(((EU162)*AV162*I162),2)*BS162),2))*AT162)/100),2)+ROUND(((ROUND((ROUND(((AE162-(EU162))*AV162*I162),2)*BS162),2)*AT162)/100),2))</f>
        <v>0</v>
      </c>
      <c r="Y162" s="3">
        <f>(ROUND((((S162+ROUND((ROUND(((EU162)*AV162*I162),2)*BS162),2))*AU162)/100),2)+ROUND(((ROUND((ROUND(((AE162-(EU162))*AV162*I162),2)*BS162),2)*AU162)/100),2))</f>
        <v>0</v>
      </c>
      <c r="AA162" s="3">
        <v>55937298</v>
      </c>
      <c r="AB162" s="3">
        <f t="shared" si="177"/>
        <v>2740.08</v>
      </c>
      <c r="AC162" s="3">
        <f>ROUND((ES162),6)</f>
        <v>2740.08</v>
      </c>
      <c r="AD162" s="3">
        <f>ROUND((((ET162)-(EU162))+AE162),6)</f>
        <v>0</v>
      </c>
      <c r="AE162" s="3">
        <f>ROUND((EU162),6)</f>
        <v>0</v>
      </c>
      <c r="AF162" s="3">
        <f>ROUND((EV162),6)</f>
        <v>0</v>
      </c>
      <c r="AG162" s="3">
        <f t="shared" si="178"/>
        <v>0</v>
      </c>
      <c r="AH162" s="3">
        <f>(EW162)</f>
        <v>0</v>
      </c>
      <c r="AI162" s="3">
        <f>(EX162)</f>
        <v>0</v>
      </c>
      <c r="AJ162" s="3">
        <f t="shared" si="179"/>
        <v>0</v>
      </c>
      <c r="AK162" s="3">
        <v>2740.08</v>
      </c>
      <c r="AL162" s="3">
        <v>2740.08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90</v>
      </c>
      <c r="AU162" s="3">
        <v>46</v>
      </c>
      <c r="AV162" s="3">
        <v>1</v>
      </c>
      <c r="AW162" s="3">
        <v>1</v>
      </c>
      <c r="AZ162" s="3">
        <v>1</v>
      </c>
      <c r="BA162" s="3">
        <v>1</v>
      </c>
      <c r="BB162" s="3">
        <v>1</v>
      </c>
      <c r="BC162" s="3">
        <v>5.96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3</v>
      </c>
      <c r="BI162" s="3">
        <v>2</v>
      </c>
      <c r="BJ162" s="3" t="s">
        <v>295</v>
      </c>
      <c r="BM162" s="3">
        <v>68</v>
      </c>
      <c r="BN162" s="3">
        <v>0</v>
      </c>
      <c r="BO162" s="3" t="s">
        <v>293</v>
      </c>
      <c r="BP162" s="3">
        <v>1</v>
      </c>
      <c r="BQ162" s="3">
        <v>40</v>
      </c>
      <c r="BR162" s="3">
        <v>0</v>
      </c>
      <c r="BS162" s="3">
        <v>1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90</v>
      </c>
      <c r="CA162" s="3">
        <v>46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798</v>
      </c>
      <c r="CO162" s="3">
        <v>0</v>
      </c>
      <c r="CP162" s="3">
        <f t="shared" si="180"/>
        <v>130647.01</v>
      </c>
      <c r="CQ162" s="3">
        <f t="shared" si="170"/>
        <v>16330.88</v>
      </c>
      <c r="CR162" s="3">
        <f>(ROUND((ROUND(((ET162)*AV162*1),2)*BB162),2)+ROUND((ROUND(((AE162-(EU162))*AV162*1),2)*BS162),2))</f>
        <v>0</v>
      </c>
      <c r="CS162" s="3">
        <f>(ROUND((ROUND(((EU162)*AV162*1),2)*BS162),2)+ROUND((ROUND(((AE162-(EU162))*AV162*1),2)*BS162),2))</f>
        <v>0</v>
      </c>
      <c r="CT162" s="3">
        <f t="shared" si="181"/>
        <v>0</v>
      </c>
      <c r="CU162" s="3">
        <f t="shared" si="182"/>
        <v>0</v>
      </c>
      <c r="CV162" s="3">
        <f t="shared" si="183"/>
        <v>0</v>
      </c>
      <c r="CW162" s="3">
        <f t="shared" si="184"/>
        <v>0</v>
      </c>
      <c r="CX162" s="3">
        <f t="shared" si="185"/>
        <v>0</v>
      </c>
      <c r="CY162" s="3">
        <f>(ROUND((((S162+ROUND((ROUND(((EU162)*AV162*1),2)*BS162),2))*AT162)/100),2)+ROUND(((ROUND((ROUND(((AE162-(EU162))*AV162*1),2)*BS162),2)*AT162)/100),2))</f>
        <v>0</v>
      </c>
      <c r="CZ162" s="3">
        <f>(ROUND((((S162+ROUND((ROUND(((EU162)*AV162*1),2)*BS162),2))*AU162)/100),2)+ROUND(((ROUND((ROUND(((AE162-(EU162))*AV162*1),2)*BS162),2)*AU162)/100),2))</f>
        <v>0</v>
      </c>
      <c r="DC162" s="3" t="s">
        <v>3</v>
      </c>
      <c r="DD162" s="3" t="s">
        <v>3</v>
      </c>
      <c r="DE162" s="3" t="s">
        <v>3</v>
      </c>
      <c r="DF162" s="3" t="s">
        <v>3</v>
      </c>
      <c r="DG162" s="3" t="s">
        <v>3</v>
      </c>
      <c r="DH162" s="3" t="s">
        <v>3</v>
      </c>
      <c r="DI162" s="3" t="s">
        <v>3</v>
      </c>
      <c r="DJ162" s="3" t="s">
        <v>3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1010</v>
      </c>
      <c r="DV162" s="3" t="s">
        <v>217</v>
      </c>
      <c r="DW162" s="3" t="s">
        <v>217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55393700</v>
      </c>
      <c r="EF162" s="3">
        <v>40</v>
      </c>
      <c r="EG162" s="3" t="s">
        <v>26</v>
      </c>
      <c r="EH162" s="3">
        <v>0</v>
      </c>
      <c r="EI162" s="3" t="s">
        <v>3</v>
      </c>
      <c r="EJ162" s="3">
        <v>2</v>
      </c>
      <c r="EK162" s="3">
        <v>68</v>
      </c>
      <c r="EL162" s="3" t="s">
        <v>27</v>
      </c>
      <c r="EM162" s="3" t="s">
        <v>28</v>
      </c>
      <c r="EO162" s="3" t="s">
        <v>118</v>
      </c>
      <c r="EQ162" s="3">
        <v>0</v>
      </c>
      <c r="ER162" s="3">
        <v>2740.08</v>
      </c>
      <c r="ES162" s="3">
        <v>2740.08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FQ162" s="3">
        <v>0</v>
      </c>
      <c r="FR162" s="3">
        <v>0</v>
      </c>
      <c r="FS162" s="3">
        <v>0</v>
      </c>
      <c r="FX162" s="3">
        <v>90</v>
      </c>
      <c r="FY162" s="3">
        <v>46</v>
      </c>
      <c r="GA162" s="3" t="s">
        <v>3</v>
      </c>
      <c r="GD162" s="3">
        <v>1</v>
      </c>
      <c r="GF162" s="3">
        <v>-1253698249</v>
      </c>
      <c r="GG162" s="3">
        <v>2</v>
      </c>
      <c r="GH162" s="3">
        <v>1</v>
      </c>
      <c r="GI162" s="3">
        <v>2</v>
      </c>
      <c r="GJ162" s="3">
        <v>0</v>
      </c>
      <c r="GK162" s="3">
        <v>0</v>
      </c>
      <c r="GL162" s="3">
        <f t="shared" si="186"/>
        <v>0</v>
      </c>
      <c r="GM162" s="3">
        <f t="shared" si="187"/>
        <v>130647.01</v>
      </c>
      <c r="GN162" s="3">
        <f t="shared" si="188"/>
        <v>0</v>
      </c>
      <c r="GO162" s="3">
        <f t="shared" si="189"/>
        <v>130647.01</v>
      </c>
      <c r="GP162" s="3">
        <f t="shared" si="190"/>
        <v>0</v>
      </c>
      <c r="GR162" s="3">
        <v>0</v>
      </c>
      <c r="GS162" s="3">
        <v>3</v>
      </c>
      <c r="GT162" s="3">
        <v>0</v>
      </c>
      <c r="GU162" s="3" t="s">
        <v>3</v>
      </c>
      <c r="GV162" s="3">
        <f t="shared" si="191"/>
        <v>0</v>
      </c>
      <c r="GW162" s="3">
        <v>1</v>
      </c>
      <c r="GX162" s="3">
        <f t="shared" si="192"/>
        <v>0</v>
      </c>
      <c r="HA162" s="3">
        <v>0</v>
      </c>
      <c r="HB162" s="3">
        <v>0</v>
      </c>
      <c r="HC162" s="3">
        <f t="shared" si="193"/>
        <v>0</v>
      </c>
      <c r="HE162" s="3" t="s">
        <v>3</v>
      </c>
      <c r="HF162" s="3" t="s">
        <v>3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3" spans="1:255" x14ac:dyDescent="0.2">
      <c r="A163" s="2">
        <v>17</v>
      </c>
      <c r="B163" s="2">
        <v>1</v>
      </c>
      <c r="C163" s="2">
        <f>ROW(SmtRes!A213)</f>
        <v>213</v>
      </c>
      <c r="D163" s="2">
        <f>ROW(EtalonRes!A269)</f>
        <v>269</v>
      </c>
      <c r="E163" s="2" t="s">
        <v>296</v>
      </c>
      <c r="F163" s="2" t="s">
        <v>90</v>
      </c>
      <c r="G163" s="2" t="s">
        <v>297</v>
      </c>
      <c r="H163" s="2" t="s">
        <v>60</v>
      </c>
      <c r="I163" s="2">
        <f>ROUND(4/100,9)</f>
        <v>0.04</v>
      </c>
      <c r="J163" s="2">
        <v>0</v>
      </c>
      <c r="K163" s="2">
        <f>ROUND(4/100,9)</f>
        <v>0.04</v>
      </c>
      <c r="L163" s="2"/>
      <c r="M163" s="2"/>
      <c r="N163" s="2"/>
      <c r="O163" s="2">
        <f t="shared" si="171"/>
        <v>18.100000000000001</v>
      </c>
      <c r="P163" s="2">
        <f t="shared" si="169"/>
        <v>5.29</v>
      </c>
      <c r="Q163" s="2">
        <f>(ROUND((ROUND(((((ET163*1.25)*1.2))*AV163*I163),2)*BB163),2)+ROUND((ROUND(((AE163-(((EU163*1.25)*1.2)))*AV163*I163),2)*BS163),2))</f>
        <v>1.22</v>
      </c>
      <c r="R163" s="2">
        <f>(ROUND((ROUND(((((EU163*1.25)*1.2))*AV163*I163),2)*BS163),2)+ROUND((ROUND(((AE163-(((EU163*1.25)*1.2)))*AV163*I163),2)*BS163),2))</f>
        <v>0.15</v>
      </c>
      <c r="S163" s="2">
        <f t="shared" si="172"/>
        <v>11.59</v>
      </c>
      <c r="T163" s="2">
        <f t="shared" si="173"/>
        <v>0</v>
      </c>
      <c r="U163" s="2">
        <f t="shared" si="174"/>
        <v>0.69422776799999997</v>
      </c>
      <c r="V163" s="2">
        <f t="shared" si="175"/>
        <v>0</v>
      </c>
      <c r="W163" s="2">
        <f t="shared" si="176"/>
        <v>0</v>
      </c>
      <c r="X163" s="2">
        <f>(ROUND((((S163+ROUND((ROUND(((((EU163*1.25)*1.2))*AV163*I163),2)*BS163),2))*AT163)/100),2)+ROUND(((ROUND((ROUND(((AE163-(((EU163*1.25)*1.2)))*AV163*I163),2)*BS163),2)*AT163)/100),2))</f>
        <v>10.92</v>
      </c>
      <c r="Y163" s="2">
        <f>(ROUND((((S163+ROUND((ROUND(((((EU163*1.25)*1.2))*AV163*I163),2)*BS163),2))*AU163)/100),2)+ROUND(((ROUND((ROUND(((AE163-(((EU163*1.25)*1.2)))*AV163*I163),2)*BS163),2)*AU163)/100),2))</f>
        <v>7.28</v>
      </c>
      <c r="Z163" s="2"/>
      <c r="AA163" s="2">
        <v>55937296</v>
      </c>
      <c r="AB163" s="2">
        <f t="shared" si="177"/>
        <v>426.89440000000002</v>
      </c>
      <c r="AC163" s="2">
        <f>ROUND((((ES163*1)*1)),6)</f>
        <v>132.34</v>
      </c>
      <c r="AD163" s="2">
        <f>ROUND((((((ET163*1.25)*1.2))-(((EU163*1.25)*1.2)))+AE163),6)</f>
        <v>28.035</v>
      </c>
      <c r="AE163" s="2">
        <f>ROUND((((EU163*1.25)*1.2)),6)</f>
        <v>3.4049999999999998</v>
      </c>
      <c r="AF163" s="2">
        <f>ROUND((((EV163*1.15)*1.2)),6)</f>
        <v>266.51940000000002</v>
      </c>
      <c r="AG163" s="2">
        <f t="shared" si="178"/>
        <v>0</v>
      </c>
      <c r="AH163" s="2">
        <f>(((EW163*1.15)*1.2))</f>
        <v>15.966599999999998</v>
      </c>
      <c r="AI163" s="2">
        <f>(((EX163*1.25)*1.2))</f>
        <v>0</v>
      </c>
      <c r="AJ163" s="2">
        <f t="shared" si="179"/>
        <v>0</v>
      </c>
      <c r="AK163" s="2">
        <v>344.16</v>
      </c>
      <c r="AL163" s="2">
        <v>132.34</v>
      </c>
      <c r="AM163" s="2">
        <v>18.690000000000001</v>
      </c>
      <c r="AN163" s="2">
        <v>2.27</v>
      </c>
      <c r="AO163" s="2">
        <v>193.13</v>
      </c>
      <c r="AP163" s="2">
        <v>0</v>
      </c>
      <c r="AQ163" s="2">
        <v>11.57</v>
      </c>
      <c r="AR163" s="2">
        <v>0</v>
      </c>
      <c r="AS163" s="2">
        <v>0</v>
      </c>
      <c r="AT163" s="2">
        <v>93</v>
      </c>
      <c r="AU163" s="2">
        <v>62</v>
      </c>
      <c r="AV163" s="2">
        <v>1.087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0</v>
      </c>
      <c r="BI163" s="2">
        <v>1</v>
      </c>
      <c r="BJ163" s="2" t="s">
        <v>92</v>
      </c>
      <c r="BK163" s="2"/>
      <c r="BL163" s="2"/>
      <c r="BM163" s="2">
        <v>55</v>
      </c>
      <c r="BN163" s="2">
        <v>0</v>
      </c>
      <c r="BO163" s="2" t="s">
        <v>90</v>
      </c>
      <c r="BP163" s="2">
        <v>1</v>
      </c>
      <c r="BQ163" s="2">
        <v>30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93</v>
      </c>
      <c r="CA163" s="2">
        <v>62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801</v>
      </c>
      <c r="CO163" s="2">
        <v>0</v>
      </c>
      <c r="CP163" s="2">
        <f t="shared" si="180"/>
        <v>18.100000000000001</v>
      </c>
      <c r="CQ163" s="2">
        <f t="shared" si="170"/>
        <v>132.34</v>
      </c>
      <c r="CR163" s="2">
        <f>(ROUND((ROUND(((((ET163*1.25)*1.2))*AV163*1),2)*BB163),2)+ROUND((ROUND(((AE163-(((EU163*1.25)*1.2)))*AV163*1),2)*BS163),2))</f>
        <v>30.47</v>
      </c>
      <c r="CS163" s="2">
        <f>(ROUND((ROUND(((((EU163*1.25)*1.2))*AV163*1),2)*BS163),2)+ROUND((ROUND(((AE163-(((EU163*1.25)*1.2)))*AV163*1),2)*BS163),2))</f>
        <v>3.7</v>
      </c>
      <c r="CT163" s="2">
        <f t="shared" si="181"/>
        <v>289.70999999999998</v>
      </c>
      <c r="CU163" s="2">
        <f t="shared" si="182"/>
        <v>0</v>
      </c>
      <c r="CV163" s="2">
        <f t="shared" si="183"/>
        <v>17.355694199999999</v>
      </c>
      <c r="CW163" s="2">
        <f t="shared" si="184"/>
        <v>0</v>
      </c>
      <c r="CX163" s="2">
        <f t="shared" si="185"/>
        <v>0</v>
      </c>
      <c r="CY163" s="2">
        <f>(ROUND((((S163+ROUND((ROUND(((((EU163*1.25)*1.2))*AV163*1),2)*BS163),2))*AT163)/100),2)+ROUND(((ROUND((ROUND(((AE163-(((EU163*1.25)*1.2)))*AV163*1),2)*BS163),2)*AT163)/100),2))</f>
        <v>14.22</v>
      </c>
      <c r="CZ163" s="2">
        <f>(ROUND((((S163+ROUND((ROUND(((((EU163*1.25)*1.2))*AV163*1),2)*BS163),2))*AU163)/100),2)+ROUND(((ROUND((ROUND(((AE163-(((EU163*1.25)*1.2)))*AV163*1),2)*BS163),2)*AU163)/100),2))</f>
        <v>9.48</v>
      </c>
      <c r="DA163" s="2"/>
      <c r="DB163" s="2">
        <v>99</v>
      </c>
      <c r="DC163" s="2" t="s">
        <v>3</v>
      </c>
      <c r="DD163" s="2" t="s">
        <v>280</v>
      </c>
      <c r="DE163" s="2" t="s">
        <v>281</v>
      </c>
      <c r="DF163" s="2" t="s">
        <v>281</v>
      </c>
      <c r="DG163" s="2" t="s">
        <v>282</v>
      </c>
      <c r="DH163" s="2" t="s">
        <v>3</v>
      </c>
      <c r="DI163" s="2" t="s">
        <v>282</v>
      </c>
      <c r="DJ163" s="2" t="s">
        <v>281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1010</v>
      </c>
      <c r="DV163" s="2" t="s">
        <v>60</v>
      </c>
      <c r="DW163" s="2" t="s">
        <v>60</v>
      </c>
      <c r="DX163" s="2">
        <v>100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55393688</v>
      </c>
      <c r="EF163" s="2">
        <v>30</v>
      </c>
      <c r="EG163" s="2" t="s">
        <v>80</v>
      </c>
      <c r="EH163" s="2">
        <v>0</v>
      </c>
      <c r="EI163" s="2" t="s">
        <v>3</v>
      </c>
      <c r="EJ163" s="2">
        <v>1</v>
      </c>
      <c r="EK163" s="2">
        <v>55</v>
      </c>
      <c r="EL163" s="2" t="s">
        <v>93</v>
      </c>
      <c r="EM163" s="2" t="s">
        <v>94</v>
      </c>
      <c r="EN163" s="2"/>
      <c r="EO163" s="2" t="s">
        <v>283</v>
      </c>
      <c r="EP163" s="2"/>
      <c r="EQ163" s="2">
        <v>0</v>
      </c>
      <c r="ER163" s="2">
        <v>344.16</v>
      </c>
      <c r="ES163" s="2">
        <v>132.34</v>
      </c>
      <c r="ET163" s="2">
        <v>18.690000000000001</v>
      </c>
      <c r="EU163" s="2">
        <v>2.27</v>
      </c>
      <c r="EV163" s="2">
        <v>193.13</v>
      </c>
      <c r="EW163" s="2">
        <v>11.57</v>
      </c>
      <c r="EX163" s="2">
        <v>0</v>
      </c>
      <c r="EY163" s="2">
        <v>0</v>
      </c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93</v>
      </c>
      <c r="FY163" s="2">
        <v>62</v>
      </c>
      <c r="FZ163" s="2"/>
      <c r="GA163" s="2" t="s">
        <v>3</v>
      </c>
      <c r="GB163" s="2"/>
      <c r="GC163" s="2"/>
      <c r="GD163" s="2">
        <v>1</v>
      </c>
      <c r="GE163" s="2"/>
      <c r="GF163" s="2">
        <v>-1871155761</v>
      </c>
      <c r="GG163" s="2">
        <v>2</v>
      </c>
      <c r="GH163" s="2">
        <v>1</v>
      </c>
      <c r="GI163" s="2">
        <v>2</v>
      </c>
      <c r="GJ163" s="2">
        <v>0</v>
      </c>
      <c r="GK163" s="2">
        <v>0</v>
      </c>
      <c r="GL163" s="2">
        <f t="shared" si="186"/>
        <v>0</v>
      </c>
      <c r="GM163" s="2">
        <f t="shared" si="187"/>
        <v>36.299999999999997</v>
      </c>
      <c r="GN163" s="2">
        <f t="shared" si="188"/>
        <v>36.299999999999997</v>
      </c>
      <c r="GO163" s="2">
        <f t="shared" si="189"/>
        <v>0</v>
      </c>
      <c r="GP163" s="2">
        <f t="shared" si="190"/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si="191"/>
        <v>0</v>
      </c>
      <c r="GW163" s="2">
        <v>1</v>
      </c>
      <c r="GX163" s="2">
        <f t="shared" si="192"/>
        <v>0</v>
      </c>
      <c r="GY163" s="2"/>
      <c r="GZ163" s="2"/>
      <c r="HA163" s="2">
        <v>0</v>
      </c>
      <c r="HB163" s="2">
        <v>0</v>
      </c>
      <c r="HC163" s="2">
        <f t="shared" si="193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 s="3">
        <v>17</v>
      </c>
      <c r="B164" s="3">
        <v>1</v>
      </c>
      <c r="C164" s="3">
        <f>ROW(SmtRes!A220)</f>
        <v>220</v>
      </c>
      <c r="D164" s="3">
        <f>ROW(EtalonRes!A276)</f>
        <v>276</v>
      </c>
      <c r="E164" s="3" t="s">
        <v>296</v>
      </c>
      <c r="F164" s="3" t="s">
        <v>90</v>
      </c>
      <c r="G164" s="3" t="s">
        <v>297</v>
      </c>
      <c r="H164" s="3" t="s">
        <v>60</v>
      </c>
      <c r="I164" s="3">
        <f>ROUND(4/100,9)</f>
        <v>0.04</v>
      </c>
      <c r="J164" s="3">
        <v>0</v>
      </c>
      <c r="K164" s="3">
        <f>ROUND(4/100,9)</f>
        <v>0.04</v>
      </c>
      <c r="O164" s="3">
        <f t="shared" si="171"/>
        <v>690.41</v>
      </c>
      <c r="P164" s="3">
        <f t="shared" si="169"/>
        <v>18.3</v>
      </c>
      <c r="Q164" s="3">
        <f>(ROUND((ROUND(((((ET164*1.25)*1.2))*AV164*I164),2)*BB164),2)+ROUND((ROUND(((AE164-(((EU164*1.25)*1.2)))*AV164*I164),2)*BS164),2))</f>
        <v>19.010000000000002</v>
      </c>
      <c r="R164" s="3">
        <f>(ROUND((ROUND(((((EU164*1.25)*1.2))*AV164*I164),2)*BS164),2)+ROUND((ROUND(((AE164-(((EU164*1.25)*1.2)))*AV164*I164),2)*BS164),2))</f>
        <v>8.4499999999999993</v>
      </c>
      <c r="S164" s="3">
        <f t="shared" si="172"/>
        <v>653.1</v>
      </c>
      <c r="T164" s="3">
        <f t="shared" si="173"/>
        <v>0</v>
      </c>
      <c r="U164" s="3">
        <f t="shared" si="174"/>
        <v>0.69422776799999997</v>
      </c>
      <c r="V164" s="3">
        <f t="shared" si="175"/>
        <v>0</v>
      </c>
      <c r="W164" s="3">
        <f t="shared" si="176"/>
        <v>0</v>
      </c>
      <c r="X164" s="3">
        <f>(ROUND((((S164+ROUND((ROUND(((((EU164*1.25)*1.2))*AV164*I164),2)*BS164),2))*AT164)/100),2)+ROUND(((ROUND((ROUND(((AE164-(((EU164*1.25)*1.2)))*AV164*I164),2)*BS164),2)*AT164)/100),2))</f>
        <v>615.24</v>
      </c>
      <c r="Y164" s="3">
        <f>(ROUND((((S164+ROUND((ROUND(((((EU164*1.25)*1.2))*AV164*I164),2)*BS164),2))*AU164)/100),2)+ROUND(((ROUND((ROUND(((AE164-(((EU164*1.25)*1.2)))*AV164*I164),2)*BS164),2)*AU164)/100),2))</f>
        <v>410.16</v>
      </c>
      <c r="AA164" s="3">
        <v>55937298</v>
      </c>
      <c r="AB164" s="3">
        <f t="shared" si="177"/>
        <v>426.89440000000002</v>
      </c>
      <c r="AC164" s="3">
        <f>ROUND((((ES164*1)*1)),6)</f>
        <v>132.34</v>
      </c>
      <c r="AD164" s="3">
        <f>ROUND((((((ET164*1.25)*1.2))-(((EU164*1.25)*1.2)))+AE164),6)</f>
        <v>28.035</v>
      </c>
      <c r="AE164" s="3">
        <f>ROUND((((EU164*1.25)*1.2)),6)</f>
        <v>3.4049999999999998</v>
      </c>
      <c r="AF164" s="3">
        <f>ROUND((((EV164*1.15)*1.2)),6)</f>
        <v>266.51940000000002</v>
      </c>
      <c r="AG164" s="3">
        <f t="shared" si="178"/>
        <v>0</v>
      </c>
      <c r="AH164" s="3">
        <f>(((EW164*1.15)*1.2))</f>
        <v>15.966599999999998</v>
      </c>
      <c r="AI164" s="3">
        <f>(((EX164*1.25)*1.2))</f>
        <v>0</v>
      </c>
      <c r="AJ164" s="3">
        <f t="shared" si="179"/>
        <v>0</v>
      </c>
      <c r="AK164" s="3">
        <v>344.16</v>
      </c>
      <c r="AL164" s="3">
        <v>132.34</v>
      </c>
      <c r="AM164" s="3">
        <v>18.690000000000001</v>
      </c>
      <c r="AN164" s="3">
        <v>2.27</v>
      </c>
      <c r="AO164" s="3">
        <v>193.13</v>
      </c>
      <c r="AP164" s="3">
        <v>0</v>
      </c>
      <c r="AQ164" s="3">
        <v>11.57</v>
      </c>
      <c r="AR164" s="3">
        <v>0</v>
      </c>
      <c r="AS164" s="3">
        <v>0</v>
      </c>
      <c r="AT164" s="3">
        <v>93</v>
      </c>
      <c r="AU164" s="3">
        <v>62</v>
      </c>
      <c r="AV164" s="3">
        <v>1.087</v>
      </c>
      <c r="AW164" s="3">
        <v>1</v>
      </c>
      <c r="AZ164" s="3">
        <v>1</v>
      </c>
      <c r="BA164" s="3">
        <v>56.35</v>
      </c>
      <c r="BB164" s="3">
        <v>15.58</v>
      </c>
      <c r="BC164" s="3">
        <v>3.46</v>
      </c>
      <c r="BD164" s="3" t="s">
        <v>3</v>
      </c>
      <c r="BE164" s="3" t="s">
        <v>3</v>
      </c>
      <c r="BF164" s="3" t="s">
        <v>3</v>
      </c>
      <c r="BG164" s="3" t="s">
        <v>3</v>
      </c>
      <c r="BH164" s="3">
        <v>0</v>
      </c>
      <c r="BI164" s="3">
        <v>1</v>
      </c>
      <c r="BJ164" s="3" t="s">
        <v>92</v>
      </c>
      <c r="BM164" s="3">
        <v>55</v>
      </c>
      <c r="BN164" s="3">
        <v>0</v>
      </c>
      <c r="BO164" s="3" t="s">
        <v>90</v>
      </c>
      <c r="BP164" s="3">
        <v>1</v>
      </c>
      <c r="BQ164" s="3">
        <v>30</v>
      </c>
      <c r="BR164" s="3">
        <v>0</v>
      </c>
      <c r="BS164" s="3">
        <v>56.35</v>
      </c>
      <c r="BT164" s="3">
        <v>1</v>
      </c>
      <c r="BU164" s="3">
        <v>1</v>
      </c>
      <c r="BV164" s="3">
        <v>1</v>
      </c>
      <c r="BW164" s="3">
        <v>1</v>
      </c>
      <c r="BX164" s="3">
        <v>1</v>
      </c>
      <c r="BY164" s="3" t="s">
        <v>3</v>
      </c>
      <c r="BZ164" s="3">
        <v>93</v>
      </c>
      <c r="CA164" s="3">
        <v>62</v>
      </c>
      <c r="CB164" s="3" t="s">
        <v>3</v>
      </c>
      <c r="CE164" s="3">
        <v>1566</v>
      </c>
      <c r="CF164" s="3">
        <v>0</v>
      </c>
      <c r="CG164" s="3">
        <v>0</v>
      </c>
      <c r="CM164" s="3">
        <v>0</v>
      </c>
      <c r="CN164" s="3" t="s">
        <v>801</v>
      </c>
      <c r="CO164" s="3">
        <v>0</v>
      </c>
      <c r="CP164" s="3">
        <f t="shared" si="180"/>
        <v>690.41000000000008</v>
      </c>
      <c r="CQ164" s="3">
        <f t="shared" si="170"/>
        <v>457.9</v>
      </c>
      <c r="CR164" s="3">
        <f>(ROUND((ROUND(((((ET164*1.25)*1.2))*AV164*1),2)*BB164),2)+ROUND((ROUND(((AE164-(((EU164*1.25)*1.2)))*AV164*1),2)*BS164),2))</f>
        <v>474.72</v>
      </c>
      <c r="CS164" s="3">
        <f>(ROUND((ROUND(((((EU164*1.25)*1.2))*AV164*1),2)*BS164),2)+ROUND((ROUND(((AE164-(((EU164*1.25)*1.2)))*AV164*1),2)*BS164),2))</f>
        <v>208.5</v>
      </c>
      <c r="CT164" s="3">
        <f t="shared" si="181"/>
        <v>16325.16</v>
      </c>
      <c r="CU164" s="3">
        <f t="shared" si="182"/>
        <v>0</v>
      </c>
      <c r="CV164" s="3">
        <f t="shared" si="183"/>
        <v>17.355694199999999</v>
      </c>
      <c r="CW164" s="3">
        <f t="shared" si="184"/>
        <v>0</v>
      </c>
      <c r="CX164" s="3">
        <f t="shared" si="185"/>
        <v>0</v>
      </c>
      <c r="CY164" s="3">
        <f>(ROUND((((S164+ROUND((ROUND(((((EU164*1.25)*1.2))*AV164*1),2)*BS164),2))*AT164)/100),2)+ROUND(((ROUND((ROUND(((AE164-(((EU164*1.25)*1.2)))*AV164*1),2)*BS164),2)*AT164)/100),2))</f>
        <v>801.29</v>
      </c>
      <c r="CZ164" s="3">
        <f>(ROUND((((S164+ROUND((ROUND(((((EU164*1.25)*1.2))*AV164*1),2)*BS164),2))*AU164)/100),2)+ROUND(((ROUND((ROUND(((AE164-(((EU164*1.25)*1.2)))*AV164*1),2)*BS164),2)*AU164)/100),2))</f>
        <v>534.19000000000005</v>
      </c>
      <c r="DB164" s="3">
        <v>101</v>
      </c>
      <c r="DC164" s="3" t="s">
        <v>3</v>
      </c>
      <c r="DD164" s="3" t="s">
        <v>280</v>
      </c>
      <c r="DE164" s="3" t="s">
        <v>281</v>
      </c>
      <c r="DF164" s="3" t="s">
        <v>281</v>
      </c>
      <c r="DG164" s="3" t="s">
        <v>282</v>
      </c>
      <c r="DH164" s="3" t="s">
        <v>3</v>
      </c>
      <c r="DI164" s="3" t="s">
        <v>282</v>
      </c>
      <c r="DJ164" s="3" t="s">
        <v>281</v>
      </c>
      <c r="DK164" s="3" t="s">
        <v>3</v>
      </c>
      <c r="DL164" s="3" t="s">
        <v>3</v>
      </c>
      <c r="DM164" s="3" t="s">
        <v>3</v>
      </c>
      <c r="DN164" s="3">
        <v>0</v>
      </c>
      <c r="DO164" s="3">
        <v>0</v>
      </c>
      <c r="DP164" s="3">
        <v>1</v>
      </c>
      <c r="DQ164" s="3">
        <v>1</v>
      </c>
      <c r="DU164" s="3">
        <v>1010</v>
      </c>
      <c r="DV164" s="3" t="s">
        <v>60</v>
      </c>
      <c r="DW164" s="3" t="s">
        <v>60</v>
      </c>
      <c r="DX164" s="3">
        <v>100</v>
      </c>
      <c r="DZ164" s="3" t="s">
        <v>3</v>
      </c>
      <c r="EA164" s="3" t="s">
        <v>3</v>
      </c>
      <c r="EB164" s="3" t="s">
        <v>3</v>
      </c>
      <c r="EC164" s="3" t="s">
        <v>3</v>
      </c>
      <c r="EE164" s="3">
        <v>55393688</v>
      </c>
      <c r="EF164" s="3">
        <v>30</v>
      </c>
      <c r="EG164" s="3" t="s">
        <v>80</v>
      </c>
      <c r="EH164" s="3">
        <v>0</v>
      </c>
      <c r="EI164" s="3" t="s">
        <v>3</v>
      </c>
      <c r="EJ164" s="3">
        <v>1</v>
      </c>
      <c r="EK164" s="3">
        <v>55</v>
      </c>
      <c r="EL164" s="3" t="s">
        <v>93</v>
      </c>
      <c r="EM164" s="3" t="s">
        <v>94</v>
      </c>
      <c r="EO164" s="3" t="s">
        <v>283</v>
      </c>
      <c r="EQ164" s="3">
        <v>0</v>
      </c>
      <c r="ER164" s="3">
        <v>344.16</v>
      </c>
      <c r="ES164" s="3">
        <v>132.34</v>
      </c>
      <c r="ET164" s="3">
        <v>18.690000000000001</v>
      </c>
      <c r="EU164" s="3">
        <v>2.27</v>
      </c>
      <c r="EV164" s="3">
        <v>193.13</v>
      </c>
      <c r="EW164" s="3">
        <v>11.57</v>
      </c>
      <c r="EX164" s="3">
        <v>0</v>
      </c>
      <c r="EY164" s="3">
        <v>0</v>
      </c>
      <c r="FQ164" s="3">
        <v>0</v>
      </c>
      <c r="FR164" s="3">
        <v>0</v>
      </c>
      <c r="FS164" s="3">
        <v>0</v>
      </c>
      <c r="FX164" s="3">
        <v>93</v>
      </c>
      <c r="FY164" s="3">
        <v>62</v>
      </c>
      <c r="GA164" s="3" t="s">
        <v>3</v>
      </c>
      <c r="GD164" s="3">
        <v>1</v>
      </c>
      <c r="GF164" s="3">
        <v>-1871155761</v>
      </c>
      <c r="GG164" s="3">
        <v>2</v>
      </c>
      <c r="GH164" s="3">
        <v>1</v>
      </c>
      <c r="GI164" s="3">
        <v>2</v>
      </c>
      <c r="GJ164" s="3">
        <v>0</v>
      </c>
      <c r="GK164" s="3">
        <v>0</v>
      </c>
      <c r="GL164" s="3">
        <f t="shared" si="186"/>
        <v>0</v>
      </c>
      <c r="GM164" s="3">
        <f t="shared" si="187"/>
        <v>1715.81</v>
      </c>
      <c r="GN164" s="3">
        <f t="shared" si="188"/>
        <v>1715.81</v>
      </c>
      <c r="GO164" s="3">
        <f t="shared" si="189"/>
        <v>0</v>
      </c>
      <c r="GP164" s="3">
        <f t="shared" si="190"/>
        <v>0</v>
      </c>
      <c r="GR164" s="3">
        <v>0</v>
      </c>
      <c r="GS164" s="3">
        <v>3</v>
      </c>
      <c r="GT164" s="3">
        <v>0</v>
      </c>
      <c r="GU164" s="3" t="s">
        <v>3</v>
      </c>
      <c r="GV164" s="3">
        <f t="shared" si="191"/>
        <v>0</v>
      </c>
      <c r="GW164" s="3">
        <v>1</v>
      </c>
      <c r="GX164" s="3">
        <f t="shared" si="192"/>
        <v>0</v>
      </c>
      <c r="HA164" s="3">
        <v>0</v>
      </c>
      <c r="HB164" s="3">
        <v>0</v>
      </c>
      <c r="HC164" s="3">
        <f t="shared" si="193"/>
        <v>0</v>
      </c>
      <c r="HE164" s="3" t="s">
        <v>3</v>
      </c>
      <c r="HF164" s="3" t="s">
        <v>3</v>
      </c>
      <c r="HM164" s="3" t="s">
        <v>3</v>
      </c>
      <c r="HN164" s="3" t="s">
        <v>3</v>
      </c>
      <c r="HO164" s="3" t="s">
        <v>3</v>
      </c>
      <c r="HP164" s="3" t="s">
        <v>3</v>
      </c>
      <c r="HQ164" s="3" t="s">
        <v>3</v>
      </c>
      <c r="HS164" s="3">
        <v>0</v>
      </c>
      <c r="IK164" s="3">
        <v>0</v>
      </c>
    </row>
    <row r="165" spans="1:255" x14ac:dyDescent="0.2">
      <c r="A165" s="2">
        <v>18</v>
      </c>
      <c r="B165" s="2">
        <v>1</v>
      </c>
      <c r="C165" s="2">
        <v>213</v>
      </c>
      <c r="D165" s="2"/>
      <c r="E165" s="2" t="s">
        <v>298</v>
      </c>
      <c r="F165" s="2" t="s">
        <v>299</v>
      </c>
      <c r="G165" s="2" t="s">
        <v>300</v>
      </c>
      <c r="H165" s="2" t="s">
        <v>217</v>
      </c>
      <c r="I165" s="2">
        <f>I163*J165</f>
        <v>4</v>
      </c>
      <c r="J165" s="2">
        <v>100</v>
      </c>
      <c r="K165" s="2">
        <v>100</v>
      </c>
      <c r="L165" s="2"/>
      <c r="M165" s="2"/>
      <c r="N165" s="2"/>
      <c r="O165" s="2">
        <f t="shared" si="171"/>
        <v>1077.72</v>
      </c>
      <c r="P165" s="2">
        <f t="shared" si="169"/>
        <v>1077.72</v>
      </c>
      <c r="Q165" s="2">
        <f>(ROUND((ROUND(((ET165)*AV165*I165),2)*BB165),2)+ROUND((ROUND(((AE165-(EU165))*AV165*I165),2)*BS165),2))</f>
        <v>0</v>
      </c>
      <c r="R165" s="2">
        <f>(ROUND((ROUND(((EU165)*AV165*I165),2)*BS165),2)+ROUND((ROUND(((AE165-(EU165))*AV165*I165),2)*BS165),2))</f>
        <v>0</v>
      </c>
      <c r="S165" s="2">
        <f t="shared" si="172"/>
        <v>0</v>
      </c>
      <c r="T165" s="2">
        <f t="shared" si="173"/>
        <v>0</v>
      </c>
      <c r="U165" s="2">
        <f t="shared" si="174"/>
        <v>0</v>
      </c>
      <c r="V165" s="2">
        <f t="shared" si="175"/>
        <v>0</v>
      </c>
      <c r="W165" s="2">
        <f t="shared" si="176"/>
        <v>0</v>
      </c>
      <c r="X165" s="2">
        <f>(ROUND((((S165+ROUND((ROUND(((EU165)*AV165*I165),2)*BS165),2))*AT165)/100),2)+ROUND(((ROUND((ROUND(((AE165-(EU165))*AV165*I165),2)*BS165),2)*AT165)/100),2))</f>
        <v>0</v>
      </c>
      <c r="Y165" s="2">
        <f>(ROUND((((S165+ROUND((ROUND(((EU165)*AV165*I165),2)*BS165),2))*AU165)/100),2)+ROUND(((ROUND((ROUND(((AE165-(EU165))*AV165*I165),2)*BS165),2)*AU165)/100),2))</f>
        <v>0</v>
      </c>
      <c r="Z165" s="2"/>
      <c r="AA165" s="2">
        <v>55937296</v>
      </c>
      <c r="AB165" s="2">
        <f t="shared" si="177"/>
        <v>269.43</v>
      </c>
      <c r="AC165" s="2">
        <f>ROUND((ES165),6)</f>
        <v>269.43</v>
      </c>
      <c r="AD165" s="2">
        <f>ROUND((((ET165)-(EU165))+AE165),6)</f>
        <v>0</v>
      </c>
      <c r="AE165" s="2">
        <f t="shared" ref="AE165:AF168" si="194">ROUND((EU165),6)</f>
        <v>0</v>
      </c>
      <c r="AF165" s="2">
        <f t="shared" si="194"/>
        <v>0</v>
      </c>
      <c r="AG165" s="2">
        <f t="shared" si="178"/>
        <v>0</v>
      </c>
      <c r="AH165" s="2">
        <f t="shared" ref="AH165:AI168" si="195">(EW165)</f>
        <v>0</v>
      </c>
      <c r="AI165" s="2">
        <f t="shared" si="195"/>
        <v>0</v>
      </c>
      <c r="AJ165" s="2">
        <f t="shared" si="179"/>
        <v>0</v>
      </c>
      <c r="AK165" s="2">
        <v>269.43</v>
      </c>
      <c r="AL165" s="2">
        <v>269.43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93</v>
      </c>
      <c r="AU165" s="2">
        <v>62</v>
      </c>
      <c r="AV165" s="2">
        <v>1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3</v>
      </c>
      <c r="BI165" s="2">
        <v>1</v>
      </c>
      <c r="BJ165" s="2" t="s">
        <v>301</v>
      </c>
      <c r="BK165" s="2"/>
      <c r="BL165" s="2"/>
      <c r="BM165" s="2">
        <v>55</v>
      </c>
      <c r="BN165" s="2">
        <v>0</v>
      </c>
      <c r="BO165" s="2" t="s">
        <v>3</v>
      </c>
      <c r="BP165" s="2">
        <v>0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93</v>
      </c>
      <c r="CA165" s="2">
        <v>62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802</v>
      </c>
      <c r="CO165" s="2">
        <v>0</v>
      </c>
      <c r="CP165" s="2">
        <f t="shared" si="180"/>
        <v>1077.72</v>
      </c>
      <c r="CQ165" s="2">
        <f t="shared" si="170"/>
        <v>269.43</v>
      </c>
      <c r="CR165" s="2">
        <f>(ROUND((ROUND(((ET165)*AV165*1),2)*BB165),2)+ROUND((ROUND(((AE165-(EU165))*AV165*1),2)*BS165),2))</f>
        <v>0</v>
      </c>
      <c r="CS165" s="2">
        <f>(ROUND((ROUND(((EU165)*AV165*1),2)*BS165),2)+ROUND((ROUND(((AE165-(EU165))*AV165*1),2)*BS165),2))</f>
        <v>0</v>
      </c>
      <c r="CT165" s="2">
        <f t="shared" si="181"/>
        <v>0</v>
      </c>
      <c r="CU165" s="2">
        <f t="shared" si="182"/>
        <v>0</v>
      </c>
      <c r="CV165" s="2">
        <f t="shared" si="183"/>
        <v>0</v>
      </c>
      <c r="CW165" s="2">
        <f t="shared" si="184"/>
        <v>0</v>
      </c>
      <c r="CX165" s="2">
        <f t="shared" si="185"/>
        <v>0</v>
      </c>
      <c r="CY165" s="2">
        <f>(ROUND((((S165+ROUND((ROUND(((EU165)*AV165*1),2)*BS165),2))*AT165)/100),2)+ROUND(((ROUND((ROUND(((AE165-(EU165))*AV165*1),2)*BS165),2)*AT165)/100),2))</f>
        <v>0</v>
      </c>
      <c r="CZ165" s="2">
        <f>(ROUND((((S165+ROUND((ROUND(((EU165)*AV165*1),2)*BS165),2))*AU165)/100),2)+ROUND(((ROUND((ROUND(((AE165-(EU165))*AV165*1),2)*BS165),2)*AU165)/100),2))</f>
        <v>0</v>
      </c>
      <c r="DA165" s="2"/>
      <c r="DB165" s="2"/>
      <c r="DC165" s="2" t="s">
        <v>3</v>
      </c>
      <c r="DD165" s="2" t="s">
        <v>3</v>
      </c>
      <c r="DE165" s="2" t="s">
        <v>3</v>
      </c>
      <c r="DF165" s="2" t="s">
        <v>3</v>
      </c>
      <c r="DG165" s="2" t="s">
        <v>3</v>
      </c>
      <c r="DH165" s="2" t="s">
        <v>3</v>
      </c>
      <c r="DI165" s="2" t="s">
        <v>3</v>
      </c>
      <c r="DJ165" s="2" t="s">
        <v>3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1010</v>
      </c>
      <c r="DV165" s="2" t="s">
        <v>217</v>
      </c>
      <c r="DW165" s="2" t="s">
        <v>217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55393688</v>
      </c>
      <c r="EF165" s="2">
        <v>30</v>
      </c>
      <c r="EG165" s="2" t="s">
        <v>80</v>
      </c>
      <c r="EH165" s="2">
        <v>0</v>
      </c>
      <c r="EI165" s="2" t="s">
        <v>3</v>
      </c>
      <c r="EJ165" s="2">
        <v>1</v>
      </c>
      <c r="EK165" s="2">
        <v>55</v>
      </c>
      <c r="EL165" s="2" t="s">
        <v>93</v>
      </c>
      <c r="EM165" s="2" t="s">
        <v>94</v>
      </c>
      <c r="EN165" s="2"/>
      <c r="EO165" s="2" t="s">
        <v>289</v>
      </c>
      <c r="EP165" s="2"/>
      <c r="EQ165" s="2">
        <v>0</v>
      </c>
      <c r="ER165" s="2">
        <v>269.43</v>
      </c>
      <c r="ES165" s="2">
        <v>269.43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93</v>
      </c>
      <c r="FY165" s="2">
        <v>62</v>
      </c>
      <c r="FZ165" s="2"/>
      <c r="GA165" s="2" t="s">
        <v>3</v>
      </c>
      <c r="GB165" s="2"/>
      <c r="GC165" s="2"/>
      <c r="GD165" s="2">
        <v>1</v>
      </c>
      <c r="GE165" s="2"/>
      <c r="GF165" s="2">
        <v>1463737686</v>
      </c>
      <c r="GG165" s="2">
        <v>2</v>
      </c>
      <c r="GH165" s="2">
        <v>1</v>
      </c>
      <c r="GI165" s="2">
        <v>-2</v>
      </c>
      <c r="GJ165" s="2">
        <v>0</v>
      </c>
      <c r="GK165" s="2">
        <v>0</v>
      </c>
      <c r="GL165" s="2">
        <f t="shared" si="186"/>
        <v>0</v>
      </c>
      <c r="GM165" s="2">
        <f t="shared" si="187"/>
        <v>1077.72</v>
      </c>
      <c r="GN165" s="2">
        <f t="shared" si="188"/>
        <v>1077.72</v>
      </c>
      <c r="GO165" s="2">
        <f t="shared" si="189"/>
        <v>0</v>
      </c>
      <c r="GP165" s="2">
        <f t="shared" si="190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191"/>
        <v>0</v>
      </c>
      <c r="GW165" s="2">
        <v>1</v>
      </c>
      <c r="GX165" s="2">
        <f t="shared" si="192"/>
        <v>0</v>
      </c>
      <c r="GY165" s="2"/>
      <c r="GZ165" s="2"/>
      <c r="HA165" s="2">
        <v>0</v>
      </c>
      <c r="HB165" s="2">
        <v>0</v>
      </c>
      <c r="HC165" s="2">
        <f t="shared" si="193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 s="3">
        <v>18</v>
      </c>
      <c r="B166" s="3">
        <v>1</v>
      </c>
      <c r="C166" s="3">
        <v>220</v>
      </c>
      <c r="E166" s="3" t="s">
        <v>298</v>
      </c>
      <c r="F166" s="3" t="s">
        <v>299</v>
      </c>
      <c r="G166" s="3" t="s">
        <v>300</v>
      </c>
      <c r="H166" s="3" t="s">
        <v>217</v>
      </c>
      <c r="I166" s="3">
        <f>I164*J166</f>
        <v>4</v>
      </c>
      <c r="J166" s="3">
        <v>100</v>
      </c>
      <c r="K166" s="3">
        <v>100</v>
      </c>
      <c r="O166" s="3">
        <f t="shared" si="171"/>
        <v>10022.799999999999</v>
      </c>
      <c r="P166" s="3">
        <f t="shared" si="169"/>
        <v>10022.799999999999</v>
      </c>
      <c r="Q166" s="3">
        <f>(ROUND((ROUND(((ET166)*AV166*I166),2)*BB166),2)+ROUND((ROUND(((AE166-(EU166))*AV166*I166),2)*BS166),2))</f>
        <v>0</v>
      </c>
      <c r="R166" s="3">
        <f>(ROUND((ROUND(((EU166)*AV166*I166),2)*BS166),2)+ROUND((ROUND(((AE166-(EU166))*AV166*I166),2)*BS166),2))</f>
        <v>0</v>
      </c>
      <c r="S166" s="3">
        <f t="shared" si="172"/>
        <v>0</v>
      </c>
      <c r="T166" s="3">
        <f t="shared" si="173"/>
        <v>0</v>
      </c>
      <c r="U166" s="3">
        <f t="shared" si="174"/>
        <v>0</v>
      </c>
      <c r="V166" s="3">
        <f t="shared" si="175"/>
        <v>0</v>
      </c>
      <c r="W166" s="3">
        <f t="shared" si="176"/>
        <v>0</v>
      </c>
      <c r="X166" s="3">
        <f>(ROUND((((S166+ROUND((ROUND(((EU166)*AV166*I166),2)*BS166),2))*AT166)/100),2)+ROUND(((ROUND((ROUND(((AE166-(EU166))*AV166*I166),2)*BS166),2)*AT166)/100),2))</f>
        <v>0</v>
      </c>
      <c r="Y166" s="3">
        <f>(ROUND((((S166+ROUND((ROUND(((EU166)*AV166*I166),2)*BS166),2))*AU166)/100),2)+ROUND(((ROUND((ROUND(((AE166-(EU166))*AV166*I166),2)*BS166),2)*AU166)/100),2))</f>
        <v>0</v>
      </c>
      <c r="AA166" s="3">
        <v>55937298</v>
      </c>
      <c r="AB166" s="3">
        <f t="shared" si="177"/>
        <v>269.43</v>
      </c>
      <c r="AC166" s="3">
        <f>ROUND((ES166),6)</f>
        <v>269.43</v>
      </c>
      <c r="AD166" s="3">
        <f>ROUND((((ET166)-(EU166))+AE166),6)</f>
        <v>0</v>
      </c>
      <c r="AE166" s="3">
        <f t="shared" si="194"/>
        <v>0</v>
      </c>
      <c r="AF166" s="3">
        <f t="shared" si="194"/>
        <v>0</v>
      </c>
      <c r="AG166" s="3">
        <f t="shared" si="178"/>
        <v>0</v>
      </c>
      <c r="AH166" s="3">
        <f t="shared" si="195"/>
        <v>0</v>
      </c>
      <c r="AI166" s="3">
        <f t="shared" si="195"/>
        <v>0</v>
      </c>
      <c r="AJ166" s="3">
        <f t="shared" si="179"/>
        <v>0</v>
      </c>
      <c r="AK166" s="3">
        <v>269.43</v>
      </c>
      <c r="AL166" s="3">
        <v>269.43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93</v>
      </c>
      <c r="AU166" s="3">
        <v>62</v>
      </c>
      <c r="AV166" s="3">
        <v>1</v>
      </c>
      <c r="AW166" s="3">
        <v>1</v>
      </c>
      <c r="AZ166" s="3">
        <v>1</v>
      </c>
      <c r="BA166" s="3">
        <v>1</v>
      </c>
      <c r="BB166" s="3">
        <v>1</v>
      </c>
      <c r="BC166" s="3">
        <v>9.3000000000000007</v>
      </c>
      <c r="BD166" s="3" t="s">
        <v>3</v>
      </c>
      <c r="BE166" s="3" t="s">
        <v>3</v>
      </c>
      <c r="BF166" s="3" t="s">
        <v>3</v>
      </c>
      <c r="BG166" s="3" t="s">
        <v>3</v>
      </c>
      <c r="BH166" s="3">
        <v>3</v>
      </c>
      <c r="BI166" s="3">
        <v>1</v>
      </c>
      <c r="BJ166" s="3" t="s">
        <v>301</v>
      </c>
      <c r="BM166" s="3">
        <v>55</v>
      </c>
      <c r="BN166" s="3">
        <v>0</v>
      </c>
      <c r="BO166" s="3" t="s">
        <v>299</v>
      </c>
      <c r="BP166" s="3">
        <v>1</v>
      </c>
      <c r="BQ166" s="3">
        <v>30</v>
      </c>
      <c r="BR166" s="3">
        <v>0</v>
      </c>
      <c r="BS166" s="3">
        <v>1</v>
      </c>
      <c r="BT166" s="3">
        <v>1</v>
      </c>
      <c r="BU166" s="3">
        <v>1</v>
      </c>
      <c r="BV166" s="3">
        <v>1</v>
      </c>
      <c r="BW166" s="3">
        <v>1</v>
      </c>
      <c r="BX166" s="3">
        <v>1</v>
      </c>
      <c r="BY166" s="3" t="s">
        <v>3</v>
      </c>
      <c r="BZ166" s="3">
        <v>93</v>
      </c>
      <c r="CA166" s="3">
        <v>62</v>
      </c>
      <c r="CB166" s="3" t="s">
        <v>3</v>
      </c>
      <c r="CE166" s="3">
        <v>1566</v>
      </c>
      <c r="CF166" s="3">
        <v>0</v>
      </c>
      <c r="CG166" s="3">
        <v>0</v>
      </c>
      <c r="CM166" s="3">
        <v>0</v>
      </c>
      <c r="CN166" s="3" t="s">
        <v>802</v>
      </c>
      <c r="CO166" s="3">
        <v>0</v>
      </c>
      <c r="CP166" s="3">
        <f t="shared" si="180"/>
        <v>10022.799999999999</v>
      </c>
      <c r="CQ166" s="3">
        <f t="shared" si="170"/>
        <v>2505.6999999999998</v>
      </c>
      <c r="CR166" s="3">
        <f>(ROUND((ROUND(((ET166)*AV166*1),2)*BB166),2)+ROUND((ROUND(((AE166-(EU166))*AV166*1),2)*BS166),2))</f>
        <v>0</v>
      </c>
      <c r="CS166" s="3">
        <f>(ROUND((ROUND(((EU166)*AV166*1),2)*BS166),2)+ROUND((ROUND(((AE166-(EU166))*AV166*1),2)*BS166),2))</f>
        <v>0</v>
      </c>
      <c r="CT166" s="3">
        <f t="shared" si="181"/>
        <v>0</v>
      </c>
      <c r="CU166" s="3">
        <f t="shared" si="182"/>
        <v>0</v>
      </c>
      <c r="CV166" s="3">
        <f t="shared" si="183"/>
        <v>0</v>
      </c>
      <c r="CW166" s="3">
        <f t="shared" si="184"/>
        <v>0</v>
      </c>
      <c r="CX166" s="3">
        <f t="shared" si="185"/>
        <v>0</v>
      </c>
      <c r="CY166" s="3">
        <f>(ROUND((((S166+ROUND((ROUND(((EU166)*AV166*1),2)*BS166),2))*AT166)/100),2)+ROUND(((ROUND((ROUND(((AE166-(EU166))*AV166*1),2)*BS166),2)*AT166)/100),2))</f>
        <v>0</v>
      </c>
      <c r="CZ166" s="3">
        <f>(ROUND((((S166+ROUND((ROUND(((EU166)*AV166*1),2)*BS166),2))*AU166)/100),2)+ROUND(((ROUND((ROUND(((AE166-(EU166))*AV166*1),2)*BS166),2)*AU166)/100),2))</f>
        <v>0</v>
      </c>
      <c r="DC166" s="3" t="s">
        <v>3</v>
      </c>
      <c r="DD166" s="3" t="s">
        <v>3</v>
      </c>
      <c r="DE166" s="3" t="s">
        <v>3</v>
      </c>
      <c r="DF166" s="3" t="s">
        <v>3</v>
      </c>
      <c r="DG166" s="3" t="s">
        <v>3</v>
      </c>
      <c r="DH166" s="3" t="s">
        <v>3</v>
      </c>
      <c r="DI166" s="3" t="s">
        <v>3</v>
      </c>
      <c r="DJ166" s="3" t="s">
        <v>3</v>
      </c>
      <c r="DK166" s="3" t="s">
        <v>3</v>
      </c>
      <c r="DL166" s="3" t="s">
        <v>3</v>
      </c>
      <c r="DM166" s="3" t="s">
        <v>3</v>
      </c>
      <c r="DN166" s="3">
        <v>0</v>
      </c>
      <c r="DO166" s="3">
        <v>0</v>
      </c>
      <c r="DP166" s="3">
        <v>1</v>
      </c>
      <c r="DQ166" s="3">
        <v>1</v>
      </c>
      <c r="DU166" s="3">
        <v>1010</v>
      </c>
      <c r="DV166" s="3" t="s">
        <v>217</v>
      </c>
      <c r="DW166" s="3" t="s">
        <v>217</v>
      </c>
      <c r="DX166" s="3">
        <v>1</v>
      </c>
      <c r="DZ166" s="3" t="s">
        <v>3</v>
      </c>
      <c r="EA166" s="3" t="s">
        <v>3</v>
      </c>
      <c r="EB166" s="3" t="s">
        <v>3</v>
      </c>
      <c r="EC166" s="3" t="s">
        <v>3</v>
      </c>
      <c r="EE166" s="3">
        <v>55393688</v>
      </c>
      <c r="EF166" s="3">
        <v>30</v>
      </c>
      <c r="EG166" s="3" t="s">
        <v>80</v>
      </c>
      <c r="EH166" s="3">
        <v>0</v>
      </c>
      <c r="EI166" s="3" t="s">
        <v>3</v>
      </c>
      <c r="EJ166" s="3">
        <v>1</v>
      </c>
      <c r="EK166" s="3">
        <v>55</v>
      </c>
      <c r="EL166" s="3" t="s">
        <v>93</v>
      </c>
      <c r="EM166" s="3" t="s">
        <v>94</v>
      </c>
      <c r="EO166" s="3" t="s">
        <v>289</v>
      </c>
      <c r="EQ166" s="3">
        <v>0</v>
      </c>
      <c r="ER166" s="3">
        <v>269.43</v>
      </c>
      <c r="ES166" s="3">
        <v>269.43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FQ166" s="3">
        <v>0</v>
      </c>
      <c r="FR166" s="3">
        <v>0</v>
      </c>
      <c r="FS166" s="3">
        <v>0</v>
      </c>
      <c r="FX166" s="3">
        <v>93</v>
      </c>
      <c r="FY166" s="3">
        <v>62</v>
      </c>
      <c r="GA166" s="3" t="s">
        <v>3</v>
      </c>
      <c r="GD166" s="3">
        <v>1</v>
      </c>
      <c r="GF166" s="3">
        <v>1463737686</v>
      </c>
      <c r="GG166" s="3">
        <v>2</v>
      </c>
      <c r="GH166" s="3">
        <v>1</v>
      </c>
      <c r="GI166" s="3">
        <v>2</v>
      </c>
      <c r="GJ166" s="3">
        <v>0</v>
      </c>
      <c r="GK166" s="3">
        <v>0</v>
      </c>
      <c r="GL166" s="3">
        <f t="shared" si="186"/>
        <v>0</v>
      </c>
      <c r="GM166" s="3">
        <f t="shared" si="187"/>
        <v>10022.799999999999</v>
      </c>
      <c r="GN166" s="3">
        <f t="shared" si="188"/>
        <v>10022.799999999999</v>
      </c>
      <c r="GO166" s="3">
        <f t="shared" si="189"/>
        <v>0</v>
      </c>
      <c r="GP166" s="3">
        <f t="shared" si="190"/>
        <v>0</v>
      </c>
      <c r="GR166" s="3">
        <v>0</v>
      </c>
      <c r="GS166" s="3">
        <v>3</v>
      </c>
      <c r="GT166" s="3">
        <v>0</v>
      </c>
      <c r="GU166" s="3" t="s">
        <v>3</v>
      </c>
      <c r="GV166" s="3">
        <f t="shared" si="191"/>
        <v>0</v>
      </c>
      <c r="GW166" s="3">
        <v>1</v>
      </c>
      <c r="GX166" s="3">
        <f t="shared" si="192"/>
        <v>0</v>
      </c>
      <c r="HA166" s="3">
        <v>0</v>
      </c>
      <c r="HB166" s="3">
        <v>0</v>
      </c>
      <c r="HC166" s="3">
        <f t="shared" si="193"/>
        <v>0</v>
      </c>
      <c r="HE166" s="3" t="s">
        <v>3</v>
      </c>
      <c r="HF166" s="3" t="s">
        <v>3</v>
      </c>
      <c r="HM166" s="3" t="s">
        <v>3</v>
      </c>
      <c r="HN166" s="3" t="s">
        <v>3</v>
      </c>
      <c r="HO166" s="3" t="s">
        <v>3</v>
      </c>
      <c r="HP166" s="3" t="s">
        <v>3</v>
      </c>
      <c r="HQ166" s="3" t="s">
        <v>3</v>
      </c>
      <c r="HS166" s="3">
        <v>0</v>
      </c>
      <c r="IK166" s="3">
        <v>0</v>
      </c>
    </row>
    <row r="167" spans="1:255" x14ac:dyDescent="0.2">
      <c r="A167" s="2">
        <v>17</v>
      </c>
      <c r="B167" s="2">
        <v>1</v>
      </c>
      <c r="C167" s="2"/>
      <c r="D167" s="2"/>
      <c r="E167" s="2" t="s">
        <v>302</v>
      </c>
      <c r="F167" s="2" t="s">
        <v>303</v>
      </c>
      <c r="G167" s="2" t="s">
        <v>304</v>
      </c>
      <c r="H167" s="2" t="s">
        <v>217</v>
      </c>
      <c r="I167" s="2">
        <v>1</v>
      </c>
      <c r="J167" s="2">
        <v>0</v>
      </c>
      <c r="K167" s="2">
        <v>1</v>
      </c>
      <c r="L167" s="2"/>
      <c r="M167" s="2"/>
      <c r="N167" s="2"/>
      <c r="O167" s="2">
        <f t="shared" si="171"/>
        <v>12243</v>
      </c>
      <c r="P167" s="2">
        <f>ROUND((ROUND((AC167*I167),2)*BC167),2)</f>
        <v>12243</v>
      </c>
      <c r="Q167" s="2">
        <f>(ROUND((ROUND(((ET167)*AV167*I167),2)*BB167),2)+ROUND((ROUND(((AE167-(EU167))*AV167*I167),2)*BS167),2))</f>
        <v>0</v>
      </c>
      <c r="R167" s="2">
        <f>(ROUND((ROUND(((EU167)*AV167*I167),2)*BS167),2)+ROUND((ROUND(((AE167-(EU167))*AV167*I167),2)*BS167),2))</f>
        <v>0</v>
      </c>
      <c r="S167" s="2">
        <f t="shared" si="172"/>
        <v>0</v>
      </c>
      <c r="T167" s="2">
        <f t="shared" si="173"/>
        <v>0</v>
      </c>
      <c r="U167" s="2">
        <f t="shared" si="174"/>
        <v>0</v>
      </c>
      <c r="V167" s="2">
        <f t="shared" si="175"/>
        <v>0</v>
      </c>
      <c r="W167" s="2">
        <f t="shared" si="176"/>
        <v>0</v>
      </c>
      <c r="X167" s="2">
        <f>(ROUND((((S167+ROUND((ROUND(((EU167)*AV167*I167),2)*BS167),2))*AT167)/100),2)+ROUND(((ROUND((ROUND(((AE167-(EU167))*AV167*I167),2)*BS167),2)*AT167)/100),2))</f>
        <v>0</v>
      </c>
      <c r="Y167" s="2">
        <f>(ROUND((((S167+ROUND((ROUND(((EU167)*AV167*I167),2)*BS167),2))*AU167)/100),2)+ROUND(((ROUND((ROUND(((AE167-(EU167))*AV167*I167),2)*BS167),2)*AU167)/100),2))</f>
        <v>0</v>
      </c>
      <c r="Z167" s="2"/>
      <c r="AA167" s="2">
        <v>55937296</v>
      </c>
      <c r="AB167" s="2">
        <f t="shared" si="177"/>
        <v>12243</v>
      </c>
      <c r="AC167" s="2">
        <f>ROUND((ES167),6)</f>
        <v>12243</v>
      </c>
      <c r="AD167" s="2">
        <f>ROUND((((ET167)-(EU167))+AE167),6)</f>
        <v>0</v>
      </c>
      <c r="AE167" s="2">
        <f t="shared" si="194"/>
        <v>0</v>
      </c>
      <c r="AF167" s="2">
        <f t="shared" si="194"/>
        <v>0</v>
      </c>
      <c r="AG167" s="2">
        <f t="shared" si="178"/>
        <v>0</v>
      </c>
      <c r="AH167" s="2">
        <f t="shared" si="195"/>
        <v>0</v>
      </c>
      <c r="AI167" s="2">
        <f t="shared" si="195"/>
        <v>0</v>
      </c>
      <c r="AJ167" s="2">
        <f t="shared" si="179"/>
        <v>0</v>
      </c>
      <c r="AK167" s="2">
        <v>12243</v>
      </c>
      <c r="AL167" s="2">
        <v>12243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3</v>
      </c>
      <c r="BJ167" s="2" t="s">
        <v>305</v>
      </c>
      <c r="BK167" s="2"/>
      <c r="BL167" s="2"/>
      <c r="BM167" s="2">
        <v>746</v>
      </c>
      <c r="BN167" s="2">
        <v>0</v>
      </c>
      <c r="BO167" s="2" t="s">
        <v>3</v>
      </c>
      <c r="BP167" s="2">
        <v>0</v>
      </c>
      <c r="BQ167" s="2">
        <v>130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0</v>
      </c>
      <c r="CA167" s="2">
        <v>0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3</v>
      </c>
      <c r="CO167" s="2">
        <v>0</v>
      </c>
      <c r="CP167" s="2">
        <f t="shared" si="180"/>
        <v>12243</v>
      </c>
      <c r="CQ167" s="2">
        <f>ROUND((ROUND((AC167*1),2)*BC167),2)</f>
        <v>12243</v>
      </c>
      <c r="CR167" s="2">
        <f>(ROUND((ROUND(((ET167)*AV167*1),2)*BB167),2)+ROUND((ROUND(((AE167-(EU167))*AV167*1),2)*BS167),2))</f>
        <v>0</v>
      </c>
      <c r="CS167" s="2">
        <f>(ROUND((ROUND(((EU167)*AV167*1),2)*BS167),2)+ROUND((ROUND(((AE167-(EU167))*AV167*1),2)*BS167),2))</f>
        <v>0</v>
      </c>
      <c r="CT167" s="2">
        <f t="shared" si="181"/>
        <v>0</v>
      </c>
      <c r="CU167" s="2">
        <f t="shared" si="182"/>
        <v>0</v>
      </c>
      <c r="CV167" s="2">
        <f t="shared" si="183"/>
        <v>0</v>
      </c>
      <c r="CW167" s="2">
        <f t="shared" si="184"/>
        <v>0</v>
      </c>
      <c r="CX167" s="2">
        <f t="shared" si="185"/>
        <v>0</v>
      </c>
      <c r="CY167" s="2">
        <f>(ROUND((((S167+ROUND((ROUND(((EU167)*AV167*1),2)*BS167),2))*AT167)/100),2)+ROUND(((ROUND((ROUND(((AE167-(EU167))*AV167*1),2)*BS167),2)*AT167)/100),2))</f>
        <v>0</v>
      </c>
      <c r="CZ167" s="2">
        <f>(ROUND((((S167+ROUND((ROUND(((EU167)*AV167*1),2)*BS167),2))*AU167)/100),2)+ROUND(((ROUND((ROUND(((AE167-(EU167))*AV167*1),2)*BS167),2)*AU167)/100),2))</f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217</v>
      </c>
      <c r="DW167" s="2" t="s">
        <v>217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55393806</v>
      </c>
      <c r="EF167" s="2">
        <v>130</v>
      </c>
      <c r="EG167" s="2" t="s">
        <v>219</v>
      </c>
      <c r="EH167" s="2">
        <v>0</v>
      </c>
      <c r="EI167" s="2" t="s">
        <v>3</v>
      </c>
      <c r="EJ167" s="2">
        <v>3</v>
      </c>
      <c r="EK167" s="2">
        <v>746</v>
      </c>
      <c r="EL167" s="2" t="s">
        <v>220</v>
      </c>
      <c r="EM167" s="2" t="s">
        <v>221</v>
      </c>
      <c r="EN167" s="2"/>
      <c r="EO167" s="2" t="s">
        <v>3</v>
      </c>
      <c r="EP167" s="2"/>
      <c r="EQ167" s="2">
        <v>0</v>
      </c>
      <c r="ER167" s="2">
        <v>12243</v>
      </c>
      <c r="ES167" s="2">
        <v>12243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f>P167</f>
        <v>12243</v>
      </c>
      <c r="FS167" s="2">
        <v>0</v>
      </c>
      <c r="FT167" s="2"/>
      <c r="FU167" s="2"/>
      <c r="FV167" s="2"/>
      <c r="FW167" s="2"/>
      <c r="FX167" s="2">
        <v>0</v>
      </c>
      <c r="FY167" s="2">
        <v>0</v>
      </c>
      <c r="FZ167" s="2"/>
      <c r="GA167" s="2" t="s">
        <v>3</v>
      </c>
      <c r="GB167" s="2"/>
      <c r="GC167" s="2"/>
      <c r="GD167" s="2">
        <v>1</v>
      </c>
      <c r="GE167" s="2"/>
      <c r="GF167" s="2">
        <v>-531099023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86"/>
        <v>0</v>
      </c>
      <c r="GM167" s="2">
        <f t="shared" si="187"/>
        <v>12243</v>
      </c>
      <c r="GN167" s="2">
        <f t="shared" si="188"/>
        <v>0</v>
      </c>
      <c r="GO167" s="2">
        <f t="shared" si="189"/>
        <v>0</v>
      </c>
      <c r="GP167" s="2">
        <f t="shared" si="190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191"/>
        <v>0</v>
      </c>
      <c r="GW167" s="2">
        <v>1</v>
      </c>
      <c r="GX167" s="2">
        <f t="shared" si="192"/>
        <v>0</v>
      </c>
      <c r="GY167" s="2"/>
      <c r="GZ167" s="2"/>
      <c r="HA167" s="2">
        <v>0</v>
      </c>
      <c r="HB167" s="2">
        <v>0</v>
      </c>
      <c r="HC167" s="2">
        <f t="shared" si="193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 s="3">
        <v>17</v>
      </c>
      <c r="B168" s="3">
        <v>1</v>
      </c>
      <c r="E168" s="3" t="s">
        <v>302</v>
      </c>
      <c r="F168" s="3" t="s">
        <v>303</v>
      </c>
      <c r="G168" s="3" t="s">
        <v>304</v>
      </c>
      <c r="H168" s="3" t="s">
        <v>217</v>
      </c>
      <c r="I168" s="3">
        <v>1</v>
      </c>
      <c r="J168" s="3">
        <v>0</v>
      </c>
      <c r="K168" s="3">
        <v>1</v>
      </c>
      <c r="O168" s="3">
        <f t="shared" si="171"/>
        <v>28036.47</v>
      </c>
      <c r="P168" s="3">
        <f>ROUND((ROUND((AC168*I168),2)*BC168),2)</f>
        <v>28036.47</v>
      </c>
      <c r="Q168" s="3">
        <f>(ROUND((ROUND(((ET168)*AV168*I168),2)*BB168),2)+ROUND((ROUND(((AE168-(EU168))*AV168*I168),2)*BS168),2))</f>
        <v>0</v>
      </c>
      <c r="R168" s="3">
        <f>(ROUND((ROUND(((EU168)*AV168*I168),2)*BS168),2)+ROUND((ROUND(((AE168-(EU168))*AV168*I168),2)*BS168),2))</f>
        <v>0</v>
      </c>
      <c r="S168" s="3">
        <f t="shared" si="172"/>
        <v>0</v>
      </c>
      <c r="T168" s="3">
        <f t="shared" si="173"/>
        <v>0</v>
      </c>
      <c r="U168" s="3">
        <f t="shared" si="174"/>
        <v>0</v>
      </c>
      <c r="V168" s="3">
        <f t="shared" si="175"/>
        <v>0</v>
      </c>
      <c r="W168" s="3">
        <f t="shared" si="176"/>
        <v>0</v>
      </c>
      <c r="X168" s="3">
        <f>(ROUND((((S168+ROUND((ROUND(((EU168)*AV168*I168),2)*BS168),2))*AT168)/100),2)+ROUND(((ROUND((ROUND(((AE168-(EU168))*AV168*I168),2)*BS168),2)*AT168)/100),2))</f>
        <v>0</v>
      </c>
      <c r="Y168" s="3">
        <f>(ROUND((((S168+ROUND((ROUND(((EU168)*AV168*I168),2)*BS168),2))*AU168)/100),2)+ROUND(((ROUND((ROUND(((AE168-(EU168))*AV168*I168),2)*BS168),2)*AU168)/100),2))</f>
        <v>0</v>
      </c>
      <c r="AA168" s="3">
        <v>55937298</v>
      </c>
      <c r="AB168" s="3">
        <f t="shared" si="177"/>
        <v>12243</v>
      </c>
      <c r="AC168" s="3">
        <f>ROUND((ES168),6)</f>
        <v>12243</v>
      </c>
      <c r="AD168" s="3">
        <f>ROUND((((ET168)-(EU168))+AE168),6)</f>
        <v>0</v>
      </c>
      <c r="AE168" s="3">
        <f t="shared" si="194"/>
        <v>0</v>
      </c>
      <c r="AF168" s="3">
        <f t="shared" si="194"/>
        <v>0</v>
      </c>
      <c r="AG168" s="3">
        <f t="shared" si="178"/>
        <v>0</v>
      </c>
      <c r="AH168" s="3">
        <f t="shared" si="195"/>
        <v>0</v>
      </c>
      <c r="AI168" s="3">
        <f t="shared" si="195"/>
        <v>0</v>
      </c>
      <c r="AJ168" s="3">
        <f t="shared" si="179"/>
        <v>0</v>
      </c>
      <c r="AK168" s="3">
        <v>12243</v>
      </c>
      <c r="AL168" s="3">
        <v>12243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1</v>
      </c>
      <c r="AW168" s="3">
        <v>1</v>
      </c>
      <c r="AZ168" s="3">
        <v>1</v>
      </c>
      <c r="BA168" s="3">
        <v>1</v>
      </c>
      <c r="BB168" s="3">
        <v>1</v>
      </c>
      <c r="BC168" s="3">
        <v>2.29</v>
      </c>
      <c r="BD168" s="3" t="s">
        <v>3</v>
      </c>
      <c r="BE168" s="3" t="s">
        <v>3</v>
      </c>
      <c r="BF168" s="3" t="s">
        <v>3</v>
      </c>
      <c r="BG168" s="3" t="s">
        <v>3</v>
      </c>
      <c r="BH168" s="3">
        <v>3</v>
      </c>
      <c r="BI168" s="3">
        <v>3</v>
      </c>
      <c r="BJ168" s="3" t="s">
        <v>305</v>
      </c>
      <c r="BM168" s="3">
        <v>746</v>
      </c>
      <c r="BN168" s="3">
        <v>0</v>
      </c>
      <c r="BO168" s="3" t="s">
        <v>3</v>
      </c>
      <c r="BP168" s="3">
        <v>0</v>
      </c>
      <c r="BQ168" s="3">
        <v>130</v>
      </c>
      <c r="BR168" s="3">
        <v>0</v>
      </c>
      <c r="BS168" s="3">
        <v>1</v>
      </c>
      <c r="BT168" s="3">
        <v>1</v>
      </c>
      <c r="BU168" s="3">
        <v>1</v>
      </c>
      <c r="BV168" s="3">
        <v>1</v>
      </c>
      <c r="BW168" s="3">
        <v>1</v>
      </c>
      <c r="BX168" s="3">
        <v>1</v>
      </c>
      <c r="BY168" s="3" t="s">
        <v>3</v>
      </c>
      <c r="BZ168" s="3">
        <v>0</v>
      </c>
      <c r="CA168" s="3">
        <v>0</v>
      </c>
      <c r="CB168" s="3" t="s">
        <v>3</v>
      </c>
      <c r="CE168" s="3">
        <v>1566</v>
      </c>
      <c r="CF168" s="3">
        <v>0</v>
      </c>
      <c r="CG168" s="3">
        <v>0</v>
      </c>
      <c r="CM168" s="3">
        <v>0</v>
      </c>
      <c r="CN168" s="3" t="s">
        <v>3</v>
      </c>
      <c r="CO168" s="3">
        <v>0</v>
      </c>
      <c r="CP168" s="3">
        <f t="shared" si="180"/>
        <v>28036.47</v>
      </c>
      <c r="CQ168" s="3">
        <f>ROUND((ROUND((AC168*1),2)*BC168),2)</f>
        <v>28036.47</v>
      </c>
      <c r="CR168" s="3">
        <f>(ROUND((ROUND(((ET168)*AV168*1),2)*BB168),2)+ROUND((ROUND(((AE168-(EU168))*AV168*1),2)*BS168),2))</f>
        <v>0</v>
      </c>
      <c r="CS168" s="3">
        <f>(ROUND((ROUND(((EU168)*AV168*1),2)*BS168),2)+ROUND((ROUND(((AE168-(EU168))*AV168*1),2)*BS168),2))</f>
        <v>0</v>
      </c>
      <c r="CT168" s="3">
        <f t="shared" si="181"/>
        <v>0</v>
      </c>
      <c r="CU168" s="3">
        <f t="shared" si="182"/>
        <v>0</v>
      </c>
      <c r="CV168" s="3">
        <f t="shared" si="183"/>
        <v>0</v>
      </c>
      <c r="CW168" s="3">
        <f t="shared" si="184"/>
        <v>0</v>
      </c>
      <c r="CX168" s="3">
        <f t="shared" si="185"/>
        <v>0</v>
      </c>
      <c r="CY168" s="3">
        <f>(ROUND((((S168+ROUND((ROUND(((EU168)*AV168*1),2)*BS168),2))*AT168)/100),2)+ROUND(((ROUND((ROUND(((AE168-(EU168))*AV168*1),2)*BS168),2)*AT168)/100),2))</f>
        <v>0</v>
      </c>
      <c r="CZ168" s="3">
        <f>(ROUND((((S168+ROUND((ROUND(((EU168)*AV168*1),2)*BS168),2))*AU168)/100),2)+ROUND(((ROUND((ROUND(((AE168-(EU168))*AV168*1),2)*BS168),2)*AU168)/100),2))</f>
        <v>0</v>
      </c>
      <c r="DC168" s="3" t="s">
        <v>3</v>
      </c>
      <c r="DD168" s="3" t="s">
        <v>3</v>
      </c>
      <c r="DE168" s="3" t="s">
        <v>3</v>
      </c>
      <c r="DF168" s="3" t="s">
        <v>3</v>
      </c>
      <c r="DG168" s="3" t="s">
        <v>3</v>
      </c>
      <c r="DH168" s="3" t="s">
        <v>3</v>
      </c>
      <c r="DI168" s="3" t="s">
        <v>3</v>
      </c>
      <c r="DJ168" s="3" t="s">
        <v>3</v>
      </c>
      <c r="DK168" s="3" t="s">
        <v>3</v>
      </c>
      <c r="DL168" s="3" t="s">
        <v>3</v>
      </c>
      <c r="DM168" s="3" t="s">
        <v>3</v>
      </c>
      <c r="DN168" s="3">
        <v>0</v>
      </c>
      <c r="DO168" s="3">
        <v>0</v>
      </c>
      <c r="DP168" s="3">
        <v>1</v>
      </c>
      <c r="DQ168" s="3">
        <v>1</v>
      </c>
      <c r="DU168" s="3">
        <v>1010</v>
      </c>
      <c r="DV168" s="3" t="s">
        <v>217</v>
      </c>
      <c r="DW168" s="3" t="s">
        <v>217</v>
      </c>
      <c r="DX168" s="3">
        <v>1</v>
      </c>
      <c r="DZ168" s="3" t="s">
        <v>3</v>
      </c>
      <c r="EA168" s="3" t="s">
        <v>3</v>
      </c>
      <c r="EB168" s="3" t="s">
        <v>3</v>
      </c>
      <c r="EC168" s="3" t="s">
        <v>3</v>
      </c>
      <c r="EE168" s="3">
        <v>55393806</v>
      </c>
      <c r="EF168" s="3">
        <v>130</v>
      </c>
      <c r="EG168" s="3" t="s">
        <v>219</v>
      </c>
      <c r="EH168" s="3">
        <v>0</v>
      </c>
      <c r="EI168" s="3" t="s">
        <v>3</v>
      </c>
      <c r="EJ168" s="3">
        <v>3</v>
      </c>
      <c r="EK168" s="3">
        <v>746</v>
      </c>
      <c r="EL168" s="3" t="s">
        <v>220</v>
      </c>
      <c r="EM168" s="3" t="s">
        <v>221</v>
      </c>
      <c r="EO168" s="3" t="s">
        <v>3</v>
      </c>
      <c r="EQ168" s="3">
        <v>0</v>
      </c>
      <c r="ER168" s="3">
        <v>12243</v>
      </c>
      <c r="ES168" s="3">
        <v>12243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FQ168" s="3">
        <v>0</v>
      </c>
      <c r="FR168" s="3">
        <f>P168</f>
        <v>28036.47</v>
      </c>
      <c r="FS168" s="3">
        <v>0</v>
      </c>
      <c r="FX168" s="3">
        <v>0</v>
      </c>
      <c r="FY168" s="3">
        <v>0</v>
      </c>
      <c r="GA168" s="3" t="s">
        <v>3</v>
      </c>
      <c r="GD168" s="3">
        <v>1</v>
      </c>
      <c r="GF168" s="3">
        <v>-531099023</v>
      </c>
      <c r="GG168" s="3">
        <v>2</v>
      </c>
      <c r="GH168" s="3">
        <v>1</v>
      </c>
      <c r="GI168" s="3">
        <v>2</v>
      </c>
      <c r="GJ168" s="3">
        <v>0</v>
      </c>
      <c r="GK168" s="3">
        <v>0</v>
      </c>
      <c r="GL168" s="3">
        <f t="shared" si="186"/>
        <v>0</v>
      </c>
      <c r="GM168" s="3">
        <f t="shared" si="187"/>
        <v>28036.47</v>
      </c>
      <c r="GN168" s="3">
        <f t="shared" si="188"/>
        <v>0</v>
      </c>
      <c r="GO168" s="3">
        <f t="shared" si="189"/>
        <v>0</v>
      </c>
      <c r="GP168" s="3">
        <f t="shared" si="190"/>
        <v>0</v>
      </c>
      <c r="GR168" s="3">
        <v>0</v>
      </c>
      <c r="GS168" s="3">
        <v>3</v>
      </c>
      <c r="GT168" s="3">
        <v>0</v>
      </c>
      <c r="GU168" s="3" t="s">
        <v>3</v>
      </c>
      <c r="GV168" s="3">
        <f t="shared" si="191"/>
        <v>0</v>
      </c>
      <c r="GW168" s="3">
        <v>1</v>
      </c>
      <c r="GX168" s="3">
        <f t="shared" si="192"/>
        <v>0</v>
      </c>
      <c r="HA168" s="3">
        <v>0</v>
      </c>
      <c r="HB168" s="3">
        <v>0</v>
      </c>
      <c r="HC168" s="3">
        <f t="shared" si="193"/>
        <v>0</v>
      </c>
      <c r="HE168" s="3" t="s">
        <v>3</v>
      </c>
      <c r="HF168" s="3" t="s">
        <v>3</v>
      </c>
      <c r="HM168" s="3" t="s">
        <v>3</v>
      </c>
      <c r="HN168" s="3" t="s">
        <v>3</v>
      </c>
      <c r="HO168" s="3" t="s">
        <v>3</v>
      </c>
      <c r="HP168" s="3" t="s">
        <v>3</v>
      </c>
      <c r="HQ168" s="3" t="s">
        <v>3</v>
      </c>
      <c r="HS168" s="3">
        <v>0</v>
      </c>
      <c r="IK168" s="3">
        <v>0</v>
      </c>
    </row>
    <row r="169" spans="1:255" x14ac:dyDescent="0.2">
      <c r="A169" s="2">
        <v>17</v>
      </c>
      <c r="B169" s="2">
        <v>1</v>
      </c>
      <c r="C169" s="2">
        <f>ROW(SmtRes!A226)</f>
        <v>226</v>
      </c>
      <c r="D169" s="2">
        <f>ROW(EtalonRes!A282)</f>
        <v>282</v>
      </c>
      <c r="E169" s="2" t="s">
        <v>306</v>
      </c>
      <c r="F169" s="2" t="s">
        <v>96</v>
      </c>
      <c r="G169" s="2" t="s">
        <v>307</v>
      </c>
      <c r="H169" s="2" t="s">
        <v>98</v>
      </c>
      <c r="I169" s="2">
        <v>4</v>
      </c>
      <c r="J169" s="2">
        <v>0</v>
      </c>
      <c r="K169" s="2">
        <v>4</v>
      </c>
      <c r="L169" s="2"/>
      <c r="M169" s="2"/>
      <c r="N169" s="2"/>
      <c r="O169" s="2">
        <f t="shared" si="171"/>
        <v>91.31</v>
      </c>
      <c r="P169" s="2">
        <f t="shared" ref="P169:P178" si="196">ROUND((ROUND((AC169*AW169*I169),2)*BC169),2)</f>
        <v>15.04</v>
      </c>
      <c r="Q169" s="2">
        <f>(ROUND((ROUND(((((ET169*1.25)*1.2))*AV169*I169),2)*BB169),2)+ROUND((ROUND(((AE169-(((EU169*1.25)*1.2)))*AV169*I169),2)*BS169),2))</f>
        <v>5.83</v>
      </c>
      <c r="R169" s="2">
        <f>(ROUND((ROUND(((((EU169*1.25)*1.2))*AV169*I169),2)*BS169),2)+ROUND((ROUND(((AE169-(((EU169*1.25)*1.2)))*AV169*I169),2)*BS169),2))</f>
        <v>0.83</v>
      </c>
      <c r="S169" s="2">
        <f t="shared" si="172"/>
        <v>70.44</v>
      </c>
      <c r="T169" s="2">
        <f t="shared" si="173"/>
        <v>0</v>
      </c>
      <c r="U169" s="2">
        <f t="shared" si="174"/>
        <v>6.0665351999999988</v>
      </c>
      <c r="V169" s="2">
        <f t="shared" si="175"/>
        <v>0</v>
      </c>
      <c r="W169" s="2">
        <f t="shared" si="176"/>
        <v>0</v>
      </c>
      <c r="X169" s="2">
        <f>(ROUND((((S169+ROUND((ROUND(((((EU169*1.25)*1.2))*AV169*I169),2)*BS169),2))*AT169)/100),2)+ROUND(((ROUND((ROUND(((AE169-(((EU169*1.25)*1.2)))*AV169*I169),2)*BS169),2)*AT169)/100),2))</f>
        <v>86.24</v>
      </c>
      <c r="Y169" s="2">
        <f>(ROUND((((S169+ROUND((ROUND(((((EU169*1.25)*1.2))*AV169*I169),2)*BS169),2))*AU169)/100),2)+ROUND(((ROUND((ROUND(((AE169-(((EU169*1.25)*1.2)))*AV169*I169),2)*BS169),2)*AU169)/100),2))</f>
        <v>51.31</v>
      </c>
      <c r="Z169" s="2"/>
      <c r="AA169" s="2">
        <v>55937296</v>
      </c>
      <c r="AB169" s="2">
        <f t="shared" si="177"/>
        <v>21.629799999999999</v>
      </c>
      <c r="AC169" s="2">
        <f>ROUND((((ES169*1)*1)),6)</f>
        <v>3.76</v>
      </c>
      <c r="AD169" s="2">
        <f>ROUND((((((ET169*1.25)*1.2))-(((EU169*1.25)*1.2)))+AE169),6)</f>
        <v>1.365</v>
      </c>
      <c r="AE169" s="2">
        <f>ROUND((((EU169*1.25)*1.2)),6)</f>
        <v>0.19500000000000001</v>
      </c>
      <c r="AF169" s="2">
        <f>ROUND((((EV169*1.15)*1.2)),6)</f>
        <v>16.504799999999999</v>
      </c>
      <c r="AG169" s="2">
        <f t="shared" si="178"/>
        <v>0</v>
      </c>
      <c r="AH169" s="2">
        <f>(((EW169*1.15)*1.2))</f>
        <v>1.4213999999999998</v>
      </c>
      <c r="AI169" s="2">
        <f>(((EX169*1.25)*1.2))</f>
        <v>0</v>
      </c>
      <c r="AJ169" s="2">
        <f t="shared" si="179"/>
        <v>0</v>
      </c>
      <c r="AK169" s="2">
        <v>16.63</v>
      </c>
      <c r="AL169" s="2">
        <v>3.76</v>
      </c>
      <c r="AM169" s="2">
        <v>0.91</v>
      </c>
      <c r="AN169" s="2">
        <v>0.13</v>
      </c>
      <c r="AO169" s="2">
        <v>11.96</v>
      </c>
      <c r="AP169" s="2">
        <v>0</v>
      </c>
      <c r="AQ169" s="2">
        <v>1.03</v>
      </c>
      <c r="AR169" s="2">
        <v>0</v>
      </c>
      <c r="AS169" s="2">
        <v>0</v>
      </c>
      <c r="AT169" s="2">
        <v>121</v>
      </c>
      <c r="AU169" s="2">
        <v>72</v>
      </c>
      <c r="AV169" s="2">
        <v>1.0669999999999999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1</v>
      </c>
      <c r="BJ169" s="2" t="s">
        <v>99</v>
      </c>
      <c r="BK169" s="2"/>
      <c r="BL169" s="2"/>
      <c r="BM169" s="2">
        <v>25</v>
      </c>
      <c r="BN169" s="2">
        <v>0</v>
      </c>
      <c r="BO169" s="2" t="s">
        <v>96</v>
      </c>
      <c r="BP169" s="2">
        <v>1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121</v>
      </c>
      <c r="CA169" s="2">
        <v>72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801</v>
      </c>
      <c r="CO169" s="2">
        <v>0</v>
      </c>
      <c r="CP169" s="2">
        <f t="shared" si="180"/>
        <v>91.31</v>
      </c>
      <c r="CQ169" s="2">
        <f t="shared" ref="CQ169:CQ178" si="197">ROUND((ROUND((AC169*AW169*1),2)*BC169),2)</f>
        <v>3.76</v>
      </c>
      <c r="CR169" s="2">
        <f>(ROUND((ROUND(((((ET169*1.25)*1.2))*AV169*1),2)*BB169),2)+ROUND((ROUND(((AE169-(((EU169*1.25)*1.2)))*AV169*1),2)*BS169),2))</f>
        <v>1.46</v>
      </c>
      <c r="CS169" s="2">
        <f>(ROUND((ROUND(((((EU169*1.25)*1.2))*AV169*1),2)*BS169),2)+ROUND((ROUND(((AE169-(((EU169*1.25)*1.2)))*AV169*1),2)*BS169),2))</f>
        <v>0.21</v>
      </c>
      <c r="CT169" s="2">
        <f t="shared" si="181"/>
        <v>17.61</v>
      </c>
      <c r="CU169" s="2">
        <f t="shared" si="182"/>
        <v>0</v>
      </c>
      <c r="CV169" s="2">
        <f t="shared" si="183"/>
        <v>1.5166337999999997</v>
      </c>
      <c r="CW169" s="2">
        <f t="shared" si="184"/>
        <v>0</v>
      </c>
      <c r="CX169" s="2">
        <f t="shared" si="185"/>
        <v>0</v>
      </c>
      <c r="CY169" s="2">
        <f>(ROUND((((S169+ROUND((ROUND(((((EU169*1.25)*1.2))*AV169*1),2)*BS169),2))*AT169)/100),2)+ROUND(((ROUND((ROUND(((AE169-(((EU169*1.25)*1.2)))*AV169*1),2)*BS169),2)*AT169)/100),2))</f>
        <v>85.49</v>
      </c>
      <c r="CZ169" s="2">
        <f>(ROUND((((S169+ROUND((ROUND(((((EU169*1.25)*1.2))*AV169*1),2)*BS169),2))*AU169)/100),2)+ROUND(((ROUND((ROUND(((AE169-(((EU169*1.25)*1.2)))*AV169*1),2)*BS169),2)*AU169)/100),2))</f>
        <v>50.87</v>
      </c>
      <c r="DA169" s="2"/>
      <c r="DB169" s="2">
        <v>103</v>
      </c>
      <c r="DC169" s="2" t="s">
        <v>3</v>
      </c>
      <c r="DD169" s="2" t="s">
        <v>280</v>
      </c>
      <c r="DE169" s="2" t="s">
        <v>281</v>
      </c>
      <c r="DF169" s="2" t="s">
        <v>281</v>
      </c>
      <c r="DG169" s="2" t="s">
        <v>282</v>
      </c>
      <c r="DH169" s="2" t="s">
        <v>3</v>
      </c>
      <c r="DI169" s="2" t="s">
        <v>282</v>
      </c>
      <c r="DJ169" s="2" t="s">
        <v>281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98</v>
      </c>
      <c r="DW169" s="2" t="s">
        <v>98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55393654</v>
      </c>
      <c r="EF169" s="2">
        <v>30</v>
      </c>
      <c r="EG169" s="2" t="s">
        <v>80</v>
      </c>
      <c r="EH169" s="2">
        <v>0</v>
      </c>
      <c r="EI169" s="2" t="s">
        <v>3</v>
      </c>
      <c r="EJ169" s="2">
        <v>1</v>
      </c>
      <c r="EK169" s="2">
        <v>25</v>
      </c>
      <c r="EL169" s="2" t="s">
        <v>100</v>
      </c>
      <c r="EM169" s="2" t="s">
        <v>101</v>
      </c>
      <c r="EN169" s="2"/>
      <c r="EO169" s="2" t="s">
        <v>283</v>
      </c>
      <c r="EP169" s="2"/>
      <c r="EQ169" s="2">
        <v>0</v>
      </c>
      <c r="ER169" s="2">
        <v>16.63</v>
      </c>
      <c r="ES169" s="2">
        <v>3.76</v>
      </c>
      <c r="ET169" s="2">
        <v>0.91</v>
      </c>
      <c r="EU169" s="2">
        <v>0.13</v>
      </c>
      <c r="EV169" s="2">
        <v>11.96</v>
      </c>
      <c r="EW169" s="2">
        <v>1.03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121</v>
      </c>
      <c r="FY169" s="2">
        <v>72</v>
      </c>
      <c r="FZ169" s="2"/>
      <c r="GA169" s="2" t="s">
        <v>3</v>
      </c>
      <c r="GB169" s="2"/>
      <c r="GC169" s="2"/>
      <c r="GD169" s="2">
        <v>1</v>
      </c>
      <c r="GE169" s="2"/>
      <c r="GF169" s="2">
        <v>-1019452531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86"/>
        <v>0</v>
      </c>
      <c r="GM169" s="2">
        <f t="shared" si="187"/>
        <v>228.86</v>
      </c>
      <c r="GN169" s="2">
        <f t="shared" si="188"/>
        <v>228.86</v>
      </c>
      <c r="GO169" s="2">
        <f t="shared" si="189"/>
        <v>0</v>
      </c>
      <c r="GP169" s="2">
        <f t="shared" si="190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191"/>
        <v>0</v>
      </c>
      <c r="GW169" s="2">
        <v>1</v>
      </c>
      <c r="GX169" s="2">
        <f t="shared" si="192"/>
        <v>0</v>
      </c>
      <c r="GY169" s="2"/>
      <c r="GZ169" s="2"/>
      <c r="HA169" s="2">
        <v>0</v>
      </c>
      <c r="HB169" s="2">
        <v>0</v>
      </c>
      <c r="HC169" s="2">
        <f t="shared" si="193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 s="3">
        <v>17</v>
      </c>
      <c r="B170" s="3">
        <v>1</v>
      </c>
      <c r="C170" s="3">
        <f>ROW(SmtRes!A232)</f>
        <v>232</v>
      </c>
      <c r="D170" s="3">
        <f>ROW(EtalonRes!A288)</f>
        <v>288</v>
      </c>
      <c r="E170" s="3" t="s">
        <v>306</v>
      </c>
      <c r="F170" s="3" t="s">
        <v>96</v>
      </c>
      <c r="G170" s="3" t="s">
        <v>307</v>
      </c>
      <c r="H170" s="3" t="s">
        <v>98</v>
      </c>
      <c r="I170" s="3">
        <v>4</v>
      </c>
      <c r="J170" s="3">
        <v>0</v>
      </c>
      <c r="K170" s="3">
        <v>4</v>
      </c>
      <c r="O170" s="3">
        <f t="shared" si="171"/>
        <v>4163.4399999999996</v>
      </c>
      <c r="P170" s="3">
        <f t="shared" si="196"/>
        <v>98.36</v>
      </c>
      <c r="Q170" s="3">
        <f>(ROUND((ROUND(((((ET170*1.25)*1.2))*AV170*I170),2)*BB170),2)+ROUND((ROUND(((AE170-(((EU170*1.25)*1.2)))*AV170*I170),2)*BS170),2))</f>
        <v>95.79</v>
      </c>
      <c r="R170" s="3">
        <f>(ROUND((ROUND(((((EU170*1.25)*1.2))*AV170*I170),2)*BS170),2)+ROUND((ROUND(((AE170-(((EU170*1.25)*1.2)))*AV170*I170),2)*BS170),2))</f>
        <v>46.77</v>
      </c>
      <c r="S170" s="3">
        <f t="shared" si="172"/>
        <v>3969.29</v>
      </c>
      <c r="T170" s="3">
        <f t="shared" si="173"/>
        <v>0</v>
      </c>
      <c r="U170" s="3">
        <f t="shared" si="174"/>
        <v>6.0665351999999988</v>
      </c>
      <c r="V170" s="3">
        <f t="shared" si="175"/>
        <v>0</v>
      </c>
      <c r="W170" s="3">
        <f t="shared" si="176"/>
        <v>0</v>
      </c>
      <c r="X170" s="3">
        <f>(ROUND((((S170+ROUND((ROUND(((((EU170*1.25)*1.2))*AV170*I170),2)*BS170),2))*AT170)/100),2)+ROUND(((ROUND((ROUND(((AE170-(((EU170*1.25)*1.2)))*AV170*I170),2)*BS170),2)*AT170)/100),2))</f>
        <v>4859.43</v>
      </c>
      <c r="Y170" s="3">
        <f>(ROUND((((S170+ROUND((ROUND(((((EU170*1.25)*1.2))*AV170*I170),2)*BS170),2))*AU170)/100),2)+ROUND(((ROUND((ROUND(((AE170-(((EU170*1.25)*1.2)))*AV170*I170),2)*BS170),2)*AU170)/100),2))</f>
        <v>2891.56</v>
      </c>
      <c r="AA170" s="3">
        <v>55937298</v>
      </c>
      <c r="AB170" s="3">
        <f t="shared" si="177"/>
        <v>21.629799999999999</v>
      </c>
      <c r="AC170" s="3">
        <f>ROUND((((ES170*1)*1)),6)</f>
        <v>3.76</v>
      </c>
      <c r="AD170" s="3">
        <f>ROUND((((((ET170*1.25)*1.2))-(((EU170*1.25)*1.2)))+AE170),6)</f>
        <v>1.365</v>
      </c>
      <c r="AE170" s="3">
        <f>ROUND((((EU170*1.25)*1.2)),6)</f>
        <v>0.19500000000000001</v>
      </c>
      <c r="AF170" s="3">
        <f>ROUND((((EV170*1.15)*1.2)),6)</f>
        <v>16.504799999999999</v>
      </c>
      <c r="AG170" s="3">
        <f t="shared" si="178"/>
        <v>0</v>
      </c>
      <c r="AH170" s="3">
        <f>(((EW170*1.15)*1.2))</f>
        <v>1.4213999999999998</v>
      </c>
      <c r="AI170" s="3">
        <f>(((EX170*1.25)*1.2))</f>
        <v>0</v>
      </c>
      <c r="AJ170" s="3">
        <f t="shared" si="179"/>
        <v>0</v>
      </c>
      <c r="AK170" s="3">
        <v>16.63</v>
      </c>
      <c r="AL170" s="3">
        <v>3.76</v>
      </c>
      <c r="AM170" s="3">
        <v>0.91</v>
      </c>
      <c r="AN170" s="3">
        <v>0.13</v>
      </c>
      <c r="AO170" s="3">
        <v>11.96</v>
      </c>
      <c r="AP170" s="3">
        <v>0</v>
      </c>
      <c r="AQ170" s="3">
        <v>1.03</v>
      </c>
      <c r="AR170" s="3">
        <v>0</v>
      </c>
      <c r="AS170" s="3">
        <v>0</v>
      </c>
      <c r="AT170" s="3">
        <v>121</v>
      </c>
      <c r="AU170" s="3">
        <v>72</v>
      </c>
      <c r="AV170" s="3">
        <v>1.0669999999999999</v>
      </c>
      <c r="AW170" s="3">
        <v>1</v>
      </c>
      <c r="AZ170" s="3">
        <v>1</v>
      </c>
      <c r="BA170" s="3">
        <v>56.35</v>
      </c>
      <c r="BB170" s="3">
        <v>16.43</v>
      </c>
      <c r="BC170" s="3">
        <v>6.54</v>
      </c>
      <c r="BD170" s="3" t="s">
        <v>3</v>
      </c>
      <c r="BE170" s="3" t="s">
        <v>3</v>
      </c>
      <c r="BF170" s="3" t="s">
        <v>3</v>
      </c>
      <c r="BG170" s="3" t="s">
        <v>3</v>
      </c>
      <c r="BH170" s="3">
        <v>0</v>
      </c>
      <c r="BI170" s="3">
        <v>1</v>
      </c>
      <c r="BJ170" s="3" t="s">
        <v>99</v>
      </c>
      <c r="BM170" s="3">
        <v>25</v>
      </c>
      <c r="BN170" s="3">
        <v>0</v>
      </c>
      <c r="BO170" s="3" t="s">
        <v>96</v>
      </c>
      <c r="BP170" s="3">
        <v>1</v>
      </c>
      <c r="BQ170" s="3">
        <v>30</v>
      </c>
      <c r="BR170" s="3">
        <v>0</v>
      </c>
      <c r="BS170" s="3">
        <v>56.35</v>
      </c>
      <c r="BT170" s="3">
        <v>1</v>
      </c>
      <c r="BU170" s="3">
        <v>1</v>
      </c>
      <c r="BV170" s="3">
        <v>1</v>
      </c>
      <c r="BW170" s="3">
        <v>1</v>
      </c>
      <c r="BX170" s="3">
        <v>1</v>
      </c>
      <c r="BY170" s="3" t="s">
        <v>3</v>
      </c>
      <c r="BZ170" s="3">
        <v>121</v>
      </c>
      <c r="CA170" s="3">
        <v>72</v>
      </c>
      <c r="CB170" s="3" t="s">
        <v>3</v>
      </c>
      <c r="CE170" s="3">
        <v>1566</v>
      </c>
      <c r="CF170" s="3">
        <v>0</v>
      </c>
      <c r="CG170" s="3">
        <v>0</v>
      </c>
      <c r="CM170" s="3">
        <v>0</v>
      </c>
      <c r="CN170" s="3" t="s">
        <v>801</v>
      </c>
      <c r="CO170" s="3">
        <v>0</v>
      </c>
      <c r="CP170" s="3">
        <f t="shared" si="180"/>
        <v>4163.4399999999996</v>
      </c>
      <c r="CQ170" s="3">
        <f t="shared" si="197"/>
        <v>24.59</v>
      </c>
      <c r="CR170" s="3">
        <f>(ROUND((ROUND(((((ET170*1.25)*1.2))*AV170*1),2)*BB170),2)+ROUND((ROUND(((AE170-(((EU170*1.25)*1.2)))*AV170*1),2)*BS170),2))</f>
        <v>23.99</v>
      </c>
      <c r="CS170" s="3">
        <f>(ROUND((ROUND(((((EU170*1.25)*1.2))*AV170*1),2)*BS170),2)+ROUND((ROUND(((AE170-(((EU170*1.25)*1.2)))*AV170*1),2)*BS170),2))</f>
        <v>11.83</v>
      </c>
      <c r="CT170" s="3">
        <f t="shared" si="181"/>
        <v>992.32</v>
      </c>
      <c r="CU170" s="3">
        <f t="shared" si="182"/>
        <v>0</v>
      </c>
      <c r="CV170" s="3">
        <f t="shared" si="183"/>
        <v>1.5166337999999997</v>
      </c>
      <c r="CW170" s="3">
        <f t="shared" si="184"/>
        <v>0</v>
      </c>
      <c r="CX170" s="3">
        <f t="shared" si="185"/>
        <v>0</v>
      </c>
      <c r="CY170" s="3">
        <f>(ROUND((((S170+ROUND((ROUND(((((EU170*1.25)*1.2))*AV170*1),2)*BS170),2))*AT170)/100),2)+ROUND(((ROUND((ROUND(((AE170-(((EU170*1.25)*1.2)))*AV170*1),2)*BS170),2)*AT170)/100),2))</f>
        <v>4817.16</v>
      </c>
      <c r="CZ170" s="3">
        <f>(ROUND((((S170+ROUND((ROUND(((((EU170*1.25)*1.2))*AV170*1),2)*BS170),2))*AU170)/100),2)+ROUND(((ROUND((ROUND(((AE170-(((EU170*1.25)*1.2)))*AV170*1),2)*BS170),2)*AU170)/100),2))</f>
        <v>2866.41</v>
      </c>
      <c r="DB170" s="3">
        <v>105</v>
      </c>
      <c r="DC170" s="3" t="s">
        <v>3</v>
      </c>
      <c r="DD170" s="3" t="s">
        <v>280</v>
      </c>
      <c r="DE170" s="3" t="s">
        <v>281</v>
      </c>
      <c r="DF170" s="3" t="s">
        <v>281</v>
      </c>
      <c r="DG170" s="3" t="s">
        <v>282</v>
      </c>
      <c r="DH170" s="3" t="s">
        <v>3</v>
      </c>
      <c r="DI170" s="3" t="s">
        <v>282</v>
      </c>
      <c r="DJ170" s="3" t="s">
        <v>281</v>
      </c>
      <c r="DK170" s="3" t="s">
        <v>3</v>
      </c>
      <c r="DL170" s="3" t="s">
        <v>3</v>
      </c>
      <c r="DM170" s="3" t="s">
        <v>3</v>
      </c>
      <c r="DN170" s="3">
        <v>0</v>
      </c>
      <c r="DO170" s="3">
        <v>0</v>
      </c>
      <c r="DP170" s="3">
        <v>1</v>
      </c>
      <c r="DQ170" s="3">
        <v>1</v>
      </c>
      <c r="DU170" s="3">
        <v>1013</v>
      </c>
      <c r="DV170" s="3" t="s">
        <v>98</v>
      </c>
      <c r="DW170" s="3" t="s">
        <v>98</v>
      </c>
      <c r="DX170" s="3">
        <v>1</v>
      </c>
      <c r="DZ170" s="3" t="s">
        <v>3</v>
      </c>
      <c r="EA170" s="3" t="s">
        <v>3</v>
      </c>
      <c r="EB170" s="3" t="s">
        <v>3</v>
      </c>
      <c r="EC170" s="3" t="s">
        <v>3</v>
      </c>
      <c r="EE170" s="3">
        <v>55393654</v>
      </c>
      <c r="EF170" s="3">
        <v>30</v>
      </c>
      <c r="EG170" s="3" t="s">
        <v>80</v>
      </c>
      <c r="EH170" s="3">
        <v>0</v>
      </c>
      <c r="EI170" s="3" t="s">
        <v>3</v>
      </c>
      <c r="EJ170" s="3">
        <v>1</v>
      </c>
      <c r="EK170" s="3">
        <v>25</v>
      </c>
      <c r="EL170" s="3" t="s">
        <v>100</v>
      </c>
      <c r="EM170" s="3" t="s">
        <v>101</v>
      </c>
      <c r="EO170" s="3" t="s">
        <v>283</v>
      </c>
      <c r="EQ170" s="3">
        <v>0</v>
      </c>
      <c r="ER170" s="3">
        <v>16.63</v>
      </c>
      <c r="ES170" s="3">
        <v>3.76</v>
      </c>
      <c r="ET170" s="3">
        <v>0.91</v>
      </c>
      <c r="EU170" s="3">
        <v>0.13</v>
      </c>
      <c r="EV170" s="3">
        <v>11.96</v>
      </c>
      <c r="EW170" s="3">
        <v>1.03</v>
      </c>
      <c r="EX170" s="3">
        <v>0</v>
      </c>
      <c r="EY170" s="3">
        <v>0</v>
      </c>
      <c r="FQ170" s="3">
        <v>0</v>
      </c>
      <c r="FR170" s="3">
        <v>0</v>
      </c>
      <c r="FS170" s="3">
        <v>0</v>
      </c>
      <c r="FX170" s="3">
        <v>121</v>
      </c>
      <c r="FY170" s="3">
        <v>72</v>
      </c>
      <c r="GA170" s="3" t="s">
        <v>3</v>
      </c>
      <c r="GD170" s="3">
        <v>1</v>
      </c>
      <c r="GF170" s="3">
        <v>-1019452531</v>
      </c>
      <c r="GG170" s="3">
        <v>2</v>
      </c>
      <c r="GH170" s="3">
        <v>1</v>
      </c>
      <c r="GI170" s="3">
        <v>2</v>
      </c>
      <c r="GJ170" s="3">
        <v>0</v>
      </c>
      <c r="GK170" s="3">
        <v>0</v>
      </c>
      <c r="GL170" s="3">
        <f t="shared" si="186"/>
        <v>0</v>
      </c>
      <c r="GM170" s="3">
        <f t="shared" si="187"/>
        <v>11914.43</v>
      </c>
      <c r="GN170" s="3">
        <f t="shared" si="188"/>
        <v>11914.43</v>
      </c>
      <c r="GO170" s="3">
        <f t="shared" si="189"/>
        <v>0</v>
      </c>
      <c r="GP170" s="3">
        <f t="shared" si="190"/>
        <v>0</v>
      </c>
      <c r="GR170" s="3">
        <v>0</v>
      </c>
      <c r="GS170" s="3">
        <v>3</v>
      </c>
      <c r="GT170" s="3">
        <v>0</v>
      </c>
      <c r="GU170" s="3" t="s">
        <v>3</v>
      </c>
      <c r="GV170" s="3">
        <f t="shared" si="191"/>
        <v>0</v>
      </c>
      <c r="GW170" s="3">
        <v>1</v>
      </c>
      <c r="GX170" s="3">
        <f t="shared" si="192"/>
        <v>0</v>
      </c>
      <c r="HA170" s="3">
        <v>0</v>
      </c>
      <c r="HB170" s="3">
        <v>0</v>
      </c>
      <c r="HC170" s="3">
        <f t="shared" si="193"/>
        <v>0</v>
      </c>
      <c r="HE170" s="3" t="s">
        <v>3</v>
      </c>
      <c r="HF170" s="3" t="s">
        <v>3</v>
      </c>
      <c r="HM170" s="3" t="s">
        <v>3</v>
      </c>
      <c r="HN170" s="3" t="s">
        <v>3</v>
      </c>
      <c r="HO170" s="3" t="s">
        <v>3</v>
      </c>
      <c r="HP170" s="3" t="s">
        <v>3</v>
      </c>
      <c r="HQ170" s="3" t="s">
        <v>3</v>
      </c>
      <c r="HS170" s="3">
        <v>0</v>
      </c>
      <c r="IK170" s="3">
        <v>0</v>
      </c>
    </row>
    <row r="171" spans="1:255" x14ac:dyDescent="0.2">
      <c r="A171" s="2">
        <v>18</v>
      </c>
      <c r="B171" s="2">
        <v>1</v>
      </c>
      <c r="C171" s="2">
        <v>225</v>
      </c>
      <c r="D171" s="2"/>
      <c r="E171" s="2" t="s">
        <v>308</v>
      </c>
      <c r="F171" s="2" t="s">
        <v>309</v>
      </c>
      <c r="G171" s="2" t="s">
        <v>310</v>
      </c>
      <c r="H171" s="2" t="s">
        <v>311</v>
      </c>
      <c r="I171" s="2">
        <f>I169*J171</f>
        <v>0.8</v>
      </c>
      <c r="J171" s="2">
        <v>0.2</v>
      </c>
      <c r="K171" s="2">
        <v>0.2</v>
      </c>
      <c r="L171" s="2"/>
      <c r="M171" s="2"/>
      <c r="N171" s="2"/>
      <c r="O171" s="2">
        <f t="shared" si="171"/>
        <v>24.86</v>
      </c>
      <c r="P171" s="2">
        <f t="shared" si="196"/>
        <v>24.86</v>
      </c>
      <c r="Q171" s="2">
        <f>(ROUND((ROUND(((ET171)*AV171*I171),2)*BB171),2)+ROUND((ROUND(((AE171-(EU171))*AV171*I171),2)*BS171),2))</f>
        <v>0</v>
      </c>
      <c r="R171" s="2">
        <f>(ROUND((ROUND(((EU171)*AV171*I171),2)*BS171),2)+ROUND((ROUND(((AE171-(EU171))*AV171*I171),2)*BS171),2))</f>
        <v>0</v>
      </c>
      <c r="S171" s="2">
        <f t="shared" si="172"/>
        <v>0</v>
      </c>
      <c r="T171" s="2">
        <f t="shared" si="173"/>
        <v>0</v>
      </c>
      <c r="U171" s="2">
        <f t="shared" si="174"/>
        <v>0</v>
      </c>
      <c r="V171" s="2">
        <f t="shared" si="175"/>
        <v>0</v>
      </c>
      <c r="W171" s="2">
        <f t="shared" si="176"/>
        <v>0</v>
      </c>
      <c r="X171" s="2">
        <f>(ROUND((((S171+ROUND((ROUND(((EU171)*AV171*I171),2)*BS171),2))*AT171)/100),2)+ROUND(((ROUND((ROUND(((AE171-(EU171))*AV171*I171),2)*BS171),2)*AT171)/100),2))</f>
        <v>0</v>
      </c>
      <c r="Y171" s="2">
        <f>(ROUND((((S171+ROUND((ROUND(((EU171)*AV171*I171),2)*BS171),2))*AU171)/100),2)+ROUND(((ROUND((ROUND(((AE171-(EU171))*AV171*I171),2)*BS171),2)*AU171)/100),2))</f>
        <v>0</v>
      </c>
      <c r="Z171" s="2"/>
      <c r="AA171" s="2">
        <v>55937296</v>
      </c>
      <c r="AB171" s="2">
        <f t="shared" si="177"/>
        <v>31.08</v>
      </c>
      <c r="AC171" s="2">
        <f>ROUND((ES171),6)</f>
        <v>31.08</v>
      </c>
      <c r="AD171" s="2">
        <f>ROUND((((ET171)-(EU171))+AE171),6)</f>
        <v>0</v>
      </c>
      <c r="AE171" s="2">
        <f t="shared" ref="AE171:AF174" si="198">ROUND((EU171),6)</f>
        <v>0</v>
      </c>
      <c r="AF171" s="2">
        <f t="shared" si="198"/>
        <v>0</v>
      </c>
      <c r="AG171" s="2">
        <f t="shared" si="178"/>
        <v>0</v>
      </c>
      <c r="AH171" s="2">
        <f t="shared" ref="AH171:AI174" si="199">(EW171)</f>
        <v>0</v>
      </c>
      <c r="AI171" s="2">
        <f t="shared" si="199"/>
        <v>0</v>
      </c>
      <c r="AJ171" s="2">
        <f t="shared" si="179"/>
        <v>0</v>
      </c>
      <c r="AK171" s="2">
        <v>31.08</v>
      </c>
      <c r="AL171" s="2">
        <v>31.08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121</v>
      </c>
      <c r="AU171" s="2">
        <v>72</v>
      </c>
      <c r="AV171" s="2">
        <v>1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3</v>
      </c>
      <c r="BI171" s="2">
        <v>1</v>
      </c>
      <c r="BJ171" s="2" t="s">
        <v>312</v>
      </c>
      <c r="BK171" s="2"/>
      <c r="BL171" s="2"/>
      <c r="BM171" s="2">
        <v>25</v>
      </c>
      <c r="BN171" s="2">
        <v>0</v>
      </c>
      <c r="BO171" s="2" t="s">
        <v>3</v>
      </c>
      <c r="BP171" s="2">
        <v>0</v>
      </c>
      <c r="BQ171" s="2">
        <v>30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121</v>
      </c>
      <c r="CA171" s="2">
        <v>72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3</v>
      </c>
      <c r="CO171" s="2">
        <v>0</v>
      </c>
      <c r="CP171" s="2">
        <f t="shared" si="180"/>
        <v>24.86</v>
      </c>
      <c r="CQ171" s="2">
        <f t="shared" si="197"/>
        <v>31.08</v>
      </c>
      <c r="CR171" s="2">
        <f>(ROUND((ROUND(((ET171)*AV171*1),2)*BB171),2)+ROUND((ROUND(((AE171-(EU171))*AV171*1),2)*BS171),2))</f>
        <v>0</v>
      </c>
      <c r="CS171" s="2">
        <f>(ROUND((ROUND(((EU171)*AV171*1),2)*BS171),2)+ROUND((ROUND(((AE171-(EU171))*AV171*1),2)*BS171),2))</f>
        <v>0</v>
      </c>
      <c r="CT171" s="2">
        <f t="shared" si="181"/>
        <v>0</v>
      </c>
      <c r="CU171" s="2">
        <f t="shared" si="182"/>
        <v>0</v>
      </c>
      <c r="CV171" s="2">
        <f t="shared" si="183"/>
        <v>0</v>
      </c>
      <c r="CW171" s="2">
        <f t="shared" si="184"/>
        <v>0</v>
      </c>
      <c r="CX171" s="2">
        <f t="shared" si="185"/>
        <v>0</v>
      </c>
      <c r="CY171" s="2">
        <f>(ROUND((((S171+ROUND((ROUND(((EU171)*AV171*1),2)*BS171),2))*AT171)/100),2)+ROUND(((ROUND((ROUND(((AE171-(EU171))*AV171*1),2)*BS171),2)*AT171)/100),2))</f>
        <v>0</v>
      </c>
      <c r="CZ171" s="2">
        <f>(ROUND((((S171+ROUND((ROUND(((EU171)*AV171*1),2)*BS171),2))*AU171)/100),2)+ROUND(((ROUND((ROUND(((AE171-(EU171))*AV171*1),2)*BS171),2)*AU171)/100),2))</f>
        <v>0</v>
      </c>
      <c r="DA171" s="2"/>
      <c r="DB171" s="2"/>
      <c r="DC171" s="2" t="s">
        <v>3</v>
      </c>
      <c r="DD171" s="2" t="s">
        <v>3</v>
      </c>
      <c r="DE171" s="2" t="s">
        <v>3</v>
      </c>
      <c r="DF171" s="2" t="s">
        <v>3</v>
      </c>
      <c r="DG171" s="2" t="s">
        <v>3</v>
      </c>
      <c r="DH171" s="2" t="s">
        <v>3</v>
      </c>
      <c r="DI171" s="2" t="s">
        <v>3</v>
      </c>
      <c r="DJ171" s="2" t="s">
        <v>3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1009</v>
      </c>
      <c r="DV171" s="2" t="s">
        <v>311</v>
      </c>
      <c r="DW171" s="2" t="s">
        <v>311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55393654</v>
      </c>
      <c r="EF171" s="2">
        <v>30</v>
      </c>
      <c r="EG171" s="2" t="s">
        <v>80</v>
      </c>
      <c r="EH171" s="2">
        <v>0</v>
      </c>
      <c r="EI171" s="2" t="s">
        <v>3</v>
      </c>
      <c r="EJ171" s="2">
        <v>1</v>
      </c>
      <c r="EK171" s="2">
        <v>25</v>
      </c>
      <c r="EL171" s="2" t="s">
        <v>100</v>
      </c>
      <c r="EM171" s="2" t="s">
        <v>101</v>
      </c>
      <c r="EN171" s="2"/>
      <c r="EO171" s="2" t="s">
        <v>3</v>
      </c>
      <c r="EP171" s="2"/>
      <c r="EQ171" s="2">
        <v>0</v>
      </c>
      <c r="ER171" s="2">
        <v>31.08</v>
      </c>
      <c r="ES171" s="2">
        <v>31.08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121</v>
      </c>
      <c r="FY171" s="2">
        <v>72</v>
      </c>
      <c r="FZ171" s="2"/>
      <c r="GA171" s="2" t="s">
        <v>3</v>
      </c>
      <c r="GB171" s="2"/>
      <c r="GC171" s="2"/>
      <c r="GD171" s="2">
        <v>1</v>
      </c>
      <c r="GE171" s="2"/>
      <c r="GF171" s="2">
        <v>-2097101800</v>
      </c>
      <c r="GG171" s="2">
        <v>2</v>
      </c>
      <c r="GH171" s="2">
        <v>1</v>
      </c>
      <c r="GI171" s="2">
        <v>-2</v>
      </c>
      <c r="GJ171" s="2">
        <v>0</v>
      </c>
      <c r="GK171" s="2">
        <v>0</v>
      </c>
      <c r="GL171" s="2">
        <f t="shared" si="186"/>
        <v>0</v>
      </c>
      <c r="GM171" s="2">
        <f t="shared" si="187"/>
        <v>24.86</v>
      </c>
      <c r="GN171" s="2">
        <f t="shared" si="188"/>
        <v>24.86</v>
      </c>
      <c r="GO171" s="2">
        <f t="shared" si="189"/>
        <v>0</v>
      </c>
      <c r="GP171" s="2">
        <f t="shared" si="190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191"/>
        <v>0</v>
      </c>
      <c r="GW171" s="2">
        <v>1</v>
      </c>
      <c r="GX171" s="2">
        <f t="shared" si="192"/>
        <v>0</v>
      </c>
      <c r="GY171" s="2"/>
      <c r="GZ171" s="2"/>
      <c r="HA171" s="2">
        <v>0</v>
      </c>
      <c r="HB171" s="2">
        <v>0</v>
      </c>
      <c r="HC171" s="2">
        <f t="shared" si="193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280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 s="3">
        <v>18</v>
      </c>
      <c r="B172" s="3">
        <v>1</v>
      </c>
      <c r="C172" s="3">
        <v>231</v>
      </c>
      <c r="E172" s="3" t="s">
        <v>308</v>
      </c>
      <c r="F172" s="3" t="s">
        <v>309</v>
      </c>
      <c r="G172" s="3" t="s">
        <v>310</v>
      </c>
      <c r="H172" s="3" t="s">
        <v>311</v>
      </c>
      <c r="I172" s="3">
        <f>I170*J172</f>
        <v>0.8</v>
      </c>
      <c r="J172" s="3">
        <v>0.2</v>
      </c>
      <c r="K172" s="3">
        <v>0.2</v>
      </c>
      <c r="O172" s="3">
        <f t="shared" si="171"/>
        <v>89.25</v>
      </c>
      <c r="P172" s="3">
        <f t="shared" si="196"/>
        <v>89.25</v>
      </c>
      <c r="Q172" s="3">
        <f>(ROUND((ROUND(((ET172)*AV172*I172),2)*BB172),2)+ROUND((ROUND(((AE172-(EU172))*AV172*I172),2)*BS172),2))</f>
        <v>0</v>
      </c>
      <c r="R172" s="3">
        <f>(ROUND((ROUND(((EU172)*AV172*I172),2)*BS172),2)+ROUND((ROUND(((AE172-(EU172))*AV172*I172),2)*BS172),2))</f>
        <v>0</v>
      </c>
      <c r="S172" s="3">
        <f t="shared" si="172"/>
        <v>0</v>
      </c>
      <c r="T172" s="3">
        <f t="shared" si="173"/>
        <v>0</v>
      </c>
      <c r="U172" s="3">
        <f t="shared" si="174"/>
        <v>0</v>
      </c>
      <c r="V172" s="3">
        <f t="shared" si="175"/>
        <v>0</v>
      </c>
      <c r="W172" s="3">
        <f t="shared" si="176"/>
        <v>0</v>
      </c>
      <c r="X172" s="3">
        <f>(ROUND((((S172+ROUND((ROUND(((EU172)*AV172*I172),2)*BS172),2))*AT172)/100),2)+ROUND(((ROUND((ROUND(((AE172-(EU172))*AV172*I172),2)*BS172),2)*AT172)/100),2))</f>
        <v>0</v>
      </c>
      <c r="Y172" s="3">
        <f>(ROUND((((S172+ROUND((ROUND(((EU172)*AV172*I172),2)*BS172),2))*AU172)/100),2)+ROUND(((ROUND((ROUND(((AE172-(EU172))*AV172*I172),2)*BS172),2)*AU172)/100),2))</f>
        <v>0</v>
      </c>
      <c r="AA172" s="3">
        <v>55937298</v>
      </c>
      <c r="AB172" s="3">
        <f t="shared" si="177"/>
        <v>31.08</v>
      </c>
      <c r="AC172" s="3">
        <f>ROUND((ES172),6)</f>
        <v>31.08</v>
      </c>
      <c r="AD172" s="3">
        <f>ROUND((((ET172)-(EU172))+AE172),6)</f>
        <v>0</v>
      </c>
      <c r="AE172" s="3">
        <f t="shared" si="198"/>
        <v>0</v>
      </c>
      <c r="AF172" s="3">
        <f t="shared" si="198"/>
        <v>0</v>
      </c>
      <c r="AG172" s="3">
        <f t="shared" si="178"/>
        <v>0</v>
      </c>
      <c r="AH172" s="3">
        <f t="shared" si="199"/>
        <v>0</v>
      </c>
      <c r="AI172" s="3">
        <f t="shared" si="199"/>
        <v>0</v>
      </c>
      <c r="AJ172" s="3">
        <f t="shared" si="179"/>
        <v>0</v>
      </c>
      <c r="AK172" s="3">
        <v>31.08</v>
      </c>
      <c r="AL172" s="3">
        <v>31.08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121</v>
      </c>
      <c r="AU172" s="3">
        <v>72</v>
      </c>
      <c r="AV172" s="3">
        <v>1</v>
      </c>
      <c r="AW172" s="3">
        <v>1</v>
      </c>
      <c r="AZ172" s="3">
        <v>1</v>
      </c>
      <c r="BA172" s="3">
        <v>1</v>
      </c>
      <c r="BB172" s="3">
        <v>1</v>
      </c>
      <c r="BC172" s="3">
        <v>3.59</v>
      </c>
      <c r="BD172" s="3" t="s">
        <v>3</v>
      </c>
      <c r="BE172" s="3" t="s">
        <v>3</v>
      </c>
      <c r="BF172" s="3" t="s">
        <v>3</v>
      </c>
      <c r="BG172" s="3" t="s">
        <v>3</v>
      </c>
      <c r="BH172" s="3">
        <v>3</v>
      </c>
      <c r="BI172" s="3">
        <v>1</v>
      </c>
      <c r="BJ172" s="3" t="s">
        <v>312</v>
      </c>
      <c r="BM172" s="3">
        <v>25</v>
      </c>
      <c r="BN172" s="3">
        <v>0</v>
      </c>
      <c r="BO172" s="3" t="s">
        <v>309</v>
      </c>
      <c r="BP172" s="3">
        <v>1</v>
      </c>
      <c r="BQ172" s="3">
        <v>30</v>
      </c>
      <c r="BR172" s="3">
        <v>0</v>
      </c>
      <c r="BS172" s="3">
        <v>1</v>
      </c>
      <c r="BT172" s="3">
        <v>1</v>
      </c>
      <c r="BU172" s="3">
        <v>1</v>
      </c>
      <c r="BV172" s="3">
        <v>1</v>
      </c>
      <c r="BW172" s="3">
        <v>1</v>
      </c>
      <c r="BX172" s="3">
        <v>1</v>
      </c>
      <c r="BY172" s="3" t="s">
        <v>3</v>
      </c>
      <c r="BZ172" s="3">
        <v>121</v>
      </c>
      <c r="CA172" s="3">
        <v>72</v>
      </c>
      <c r="CB172" s="3" t="s">
        <v>3</v>
      </c>
      <c r="CE172" s="3">
        <v>1566</v>
      </c>
      <c r="CF172" s="3">
        <v>0</v>
      </c>
      <c r="CG172" s="3">
        <v>0</v>
      </c>
      <c r="CM172" s="3">
        <v>0</v>
      </c>
      <c r="CN172" s="3" t="s">
        <v>3</v>
      </c>
      <c r="CO172" s="3">
        <v>0</v>
      </c>
      <c r="CP172" s="3">
        <f t="shared" si="180"/>
        <v>89.25</v>
      </c>
      <c r="CQ172" s="3">
        <f t="shared" si="197"/>
        <v>111.58</v>
      </c>
      <c r="CR172" s="3">
        <f>(ROUND((ROUND(((ET172)*AV172*1),2)*BB172),2)+ROUND((ROUND(((AE172-(EU172))*AV172*1),2)*BS172),2))</f>
        <v>0</v>
      </c>
      <c r="CS172" s="3">
        <f>(ROUND((ROUND(((EU172)*AV172*1),2)*BS172),2)+ROUND((ROUND(((AE172-(EU172))*AV172*1),2)*BS172),2))</f>
        <v>0</v>
      </c>
      <c r="CT172" s="3">
        <f t="shared" si="181"/>
        <v>0</v>
      </c>
      <c r="CU172" s="3">
        <f t="shared" si="182"/>
        <v>0</v>
      </c>
      <c r="CV172" s="3">
        <f t="shared" si="183"/>
        <v>0</v>
      </c>
      <c r="CW172" s="3">
        <f t="shared" si="184"/>
        <v>0</v>
      </c>
      <c r="CX172" s="3">
        <f t="shared" si="185"/>
        <v>0</v>
      </c>
      <c r="CY172" s="3">
        <f>(ROUND((((S172+ROUND((ROUND(((EU172)*AV172*1),2)*BS172),2))*AT172)/100),2)+ROUND(((ROUND((ROUND(((AE172-(EU172))*AV172*1),2)*BS172),2)*AT172)/100),2))</f>
        <v>0</v>
      </c>
      <c r="CZ172" s="3">
        <f>(ROUND((((S172+ROUND((ROUND(((EU172)*AV172*1),2)*BS172),2))*AU172)/100),2)+ROUND(((ROUND((ROUND(((AE172-(EU172))*AV172*1),2)*BS172),2)*AU172)/100),2))</f>
        <v>0</v>
      </c>
      <c r="DC172" s="3" t="s">
        <v>3</v>
      </c>
      <c r="DD172" s="3" t="s">
        <v>3</v>
      </c>
      <c r="DE172" s="3" t="s">
        <v>3</v>
      </c>
      <c r="DF172" s="3" t="s">
        <v>3</v>
      </c>
      <c r="DG172" s="3" t="s">
        <v>3</v>
      </c>
      <c r="DH172" s="3" t="s">
        <v>3</v>
      </c>
      <c r="DI172" s="3" t="s">
        <v>3</v>
      </c>
      <c r="DJ172" s="3" t="s">
        <v>3</v>
      </c>
      <c r="DK172" s="3" t="s">
        <v>3</v>
      </c>
      <c r="DL172" s="3" t="s">
        <v>3</v>
      </c>
      <c r="DM172" s="3" t="s">
        <v>3</v>
      </c>
      <c r="DN172" s="3">
        <v>0</v>
      </c>
      <c r="DO172" s="3">
        <v>0</v>
      </c>
      <c r="DP172" s="3">
        <v>1</v>
      </c>
      <c r="DQ172" s="3">
        <v>1</v>
      </c>
      <c r="DU172" s="3">
        <v>1009</v>
      </c>
      <c r="DV172" s="3" t="s">
        <v>311</v>
      </c>
      <c r="DW172" s="3" t="s">
        <v>311</v>
      </c>
      <c r="DX172" s="3">
        <v>1</v>
      </c>
      <c r="DZ172" s="3" t="s">
        <v>3</v>
      </c>
      <c r="EA172" s="3" t="s">
        <v>3</v>
      </c>
      <c r="EB172" s="3" t="s">
        <v>3</v>
      </c>
      <c r="EC172" s="3" t="s">
        <v>3</v>
      </c>
      <c r="EE172" s="3">
        <v>55393654</v>
      </c>
      <c r="EF172" s="3">
        <v>30</v>
      </c>
      <c r="EG172" s="3" t="s">
        <v>80</v>
      </c>
      <c r="EH172" s="3">
        <v>0</v>
      </c>
      <c r="EI172" s="3" t="s">
        <v>3</v>
      </c>
      <c r="EJ172" s="3">
        <v>1</v>
      </c>
      <c r="EK172" s="3">
        <v>25</v>
      </c>
      <c r="EL172" s="3" t="s">
        <v>100</v>
      </c>
      <c r="EM172" s="3" t="s">
        <v>101</v>
      </c>
      <c r="EO172" s="3" t="s">
        <v>3</v>
      </c>
      <c r="EQ172" s="3">
        <v>0</v>
      </c>
      <c r="ER172" s="3">
        <v>31.08</v>
      </c>
      <c r="ES172" s="3">
        <v>31.08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FQ172" s="3">
        <v>0</v>
      </c>
      <c r="FR172" s="3">
        <v>0</v>
      </c>
      <c r="FS172" s="3">
        <v>0</v>
      </c>
      <c r="FX172" s="3">
        <v>121</v>
      </c>
      <c r="FY172" s="3">
        <v>72</v>
      </c>
      <c r="GA172" s="3" t="s">
        <v>3</v>
      </c>
      <c r="GD172" s="3">
        <v>1</v>
      </c>
      <c r="GF172" s="3">
        <v>-2097101800</v>
      </c>
      <c r="GG172" s="3">
        <v>2</v>
      </c>
      <c r="GH172" s="3">
        <v>1</v>
      </c>
      <c r="GI172" s="3">
        <v>2</v>
      </c>
      <c r="GJ172" s="3">
        <v>0</v>
      </c>
      <c r="GK172" s="3">
        <v>0</v>
      </c>
      <c r="GL172" s="3">
        <f t="shared" si="186"/>
        <v>0</v>
      </c>
      <c r="GM172" s="3">
        <f t="shared" si="187"/>
        <v>89.25</v>
      </c>
      <c r="GN172" s="3">
        <f t="shared" si="188"/>
        <v>89.25</v>
      </c>
      <c r="GO172" s="3">
        <f t="shared" si="189"/>
        <v>0</v>
      </c>
      <c r="GP172" s="3">
        <f t="shared" si="190"/>
        <v>0</v>
      </c>
      <c r="GR172" s="3">
        <v>0</v>
      </c>
      <c r="GS172" s="3">
        <v>3</v>
      </c>
      <c r="GT172" s="3">
        <v>0</v>
      </c>
      <c r="GU172" s="3" t="s">
        <v>3</v>
      </c>
      <c r="GV172" s="3">
        <f t="shared" si="191"/>
        <v>0</v>
      </c>
      <c r="GW172" s="3">
        <v>1</v>
      </c>
      <c r="GX172" s="3">
        <f t="shared" si="192"/>
        <v>0</v>
      </c>
      <c r="HA172" s="3">
        <v>0</v>
      </c>
      <c r="HB172" s="3">
        <v>0</v>
      </c>
      <c r="HC172" s="3">
        <f t="shared" si="193"/>
        <v>0</v>
      </c>
      <c r="HE172" s="3" t="s">
        <v>3</v>
      </c>
      <c r="HF172" s="3" t="s">
        <v>3</v>
      </c>
      <c r="HM172" s="3" t="s">
        <v>280</v>
      </c>
      <c r="HN172" s="3" t="s">
        <v>3</v>
      </c>
      <c r="HO172" s="3" t="s">
        <v>3</v>
      </c>
      <c r="HP172" s="3" t="s">
        <v>3</v>
      </c>
      <c r="HQ172" s="3" t="s">
        <v>3</v>
      </c>
      <c r="HS172" s="3">
        <v>0</v>
      </c>
      <c r="IK172" s="3">
        <v>0</v>
      </c>
    </row>
    <row r="173" spans="1:255" x14ac:dyDescent="0.2">
      <c r="A173" s="2">
        <v>18</v>
      </c>
      <c r="B173" s="2">
        <v>1</v>
      </c>
      <c r="C173" s="2">
        <v>226</v>
      </c>
      <c r="D173" s="2"/>
      <c r="E173" s="2" t="s">
        <v>313</v>
      </c>
      <c r="F173" s="2" t="s">
        <v>314</v>
      </c>
      <c r="G173" s="2" t="s">
        <v>315</v>
      </c>
      <c r="H173" s="2" t="s">
        <v>183</v>
      </c>
      <c r="I173" s="2">
        <f>I169*J173</f>
        <v>4</v>
      </c>
      <c r="J173" s="2">
        <v>1</v>
      </c>
      <c r="K173" s="2">
        <v>1</v>
      </c>
      <c r="L173" s="2"/>
      <c r="M173" s="2"/>
      <c r="N173" s="2"/>
      <c r="O173" s="2">
        <f t="shared" si="171"/>
        <v>9145.7999999999993</v>
      </c>
      <c r="P173" s="2">
        <f t="shared" si="196"/>
        <v>9145.7999999999993</v>
      </c>
      <c r="Q173" s="2">
        <f>(ROUND((ROUND(((ET173)*AV173*I173),2)*BB173),2)+ROUND((ROUND(((AE173-(EU173))*AV173*I173),2)*BS173),2))</f>
        <v>0</v>
      </c>
      <c r="R173" s="2">
        <f>(ROUND((ROUND(((EU173)*AV173*I173),2)*BS173),2)+ROUND((ROUND(((AE173-(EU173))*AV173*I173),2)*BS173),2))</f>
        <v>0</v>
      </c>
      <c r="S173" s="2">
        <f t="shared" si="172"/>
        <v>0</v>
      </c>
      <c r="T173" s="2">
        <f t="shared" si="173"/>
        <v>0</v>
      </c>
      <c r="U173" s="2">
        <f t="shared" si="174"/>
        <v>0</v>
      </c>
      <c r="V173" s="2">
        <f t="shared" si="175"/>
        <v>0</v>
      </c>
      <c r="W173" s="2">
        <f t="shared" si="176"/>
        <v>0</v>
      </c>
      <c r="X173" s="2">
        <f>(ROUND((((S173+ROUND((ROUND(((EU173)*AV173*I173),2)*BS173),2))*AT173)/100),2)+ROUND(((ROUND((ROUND(((AE173-(EU173))*AV173*I173),2)*BS173),2)*AT173)/100),2))</f>
        <v>0</v>
      </c>
      <c r="Y173" s="2">
        <f>(ROUND((((S173+ROUND((ROUND(((EU173)*AV173*I173),2)*BS173),2))*AU173)/100),2)+ROUND(((ROUND((ROUND(((AE173-(EU173))*AV173*I173),2)*BS173),2)*AU173)/100),2))</f>
        <v>0</v>
      </c>
      <c r="Z173" s="2"/>
      <c r="AA173" s="2">
        <v>55937296</v>
      </c>
      <c r="AB173" s="2">
        <f t="shared" si="177"/>
        <v>2286.4499999999998</v>
      </c>
      <c r="AC173" s="2">
        <f>ROUND((ES173),6)</f>
        <v>2286.4499999999998</v>
      </c>
      <c r="AD173" s="2">
        <f>ROUND((((ET173)-(EU173))+AE173),6)</f>
        <v>0</v>
      </c>
      <c r="AE173" s="2">
        <f t="shared" si="198"/>
        <v>0</v>
      </c>
      <c r="AF173" s="2">
        <f t="shared" si="198"/>
        <v>0</v>
      </c>
      <c r="AG173" s="2">
        <f t="shared" si="178"/>
        <v>0</v>
      </c>
      <c r="AH173" s="2">
        <f t="shared" si="199"/>
        <v>0</v>
      </c>
      <c r="AI173" s="2">
        <f t="shared" si="199"/>
        <v>0</v>
      </c>
      <c r="AJ173" s="2">
        <f t="shared" si="179"/>
        <v>0</v>
      </c>
      <c r="AK173" s="2">
        <v>2286.4500000000003</v>
      </c>
      <c r="AL173" s="2">
        <v>2286.4500000000003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1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3</v>
      </c>
      <c r="BI173" s="2">
        <v>3</v>
      </c>
      <c r="BJ173" s="2" t="s">
        <v>314</v>
      </c>
      <c r="BK173" s="2"/>
      <c r="BL173" s="2"/>
      <c r="BM173" s="2">
        <v>400007</v>
      </c>
      <c r="BN173" s="2">
        <v>0</v>
      </c>
      <c r="BO173" s="2" t="s">
        <v>3</v>
      </c>
      <c r="BP173" s="2">
        <v>0</v>
      </c>
      <c r="BQ173" s="2">
        <v>214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121</v>
      </c>
      <c r="CA173" s="2">
        <v>72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802</v>
      </c>
      <c r="CO173" s="2">
        <v>0</v>
      </c>
      <c r="CP173" s="2">
        <f t="shared" si="180"/>
        <v>9145.7999999999993</v>
      </c>
      <c r="CQ173" s="2">
        <f t="shared" si="197"/>
        <v>2286.4499999999998</v>
      </c>
      <c r="CR173" s="2">
        <f>(ROUND((ROUND(((ET173)*AV173*1),2)*BB173),2)+ROUND((ROUND(((AE173-(EU173))*AV173*1),2)*BS173),2))</f>
        <v>0</v>
      </c>
      <c r="CS173" s="2">
        <f>(ROUND((ROUND(((EU173)*AV173*1),2)*BS173),2)+ROUND((ROUND(((AE173-(EU173))*AV173*1),2)*BS173),2))</f>
        <v>0</v>
      </c>
      <c r="CT173" s="2">
        <f t="shared" si="181"/>
        <v>0</v>
      </c>
      <c r="CU173" s="2">
        <f t="shared" si="182"/>
        <v>0</v>
      </c>
      <c r="CV173" s="2">
        <f t="shared" si="183"/>
        <v>0</v>
      </c>
      <c r="CW173" s="2">
        <f t="shared" si="184"/>
        <v>0</v>
      </c>
      <c r="CX173" s="2">
        <f t="shared" si="185"/>
        <v>0</v>
      </c>
      <c r="CY173" s="2">
        <f>(ROUND((((S173+ROUND((ROUND(((EU173)*AV173*1),2)*BS173),2))*AT173)/100),2)+ROUND(((ROUND((ROUND(((AE173-(EU173))*AV173*1),2)*BS173),2)*AT173)/100),2))</f>
        <v>0</v>
      </c>
      <c r="CZ173" s="2">
        <f>(ROUND((((S173+ROUND((ROUND(((EU173)*AV173*1),2)*BS173),2))*AU173)/100),2)+ROUND(((ROUND((ROUND(((AE173-(EU173))*AV173*1),2)*BS173),2)*AU173)/100),2))</f>
        <v>0</v>
      </c>
      <c r="DA173" s="2"/>
      <c r="DB173" s="2"/>
      <c r="DC173" s="2" t="s">
        <v>3</v>
      </c>
      <c r="DD173" s="2" t="s">
        <v>3</v>
      </c>
      <c r="DE173" s="2" t="s">
        <v>3</v>
      </c>
      <c r="DF173" s="2" t="s">
        <v>3</v>
      </c>
      <c r="DG173" s="2" t="s">
        <v>3</v>
      </c>
      <c r="DH173" s="2" t="s">
        <v>3</v>
      </c>
      <c r="DI173" s="2" t="s">
        <v>3</v>
      </c>
      <c r="DJ173" s="2" t="s">
        <v>3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183</v>
      </c>
      <c r="DW173" s="2" t="s">
        <v>183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55393630</v>
      </c>
      <c r="EF173" s="2">
        <v>214</v>
      </c>
      <c r="EG173" s="2" t="s">
        <v>184</v>
      </c>
      <c r="EH173" s="2">
        <v>0</v>
      </c>
      <c r="EI173" s="2" t="s">
        <v>3</v>
      </c>
      <c r="EJ173" s="2">
        <v>3</v>
      </c>
      <c r="EK173" s="2">
        <v>400007</v>
      </c>
      <c r="EL173" s="2" t="s">
        <v>184</v>
      </c>
      <c r="EM173" s="2" t="s">
        <v>185</v>
      </c>
      <c r="EN173" s="2"/>
      <c r="EO173" s="2" t="s">
        <v>289</v>
      </c>
      <c r="EP173" s="2"/>
      <c r="EQ173" s="2">
        <v>16</v>
      </c>
      <c r="ER173" s="2">
        <v>0</v>
      </c>
      <c r="ES173" s="2">
        <v>2286.4500000000003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f>P173</f>
        <v>9145.7999999999993</v>
      </c>
      <c r="FS173" s="2">
        <v>0</v>
      </c>
      <c r="FT173" s="2"/>
      <c r="FU173" s="2"/>
      <c r="FV173" s="2"/>
      <c r="FW173" s="2"/>
      <c r="FX173" s="2">
        <v>121</v>
      </c>
      <c r="FY173" s="2">
        <v>72</v>
      </c>
      <c r="FZ173" s="2"/>
      <c r="GA173" s="2" t="s">
        <v>316</v>
      </c>
      <c r="GB173" s="2"/>
      <c r="GC173" s="2"/>
      <c r="GD173" s="2">
        <v>1</v>
      </c>
      <c r="GE173" s="2"/>
      <c r="GF173" s="2">
        <v>1753320395</v>
      </c>
      <c r="GG173" s="2">
        <v>2</v>
      </c>
      <c r="GH173" s="2">
        <v>4</v>
      </c>
      <c r="GI173" s="2">
        <v>-2</v>
      </c>
      <c r="GJ173" s="2">
        <v>0</v>
      </c>
      <c r="GK173" s="2">
        <v>0</v>
      </c>
      <c r="GL173" s="2">
        <f t="shared" si="186"/>
        <v>0</v>
      </c>
      <c r="GM173" s="2">
        <f t="shared" si="187"/>
        <v>9145.7999999999993</v>
      </c>
      <c r="GN173" s="2">
        <f t="shared" si="188"/>
        <v>0</v>
      </c>
      <c r="GO173" s="2">
        <f t="shared" si="189"/>
        <v>0</v>
      </c>
      <c r="GP173" s="2">
        <f t="shared" si="190"/>
        <v>0</v>
      </c>
      <c r="GQ173" s="2"/>
      <c r="GR173" s="2">
        <v>1</v>
      </c>
      <c r="GS173" s="2">
        <v>2</v>
      </c>
      <c r="GT173" s="2">
        <v>0</v>
      </c>
      <c r="GU173" s="2" t="s">
        <v>3</v>
      </c>
      <c r="GV173" s="2">
        <f t="shared" si="191"/>
        <v>0</v>
      </c>
      <c r="GW173" s="2">
        <v>1</v>
      </c>
      <c r="GX173" s="2">
        <f t="shared" si="192"/>
        <v>0</v>
      </c>
      <c r="GY173" s="2"/>
      <c r="GZ173" s="2"/>
      <c r="HA173" s="2">
        <v>0</v>
      </c>
      <c r="HB173" s="2">
        <v>0</v>
      </c>
      <c r="HC173" s="2">
        <f t="shared" si="193"/>
        <v>0</v>
      </c>
      <c r="HD173" s="2"/>
      <c r="HE173" s="2" t="s">
        <v>34</v>
      </c>
      <c r="HF173" s="2" t="s">
        <v>187</v>
      </c>
      <c r="HG173" s="2"/>
      <c r="HH173" s="2"/>
      <c r="HI173" s="2"/>
      <c r="HJ173" s="2"/>
      <c r="HK173" s="2"/>
      <c r="HL173" s="2"/>
      <c r="HM173" s="2" t="s">
        <v>280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 s="3">
        <v>18</v>
      </c>
      <c r="B174" s="3">
        <v>1</v>
      </c>
      <c r="C174" s="3">
        <v>232</v>
      </c>
      <c r="E174" s="3" t="s">
        <v>313</v>
      </c>
      <c r="F174" s="3" t="s">
        <v>314</v>
      </c>
      <c r="G174" s="3" t="s">
        <v>315</v>
      </c>
      <c r="H174" s="3" t="s">
        <v>183</v>
      </c>
      <c r="I174" s="3">
        <f>I170*J174</f>
        <v>4</v>
      </c>
      <c r="J174" s="3">
        <v>1</v>
      </c>
      <c r="K174" s="3">
        <v>1</v>
      </c>
      <c r="O174" s="3">
        <f t="shared" si="171"/>
        <v>70056.83</v>
      </c>
      <c r="P174" s="3">
        <f t="shared" si="196"/>
        <v>70056.83</v>
      </c>
      <c r="Q174" s="3">
        <f>(ROUND((ROUND(((ET174)*AV174*I174),2)*BB174),2)+ROUND((ROUND(((AE174-(EU174))*AV174*I174),2)*BS174),2))</f>
        <v>0</v>
      </c>
      <c r="R174" s="3">
        <f>(ROUND((ROUND(((EU174)*AV174*I174),2)*BS174),2)+ROUND((ROUND(((AE174-(EU174))*AV174*I174),2)*BS174),2))</f>
        <v>0</v>
      </c>
      <c r="S174" s="3">
        <f t="shared" si="172"/>
        <v>0</v>
      </c>
      <c r="T174" s="3">
        <f t="shared" si="173"/>
        <v>0</v>
      </c>
      <c r="U174" s="3">
        <f t="shared" si="174"/>
        <v>0</v>
      </c>
      <c r="V174" s="3">
        <f t="shared" si="175"/>
        <v>0</v>
      </c>
      <c r="W174" s="3">
        <f t="shared" si="176"/>
        <v>0</v>
      </c>
      <c r="X174" s="3">
        <f>(ROUND((((S174+ROUND((ROUND(((EU174)*AV174*I174),2)*BS174),2))*AT174)/100),2)+ROUND(((ROUND((ROUND(((AE174-(EU174))*AV174*I174),2)*BS174),2)*AT174)/100),2))</f>
        <v>0</v>
      </c>
      <c r="Y174" s="3">
        <f>(ROUND((((S174+ROUND((ROUND(((EU174)*AV174*I174),2)*BS174),2))*AU174)/100),2)+ROUND(((ROUND((ROUND(((AE174-(EU174))*AV174*I174),2)*BS174),2)*AU174)/100),2))</f>
        <v>0</v>
      </c>
      <c r="AA174" s="3">
        <v>55937298</v>
      </c>
      <c r="AB174" s="3">
        <f t="shared" si="177"/>
        <v>2286.4499999999998</v>
      </c>
      <c r="AC174" s="3">
        <f>ROUND((ES174),6)</f>
        <v>2286.4499999999998</v>
      </c>
      <c r="AD174" s="3">
        <f>ROUND((((ET174)-(EU174))+AE174),6)</f>
        <v>0</v>
      </c>
      <c r="AE174" s="3">
        <f t="shared" si="198"/>
        <v>0</v>
      </c>
      <c r="AF174" s="3">
        <f t="shared" si="198"/>
        <v>0</v>
      </c>
      <c r="AG174" s="3">
        <f t="shared" si="178"/>
        <v>0</v>
      </c>
      <c r="AH174" s="3">
        <f t="shared" si="199"/>
        <v>0</v>
      </c>
      <c r="AI174" s="3">
        <f t="shared" si="199"/>
        <v>0</v>
      </c>
      <c r="AJ174" s="3">
        <f t="shared" si="179"/>
        <v>0</v>
      </c>
      <c r="AK174" s="3">
        <v>2286.4500000000003</v>
      </c>
      <c r="AL174" s="3">
        <v>2286.4500000000003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1</v>
      </c>
      <c r="AW174" s="3">
        <v>1</v>
      </c>
      <c r="AZ174" s="3">
        <v>1</v>
      </c>
      <c r="BA174" s="3">
        <v>1</v>
      </c>
      <c r="BB174" s="3">
        <v>1</v>
      </c>
      <c r="BC174" s="3">
        <v>7.66</v>
      </c>
      <c r="BD174" s="3" t="s">
        <v>3</v>
      </c>
      <c r="BE174" s="3" t="s">
        <v>3</v>
      </c>
      <c r="BF174" s="3" t="s">
        <v>3</v>
      </c>
      <c r="BG174" s="3" t="s">
        <v>3</v>
      </c>
      <c r="BH174" s="3">
        <v>3</v>
      </c>
      <c r="BI174" s="3">
        <v>3</v>
      </c>
      <c r="BJ174" s="3" t="s">
        <v>314</v>
      </c>
      <c r="BM174" s="3">
        <v>400007</v>
      </c>
      <c r="BN174" s="3">
        <v>0</v>
      </c>
      <c r="BO174" s="3" t="s">
        <v>3</v>
      </c>
      <c r="BP174" s="3">
        <v>0</v>
      </c>
      <c r="BQ174" s="3">
        <v>214</v>
      </c>
      <c r="BR174" s="3">
        <v>0</v>
      </c>
      <c r="BS174" s="3">
        <v>1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 t="s">
        <v>3</v>
      </c>
      <c r="BZ174" s="3">
        <v>121</v>
      </c>
      <c r="CA174" s="3">
        <v>72</v>
      </c>
      <c r="CB174" s="3" t="s">
        <v>3</v>
      </c>
      <c r="CE174" s="3">
        <v>1566</v>
      </c>
      <c r="CF174" s="3">
        <v>0</v>
      </c>
      <c r="CG174" s="3">
        <v>0</v>
      </c>
      <c r="CM174" s="3">
        <v>0</v>
      </c>
      <c r="CN174" s="3" t="s">
        <v>802</v>
      </c>
      <c r="CO174" s="3">
        <v>0</v>
      </c>
      <c r="CP174" s="3">
        <f t="shared" si="180"/>
        <v>70056.83</v>
      </c>
      <c r="CQ174" s="3">
        <f t="shared" si="197"/>
        <v>17514.21</v>
      </c>
      <c r="CR174" s="3">
        <f>(ROUND((ROUND(((ET174)*AV174*1),2)*BB174),2)+ROUND((ROUND(((AE174-(EU174))*AV174*1),2)*BS174),2))</f>
        <v>0</v>
      </c>
      <c r="CS174" s="3">
        <f>(ROUND((ROUND(((EU174)*AV174*1),2)*BS174),2)+ROUND((ROUND(((AE174-(EU174))*AV174*1),2)*BS174),2))</f>
        <v>0</v>
      </c>
      <c r="CT174" s="3">
        <f t="shared" si="181"/>
        <v>0</v>
      </c>
      <c r="CU174" s="3">
        <f t="shared" si="182"/>
        <v>0</v>
      </c>
      <c r="CV174" s="3">
        <f t="shared" si="183"/>
        <v>0</v>
      </c>
      <c r="CW174" s="3">
        <f t="shared" si="184"/>
        <v>0</v>
      </c>
      <c r="CX174" s="3">
        <f t="shared" si="185"/>
        <v>0</v>
      </c>
      <c r="CY174" s="3">
        <f>(ROUND((((S174+ROUND((ROUND(((EU174)*AV174*1),2)*BS174),2))*AT174)/100),2)+ROUND(((ROUND((ROUND(((AE174-(EU174))*AV174*1),2)*BS174),2)*AT174)/100),2))</f>
        <v>0</v>
      </c>
      <c r="CZ174" s="3">
        <f>(ROUND((((S174+ROUND((ROUND(((EU174)*AV174*1),2)*BS174),2))*AU174)/100),2)+ROUND(((ROUND((ROUND(((AE174-(EU174))*AV174*1),2)*BS174),2)*AU174)/100),2))</f>
        <v>0</v>
      </c>
      <c r="DC174" s="3" t="s">
        <v>3</v>
      </c>
      <c r="DD174" s="3" t="s">
        <v>3</v>
      </c>
      <c r="DE174" s="3" t="s">
        <v>3</v>
      </c>
      <c r="DF174" s="3" t="s">
        <v>3</v>
      </c>
      <c r="DG174" s="3" t="s">
        <v>3</v>
      </c>
      <c r="DH174" s="3" t="s">
        <v>3</v>
      </c>
      <c r="DI174" s="3" t="s">
        <v>3</v>
      </c>
      <c r="DJ174" s="3" t="s">
        <v>3</v>
      </c>
      <c r="DK174" s="3" t="s">
        <v>3</v>
      </c>
      <c r="DL174" s="3" t="s">
        <v>3</v>
      </c>
      <c r="DM174" s="3" t="s">
        <v>3</v>
      </c>
      <c r="DN174" s="3">
        <v>0</v>
      </c>
      <c r="DO174" s="3">
        <v>0</v>
      </c>
      <c r="DP174" s="3">
        <v>1</v>
      </c>
      <c r="DQ174" s="3">
        <v>1</v>
      </c>
      <c r="DU174" s="3">
        <v>1013</v>
      </c>
      <c r="DV174" s="3" t="s">
        <v>183</v>
      </c>
      <c r="DW174" s="3" t="s">
        <v>183</v>
      </c>
      <c r="DX174" s="3">
        <v>1</v>
      </c>
      <c r="DZ174" s="3" t="s">
        <v>3</v>
      </c>
      <c r="EA174" s="3" t="s">
        <v>3</v>
      </c>
      <c r="EB174" s="3" t="s">
        <v>3</v>
      </c>
      <c r="EC174" s="3" t="s">
        <v>3</v>
      </c>
      <c r="EE174" s="3">
        <v>55393630</v>
      </c>
      <c r="EF174" s="3">
        <v>214</v>
      </c>
      <c r="EG174" s="3" t="s">
        <v>184</v>
      </c>
      <c r="EH174" s="3">
        <v>0</v>
      </c>
      <c r="EI174" s="3" t="s">
        <v>3</v>
      </c>
      <c r="EJ174" s="3">
        <v>3</v>
      </c>
      <c r="EK174" s="3">
        <v>400007</v>
      </c>
      <c r="EL174" s="3" t="s">
        <v>184</v>
      </c>
      <c r="EM174" s="3" t="s">
        <v>185</v>
      </c>
      <c r="EO174" s="3" t="s">
        <v>289</v>
      </c>
      <c r="EQ174" s="3">
        <v>16</v>
      </c>
      <c r="ER174" s="3">
        <v>0</v>
      </c>
      <c r="ES174" s="3">
        <v>2286.4500000000003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Z174" s="3">
        <v>5</v>
      </c>
      <c r="FC174" s="3">
        <v>1</v>
      </c>
      <c r="FD174" s="3">
        <v>18</v>
      </c>
      <c r="FF174" s="3">
        <v>20498.939999999999</v>
      </c>
      <c r="FQ174" s="3">
        <v>0</v>
      </c>
      <c r="FR174" s="3">
        <f>P174</f>
        <v>70056.83</v>
      </c>
      <c r="FS174" s="3">
        <v>0</v>
      </c>
      <c r="FX174" s="3">
        <v>121</v>
      </c>
      <c r="FY174" s="3">
        <v>72</v>
      </c>
      <c r="GA174" s="3" t="s">
        <v>316</v>
      </c>
      <c r="GD174" s="3">
        <v>1</v>
      </c>
      <c r="GF174" s="3">
        <v>1753320395</v>
      </c>
      <c r="GG174" s="3">
        <v>2</v>
      </c>
      <c r="GH174" s="3">
        <v>3</v>
      </c>
      <c r="GI174" s="3">
        <v>5</v>
      </c>
      <c r="GJ174" s="3">
        <v>0</v>
      </c>
      <c r="GK174" s="3">
        <v>0</v>
      </c>
      <c r="GL174" s="3">
        <f t="shared" si="186"/>
        <v>0</v>
      </c>
      <c r="GM174" s="3">
        <f t="shared" si="187"/>
        <v>70056.83</v>
      </c>
      <c r="GN174" s="3">
        <f t="shared" si="188"/>
        <v>0</v>
      </c>
      <c r="GO174" s="3">
        <f t="shared" si="189"/>
        <v>0</v>
      </c>
      <c r="GP174" s="3">
        <f t="shared" si="190"/>
        <v>0</v>
      </c>
      <c r="GR174" s="3">
        <v>1</v>
      </c>
      <c r="GS174" s="3">
        <v>1</v>
      </c>
      <c r="GT174" s="3">
        <v>0</v>
      </c>
      <c r="GU174" s="3" t="s">
        <v>3</v>
      </c>
      <c r="GV174" s="3">
        <f t="shared" si="191"/>
        <v>0</v>
      </c>
      <c r="GW174" s="3">
        <v>1</v>
      </c>
      <c r="GX174" s="3">
        <f t="shared" si="192"/>
        <v>0</v>
      </c>
      <c r="HA174" s="3">
        <v>0</v>
      </c>
      <c r="HB174" s="3">
        <v>0</v>
      </c>
      <c r="HC174" s="3">
        <f t="shared" si="193"/>
        <v>0</v>
      </c>
      <c r="HE174" s="3" t="s">
        <v>34</v>
      </c>
      <c r="HF174" s="3" t="s">
        <v>187</v>
      </c>
      <c r="HM174" s="3" t="s">
        <v>280</v>
      </c>
      <c r="HN174" s="3" t="s">
        <v>3</v>
      </c>
      <c r="HO174" s="3" t="s">
        <v>3</v>
      </c>
      <c r="HP174" s="3" t="s">
        <v>3</v>
      </c>
      <c r="HQ174" s="3" t="s">
        <v>3</v>
      </c>
      <c r="HS174" s="3">
        <v>0</v>
      </c>
      <c r="IK174" s="3">
        <v>0</v>
      </c>
    </row>
    <row r="175" spans="1:255" x14ac:dyDescent="0.2">
      <c r="A175" s="2">
        <v>17</v>
      </c>
      <c r="B175" s="2">
        <v>1</v>
      </c>
      <c r="C175" s="2">
        <f>ROW(SmtRes!A238)</f>
        <v>238</v>
      </c>
      <c r="D175" s="2">
        <f>ROW(EtalonRes!A295)</f>
        <v>295</v>
      </c>
      <c r="E175" s="2" t="s">
        <v>317</v>
      </c>
      <c r="F175" s="2" t="s">
        <v>103</v>
      </c>
      <c r="G175" s="2" t="s">
        <v>318</v>
      </c>
      <c r="H175" s="2" t="s">
        <v>60</v>
      </c>
      <c r="I175" s="2">
        <f>ROUND(4/100,9)</f>
        <v>0.04</v>
      </c>
      <c r="J175" s="2">
        <v>0</v>
      </c>
      <c r="K175" s="2">
        <f>ROUND(4/100,9)</f>
        <v>0.04</v>
      </c>
      <c r="L175" s="2"/>
      <c r="M175" s="2"/>
      <c r="N175" s="2"/>
      <c r="O175" s="2">
        <f t="shared" si="171"/>
        <v>31.07</v>
      </c>
      <c r="P175" s="2">
        <f t="shared" si="196"/>
        <v>14.24</v>
      </c>
      <c r="Q175" s="2">
        <f>(ROUND((ROUND(((((ET175*1.25)*1.2))*AV175*I175),2)*BB175),2)+ROUND((ROUND(((AE175-(((EU175*1.25)*1.2)))*AV175*I175),2)*BS175),2))</f>
        <v>0.5</v>
      </c>
      <c r="R175" s="2">
        <f>(ROUND((ROUND(((((EU175*1.25)*1.2))*AV175*I175),2)*BS175),2)+ROUND((ROUND(((AE175-(((EU175*1.25)*1.2)))*AV175*I175),2)*BS175),2))</f>
        <v>0.02</v>
      </c>
      <c r="S175" s="2">
        <f t="shared" si="172"/>
        <v>16.329999999999998</v>
      </c>
      <c r="T175" s="2">
        <f t="shared" si="173"/>
        <v>0</v>
      </c>
      <c r="U175" s="2">
        <f t="shared" si="174"/>
        <v>1.4606803199999998</v>
      </c>
      <c r="V175" s="2">
        <f t="shared" si="175"/>
        <v>0</v>
      </c>
      <c r="W175" s="2">
        <f t="shared" si="176"/>
        <v>0</v>
      </c>
      <c r="X175" s="2">
        <f>(ROUND((((S175+ROUND((ROUND(((((EU175*1.25)*1.2))*AV175*I175),2)*BS175),2))*AT175)/100),2)+ROUND(((ROUND((ROUND(((AE175-(((EU175*1.25)*1.2)))*AV175*I175),2)*BS175),2)*AT175)/100),2))</f>
        <v>19.78</v>
      </c>
      <c r="Y175" s="2">
        <f>(ROUND((((S175+ROUND((ROUND(((((EU175*1.25)*1.2))*AV175*I175),2)*BS175),2))*AU175)/100),2)+ROUND(((ROUND((ROUND(((AE175-(((EU175*1.25)*1.2)))*AV175*I175),2)*BS175),2)*AU175)/100),2))</f>
        <v>11.77</v>
      </c>
      <c r="Z175" s="2"/>
      <c r="AA175" s="2">
        <v>55937296</v>
      </c>
      <c r="AB175" s="2">
        <f t="shared" si="177"/>
        <v>750.31979999999999</v>
      </c>
      <c r="AC175" s="2">
        <f>ROUND((((ES175*1)*1)),6)</f>
        <v>356.04</v>
      </c>
      <c r="AD175" s="2">
        <f>ROUND((((((ET175*1.25)*1.2))-(((EU175*1.25)*1.2)))+AE175),6)</f>
        <v>11.73</v>
      </c>
      <c r="AE175" s="2">
        <f>ROUND((((EU175*1.25)*1.2)),6)</f>
        <v>0.375</v>
      </c>
      <c r="AF175" s="2">
        <f>ROUND((((EV175*1.15)*1.2)),6)</f>
        <v>382.5498</v>
      </c>
      <c r="AG175" s="2">
        <f t="shared" si="178"/>
        <v>0</v>
      </c>
      <c r="AH175" s="2">
        <f>(((EW175*1.15)*1.2))</f>
        <v>34.223999999999997</v>
      </c>
      <c r="AI175" s="2">
        <f>(((EX175*1.25)*1.2))</f>
        <v>0</v>
      </c>
      <c r="AJ175" s="2">
        <f t="shared" si="179"/>
        <v>0</v>
      </c>
      <c r="AK175" s="2">
        <v>641.07000000000005</v>
      </c>
      <c r="AL175" s="2">
        <v>356.04</v>
      </c>
      <c r="AM175" s="2">
        <v>7.82</v>
      </c>
      <c r="AN175" s="2">
        <v>0.25</v>
      </c>
      <c r="AO175" s="2">
        <v>277.20999999999998</v>
      </c>
      <c r="AP175" s="2">
        <v>0</v>
      </c>
      <c r="AQ175" s="2">
        <v>24.8</v>
      </c>
      <c r="AR175" s="2">
        <v>0</v>
      </c>
      <c r="AS175" s="2">
        <v>0</v>
      </c>
      <c r="AT175" s="2">
        <v>121</v>
      </c>
      <c r="AU175" s="2">
        <v>72</v>
      </c>
      <c r="AV175" s="2">
        <v>1.0669999999999999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0</v>
      </c>
      <c r="BI175" s="2">
        <v>1</v>
      </c>
      <c r="BJ175" s="2" t="s">
        <v>105</v>
      </c>
      <c r="BK175" s="2"/>
      <c r="BL175" s="2"/>
      <c r="BM175" s="2">
        <v>22</v>
      </c>
      <c r="BN175" s="2">
        <v>0</v>
      </c>
      <c r="BO175" s="2" t="s">
        <v>103</v>
      </c>
      <c r="BP175" s="2">
        <v>1</v>
      </c>
      <c r="BQ175" s="2">
        <v>30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121</v>
      </c>
      <c r="CA175" s="2">
        <v>72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801</v>
      </c>
      <c r="CO175" s="2">
        <v>0</v>
      </c>
      <c r="CP175" s="2">
        <f t="shared" si="180"/>
        <v>31.07</v>
      </c>
      <c r="CQ175" s="2">
        <f t="shared" si="197"/>
        <v>356.04</v>
      </c>
      <c r="CR175" s="2">
        <f>(ROUND((ROUND(((((ET175*1.25)*1.2))*AV175*1),2)*BB175),2)+ROUND((ROUND(((AE175-(((EU175*1.25)*1.2)))*AV175*1),2)*BS175),2))</f>
        <v>12.52</v>
      </c>
      <c r="CS175" s="2">
        <f>(ROUND((ROUND(((((EU175*1.25)*1.2))*AV175*1),2)*BS175),2)+ROUND((ROUND(((AE175-(((EU175*1.25)*1.2)))*AV175*1),2)*BS175),2))</f>
        <v>0.4</v>
      </c>
      <c r="CT175" s="2">
        <f t="shared" si="181"/>
        <v>408.18</v>
      </c>
      <c r="CU175" s="2">
        <f t="shared" si="182"/>
        <v>0</v>
      </c>
      <c r="CV175" s="2">
        <f t="shared" si="183"/>
        <v>36.517007999999997</v>
      </c>
      <c r="CW175" s="2">
        <f t="shared" si="184"/>
        <v>0</v>
      </c>
      <c r="CX175" s="2">
        <f t="shared" si="185"/>
        <v>0</v>
      </c>
      <c r="CY175" s="2">
        <f>(ROUND((((S175+ROUND((ROUND(((((EU175*1.25)*1.2))*AV175*1),2)*BS175),2))*AT175)/100),2)+ROUND(((ROUND((ROUND(((AE175-(((EU175*1.25)*1.2)))*AV175*1),2)*BS175),2)*AT175)/100),2))</f>
        <v>20.239999999999998</v>
      </c>
      <c r="CZ175" s="2">
        <f>(ROUND((((S175+ROUND((ROUND(((((EU175*1.25)*1.2))*AV175*1),2)*BS175),2))*AU175)/100),2)+ROUND(((ROUND((ROUND(((AE175-(((EU175*1.25)*1.2)))*AV175*1),2)*BS175),2)*AU175)/100),2))</f>
        <v>12.05</v>
      </c>
      <c r="DA175" s="2"/>
      <c r="DB175" s="2">
        <v>107</v>
      </c>
      <c r="DC175" s="2" t="s">
        <v>3</v>
      </c>
      <c r="DD175" s="2" t="s">
        <v>280</v>
      </c>
      <c r="DE175" s="2" t="s">
        <v>281</v>
      </c>
      <c r="DF175" s="2" t="s">
        <v>281</v>
      </c>
      <c r="DG175" s="2" t="s">
        <v>282</v>
      </c>
      <c r="DH175" s="2" t="s">
        <v>3</v>
      </c>
      <c r="DI175" s="2" t="s">
        <v>282</v>
      </c>
      <c r="DJ175" s="2" t="s">
        <v>281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1010</v>
      </c>
      <c r="DV175" s="2" t="s">
        <v>60</v>
      </c>
      <c r="DW175" s="2" t="s">
        <v>60</v>
      </c>
      <c r="DX175" s="2">
        <v>100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55393651</v>
      </c>
      <c r="EF175" s="2">
        <v>30</v>
      </c>
      <c r="EG175" s="2" t="s">
        <v>80</v>
      </c>
      <c r="EH175" s="2">
        <v>0</v>
      </c>
      <c r="EI175" s="2" t="s">
        <v>3</v>
      </c>
      <c r="EJ175" s="2">
        <v>1</v>
      </c>
      <c r="EK175" s="2">
        <v>22</v>
      </c>
      <c r="EL175" s="2" t="s">
        <v>106</v>
      </c>
      <c r="EM175" s="2" t="s">
        <v>107</v>
      </c>
      <c r="EN175" s="2"/>
      <c r="EO175" s="2" t="s">
        <v>283</v>
      </c>
      <c r="EP175" s="2"/>
      <c r="EQ175" s="2">
        <v>0</v>
      </c>
      <c r="ER175" s="2">
        <v>641.07000000000005</v>
      </c>
      <c r="ES175" s="2">
        <v>356.04</v>
      </c>
      <c r="ET175" s="2">
        <v>7.82</v>
      </c>
      <c r="EU175" s="2">
        <v>0.25</v>
      </c>
      <c r="EV175" s="2">
        <v>277.20999999999998</v>
      </c>
      <c r="EW175" s="2">
        <v>24.8</v>
      </c>
      <c r="EX175" s="2">
        <v>0</v>
      </c>
      <c r="EY175" s="2">
        <v>0</v>
      </c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121</v>
      </c>
      <c r="FY175" s="2">
        <v>72</v>
      </c>
      <c r="FZ175" s="2"/>
      <c r="GA175" s="2" t="s">
        <v>3</v>
      </c>
      <c r="GB175" s="2"/>
      <c r="GC175" s="2"/>
      <c r="GD175" s="2">
        <v>1</v>
      </c>
      <c r="GE175" s="2"/>
      <c r="GF175" s="2">
        <v>630802187</v>
      </c>
      <c r="GG175" s="2">
        <v>2</v>
      </c>
      <c r="GH175" s="2">
        <v>1</v>
      </c>
      <c r="GI175" s="2">
        <v>2</v>
      </c>
      <c r="GJ175" s="2">
        <v>0</v>
      </c>
      <c r="GK175" s="2">
        <v>0</v>
      </c>
      <c r="GL175" s="2">
        <f t="shared" si="186"/>
        <v>0</v>
      </c>
      <c r="GM175" s="2">
        <f t="shared" si="187"/>
        <v>62.62</v>
      </c>
      <c r="GN175" s="2">
        <f t="shared" si="188"/>
        <v>62.62</v>
      </c>
      <c r="GO175" s="2">
        <f t="shared" si="189"/>
        <v>0</v>
      </c>
      <c r="GP175" s="2">
        <f t="shared" si="190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191"/>
        <v>0</v>
      </c>
      <c r="GW175" s="2">
        <v>1</v>
      </c>
      <c r="GX175" s="2">
        <f t="shared" si="192"/>
        <v>0</v>
      </c>
      <c r="GY175" s="2"/>
      <c r="GZ175" s="2"/>
      <c r="HA175" s="2">
        <v>0</v>
      </c>
      <c r="HB175" s="2">
        <v>0</v>
      </c>
      <c r="HC175" s="2">
        <f t="shared" si="193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">
      <c r="A176" s="3">
        <v>17</v>
      </c>
      <c r="B176" s="3">
        <v>1</v>
      </c>
      <c r="C176" s="3">
        <f>ROW(SmtRes!A244)</f>
        <v>244</v>
      </c>
      <c r="D176" s="3">
        <f>ROW(EtalonRes!A302)</f>
        <v>302</v>
      </c>
      <c r="E176" s="3" t="s">
        <v>317</v>
      </c>
      <c r="F176" s="3" t="s">
        <v>103</v>
      </c>
      <c r="G176" s="3" t="s">
        <v>318</v>
      </c>
      <c r="H176" s="3" t="s">
        <v>60</v>
      </c>
      <c r="I176" s="3">
        <f>ROUND(4/100,9)</f>
        <v>0.04</v>
      </c>
      <c r="J176" s="3">
        <v>0</v>
      </c>
      <c r="K176" s="3">
        <f>ROUND(4/100,9)</f>
        <v>0.04</v>
      </c>
      <c r="O176" s="3">
        <f t="shared" si="171"/>
        <v>974.48</v>
      </c>
      <c r="P176" s="3">
        <f t="shared" si="196"/>
        <v>48.7</v>
      </c>
      <c r="Q176" s="3">
        <f>(ROUND((ROUND(((((ET176*1.25)*1.2))*AV176*I176),2)*BB176),2)+ROUND((ROUND(((AE176-(((EU176*1.25)*1.2)))*AV176*I176),2)*BS176),2))</f>
        <v>5.58</v>
      </c>
      <c r="R176" s="3">
        <f>(ROUND((ROUND(((((EU176*1.25)*1.2))*AV176*I176),2)*BS176),2)+ROUND((ROUND(((AE176-(((EU176*1.25)*1.2)))*AV176*I176),2)*BS176),2))</f>
        <v>1.1299999999999999</v>
      </c>
      <c r="S176" s="3">
        <f t="shared" si="172"/>
        <v>920.2</v>
      </c>
      <c r="T176" s="3">
        <f t="shared" si="173"/>
        <v>0</v>
      </c>
      <c r="U176" s="3">
        <f t="shared" si="174"/>
        <v>1.4606803199999998</v>
      </c>
      <c r="V176" s="3">
        <f t="shared" si="175"/>
        <v>0</v>
      </c>
      <c r="W176" s="3">
        <f t="shared" si="176"/>
        <v>0</v>
      </c>
      <c r="X176" s="3">
        <f>(ROUND((((S176+ROUND((ROUND(((((EU176*1.25)*1.2))*AV176*I176),2)*BS176),2))*AT176)/100),2)+ROUND(((ROUND((ROUND(((AE176-(((EU176*1.25)*1.2)))*AV176*I176),2)*BS176),2)*AT176)/100),2))</f>
        <v>1114.81</v>
      </c>
      <c r="Y176" s="3">
        <f>(ROUND((((S176+ROUND((ROUND(((((EU176*1.25)*1.2))*AV176*I176),2)*BS176),2))*AU176)/100),2)+ROUND(((ROUND((ROUND(((AE176-(((EU176*1.25)*1.2)))*AV176*I176),2)*BS176),2)*AU176)/100),2))</f>
        <v>663.36</v>
      </c>
      <c r="AA176" s="3">
        <v>55937298</v>
      </c>
      <c r="AB176" s="3">
        <f t="shared" si="177"/>
        <v>750.31979999999999</v>
      </c>
      <c r="AC176" s="3">
        <f>ROUND((((ES176*1)*1)),6)</f>
        <v>356.04</v>
      </c>
      <c r="AD176" s="3">
        <f>ROUND((((((ET176*1.25)*1.2))-(((EU176*1.25)*1.2)))+AE176),6)</f>
        <v>11.73</v>
      </c>
      <c r="AE176" s="3">
        <f>ROUND((((EU176*1.25)*1.2)),6)</f>
        <v>0.375</v>
      </c>
      <c r="AF176" s="3">
        <f>ROUND((((EV176*1.15)*1.2)),6)</f>
        <v>382.5498</v>
      </c>
      <c r="AG176" s="3">
        <f t="shared" si="178"/>
        <v>0</v>
      </c>
      <c r="AH176" s="3">
        <f>(((EW176*1.15)*1.2))</f>
        <v>34.223999999999997</v>
      </c>
      <c r="AI176" s="3">
        <f>(((EX176*1.25)*1.2))</f>
        <v>0</v>
      </c>
      <c r="AJ176" s="3">
        <f t="shared" si="179"/>
        <v>0</v>
      </c>
      <c r="AK176" s="3">
        <v>641.07000000000005</v>
      </c>
      <c r="AL176" s="3">
        <v>356.04</v>
      </c>
      <c r="AM176" s="3">
        <v>7.82</v>
      </c>
      <c r="AN176" s="3">
        <v>0.25</v>
      </c>
      <c r="AO176" s="3">
        <v>277.20999999999998</v>
      </c>
      <c r="AP176" s="3">
        <v>0</v>
      </c>
      <c r="AQ176" s="3">
        <v>24.8</v>
      </c>
      <c r="AR176" s="3">
        <v>0</v>
      </c>
      <c r="AS176" s="3">
        <v>0</v>
      </c>
      <c r="AT176" s="3">
        <v>121</v>
      </c>
      <c r="AU176" s="3">
        <v>72</v>
      </c>
      <c r="AV176" s="3">
        <v>1.0669999999999999</v>
      </c>
      <c r="AW176" s="3">
        <v>1</v>
      </c>
      <c r="AZ176" s="3">
        <v>1</v>
      </c>
      <c r="BA176" s="3">
        <v>56.35</v>
      </c>
      <c r="BB176" s="3">
        <v>11.16</v>
      </c>
      <c r="BC176" s="3">
        <v>3.42</v>
      </c>
      <c r="BD176" s="3" t="s">
        <v>3</v>
      </c>
      <c r="BE176" s="3" t="s">
        <v>3</v>
      </c>
      <c r="BF176" s="3" t="s">
        <v>3</v>
      </c>
      <c r="BG176" s="3" t="s">
        <v>3</v>
      </c>
      <c r="BH176" s="3">
        <v>0</v>
      </c>
      <c r="BI176" s="3">
        <v>1</v>
      </c>
      <c r="BJ176" s="3" t="s">
        <v>105</v>
      </c>
      <c r="BM176" s="3">
        <v>22</v>
      </c>
      <c r="BN176" s="3">
        <v>0</v>
      </c>
      <c r="BO176" s="3" t="s">
        <v>103</v>
      </c>
      <c r="BP176" s="3">
        <v>1</v>
      </c>
      <c r="BQ176" s="3">
        <v>30</v>
      </c>
      <c r="BR176" s="3">
        <v>0</v>
      </c>
      <c r="BS176" s="3">
        <v>56.35</v>
      </c>
      <c r="BT176" s="3">
        <v>1</v>
      </c>
      <c r="BU176" s="3">
        <v>1</v>
      </c>
      <c r="BV176" s="3">
        <v>1</v>
      </c>
      <c r="BW176" s="3">
        <v>1</v>
      </c>
      <c r="BX176" s="3">
        <v>1</v>
      </c>
      <c r="BY176" s="3" t="s">
        <v>3</v>
      </c>
      <c r="BZ176" s="3">
        <v>121</v>
      </c>
      <c r="CA176" s="3">
        <v>72</v>
      </c>
      <c r="CB176" s="3" t="s">
        <v>3</v>
      </c>
      <c r="CE176" s="3">
        <v>1566</v>
      </c>
      <c r="CF176" s="3">
        <v>0</v>
      </c>
      <c r="CG176" s="3">
        <v>0</v>
      </c>
      <c r="CM176" s="3">
        <v>0</v>
      </c>
      <c r="CN176" s="3" t="s">
        <v>801</v>
      </c>
      <c r="CO176" s="3">
        <v>0</v>
      </c>
      <c r="CP176" s="3">
        <f t="shared" si="180"/>
        <v>974.48</v>
      </c>
      <c r="CQ176" s="3">
        <f t="shared" si="197"/>
        <v>1217.6600000000001</v>
      </c>
      <c r="CR176" s="3">
        <f>(ROUND((ROUND(((((ET176*1.25)*1.2))*AV176*1),2)*BB176),2)+ROUND((ROUND(((AE176-(((EU176*1.25)*1.2)))*AV176*1),2)*BS176),2))</f>
        <v>139.72</v>
      </c>
      <c r="CS176" s="3">
        <f>(ROUND((ROUND(((((EU176*1.25)*1.2))*AV176*1),2)*BS176),2)+ROUND((ROUND(((AE176-(((EU176*1.25)*1.2)))*AV176*1),2)*BS176),2))</f>
        <v>22.54</v>
      </c>
      <c r="CT176" s="3">
        <f t="shared" si="181"/>
        <v>23000.94</v>
      </c>
      <c r="CU176" s="3">
        <f t="shared" si="182"/>
        <v>0</v>
      </c>
      <c r="CV176" s="3">
        <f t="shared" si="183"/>
        <v>36.517007999999997</v>
      </c>
      <c r="CW176" s="3">
        <f t="shared" si="184"/>
        <v>0</v>
      </c>
      <c r="CX176" s="3">
        <f t="shared" si="185"/>
        <v>0</v>
      </c>
      <c r="CY176" s="3">
        <f>(ROUND((((S176+ROUND((ROUND(((((EU176*1.25)*1.2))*AV176*1),2)*BS176),2))*AT176)/100),2)+ROUND(((ROUND((ROUND(((AE176-(((EU176*1.25)*1.2)))*AV176*1),2)*BS176),2)*AT176)/100),2))</f>
        <v>1140.72</v>
      </c>
      <c r="CZ176" s="3">
        <f>(ROUND((((S176+ROUND((ROUND(((((EU176*1.25)*1.2))*AV176*1),2)*BS176),2))*AU176)/100),2)+ROUND(((ROUND((ROUND(((AE176-(((EU176*1.25)*1.2)))*AV176*1),2)*BS176),2)*AU176)/100),2))</f>
        <v>678.77</v>
      </c>
      <c r="DB176" s="3">
        <v>109</v>
      </c>
      <c r="DC176" s="3" t="s">
        <v>3</v>
      </c>
      <c r="DD176" s="3" t="s">
        <v>280</v>
      </c>
      <c r="DE176" s="3" t="s">
        <v>281</v>
      </c>
      <c r="DF176" s="3" t="s">
        <v>281</v>
      </c>
      <c r="DG176" s="3" t="s">
        <v>282</v>
      </c>
      <c r="DH176" s="3" t="s">
        <v>3</v>
      </c>
      <c r="DI176" s="3" t="s">
        <v>282</v>
      </c>
      <c r="DJ176" s="3" t="s">
        <v>281</v>
      </c>
      <c r="DK176" s="3" t="s">
        <v>3</v>
      </c>
      <c r="DL176" s="3" t="s">
        <v>3</v>
      </c>
      <c r="DM176" s="3" t="s">
        <v>3</v>
      </c>
      <c r="DN176" s="3">
        <v>0</v>
      </c>
      <c r="DO176" s="3">
        <v>0</v>
      </c>
      <c r="DP176" s="3">
        <v>1</v>
      </c>
      <c r="DQ176" s="3">
        <v>1</v>
      </c>
      <c r="DU176" s="3">
        <v>1010</v>
      </c>
      <c r="DV176" s="3" t="s">
        <v>60</v>
      </c>
      <c r="DW176" s="3" t="s">
        <v>60</v>
      </c>
      <c r="DX176" s="3">
        <v>100</v>
      </c>
      <c r="DZ176" s="3" t="s">
        <v>3</v>
      </c>
      <c r="EA176" s="3" t="s">
        <v>3</v>
      </c>
      <c r="EB176" s="3" t="s">
        <v>3</v>
      </c>
      <c r="EC176" s="3" t="s">
        <v>3</v>
      </c>
      <c r="EE176" s="3">
        <v>55393651</v>
      </c>
      <c r="EF176" s="3">
        <v>30</v>
      </c>
      <c r="EG176" s="3" t="s">
        <v>80</v>
      </c>
      <c r="EH176" s="3">
        <v>0</v>
      </c>
      <c r="EI176" s="3" t="s">
        <v>3</v>
      </c>
      <c r="EJ176" s="3">
        <v>1</v>
      </c>
      <c r="EK176" s="3">
        <v>22</v>
      </c>
      <c r="EL176" s="3" t="s">
        <v>106</v>
      </c>
      <c r="EM176" s="3" t="s">
        <v>107</v>
      </c>
      <c r="EO176" s="3" t="s">
        <v>283</v>
      </c>
      <c r="EQ176" s="3">
        <v>0</v>
      </c>
      <c r="ER176" s="3">
        <v>641.07000000000005</v>
      </c>
      <c r="ES176" s="3">
        <v>356.04</v>
      </c>
      <c r="ET176" s="3">
        <v>7.82</v>
      </c>
      <c r="EU176" s="3">
        <v>0.25</v>
      </c>
      <c r="EV176" s="3">
        <v>277.20999999999998</v>
      </c>
      <c r="EW176" s="3">
        <v>24.8</v>
      </c>
      <c r="EX176" s="3">
        <v>0</v>
      </c>
      <c r="EY176" s="3">
        <v>0</v>
      </c>
      <c r="FQ176" s="3">
        <v>0</v>
      </c>
      <c r="FR176" s="3">
        <v>0</v>
      </c>
      <c r="FS176" s="3">
        <v>0</v>
      </c>
      <c r="FX176" s="3">
        <v>121</v>
      </c>
      <c r="FY176" s="3">
        <v>72</v>
      </c>
      <c r="GA176" s="3" t="s">
        <v>3</v>
      </c>
      <c r="GD176" s="3">
        <v>1</v>
      </c>
      <c r="GF176" s="3">
        <v>630802187</v>
      </c>
      <c r="GG176" s="3">
        <v>2</v>
      </c>
      <c r="GH176" s="3">
        <v>1</v>
      </c>
      <c r="GI176" s="3">
        <v>2</v>
      </c>
      <c r="GJ176" s="3">
        <v>0</v>
      </c>
      <c r="GK176" s="3">
        <v>0</v>
      </c>
      <c r="GL176" s="3">
        <f t="shared" si="186"/>
        <v>0</v>
      </c>
      <c r="GM176" s="3">
        <f t="shared" si="187"/>
        <v>2752.65</v>
      </c>
      <c r="GN176" s="3">
        <f t="shared" si="188"/>
        <v>2752.65</v>
      </c>
      <c r="GO176" s="3">
        <f t="shared" si="189"/>
        <v>0</v>
      </c>
      <c r="GP176" s="3">
        <f t="shared" si="190"/>
        <v>0</v>
      </c>
      <c r="GR176" s="3">
        <v>0</v>
      </c>
      <c r="GS176" s="3">
        <v>3</v>
      </c>
      <c r="GT176" s="3">
        <v>0</v>
      </c>
      <c r="GU176" s="3" t="s">
        <v>3</v>
      </c>
      <c r="GV176" s="3">
        <f t="shared" si="191"/>
        <v>0</v>
      </c>
      <c r="GW176" s="3">
        <v>1</v>
      </c>
      <c r="GX176" s="3">
        <f t="shared" si="192"/>
        <v>0</v>
      </c>
      <c r="HA176" s="3">
        <v>0</v>
      </c>
      <c r="HB176" s="3">
        <v>0</v>
      </c>
      <c r="HC176" s="3">
        <f t="shared" si="193"/>
        <v>0</v>
      </c>
      <c r="HE176" s="3" t="s">
        <v>3</v>
      </c>
      <c r="HF176" s="3" t="s">
        <v>3</v>
      </c>
      <c r="HM176" s="3" t="s">
        <v>3</v>
      </c>
      <c r="HN176" s="3" t="s">
        <v>3</v>
      </c>
      <c r="HO176" s="3" t="s">
        <v>3</v>
      </c>
      <c r="HP176" s="3" t="s">
        <v>3</v>
      </c>
      <c r="HQ176" s="3" t="s">
        <v>3</v>
      </c>
      <c r="HS176" s="3">
        <v>0</v>
      </c>
      <c r="IK176" s="3">
        <v>0</v>
      </c>
    </row>
    <row r="177" spans="1:255" x14ac:dyDescent="0.2">
      <c r="A177" s="2">
        <v>18</v>
      </c>
      <c r="B177" s="2">
        <v>1</v>
      </c>
      <c r="C177" s="2">
        <v>238</v>
      </c>
      <c r="D177" s="2"/>
      <c r="E177" s="2" t="s">
        <v>319</v>
      </c>
      <c r="F177" s="2" t="s">
        <v>320</v>
      </c>
      <c r="G177" s="2" t="s">
        <v>321</v>
      </c>
      <c r="H177" s="2" t="s">
        <v>183</v>
      </c>
      <c r="I177" s="2">
        <f>I175*J177</f>
        <v>4</v>
      </c>
      <c r="J177" s="2">
        <v>100</v>
      </c>
      <c r="K177" s="2">
        <v>100</v>
      </c>
      <c r="L177" s="2"/>
      <c r="M177" s="2"/>
      <c r="N177" s="2"/>
      <c r="O177" s="2">
        <f t="shared" si="171"/>
        <v>1017.52</v>
      </c>
      <c r="P177" s="2">
        <f t="shared" si="196"/>
        <v>1017.52</v>
      </c>
      <c r="Q177" s="2">
        <f>(ROUND((ROUND(((ET177)*AV177*I177),2)*BB177),2)+ROUND((ROUND(((AE177-(EU177))*AV177*I177),2)*BS177),2))</f>
        <v>0</v>
      </c>
      <c r="R177" s="2">
        <f>(ROUND((ROUND(((EU177)*AV177*I177),2)*BS177),2)+ROUND((ROUND(((AE177-(EU177))*AV177*I177),2)*BS177),2))</f>
        <v>0</v>
      </c>
      <c r="S177" s="2">
        <f t="shared" si="172"/>
        <v>0</v>
      </c>
      <c r="T177" s="2">
        <f t="shared" si="173"/>
        <v>0</v>
      </c>
      <c r="U177" s="2">
        <f t="shared" si="174"/>
        <v>0</v>
      </c>
      <c r="V177" s="2">
        <f t="shared" si="175"/>
        <v>0</v>
      </c>
      <c r="W177" s="2">
        <f t="shared" si="176"/>
        <v>0</v>
      </c>
      <c r="X177" s="2">
        <f>(ROUND((((S177+ROUND((ROUND(((EU177)*AV177*I177),2)*BS177),2))*AT177)/100),2)+ROUND(((ROUND((ROUND(((AE177-(EU177))*AV177*I177),2)*BS177),2)*AT177)/100),2))</f>
        <v>0</v>
      </c>
      <c r="Y177" s="2">
        <f>(ROUND((((S177+ROUND((ROUND(((EU177)*AV177*I177),2)*BS177),2))*AU177)/100),2)+ROUND(((ROUND((ROUND(((AE177-(EU177))*AV177*I177),2)*BS177),2)*AU177)/100),2))</f>
        <v>0</v>
      </c>
      <c r="Z177" s="2"/>
      <c r="AA177" s="2">
        <v>55937296</v>
      </c>
      <c r="AB177" s="2">
        <f t="shared" si="177"/>
        <v>254.38</v>
      </c>
      <c r="AC177" s="2">
        <f>ROUND((ES177),6)</f>
        <v>254.38</v>
      </c>
      <c r="AD177" s="2">
        <f>ROUND((((ET177)-(EU177))+AE177),6)</f>
        <v>0</v>
      </c>
      <c r="AE177" s="2">
        <f>ROUND((EU177),6)</f>
        <v>0</v>
      </c>
      <c r="AF177" s="2">
        <f>ROUND((EV177),6)</f>
        <v>0</v>
      </c>
      <c r="AG177" s="2">
        <f t="shared" si="178"/>
        <v>0</v>
      </c>
      <c r="AH177" s="2">
        <f>(EW177)</f>
        <v>0</v>
      </c>
      <c r="AI177" s="2">
        <f>(EX177)</f>
        <v>0</v>
      </c>
      <c r="AJ177" s="2">
        <f t="shared" si="179"/>
        <v>0</v>
      </c>
      <c r="AK177" s="2">
        <v>254.38</v>
      </c>
      <c r="AL177" s="2">
        <v>254.38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1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3</v>
      </c>
      <c r="BI177" s="2">
        <v>1</v>
      </c>
      <c r="BJ177" s="2" t="s">
        <v>320</v>
      </c>
      <c r="BK177" s="2"/>
      <c r="BL177" s="2"/>
      <c r="BM177" s="2">
        <v>400005</v>
      </c>
      <c r="BN177" s="2">
        <v>0</v>
      </c>
      <c r="BO177" s="2" t="s">
        <v>3</v>
      </c>
      <c r="BP177" s="2">
        <v>0</v>
      </c>
      <c r="BQ177" s="2">
        <v>213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121</v>
      </c>
      <c r="CA177" s="2">
        <v>72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802</v>
      </c>
      <c r="CO177" s="2">
        <v>0</v>
      </c>
      <c r="CP177" s="2">
        <f t="shared" si="180"/>
        <v>1017.52</v>
      </c>
      <c r="CQ177" s="2">
        <f t="shared" si="197"/>
        <v>254.38</v>
      </c>
      <c r="CR177" s="2">
        <f>(ROUND((ROUND(((ET177)*AV177*1),2)*BB177),2)+ROUND((ROUND(((AE177-(EU177))*AV177*1),2)*BS177),2))</f>
        <v>0</v>
      </c>
      <c r="CS177" s="2">
        <f>(ROUND((ROUND(((EU177)*AV177*1),2)*BS177),2)+ROUND((ROUND(((AE177-(EU177))*AV177*1),2)*BS177),2))</f>
        <v>0</v>
      </c>
      <c r="CT177" s="2">
        <f t="shared" si="181"/>
        <v>0</v>
      </c>
      <c r="CU177" s="2">
        <f t="shared" si="182"/>
        <v>0</v>
      </c>
      <c r="CV177" s="2">
        <f t="shared" si="183"/>
        <v>0</v>
      </c>
      <c r="CW177" s="2">
        <f t="shared" si="184"/>
        <v>0</v>
      </c>
      <c r="CX177" s="2">
        <f t="shared" si="185"/>
        <v>0</v>
      </c>
      <c r="CY177" s="2">
        <f>(ROUND((((S177+ROUND((ROUND(((EU177)*AV177*1),2)*BS177),2))*AT177)/100),2)+ROUND(((ROUND((ROUND(((AE177-(EU177))*AV177*1),2)*BS177),2)*AT177)/100),2))</f>
        <v>0</v>
      </c>
      <c r="CZ177" s="2">
        <f>(ROUND((((S177+ROUND((ROUND(((EU177)*AV177*1),2)*BS177),2))*AU177)/100),2)+ROUND(((ROUND((ROUND(((AE177-(EU177))*AV177*1),2)*BS177),2)*AU177)/100),2))</f>
        <v>0</v>
      </c>
      <c r="DA177" s="2"/>
      <c r="DB177" s="2"/>
      <c r="DC177" s="2" t="s">
        <v>3</v>
      </c>
      <c r="DD177" s="2" t="s">
        <v>3</v>
      </c>
      <c r="DE177" s="2" t="s">
        <v>3</v>
      </c>
      <c r="DF177" s="2" t="s">
        <v>3</v>
      </c>
      <c r="DG177" s="2" t="s">
        <v>3</v>
      </c>
      <c r="DH177" s="2" t="s">
        <v>3</v>
      </c>
      <c r="DI177" s="2" t="s">
        <v>3</v>
      </c>
      <c r="DJ177" s="2" t="s">
        <v>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1013</v>
      </c>
      <c r="DV177" s="2" t="s">
        <v>183</v>
      </c>
      <c r="DW177" s="2" t="s">
        <v>183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55393628</v>
      </c>
      <c r="EF177" s="2">
        <v>213</v>
      </c>
      <c r="EG177" s="2" t="s">
        <v>322</v>
      </c>
      <c r="EH177" s="2">
        <v>0</v>
      </c>
      <c r="EI177" s="2" t="s">
        <v>3</v>
      </c>
      <c r="EJ177" s="2">
        <v>1</v>
      </c>
      <c r="EK177" s="2">
        <v>400005</v>
      </c>
      <c r="EL177" s="2" t="s">
        <v>322</v>
      </c>
      <c r="EM177" s="2" t="s">
        <v>323</v>
      </c>
      <c r="EN177" s="2"/>
      <c r="EO177" s="2" t="s">
        <v>289</v>
      </c>
      <c r="EP177" s="2"/>
      <c r="EQ177" s="2">
        <v>16</v>
      </c>
      <c r="ER177" s="2">
        <v>0</v>
      </c>
      <c r="ES177" s="2">
        <v>254.38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121</v>
      </c>
      <c r="FY177" s="2">
        <v>72</v>
      </c>
      <c r="FZ177" s="2"/>
      <c r="GA177" s="2" t="s">
        <v>324</v>
      </c>
      <c r="GB177" s="2"/>
      <c r="GC177" s="2"/>
      <c r="GD177" s="2">
        <v>1</v>
      </c>
      <c r="GE177" s="2"/>
      <c r="GF177" s="2">
        <v>-1162098048</v>
      </c>
      <c r="GG177" s="2">
        <v>2</v>
      </c>
      <c r="GH177" s="2">
        <v>4</v>
      </c>
      <c r="GI177" s="2">
        <v>-2</v>
      </c>
      <c r="GJ177" s="2">
        <v>0</v>
      </c>
      <c r="GK177" s="2">
        <v>0</v>
      </c>
      <c r="GL177" s="2">
        <f t="shared" si="186"/>
        <v>0</v>
      </c>
      <c r="GM177" s="2">
        <f t="shared" si="187"/>
        <v>1017.52</v>
      </c>
      <c r="GN177" s="2">
        <f t="shared" si="188"/>
        <v>1017.52</v>
      </c>
      <c r="GO177" s="2">
        <f t="shared" si="189"/>
        <v>0</v>
      </c>
      <c r="GP177" s="2">
        <f t="shared" si="190"/>
        <v>0</v>
      </c>
      <c r="GQ177" s="2"/>
      <c r="GR177" s="2">
        <v>1</v>
      </c>
      <c r="GS177" s="2">
        <v>2</v>
      </c>
      <c r="GT177" s="2">
        <v>0</v>
      </c>
      <c r="GU177" s="2" t="s">
        <v>3</v>
      </c>
      <c r="GV177" s="2">
        <f t="shared" si="191"/>
        <v>0</v>
      </c>
      <c r="GW177" s="2">
        <v>1</v>
      </c>
      <c r="GX177" s="2">
        <f t="shared" si="192"/>
        <v>0</v>
      </c>
      <c r="GY177" s="2"/>
      <c r="GZ177" s="2"/>
      <c r="HA177" s="2">
        <v>0</v>
      </c>
      <c r="HB177" s="2">
        <v>0</v>
      </c>
      <c r="HC177" s="2">
        <f t="shared" si="193"/>
        <v>0</v>
      </c>
      <c r="HD177" s="2"/>
      <c r="HE177" s="2" t="s">
        <v>325</v>
      </c>
      <c r="HF177" s="2" t="s">
        <v>30</v>
      </c>
      <c r="HG177" s="2"/>
      <c r="HH177" s="2"/>
      <c r="HI177" s="2"/>
      <c r="HJ177" s="2"/>
      <c r="HK177" s="2"/>
      <c r="HL177" s="2"/>
      <c r="HM177" s="2" t="s">
        <v>280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">
      <c r="A178" s="3">
        <v>18</v>
      </c>
      <c r="B178" s="3">
        <v>1</v>
      </c>
      <c r="C178" s="3">
        <v>244</v>
      </c>
      <c r="E178" s="3" t="s">
        <v>319</v>
      </c>
      <c r="F178" s="3" t="s">
        <v>320</v>
      </c>
      <c r="G178" s="3" t="s">
        <v>321</v>
      </c>
      <c r="H178" s="3" t="s">
        <v>183</v>
      </c>
      <c r="I178" s="3">
        <f>I176*J178</f>
        <v>4</v>
      </c>
      <c r="J178" s="3">
        <v>100</v>
      </c>
      <c r="K178" s="3">
        <v>100</v>
      </c>
      <c r="O178" s="3">
        <f t="shared" si="171"/>
        <v>10032.75</v>
      </c>
      <c r="P178" s="3">
        <f t="shared" si="196"/>
        <v>10032.75</v>
      </c>
      <c r="Q178" s="3">
        <f>(ROUND((ROUND(((ET178)*AV178*I178),2)*BB178),2)+ROUND((ROUND(((AE178-(EU178))*AV178*I178),2)*BS178),2))</f>
        <v>0</v>
      </c>
      <c r="R178" s="3">
        <f>(ROUND((ROUND(((EU178)*AV178*I178),2)*BS178),2)+ROUND((ROUND(((AE178-(EU178))*AV178*I178),2)*BS178),2))</f>
        <v>0</v>
      </c>
      <c r="S178" s="3">
        <f t="shared" si="172"/>
        <v>0</v>
      </c>
      <c r="T178" s="3">
        <f t="shared" si="173"/>
        <v>0</v>
      </c>
      <c r="U178" s="3">
        <f t="shared" si="174"/>
        <v>0</v>
      </c>
      <c r="V178" s="3">
        <f t="shared" si="175"/>
        <v>0</v>
      </c>
      <c r="W178" s="3">
        <f t="shared" si="176"/>
        <v>0</v>
      </c>
      <c r="X178" s="3">
        <f>(ROUND((((S178+ROUND((ROUND(((EU178)*AV178*I178),2)*BS178),2))*AT178)/100),2)+ROUND(((ROUND((ROUND(((AE178-(EU178))*AV178*I178),2)*BS178),2)*AT178)/100),2))</f>
        <v>0</v>
      </c>
      <c r="Y178" s="3">
        <f>(ROUND((((S178+ROUND((ROUND(((EU178)*AV178*I178),2)*BS178),2))*AU178)/100),2)+ROUND(((ROUND((ROUND(((AE178-(EU178))*AV178*I178),2)*BS178),2)*AU178)/100),2))</f>
        <v>0</v>
      </c>
      <c r="AA178" s="3">
        <v>55937298</v>
      </c>
      <c r="AB178" s="3">
        <f t="shared" si="177"/>
        <v>254.38</v>
      </c>
      <c r="AC178" s="3">
        <f>ROUND((ES178),6)</f>
        <v>254.38</v>
      </c>
      <c r="AD178" s="3">
        <f>ROUND((((ET178)-(EU178))+AE178),6)</f>
        <v>0</v>
      </c>
      <c r="AE178" s="3">
        <f>ROUND((EU178),6)</f>
        <v>0</v>
      </c>
      <c r="AF178" s="3">
        <f>ROUND((EV178),6)</f>
        <v>0</v>
      </c>
      <c r="AG178" s="3">
        <f t="shared" si="178"/>
        <v>0</v>
      </c>
      <c r="AH178" s="3">
        <f>(EW178)</f>
        <v>0</v>
      </c>
      <c r="AI178" s="3">
        <f>(EX178)</f>
        <v>0</v>
      </c>
      <c r="AJ178" s="3">
        <f t="shared" si="179"/>
        <v>0</v>
      </c>
      <c r="AK178" s="3">
        <v>254.38</v>
      </c>
      <c r="AL178" s="3">
        <v>254.38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1</v>
      </c>
      <c r="AW178" s="3">
        <v>1</v>
      </c>
      <c r="AZ178" s="3">
        <v>1</v>
      </c>
      <c r="BA178" s="3">
        <v>1</v>
      </c>
      <c r="BB178" s="3">
        <v>1</v>
      </c>
      <c r="BC178" s="3">
        <v>9.86</v>
      </c>
      <c r="BD178" s="3" t="s">
        <v>3</v>
      </c>
      <c r="BE178" s="3" t="s">
        <v>3</v>
      </c>
      <c r="BF178" s="3" t="s">
        <v>3</v>
      </c>
      <c r="BG178" s="3" t="s">
        <v>3</v>
      </c>
      <c r="BH178" s="3">
        <v>3</v>
      </c>
      <c r="BI178" s="3">
        <v>1</v>
      </c>
      <c r="BJ178" s="3" t="s">
        <v>320</v>
      </c>
      <c r="BM178" s="3">
        <v>400005</v>
      </c>
      <c r="BN178" s="3">
        <v>0</v>
      </c>
      <c r="BO178" s="3" t="s">
        <v>3</v>
      </c>
      <c r="BP178" s="3">
        <v>0</v>
      </c>
      <c r="BQ178" s="3">
        <v>213</v>
      </c>
      <c r="BR178" s="3">
        <v>0</v>
      </c>
      <c r="BS178" s="3">
        <v>1</v>
      </c>
      <c r="BT178" s="3">
        <v>1</v>
      </c>
      <c r="BU178" s="3">
        <v>1</v>
      </c>
      <c r="BV178" s="3">
        <v>1</v>
      </c>
      <c r="BW178" s="3">
        <v>1</v>
      </c>
      <c r="BX178" s="3">
        <v>1</v>
      </c>
      <c r="BY178" s="3" t="s">
        <v>3</v>
      </c>
      <c r="BZ178" s="3">
        <v>121</v>
      </c>
      <c r="CA178" s="3">
        <v>72</v>
      </c>
      <c r="CB178" s="3" t="s">
        <v>3</v>
      </c>
      <c r="CE178" s="3">
        <v>1566</v>
      </c>
      <c r="CF178" s="3">
        <v>0</v>
      </c>
      <c r="CG178" s="3">
        <v>0</v>
      </c>
      <c r="CM178" s="3">
        <v>0</v>
      </c>
      <c r="CN178" s="3" t="s">
        <v>802</v>
      </c>
      <c r="CO178" s="3">
        <v>0</v>
      </c>
      <c r="CP178" s="3">
        <f t="shared" si="180"/>
        <v>10032.75</v>
      </c>
      <c r="CQ178" s="3">
        <f t="shared" si="197"/>
        <v>2508.19</v>
      </c>
      <c r="CR178" s="3">
        <f>(ROUND((ROUND(((ET178)*AV178*1),2)*BB178),2)+ROUND((ROUND(((AE178-(EU178))*AV178*1),2)*BS178),2))</f>
        <v>0</v>
      </c>
      <c r="CS178" s="3">
        <f>(ROUND((ROUND(((EU178)*AV178*1),2)*BS178),2)+ROUND((ROUND(((AE178-(EU178))*AV178*1),2)*BS178),2))</f>
        <v>0</v>
      </c>
      <c r="CT178" s="3">
        <f t="shared" si="181"/>
        <v>0</v>
      </c>
      <c r="CU178" s="3">
        <f t="shared" si="182"/>
        <v>0</v>
      </c>
      <c r="CV178" s="3">
        <f t="shared" si="183"/>
        <v>0</v>
      </c>
      <c r="CW178" s="3">
        <f t="shared" si="184"/>
        <v>0</v>
      </c>
      <c r="CX178" s="3">
        <f t="shared" si="185"/>
        <v>0</v>
      </c>
      <c r="CY178" s="3">
        <f>(ROUND((((S178+ROUND((ROUND(((EU178)*AV178*1),2)*BS178),2))*AT178)/100),2)+ROUND(((ROUND((ROUND(((AE178-(EU178))*AV178*1),2)*BS178),2)*AT178)/100),2))</f>
        <v>0</v>
      </c>
      <c r="CZ178" s="3">
        <f>(ROUND((((S178+ROUND((ROUND(((EU178)*AV178*1),2)*BS178),2))*AU178)/100),2)+ROUND(((ROUND((ROUND(((AE178-(EU178))*AV178*1),2)*BS178),2)*AU178)/100),2))</f>
        <v>0</v>
      </c>
      <c r="DC178" s="3" t="s">
        <v>3</v>
      </c>
      <c r="DD178" s="3" t="s">
        <v>3</v>
      </c>
      <c r="DE178" s="3" t="s">
        <v>3</v>
      </c>
      <c r="DF178" s="3" t="s">
        <v>3</v>
      </c>
      <c r="DG178" s="3" t="s">
        <v>3</v>
      </c>
      <c r="DH178" s="3" t="s">
        <v>3</v>
      </c>
      <c r="DI178" s="3" t="s">
        <v>3</v>
      </c>
      <c r="DJ178" s="3" t="s">
        <v>3</v>
      </c>
      <c r="DK178" s="3" t="s">
        <v>3</v>
      </c>
      <c r="DL178" s="3" t="s">
        <v>3</v>
      </c>
      <c r="DM178" s="3" t="s">
        <v>3</v>
      </c>
      <c r="DN178" s="3">
        <v>0</v>
      </c>
      <c r="DO178" s="3">
        <v>0</v>
      </c>
      <c r="DP178" s="3">
        <v>1</v>
      </c>
      <c r="DQ178" s="3">
        <v>1</v>
      </c>
      <c r="DU178" s="3">
        <v>1013</v>
      </c>
      <c r="DV178" s="3" t="s">
        <v>183</v>
      </c>
      <c r="DW178" s="3" t="s">
        <v>183</v>
      </c>
      <c r="DX178" s="3">
        <v>1</v>
      </c>
      <c r="DZ178" s="3" t="s">
        <v>3</v>
      </c>
      <c r="EA178" s="3" t="s">
        <v>3</v>
      </c>
      <c r="EB178" s="3" t="s">
        <v>3</v>
      </c>
      <c r="EC178" s="3" t="s">
        <v>3</v>
      </c>
      <c r="EE178" s="3">
        <v>55393628</v>
      </c>
      <c r="EF178" s="3">
        <v>213</v>
      </c>
      <c r="EG178" s="3" t="s">
        <v>322</v>
      </c>
      <c r="EH178" s="3">
        <v>0</v>
      </c>
      <c r="EI178" s="3" t="s">
        <v>3</v>
      </c>
      <c r="EJ178" s="3">
        <v>1</v>
      </c>
      <c r="EK178" s="3">
        <v>400005</v>
      </c>
      <c r="EL178" s="3" t="s">
        <v>322</v>
      </c>
      <c r="EM178" s="3" t="s">
        <v>323</v>
      </c>
      <c r="EO178" s="3" t="s">
        <v>289</v>
      </c>
      <c r="EQ178" s="3">
        <v>16</v>
      </c>
      <c r="ER178" s="3">
        <v>0</v>
      </c>
      <c r="ES178" s="3">
        <v>254.38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Z178" s="3">
        <v>5</v>
      </c>
      <c r="FC178" s="3">
        <v>1</v>
      </c>
      <c r="FD178" s="3">
        <v>18</v>
      </c>
      <c r="FF178" s="3">
        <v>3000</v>
      </c>
      <c r="FQ178" s="3">
        <v>0</v>
      </c>
      <c r="FR178" s="3">
        <v>0</v>
      </c>
      <c r="FS178" s="3">
        <v>0</v>
      </c>
      <c r="FX178" s="3">
        <v>121</v>
      </c>
      <c r="FY178" s="3">
        <v>72</v>
      </c>
      <c r="GA178" s="3" t="s">
        <v>324</v>
      </c>
      <c r="GD178" s="3">
        <v>1</v>
      </c>
      <c r="GF178" s="3">
        <v>-1162098048</v>
      </c>
      <c r="GG178" s="3">
        <v>2</v>
      </c>
      <c r="GH178" s="3">
        <v>3</v>
      </c>
      <c r="GI178" s="3">
        <v>5</v>
      </c>
      <c r="GJ178" s="3">
        <v>0</v>
      </c>
      <c r="GK178" s="3">
        <v>0</v>
      </c>
      <c r="GL178" s="3">
        <f t="shared" si="186"/>
        <v>0</v>
      </c>
      <c r="GM178" s="3">
        <f t="shared" si="187"/>
        <v>10032.75</v>
      </c>
      <c r="GN178" s="3">
        <f t="shared" si="188"/>
        <v>10032.75</v>
      </c>
      <c r="GO178" s="3">
        <f t="shared" si="189"/>
        <v>0</v>
      </c>
      <c r="GP178" s="3">
        <f t="shared" si="190"/>
        <v>0</v>
      </c>
      <c r="GR178" s="3">
        <v>1</v>
      </c>
      <c r="GS178" s="3">
        <v>1</v>
      </c>
      <c r="GT178" s="3">
        <v>0</v>
      </c>
      <c r="GU178" s="3" t="s">
        <v>3</v>
      </c>
      <c r="GV178" s="3">
        <f t="shared" si="191"/>
        <v>0</v>
      </c>
      <c r="GW178" s="3">
        <v>1</v>
      </c>
      <c r="GX178" s="3">
        <f t="shared" si="192"/>
        <v>0</v>
      </c>
      <c r="HA178" s="3">
        <v>0</v>
      </c>
      <c r="HB178" s="3">
        <v>0</v>
      </c>
      <c r="HC178" s="3">
        <f t="shared" si="193"/>
        <v>0</v>
      </c>
      <c r="HE178" s="3" t="s">
        <v>325</v>
      </c>
      <c r="HF178" s="3" t="s">
        <v>30</v>
      </c>
      <c r="HM178" s="3" t="s">
        <v>280</v>
      </c>
      <c r="HN178" s="3" t="s">
        <v>3</v>
      </c>
      <c r="HO178" s="3" t="s">
        <v>3</v>
      </c>
      <c r="HP178" s="3" t="s">
        <v>3</v>
      </c>
      <c r="HQ178" s="3" t="s">
        <v>3</v>
      </c>
      <c r="HS178" s="3">
        <v>0</v>
      </c>
      <c r="IK178" s="3">
        <v>0</v>
      </c>
    </row>
    <row r="180" spans="1:255" x14ac:dyDescent="0.2">
      <c r="A180" s="11">
        <v>51</v>
      </c>
      <c r="B180" s="11">
        <f>B93</f>
        <v>1</v>
      </c>
      <c r="C180" s="11">
        <f>A93</f>
        <v>4</v>
      </c>
      <c r="D180" s="11">
        <f>ROW(A93)</f>
        <v>93</v>
      </c>
      <c r="E180" s="11"/>
      <c r="F180" s="11" t="str">
        <f>IF(F93&lt;&gt;"",F93,"")</f>
        <v>1</v>
      </c>
      <c r="G180" s="11" t="str">
        <f>IF(G93&lt;&gt;"",G93,"")</f>
        <v>Оборудование</v>
      </c>
      <c r="H180" s="11">
        <v>0</v>
      </c>
      <c r="I180" s="11"/>
      <c r="J180" s="11"/>
      <c r="K180" s="11"/>
      <c r="L180" s="11"/>
      <c r="M180" s="11"/>
      <c r="N180" s="11"/>
      <c r="O180" s="11">
        <f t="shared" ref="O180:T180" si="200">ROUND(AB180,2)</f>
        <v>301197.34000000003</v>
      </c>
      <c r="P180" s="11">
        <f t="shared" si="200"/>
        <v>299250.2</v>
      </c>
      <c r="Q180" s="11">
        <f t="shared" si="200"/>
        <v>99.28</v>
      </c>
      <c r="R180" s="11">
        <f t="shared" si="200"/>
        <v>14.41</v>
      </c>
      <c r="S180" s="11">
        <f t="shared" si="200"/>
        <v>1847.86</v>
      </c>
      <c r="T180" s="11">
        <f t="shared" si="200"/>
        <v>0</v>
      </c>
      <c r="U180" s="11">
        <f>AH180</f>
        <v>141.89155096799999</v>
      </c>
      <c r="V180" s="11">
        <f>AI180</f>
        <v>0</v>
      </c>
      <c r="W180" s="11">
        <f>ROUND(AJ180,2)</f>
        <v>0</v>
      </c>
      <c r="X180" s="11">
        <f>ROUND(AK180,2)</f>
        <v>1724.59</v>
      </c>
      <c r="Y180" s="11">
        <f>ROUND(AL180,2)</f>
        <v>918.8</v>
      </c>
      <c r="Z180" s="11"/>
      <c r="AA180" s="11"/>
      <c r="AB180" s="11">
        <f>ROUND(SUMIF(AA97:AA178,"=55937296",O97:O178),2)</f>
        <v>301197.34000000003</v>
      </c>
      <c r="AC180" s="11">
        <f>ROUND(SUMIF(AA97:AA178,"=55937296",P97:P178),2)</f>
        <v>299250.2</v>
      </c>
      <c r="AD180" s="11">
        <f>ROUND(SUMIF(AA97:AA178,"=55937296",Q97:Q178),2)</f>
        <v>99.28</v>
      </c>
      <c r="AE180" s="11">
        <f>ROUND(SUMIF(AA97:AA178,"=55937296",R97:R178),2)</f>
        <v>14.41</v>
      </c>
      <c r="AF180" s="11">
        <f>ROUND(SUMIF(AA97:AA178,"=55937296",S97:S178),2)</f>
        <v>1847.86</v>
      </c>
      <c r="AG180" s="11">
        <f>ROUND(SUMIF(AA97:AA178,"=55937296",T97:T178),2)</f>
        <v>0</v>
      </c>
      <c r="AH180" s="11">
        <f>SUMIF(AA97:AA178,"=55937296",U97:U178)</f>
        <v>141.89155096799999</v>
      </c>
      <c r="AI180" s="11">
        <f>SUMIF(AA97:AA178,"=55937296",V97:V178)</f>
        <v>0</v>
      </c>
      <c r="AJ180" s="11">
        <f>ROUND(SUMIF(AA97:AA178,"=55937296",W97:W178),2)</f>
        <v>0</v>
      </c>
      <c r="AK180" s="11">
        <f>ROUND(SUMIF(AA97:AA178,"=55937296",X97:X178),2)</f>
        <v>1724.59</v>
      </c>
      <c r="AL180" s="11">
        <f>ROUND(SUMIF(AA97:AA178,"=55937296",Y97:Y178),2)</f>
        <v>918.8</v>
      </c>
      <c r="AM180" s="11"/>
      <c r="AN180" s="11"/>
      <c r="AO180" s="11">
        <f t="shared" ref="AO180:BD180" si="201">ROUND(BX180,2)</f>
        <v>0</v>
      </c>
      <c r="AP180" s="11">
        <f t="shared" si="201"/>
        <v>254333.93</v>
      </c>
      <c r="AQ180" s="11">
        <f t="shared" si="201"/>
        <v>0</v>
      </c>
      <c r="AR180" s="11">
        <f t="shared" si="201"/>
        <v>303840.73</v>
      </c>
      <c r="AS180" s="11">
        <f t="shared" si="201"/>
        <v>23552.54</v>
      </c>
      <c r="AT180" s="11">
        <f t="shared" si="201"/>
        <v>25954.26</v>
      </c>
      <c r="AU180" s="11">
        <f t="shared" si="201"/>
        <v>0</v>
      </c>
      <c r="AV180" s="11">
        <f t="shared" si="201"/>
        <v>299250.2</v>
      </c>
      <c r="AW180" s="11">
        <f t="shared" si="201"/>
        <v>44916.27</v>
      </c>
      <c r="AX180" s="11">
        <f t="shared" si="201"/>
        <v>0</v>
      </c>
      <c r="AY180" s="11">
        <f t="shared" si="201"/>
        <v>44916.27</v>
      </c>
      <c r="AZ180" s="11">
        <f t="shared" si="201"/>
        <v>254333.93</v>
      </c>
      <c r="BA180" s="11">
        <f t="shared" si="201"/>
        <v>0</v>
      </c>
      <c r="BB180" s="11">
        <f t="shared" si="201"/>
        <v>0</v>
      </c>
      <c r="BC180" s="11">
        <f t="shared" si="201"/>
        <v>0</v>
      </c>
      <c r="BD180" s="11">
        <f t="shared" si="201"/>
        <v>0</v>
      </c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>
        <f>ROUND(SUMIF(AA97:AA178,"=55937296",FQ97:FQ178),2)</f>
        <v>0</v>
      </c>
      <c r="BY180" s="11">
        <f>ROUND(SUMIF(AA97:AA178,"=55937296",FR97:FR178),2)</f>
        <v>254333.93</v>
      </c>
      <c r="BZ180" s="11">
        <f>ROUND(SUMIF(AA97:AA178,"=55937296",GL97:GL178),2)</f>
        <v>0</v>
      </c>
      <c r="CA180" s="11">
        <f>ROUND(SUMIF(AA97:AA178,"=55937296",GM97:GM178),2)</f>
        <v>303840.73</v>
      </c>
      <c r="CB180" s="11">
        <f>ROUND(SUMIF(AA97:AA178,"=55937296",GN97:GN178),2)</f>
        <v>23552.54</v>
      </c>
      <c r="CC180" s="11">
        <f>ROUND(SUMIF(AA97:AA178,"=55937296",GO97:GO178),2)</f>
        <v>25954.26</v>
      </c>
      <c r="CD180" s="11">
        <f>ROUND(SUMIF(AA97:AA178,"=55937296",GP97:GP178),2)</f>
        <v>0</v>
      </c>
      <c r="CE180" s="11">
        <f>AC180-BX180</f>
        <v>299250.2</v>
      </c>
      <c r="CF180" s="11">
        <f>AC180-BY180</f>
        <v>44916.270000000019</v>
      </c>
      <c r="CG180" s="11">
        <f>BX180-BZ180</f>
        <v>0</v>
      </c>
      <c r="CH180" s="11">
        <f>AC180-BX180-BY180+BZ180</f>
        <v>44916.270000000019</v>
      </c>
      <c r="CI180" s="11">
        <f>BY180-BZ180</f>
        <v>254333.93</v>
      </c>
      <c r="CJ180" s="11">
        <f>ROUND(SUMIF(AA97:AA178,"=55937296",GX97:GX178),2)</f>
        <v>0</v>
      </c>
      <c r="CK180" s="11">
        <f>ROUND(SUMIF(AA97:AA178,"=55937296",GY97:GY178),2)</f>
        <v>0</v>
      </c>
      <c r="CL180" s="11">
        <f>ROUND(SUMIF(AA97:AA178,"=55937296",GZ97:GZ178),2)</f>
        <v>0</v>
      </c>
      <c r="CM180" s="11">
        <f>ROUND(SUMIF(AA97:AA178,"=55937296",HD97:HD178),2)</f>
        <v>0</v>
      </c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  <c r="CZ180" s="11"/>
      <c r="DA180" s="11"/>
      <c r="DB180" s="11"/>
      <c r="DC180" s="11"/>
      <c r="DD180" s="11"/>
      <c r="DE180" s="11"/>
      <c r="DF180" s="11"/>
      <c r="DG180" s="12">
        <f t="shared" ref="DG180:DL180" si="202">ROUND(DT180,2)</f>
        <v>2181176.75</v>
      </c>
      <c r="DH180" s="12">
        <f t="shared" si="202"/>
        <v>2075388.62</v>
      </c>
      <c r="DI180" s="12">
        <f t="shared" si="202"/>
        <v>1661.22</v>
      </c>
      <c r="DJ180" s="12">
        <f t="shared" si="202"/>
        <v>812.02</v>
      </c>
      <c r="DK180" s="12">
        <f t="shared" si="202"/>
        <v>104126.91</v>
      </c>
      <c r="DL180" s="12">
        <f t="shared" si="202"/>
        <v>0</v>
      </c>
      <c r="DM180" s="12">
        <f>DZ180</f>
        <v>141.89155096799999</v>
      </c>
      <c r="DN180" s="12">
        <f>EA180</f>
        <v>0</v>
      </c>
      <c r="DO180" s="12">
        <f>ROUND(EB180,2)</f>
        <v>0</v>
      </c>
      <c r="DP180" s="12">
        <f>ROUND(EC180,2)</f>
        <v>97180.01</v>
      </c>
      <c r="DQ180" s="12">
        <f>ROUND(ED180,2)</f>
        <v>51774.55</v>
      </c>
      <c r="DR180" s="12"/>
      <c r="DS180" s="12"/>
      <c r="DT180" s="12">
        <f>ROUND(SUMIF(AA97:AA178,"=55937298",O97:O178),2)</f>
        <v>2181176.75</v>
      </c>
      <c r="DU180" s="12">
        <f>ROUND(SUMIF(AA97:AA178,"=55937298",P97:P178),2)</f>
        <v>2075388.62</v>
      </c>
      <c r="DV180" s="12">
        <f>ROUND(SUMIF(AA97:AA178,"=55937298",Q97:Q178),2)</f>
        <v>1661.22</v>
      </c>
      <c r="DW180" s="12">
        <f>ROUND(SUMIF(AA97:AA178,"=55937298",R97:R178),2)</f>
        <v>812.02</v>
      </c>
      <c r="DX180" s="12">
        <f>ROUND(SUMIF(AA97:AA178,"=55937298",S97:S178),2)</f>
        <v>104126.91</v>
      </c>
      <c r="DY180" s="12">
        <f>ROUND(SUMIF(AA97:AA178,"=55937298",T97:T178),2)</f>
        <v>0</v>
      </c>
      <c r="DZ180" s="12">
        <f>SUMIF(AA97:AA178,"=55937298",U97:U178)</f>
        <v>141.89155096799999</v>
      </c>
      <c r="EA180" s="12">
        <f>SUMIF(AA97:AA178,"=55937298",V97:V178)</f>
        <v>0</v>
      </c>
      <c r="EB180" s="12">
        <f>ROUND(SUMIF(AA97:AA178,"=55937298",W97:W178),2)</f>
        <v>0</v>
      </c>
      <c r="EC180" s="12">
        <f>ROUND(SUMIF(AA97:AA178,"=55937298",X97:X178),2)</f>
        <v>97180.01</v>
      </c>
      <c r="ED180" s="12">
        <f>ROUND(SUMIF(AA97:AA178,"=55937298",Y97:Y178),2)</f>
        <v>51774.55</v>
      </c>
      <c r="EE180" s="12"/>
      <c r="EF180" s="12"/>
      <c r="EG180" s="12">
        <f t="shared" ref="EG180:EV180" si="203">ROUND(FP180,2)</f>
        <v>0</v>
      </c>
      <c r="EH180" s="12">
        <f t="shared" si="203"/>
        <v>1869738.29</v>
      </c>
      <c r="EI180" s="12">
        <f t="shared" si="203"/>
        <v>0</v>
      </c>
      <c r="EJ180" s="12">
        <f t="shared" si="203"/>
        <v>2330131.31</v>
      </c>
      <c r="EK180" s="12">
        <f t="shared" si="203"/>
        <v>109845.7</v>
      </c>
      <c r="EL180" s="12">
        <f t="shared" si="203"/>
        <v>350547.32</v>
      </c>
      <c r="EM180" s="12">
        <f t="shared" si="203"/>
        <v>0</v>
      </c>
      <c r="EN180" s="12">
        <f t="shared" si="203"/>
        <v>2075388.62</v>
      </c>
      <c r="EO180" s="12">
        <f t="shared" si="203"/>
        <v>205650.33</v>
      </c>
      <c r="EP180" s="12">
        <f t="shared" si="203"/>
        <v>0</v>
      </c>
      <c r="EQ180" s="12">
        <f t="shared" si="203"/>
        <v>205650.33</v>
      </c>
      <c r="ER180" s="12">
        <f t="shared" si="203"/>
        <v>1869738.29</v>
      </c>
      <c r="ES180" s="12">
        <f t="shared" si="203"/>
        <v>0</v>
      </c>
      <c r="ET180" s="12">
        <f t="shared" si="203"/>
        <v>0</v>
      </c>
      <c r="EU180" s="12">
        <f t="shared" si="203"/>
        <v>0</v>
      </c>
      <c r="EV180" s="12">
        <f t="shared" si="203"/>
        <v>0</v>
      </c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>
        <f>ROUND(SUMIF(AA97:AA178,"=55937298",FQ97:FQ178),2)</f>
        <v>0</v>
      </c>
      <c r="FQ180" s="12">
        <f>ROUND(SUMIF(AA97:AA178,"=55937298",FR97:FR178),2)</f>
        <v>1869738.29</v>
      </c>
      <c r="FR180" s="12">
        <f>ROUND(SUMIF(AA97:AA178,"=55937298",GL97:GL178),2)</f>
        <v>0</v>
      </c>
      <c r="FS180" s="12">
        <f>ROUND(SUMIF(AA97:AA178,"=55937298",GM97:GM178),2)</f>
        <v>2330131.31</v>
      </c>
      <c r="FT180" s="12">
        <f>ROUND(SUMIF(AA97:AA178,"=55937298",GN97:GN178),2)</f>
        <v>109845.7</v>
      </c>
      <c r="FU180" s="12">
        <f>ROUND(SUMIF(AA97:AA178,"=55937298",GO97:GO178),2)</f>
        <v>350547.32</v>
      </c>
      <c r="FV180" s="12">
        <f>ROUND(SUMIF(AA97:AA178,"=55937298",GP97:GP178),2)</f>
        <v>0</v>
      </c>
      <c r="FW180" s="12">
        <f>DU180-FP180</f>
        <v>2075388.62</v>
      </c>
      <c r="FX180" s="12">
        <f>DU180-FQ180</f>
        <v>205650.33000000007</v>
      </c>
      <c r="FY180" s="12">
        <f>FP180-FR180</f>
        <v>0</v>
      </c>
      <c r="FZ180" s="12">
        <f>DU180-FP180-FQ180+FR180</f>
        <v>205650.33000000007</v>
      </c>
      <c r="GA180" s="12">
        <f>FQ180-FR180</f>
        <v>1869738.29</v>
      </c>
      <c r="GB180" s="12">
        <f>ROUND(SUMIF(AA97:AA178,"=55937298",GX97:GX178),2)</f>
        <v>0</v>
      </c>
      <c r="GC180" s="12">
        <f>ROUND(SUMIF(AA97:AA178,"=55937298",GY97:GY178),2)</f>
        <v>0</v>
      </c>
      <c r="GD180" s="12">
        <f>ROUND(SUMIF(AA97:AA178,"=55937298",GZ97:GZ178),2)</f>
        <v>0</v>
      </c>
      <c r="GE180" s="12">
        <f>ROUND(SUMIF(AA97:AA178,"=55937298",HD97:HD178),2)</f>
        <v>0</v>
      </c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>
        <v>0</v>
      </c>
    </row>
    <row r="182" spans="1:255" x14ac:dyDescent="0.2">
      <c r="A182" s="13">
        <v>50</v>
      </c>
      <c r="B182" s="13">
        <v>0</v>
      </c>
      <c r="C182" s="13">
        <v>0</v>
      </c>
      <c r="D182" s="13">
        <v>1</v>
      </c>
      <c r="E182" s="13">
        <v>201</v>
      </c>
      <c r="F182" s="13">
        <f>ROUND(Source!O180,O182)</f>
        <v>301197.34000000003</v>
      </c>
      <c r="G182" s="13" t="s">
        <v>123</v>
      </c>
      <c r="H182" s="13" t="s">
        <v>124</v>
      </c>
      <c r="I182" s="13"/>
      <c r="J182" s="13"/>
      <c r="K182" s="13">
        <v>201</v>
      </c>
      <c r="L182" s="13">
        <v>1</v>
      </c>
      <c r="M182" s="13">
        <v>3</v>
      </c>
      <c r="N182" s="13" t="s">
        <v>3</v>
      </c>
      <c r="O182" s="13">
        <v>2</v>
      </c>
      <c r="P182" s="13">
        <f>ROUND(Source!DG180,O182)</f>
        <v>2181176.75</v>
      </c>
      <c r="Q182" s="13"/>
      <c r="R182" s="13"/>
      <c r="S182" s="13"/>
      <c r="T182" s="13"/>
      <c r="U182" s="13"/>
      <c r="V182" s="13"/>
      <c r="W182" s="13">
        <v>301197.34000000003</v>
      </c>
      <c r="X182" s="13">
        <v>1</v>
      </c>
      <c r="Y182" s="13">
        <v>301197.34000000003</v>
      </c>
      <c r="Z182" s="13">
        <v>2181176.75</v>
      </c>
      <c r="AA182" s="13">
        <v>1</v>
      </c>
      <c r="AB182" s="13">
        <v>2181176.75</v>
      </c>
    </row>
    <row r="183" spans="1:255" x14ac:dyDescent="0.2">
      <c r="A183" s="13">
        <v>50</v>
      </c>
      <c r="B183" s="13">
        <v>0</v>
      </c>
      <c r="C183" s="13">
        <v>0</v>
      </c>
      <c r="D183" s="13">
        <v>1</v>
      </c>
      <c r="E183" s="13">
        <v>202</v>
      </c>
      <c r="F183" s="13">
        <f>ROUND(Source!P180,O183)</f>
        <v>299250.2</v>
      </c>
      <c r="G183" s="13" t="s">
        <v>125</v>
      </c>
      <c r="H183" s="13" t="s">
        <v>126</v>
      </c>
      <c r="I183" s="13"/>
      <c r="J183" s="13"/>
      <c r="K183" s="13">
        <v>202</v>
      </c>
      <c r="L183" s="13">
        <v>2</v>
      </c>
      <c r="M183" s="13">
        <v>3</v>
      </c>
      <c r="N183" s="13" t="s">
        <v>3</v>
      </c>
      <c r="O183" s="13">
        <v>2</v>
      </c>
      <c r="P183" s="13">
        <f>ROUND(Source!DH180,O183)</f>
        <v>2075388.62</v>
      </c>
      <c r="Q183" s="13"/>
      <c r="R183" s="13"/>
      <c r="S183" s="13"/>
      <c r="T183" s="13"/>
      <c r="U183" s="13"/>
      <c r="V183" s="13"/>
      <c r="W183" s="13">
        <v>299250.2</v>
      </c>
      <c r="X183" s="13">
        <v>1</v>
      </c>
      <c r="Y183" s="13">
        <v>299250.2</v>
      </c>
      <c r="Z183" s="13">
        <v>2075388.62</v>
      </c>
      <c r="AA183" s="13">
        <v>1</v>
      </c>
      <c r="AB183" s="13">
        <v>2075388.62</v>
      </c>
    </row>
    <row r="184" spans="1:255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222</v>
      </c>
      <c r="F184" s="13">
        <f>ROUND(Source!AO180,O184)</f>
        <v>0</v>
      </c>
      <c r="G184" s="13" t="s">
        <v>127</v>
      </c>
      <c r="H184" s="13" t="s">
        <v>128</v>
      </c>
      <c r="I184" s="13"/>
      <c r="J184" s="13"/>
      <c r="K184" s="13">
        <v>222</v>
      </c>
      <c r="L184" s="13">
        <v>3</v>
      </c>
      <c r="M184" s="13">
        <v>3</v>
      </c>
      <c r="N184" s="13" t="s">
        <v>3</v>
      </c>
      <c r="O184" s="13">
        <v>2</v>
      </c>
      <c r="P184" s="13">
        <f>ROUND(Source!EG180,O184)</f>
        <v>0</v>
      </c>
      <c r="Q184" s="13"/>
      <c r="R184" s="13"/>
      <c r="S184" s="13"/>
      <c r="T184" s="13"/>
      <c r="U184" s="13"/>
      <c r="V184" s="13"/>
      <c r="W184" s="13">
        <v>0</v>
      </c>
      <c r="X184" s="13">
        <v>1</v>
      </c>
      <c r="Y184" s="13">
        <v>0</v>
      </c>
      <c r="Z184" s="13">
        <v>0</v>
      </c>
      <c r="AA184" s="13">
        <v>1</v>
      </c>
      <c r="AB184" s="13">
        <v>0</v>
      </c>
    </row>
    <row r="185" spans="1:255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225</v>
      </c>
      <c r="F185" s="13">
        <f>ROUND(Source!AV180,O185)</f>
        <v>299250.2</v>
      </c>
      <c r="G185" s="13" t="s">
        <v>129</v>
      </c>
      <c r="H185" s="13" t="s">
        <v>130</v>
      </c>
      <c r="I185" s="13"/>
      <c r="J185" s="13"/>
      <c r="K185" s="13">
        <v>225</v>
      </c>
      <c r="L185" s="13">
        <v>4</v>
      </c>
      <c r="M185" s="13">
        <v>3</v>
      </c>
      <c r="N185" s="13" t="s">
        <v>3</v>
      </c>
      <c r="O185" s="13">
        <v>2</v>
      </c>
      <c r="P185" s="13">
        <f>ROUND(Source!EN180,O185)</f>
        <v>2075388.62</v>
      </c>
      <c r="Q185" s="13"/>
      <c r="R185" s="13"/>
      <c r="S185" s="13"/>
      <c r="T185" s="13"/>
      <c r="U185" s="13"/>
      <c r="V185" s="13"/>
      <c r="W185" s="13">
        <v>299250.2</v>
      </c>
      <c r="X185" s="13">
        <v>1</v>
      </c>
      <c r="Y185" s="13">
        <v>299250.2</v>
      </c>
      <c r="Z185" s="13">
        <v>2075388.62</v>
      </c>
      <c r="AA185" s="13">
        <v>1</v>
      </c>
      <c r="AB185" s="13">
        <v>2075388.62</v>
      </c>
    </row>
    <row r="186" spans="1:255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226</v>
      </c>
      <c r="F186" s="13">
        <f>ROUND(Source!AW180,O186)</f>
        <v>44916.27</v>
      </c>
      <c r="G186" s="13" t="s">
        <v>131</v>
      </c>
      <c r="H186" s="13" t="s">
        <v>132</v>
      </c>
      <c r="I186" s="13"/>
      <c r="J186" s="13"/>
      <c r="K186" s="13">
        <v>226</v>
      </c>
      <c r="L186" s="13">
        <v>5</v>
      </c>
      <c r="M186" s="13">
        <v>3</v>
      </c>
      <c r="N186" s="13" t="s">
        <v>3</v>
      </c>
      <c r="O186" s="13">
        <v>2</v>
      </c>
      <c r="P186" s="13">
        <f>ROUND(Source!EO180,O186)</f>
        <v>205650.33</v>
      </c>
      <c r="Q186" s="13"/>
      <c r="R186" s="13"/>
      <c r="S186" s="13"/>
      <c r="T186" s="13"/>
      <c r="U186" s="13"/>
      <c r="V186" s="13"/>
      <c r="W186" s="13">
        <v>44916.27</v>
      </c>
      <c r="X186" s="13">
        <v>1</v>
      </c>
      <c r="Y186" s="13">
        <v>44916.27</v>
      </c>
      <c r="Z186" s="13">
        <v>205650.33</v>
      </c>
      <c r="AA186" s="13">
        <v>1</v>
      </c>
      <c r="AB186" s="13">
        <v>205650.33</v>
      </c>
    </row>
    <row r="187" spans="1:255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227</v>
      </c>
      <c r="F187" s="13">
        <f>ROUND(Source!AX180,O187)</f>
        <v>0</v>
      </c>
      <c r="G187" s="13" t="s">
        <v>133</v>
      </c>
      <c r="H187" s="13" t="s">
        <v>134</v>
      </c>
      <c r="I187" s="13"/>
      <c r="J187" s="13"/>
      <c r="K187" s="13">
        <v>227</v>
      </c>
      <c r="L187" s="13">
        <v>6</v>
      </c>
      <c r="M187" s="13">
        <v>3</v>
      </c>
      <c r="N187" s="13" t="s">
        <v>3</v>
      </c>
      <c r="O187" s="13">
        <v>2</v>
      </c>
      <c r="P187" s="13">
        <f>ROUND(Source!EP180,O187)</f>
        <v>0</v>
      </c>
      <c r="Q187" s="13"/>
      <c r="R187" s="13"/>
      <c r="S187" s="13"/>
      <c r="T187" s="13"/>
      <c r="U187" s="13"/>
      <c r="V187" s="13"/>
      <c r="W187" s="13">
        <v>0</v>
      </c>
      <c r="X187" s="13">
        <v>1</v>
      </c>
      <c r="Y187" s="13">
        <v>0</v>
      </c>
      <c r="Z187" s="13">
        <v>0</v>
      </c>
      <c r="AA187" s="13">
        <v>1</v>
      </c>
      <c r="AB187" s="13">
        <v>0</v>
      </c>
    </row>
    <row r="188" spans="1:255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228</v>
      </c>
      <c r="F188" s="13">
        <f>ROUND(Source!AY180,O188)</f>
        <v>44916.27</v>
      </c>
      <c r="G188" s="13" t="s">
        <v>135</v>
      </c>
      <c r="H188" s="13" t="s">
        <v>136</v>
      </c>
      <c r="I188" s="13"/>
      <c r="J188" s="13"/>
      <c r="K188" s="13">
        <v>228</v>
      </c>
      <c r="L188" s="13">
        <v>7</v>
      </c>
      <c r="M188" s="13">
        <v>3</v>
      </c>
      <c r="N188" s="13" t="s">
        <v>3</v>
      </c>
      <c r="O188" s="13">
        <v>2</v>
      </c>
      <c r="P188" s="13">
        <f>ROUND(Source!EQ180,O188)</f>
        <v>205650.33</v>
      </c>
      <c r="Q188" s="13"/>
      <c r="R188" s="13"/>
      <c r="S188" s="13"/>
      <c r="T188" s="13"/>
      <c r="U188" s="13"/>
      <c r="V188" s="13"/>
      <c r="W188" s="13">
        <v>44916.27</v>
      </c>
      <c r="X188" s="13">
        <v>1</v>
      </c>
      <c r="Y188" s="13">
        <v>44916.27</v>
      </c>
      <c r="Z188" s="13">
        <v>205650.33</v>
      </c>
      <c r="AA188" s="13">
        <v>1</v>
      </c>
      <c r="AB188" s="13">
        <v>205650.33</v>
      </c>
    </row>
    <row r="189" spans="1:255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216</v>
      </c>
      <c r="F189" s="13">
        <f>ROUND(Source!AP180,O189)</f>
        <v>254333.93</v>
      </c>
      <c r="G189" s="13" t="s">
        <v>137</v>
      </c>
      <c r="H189" s="13" t="s">
        <v>138</v>
      </c>
      <c r="I189" s="13"/>
      <c r="J189" s="13"/>
      <c r="K189" s="13">
        <v>216</v>
      </c>
      <c r="L189" s="13">
        <v>8</v>
      </c>
      <c r="M189" s="13">
        <v>3</v>
      </c>
      <c r="N189" s="13" t="s">
        <v>3</v>
      </c>
      <c r="O189" s="13">
        <v>2</v>
      </c>
      <c r="P189" s="13">
        <f>ROUND(Source!EH180,O189)</f>
        <v>1869738.29</v>
      </c>
      <c r="Q189" s="13"/>
      <c r="R189" s="13"/>
      <c r="S189" s="13"/>
      <c r="T189" s="13"/>
      <c r="U189" s="13"/>
      <c r="V189" s="13"/>
      <c r="W189" s="13">
        <v>254333.93</v>
      </c>
      <c r="X189" s="13">
        <v>1</v>
      </c>
      <c r="Y189" s="13">
        <v>254333.93</v>
      </c>
      <c r="Z189" s="13">
        <v>1869738.29</v>
      </c>
      <c r="AA189" s="13">
        <v>1</v>
      </c>
      <c r="AB189" s="13">
        <v>1869738.29</v>
      </c>
    </row>
    <row r="190" spans="1:255" x14ac:dyDescent="0.2">
      <c r="A190" s="13">
        <v>50</v>
      </c>
      <c r="B190" s="13">
        <v>0</v>
      </c>
      <c r="C190" s="13">
        <v>0</v>
      </c>
      <c r="D190" s="13">
        <v>1</v>
      </c>
      <c r="E190" s="13">
        <v>223</v>
      </c>
      <c r="F190" s="13">
        <f>ROUND(Source!AQ180,O190)</f>
        <v>0</v>
      </c>
      <c r="G190" s="13" t="s">
        <v>139</v>
      </c>
      <c r="H190" s="13" t="s">
        <v>140</v>
      </c>
      <c r="I190" s="13"/>
      <c r="J190" s="13"/>
      <c r="K190" s="13">
        <v>223</v>
      </c>
      <c r="L190" s="13">
        <v>9</v>
      </c>
      <c r="M190" s="13">
        <v>3</v>
      </c>
      <c r="N190" s="13" t="s">
        <v>3</v>
      </c>
      <c r="O190" s="13">
        <v>2</v>
      </c>
      <c r="P190" s="13">
        <f>ROUND(Source!EI180,O190)</f>
        <v>0</v>
      </c>
      <c r="Q190" s="13"/>
      <c r="R190" s="13"/>
      <c r="S190" s="13"/>
      <c r="T190" s="13"/>
      <c r="U190" s="13"/>
      <c r="V190" s="13"/>
      <c r="W190" s="13">
        <v>0</v>
      </c>
      <c r="X190" s="13">
        <v>1</v>
      </c>
      <c r="Y190" s="13">
        <v>0</v>
      </c>
      <c r="Z190" s="13">
        <v>0</v>
      </c>
      <c r="AA190" s="13">
        <v>1</v>
      </c>
      <c r="AB190" s="13">
        <v>0</v>
      </c>
    </row>
    <row r="191" spans="1:255" x14ac:dyDescent="0.2">
      <c r="A191" s="13">
        <v>50</v>
      </c>
      <c r="B191" s="13">
        <v>0</v>
      </c>
      <c r="C191" s="13">
        <v>0</v>
      </c>
      <c r="D191" s="13">
        <v>1</v>
      </c>
      <c r="E191" s="13">
        <v>229</v>
      </c>
      <c r="F191" s="13">
        <f>ROUND(Source!AZ180,O191)</f>
        <v>254333.93</v>
      </c>
      <c r="G191" s="13" t="s">
        <v>141</v>
      </c>
      <c r="H191" s="13" t="s">
        <v>142</v>
      </c>
      <c r="I191" s="13"/>
      <c r="J191" s="13"/>
      <c r="K191" s="13">
        <v>229</v>
      </c>
      <c r="L191" s="13">
        <v>10</v>
      </c>
      <c r="M191" s="13">
        <v>3</v>
      </c>
      <c r="N191" s="13" t="s">
        <v>3</v>
      </c>
      <c r="O191" s="13">
        <v>2</v>
      </c>
      <c r="P191" s="13">
        <f>ROUND(Source!ER180,O191)</f>
        <v>1869738.29</v>
      </c>
      <c r="Q191" s="13"/>
      <c r="R191" s="13"/>
      <c r="S191" s="13"/>
      <c r="T191" s="13"/>
      <c r="U191" s="13"/>
      <c r="V191" s="13"/>
      <c r="W191" s="13">
        <v>254333.93</v>
      </c>
      <c r="X191" s="13">
        <v>1</v>
      </c>
      <c r="Y191" s="13">
        <v>254333.93</v>
      </c>
      <c r="Z191" s="13">
        <v>1869738.29</v>
      </c>
      <c r="AA191" s="13">
        <v>1</v>
      </c>
      <c r="AB191" s="13">
        <v>1869738.29</v>
      </c>
    </row>
    <row r="192" spans="1:255" x14ac:dyDescent="0.2">
      <c r="A192" s="13">
        <v>50</v>
      </c>
      <c r="B192" s="13">
        <v>0</v>
      </c>
      <c r="C192" s="13">
        <v>0</v>
      </c>
      <c r="D192" s="13">
        <v>1</v>
      </c>
      <c r="E192" s="13">
        <v>203</v>
      </c>
      <c r="F192" s="13">
        <f>ROUND(Source!Q180,O192)</f>
        <v>99.28</v>
      </c>
      <c r="G192" s="13" t="s">
        <v>143</v>
      </c>
      <c r="H192" s="13" t="s">
        <v>144</v>
      </c>
      <c r="I192" s="13"/>
      <c r="J192" s="13"/>
      <c r="K192" s="13">
        <v>203</v>
      </c>
      <c r="L192" s="13">
        <v>11</v>
      </c>
      <c r="M192" s="13">
        <v>3</v>
      </c>
      <c r="N192" s="13" t="s">
        <v>3</v>
      </c>
      <c r="O192" s="13">
        <v>2</v>
      </c>
      <c r="P192" s="13">
        <f>ROUND(Source!DI180,O192)</f>
        <v>1661.22</v>
      </c>
      <c r="Q192" s="13"/>
      <c r="R192" s="13"/>
      <c r="S192" s="13"/>
      <c r="T192" s="13"/>
      <c r="U192" s="13"/>
      <c r="V192" s="13"/>
      <c r="W192" s="13">
        <v>99.28</v>
      </c>
      <c r="X192" s="13">
        <v>1</v>
      </c>
      <c r="Y192" s="13">
        <v>99.28</v>
      </c>
      <c r="Z192" s="13">
        <v>1661.22</v>
      </c>
      <c r="AA192" s="13">
        <v>1</v>
      </c>
      <c r="AB192" s="13">
        <v>1661.22</v>
      </c>
    </row>
    <row r="193" spans="1:28" x14ac:dyDescent="0.2">
      <c r="A193" s="13">
        <v>50</v>
      </c>
      <c r="B193" s="13">
        <v>0</v>
      </c>
      <c r="C193" s="13">
        <v>0</v>
      </c>
      <c r="D193" s="13">
        <v>1</v>
      </c>
      <c r="E193" s="13">
        <v>231</v>
      </c>
      <c r="F193" s="13">
        <f>ROUND(Source!BB180,O193)</f>
        <v>0</v>
      </c>
      <c r="G193" s="13" t="s">
        <v>145</v>
      </c>
      <c r="H193" s="13" t="s">
        <v>146</v>
      </c>
      <c r="I193" s="13"/>
      <c r="J193" s="13"/>
      <c r="K193" s="13">
        <v>231</v>
      </c>
      <c r="L193" s="13">
        <v>12</v>
      </c>
      <c r="M193" s="13">
        <v>3</v>
      </c>
      <c r="N193" s="13" t="s">
        <v>3</v>
      </c>
      <c r="O193" s="13">
        <v>2</v>
      </c>
      <c r="P193" s="13">
        <f>ROUND(Source!ET180,O193)</f>
        <v>0</v>
      </c>
      <c r="Q193" s="13"/>
      <c r="R193" s="13"/>
      <c r="S193" s="13"/>
      <c r="T193" s="13"/>
      <c r="U193" s="13"/>
      <c r="V193" s="13"/>
      <c r="W193" s="13">
        <v>0</v>
      </c>
      <c r="X193" s="13">
        <v>1</v>
      </c>
      <c r="Y193" s="13">
        <v>0</v>
      </c>
      <c r="Z193" s="13">
        <v>0</v>
      </c>
      <c r="AA193" s="13">
        <v>1</v>
      </c>
      <c r="AB193" s="13">
        <v>0</v>
      </c>
    </row>
    <row r="194" spans="1:28" x14ac:dyDescent="0.2">
      <c r="A194" s="13">
        <v>50</v>
      </c>
      <c r="B194" s="13">
        <v>0</v>
      </c>
      <c r="C194" s="13">
        <v>0</v>
      </c>
      <c r="D194" s="13">
        <v>1</v>
      </c>
      <c r="E194" s="13">
        <v>204</v>
      </c>
      <c r="F194" s="13">
        <f>ROUND(Source!R180,O194)</f>
        <v>14.41</v>
      </c>
      <c r="G194" s="13" t="s">
        <v>147</v>
      </c>
      <c r="H194" s="13" t="s">
        <v>148</v>
      </c>
      <c r="I194" s="13"/>
      <c r="J194" s="13"/>
      <c r="K194" s="13">
        <v>204</v>
      </c>
      <c r="L194" s="13">
        <v>13</v>
      </c>
      <c r="M194" s="13">
        <v>3</v>
      </c>
      <c r="N194" s="13" t="s">
        <v>3</v>
      </c>
      <c r="O194" s="13">
        <v>2</v>
      </c>
      <c r="P194" s="13">
        <f>ROUND(Source!DJ180,O194)</f>
        <v>812.02</v>
      </c>
      <c r="Q194" s="13"/>
      <c r="R194" s="13"/>
      <c r="S194" s="13"/>
      <c r="T194" s="13"/>
      <c r="U194" s="13"/>
      <c r="V194" s="13"/>
      <c r="W194" s="13">
        <v>14.41</v>
      </c>
      <c r="X194" s="13">
        <v>1</v>
      </c>
      <c r="Y194" s="13">
        <v>14.41</v>
      </c>
      <c r="Z194" s="13">
        <v>812.02</v>
      </c>
      <c r="AA194" s="13">
        <v>1</v>
      </c>
      <c r="AB194" s="13">
        <v>812.02</v>
      </c>
    </row>
    <row r="195" spans="1:28" x14ac:dyDescent="0.2">
      <c r="A195" s="13">
        <v>50</v>
      </c>
      <c r="B195" s="13">
        <v>0</v>
      </c>
      <c r="C195" s="13">
        <v>0</v>
      </c>
      <c r="D195" s="13">
        <v>1</v>
      </c>
      <c r="E195" s="13">
        <v>205</v>
      </c>
      <c r="F195" s="13">
        <f>ROUND(Source!S180,O195)</f>
        <v>1847.86</v>
      </c>
      <c r="G195" s="13" t="s">
        <v>149</v>
      </c>
      <c r="H195" s="13" t="s">
        <v>150</v>
      </c>
      <c r="I195" s="13"/>
      <c r="J195" s="13"/>
      <c r="K195" s="13">
        <v>205</v>
      </c>
      <c r="L195" s="13">
        <v>14</v>
      </c>
      <c r="M195" s="13">
        <v>3</v>
      </c>
      <c r="N195" s="13" t="s">
        <v>3</v>
      </c>
      <c r="O195" s="13">
        <v>2</v>
      </c>
      <c r="P195" s="13">
        <f>ROUND(Source!DK180,O195)</f>
        <v>104126.91</v>
      </c>
      <c r="Q195" s="13"/>
      <c r="R195" s="13"/>
      <c r="S195" s="13"/>
      <c r="T195" s="13"/>
      <c r="U195" s="13"/>
      <c r="V195" s="13"/>
      <c r="W195" s="13">
        <v>1847.86</v>
      </c>
      <c r="X195" s="13">
        <v>1</v>
      </c>
      <c r="Y195" s="13">
        <v>1847.86</v>
      </c>
      <c r="Z195" s="13">
        <v>104126.91</v>
      </c>
      <c r="AA195" s="13">
        <v>1</v>
      </c>
      <c r="AB195" s="13">
        <v>104126.91</v>
      </c>
    </row>
    <row r="196" spans="1:28" x14ac:dyDescent="0.2">
      <c r="A196" s="13">
        <v>50</v>
      </c>
      <c r="B196" s="13">
        <v>0</v>
      </c>
      <c r="C196" s="13">
        <v>0</v>
      </c>
      <c r="D196" s="13">
        <v>1</v>
      </c>
      <c r="E196" s="13">
        <v>232</v>
      </c>
      <c r="F196" s="13">
        <f>ROUND(Source!BC180,O196)</f>
        <v>0</v>
      </c>
      <c r="G196" s="13" t="s">
        <v>151</v>
      </c>
      <c r="H196" s="13" t="s">
        <v>152</v>
      </c>
      <c r="I196" s="13"/>
      <c r="J196" s="13"/>
      <c r="K196" s="13">
        <v>232</v>
      </c>
      <c r="L196" s="13">
        <v>15</v>
      </c>
      <c r="M196" s="13">
        <v>3</v>
      </c>
      <c r="N196" s="13" t="s">
        <v>3</v>
      </c>
      <c r="O196" s="13">
        <v>2</v>
      </c>
      <c r="P196" s="13">
        <f>ROUND(Source!EU180,O196)</f>
        <v>0</v>
      </c>
      <c r="Q196" s="13"/>
      <c r="R196" s="13"/>
      <c r="S196" s="13"/>
      <c r="T196" s="13"/>
      <c r="U196" s="13"/>
      <c r="V196" s="13"/>
      <c r="W196" s="13">
        <v>0</v>
      </c>
      <c r="X196" s="13">
        <v>1</v>
      </c>
      <c r="Y196" s="13">
        <v>0</v>
      </c>
      <c r="Z196" s="13">
        <v>0</v>
      </c>
      <c r="AA196" s="13">
        <v>1</v>
      </c>
      <c r="AB196" s="13">
        <v>0</v>
      </c>
    </row>
    <row r="197" spans="1:28" x14ac:dyDescent="0.2">
      <c r="A197" s="13">
        <v>50</v>
      </c>
      <c r="B197" s="13">
        <v>0</v>
      </c>
      <c r="C197" s="13">
        <v>0</v>
      </c>
      <c r="D197" s="13">
        <v>1</v>
      </c>
      <c r="E197" s="13">
        <v>214</v>
      </c>
      <c r="F197" s="13">
        <f>ROUND(Source!AS180,O197)</f>
        <v>23552.54</v>
      </c>
      <c r="G197" s="13" t="s">
        <v>153</v>
      </c>
      <c r="H197" s="13" t="s">
        <v>154</v>
      </c>
      <c r="I197" s="13"/>
      <c r="J197" s="13"/>
      <c r="K197" s="13">
        <v>214</v>
      </c>
      <c r="L197" s="13">
        <v>16</v>
      </c>
      <c r="M197" s="13">
        <v>3</v>
      </c>
      <c r="N197" s="13" t="s">
        <v>3</v>
      </c>
      <c r="O197" s="13">
        <v>2</v>
      </c>
      <c r="P197" s="13">
        <f>ROUND(Source!EK180,O197)</f>
        <v>109845.7</v>
      </c>
      <c r="Q197" s="13"/>
      <c r="R197" s="13"/>
      <c r="S197" s="13"/>
      <c r="T197" s="13"/>
      <c r="U197" s="13"/>
      <c r="V197" s="13"/>
      <c r="W197" s="13">
        <v>23552.54</v>
      </c>
      <c r="X197" s="13">
        <v>1</v>
      </c>
      <c r="Y197" s="13">
        <v>23552.54</v>
      </c>
      <c r="Z197" s="13">
        <v>109845.7</v>
      </c>
      <c r="AA197" s="13">
        <v>1</v>
      </c>
      <c r="AB197" s="13">
        <v>109845.7</v>
      </c>
    </row>
    <row r="198" spans="1:28" x14ac:dyDescent="0.2">
      <c r="A198" s="13">
        <v>50</v>
      </c>
      <c r="B198" s="13">
        <v>0</v>
      </c>
      <c r="C198" s="13">
        <v>0</v>
      </c>
      <c r="D198" s="13">
        <v>1</v>
      </c>
      <c r="E198" s="13">
        <v>215</v>
      </c>
      <c r="F198" s="13">
        <f>ROUND(Source!AT180,O198)</f>
        <v>25954.26</v>
      </c>
      <c r="G198" s="13" t="s">
        <v>155</v>
      </c>
      <c r="H198" s="13" t="s">
        <v>156</v>
      </c>
      <c r="I198" s="13"/>
      <c r="J198" s="13"/>
      <c r="K198" s="13">
        <v>215</v>
      </c>
      <c r="L198" s="13">
        <v>17</v>
      </c>
      <c r="M198" s="13">
        <v>3</v>
      </c>
      <c r="N198" s="13" t="s">
        <v>3</v>
      </c>
      <c r="O198" s="13">
        <v>2</v>
      </c>
      <c r="P198" s="13">
        <f>ROUND(Source!EL180,O198)</f>
        <v>350547.32</v>
      </c>
      <c r="Q198" s="13"/>
      <c r="R198" s="13"/>
      <c r="S198" s="13"/>
      <c r="T198" s="13"/>
      <c r="U198" s="13"/>
      <c r="V198" s="13"/>
      <c r="W198" s="13">
        <v>25954.26</v>
      </c>
      <c r="X198" s="13">
        <v>1</v>
      </c>
      <c r="Y198" s="13">
        <v>25954.26</v>
      </c>
      <c r="Z198" s="13">
        <v>350547.32</v>
      </c>
      <c r="AA198" s="13">
        <v>1</v>
      </c>
      <c r="AB198" s="13">
        <v>350547.32</v>
      </c>
    </row>
    <row r="199" spans="1:28" x14ac:dyDescent="0.2">
      <c r="A199" s="13">
        <v>50</v>
      </c>
      <c r="B199" s="13">
        <v>0</v>
      </c>
      <c r="C199" s="13">
        <v>0</v>
      </c>
      <c r="D199" s="13">
        <v>1</v>
      </c>
      <c r="E199" s="13">
        <v>217</v>
      </c>
      <c r="F199" s="13">
        <f>ROUND(Source!AU180,O199)</f>
        <v>0</v>
      </c>
      <c r="G199" s="13" t="s">
        <v>157</v>
      </c>
      <c r="H199" s="13" t="s">
        <v>158</v>
      </c>
      <c r="I199" s="13"/>
      <c r="J199" s="13"/>
      <c r="K199" s="13">
        <v>217</v>
      </c>
      <c r="L199" s="13">
        <v>18</v>
      </c>
      <c r="M199" s="13">
        <v>3</v>
      </c>
      <c r="N199" s="13" t="s">
        <v>3</v>
      </c>
      <c r="O199" s="13">
        <v>2</v>
      </c>
      <c r="P199" s="13">
        <f>ROUND(Source!EM180,O199)</f>
        <v>0</v>
      </c>
      <c r="Q199" s="13"/>
      <c r="R199" s="13"/>
      <c r="S199" s="13"/>
      <c r="T199" s="13"/>
      <c r="U199" s="13"/>
      <c r="V199" s="13"/>
      <c r="W199" s="13">
        <v>0</v>
      </c>
      <c r="X199" s="13">
        <v>1</v>
      </c>
      <c r="Y199" s="13">
        <v>0</v>
      </c>
      <c r="Z199" s="13">
        <v>0</v>
      </c>
      <c r="AA199" s="13">
        <v>1</v>
      </c>
      <c r="AB199" s="13">
        <v>0</v>
      </c>
    </row>
    <row r="200" spans="1:28" x14ac:dyDescent="0.2">
      <c r="A200" s="13">
        <v>50</v>
      </c>
      <c r="B200" s="13">
        <v>0</v>
      </c>
      <c r="C200" s="13">
        <v>0</v>
      </c>
      <c r="D200" s="13">
        <v>1</v>
      </c>
      <c r="E200" s="13">
        <v>230</v>
      </c>
      <c r="F200" s="13">
        <f>ROUND(Source!BA180,O200)</f>
        <v>0</v>
      </c>
      <c r="G200" s="13" t="s">
        <v>159</v>
      </c>
      <c r="H200" s="13" t="s">
        <v>160</v>
      </c>
      <c r="I200" s="13"/>
      <c r="J200" s="13"/>
      <c r="K200" s="13">
        <v>230</v>
      </c>
      <c r="L200" s="13">
        <v>19</v>
      </c>
      <c r="M200" s="13">
        <v>3</v>
      </c>
      <c r="N200" s="13" t="s">
        <v>3</v>
      </c>
      <c r="O200" s="13">
        <v>2</v>
      </c>
      <c r="P200" s="13">
        <f>ROUND(Source!ES180,O200)</f>
        <v>0</v>
      </c>
      <c r="Q200" s="13"/>
      <c r="R200" s="13"/>
      <c r="S200" s="13"/>
      <c r="T200" s="13"/>
      <c r="U200" s="13"/>
      <c r="V200" s="13"/>
      <c r="W200" s="13">
        <v>0</v>
      </c>
      <c r="X200" s="13">
        <v>1</v>
      </c>
      <c r="Y200" s="13">
        <v>0</v>
      </c>
      <c r="Z200" s="13">
        <v>0</v>
      </c>
      <c r="AA200" s="13">
        <v>1</v>
      </c>
      <c r="AB200" s="13">
        <v>0</v>
      </c>
    </row>
    <row r="201" spans="1:28" x14ac:dyDescent="0.2">
      <c r="A201" s="13">
        <v>50</v>
      </c>
      <c r="B201" s="13">
        <v>0</v>
      </c>
      <c r="C201" s="13">
        <v>0</v>
      </c>
      <c r="D201" s="13">
        <v>1</v>
      </c>
      <c r="E201" s="13">
        <v>206</v>
      </c>
      <c r="F201" s="13">
        <f>ROUND(Source!T180,O201)</f>
        <v>0</v>
      </c>
      <c r="G201" s="13" t="s">
        <v>161</v>
      </c>
      <c r="H201" s="13" t="s">
        <v>162</v>
      </c>
      <c r="I201" s="13"/>
      <c r="J201" s="13"/>
      <c r="K201" s="13">
        <v>206</v>
      </c>
      <c r="L201" s="13">
        <v>20</v>
      </c>
      <c r="M201" s="13">
        <v>3</v>
      </c>
      <c r="N201" s="13" t="s">
        <v>3</v>
      </c>
      <c r="O201" s="13">
        <v>2</v>
      </c>
      <c r="P201" s="13">
        <f>ROUND(Source!DL180,O201)</f>
        <v>0</v>
      </c>
      <c r="Q201" s="13"/>
      <c r="R201" s="13"/>
      <c r="S201" s="13"/>
      <c r="T201" s="13"/>
      <c r="U201" s="13"/>
      <c r="V201" s="13"/>
      <c r="W201" s="13">
        <v>0</v>
      </c>
      <c r="X201" s="13">
        <v>1</v>
      </c>
      <c r="Y201" s="13">
        <v>0</v>
      </c>
      <c r="Z201" s="13">
        <v>0</v>
      </c>
      <c r="AA201" s="13">
        <v>1</v>
      </c>
      <c r="AB201" s="13">
        <v>0</v>
      </c>
    </row>
    <row r="202" spans="1:28" x14ac:dyDescent="0.2">
      <c r="A202" s="13">
        <v>50</v>
      </c>
      <c r="B202" s="13">
        <v>0</v>
      </c>
      <c r="C202" s="13">
        <v>0</v>
      </c>
      <c r="D202" s="13">
        <v>1</v>
      </c>
      <c r="E202" s="13">
        <v>207</v>
      </c>
      <c r="F202" s="13">
        <f>Source!U180</f>
        <v>141.89155096799999</v>
      </c>
      <c r="G202" s="13" t="s">
        <v>163</v>
      </c>
      <c r="H202" s="13" t="s">
        <v>164</v>
      </c>
      <c r="I202" s="13"/>
      <c r="J202" s="13"/>
      <c r="K202" s="13">
        <v>207</v>
      </c>
      <c r="L202" s="13">
        <v>21</v>
      </c>
      <c r="M202" s="13">
        <v>3</v>
      </c>
      <c r="N202" s="13" t="s">
        <v>3</v>
      </c>
      <c r="O202" s="13">
        <v>-1</v>
      </c>
      <c r="P202" s="13">
        <f>Source!DM180</f>
        <v>141.89155096799999</v>
      </c>
      <c r="Q202" s="13"/>
      <c r="R202" s="13"/>
      <c r="S202" s="13"/>
      <c r="T202" s="13"/>
      <c r="U202" s="13"/>
      <c r="V202" s="13"/>
      <c r="W202" s="13">
        <v>141.89155096799999</v>
      </c>
      <c r="X202" s="13">
        <v>1</v>
      </c>
      <c r="Y202" s="13">
        <v>141.89155096799999</v>
      </c>
      <c r="Z202" s="13">
        <v>141.89155096799999</v>
      </c>
      <c r="AA202" s="13">
        <v>1</v>
      </c>
      <c r="AB202" s="13">
        <v>141.89155096799999</v>
      </c>
    </row>
    <row r="203" spans="1:28" x14ac:dyDescent="0.2">
      <c r="A203" s="13">
        <v>50</v>
      </c>
      <c r="B203" s="13">
        <v>0</v>
      </c>
      <c r="C203" s="13">
        <v>0</v>
      </c>
      <c r="D203" s="13">
        <v>1</v>
      </c>
      <c r="E203" s="13">
        <v>208</v>
      </c>
      <c r="F203" s="13">
        <f>Source!V180</f>
        <v>0</v>
      </c>
      <c r="G203" s="13" t="s">
        <v>165</v>
      </c>
      <c r="H203" s="13" t="s">
        <v>166</v>
      </c>
      <c r="I203" s="13"/>
      <c r="J203" s="13"/>
      <c r="K203" s="13">
        <v>208</v>
      </c>
      <c r="L203" s="13">
        <v>22</v>
      </c>
      <c r="M203" s="13">
        <v>3</v>
      </c>
      <c r="N203" s="13" t="s">
        <v>3</v>
      </c>
      <c r="O203" s="13">
        <v>-1</v>
      </c>
      <c r="P203" s="13">
        <f>Source!DN180</f>
        <v>0</v>
      </c>
      <c r="Q203" s="13"/>
      <c r="R203" s="13"/>
      <c r="S203" s="13"/>
      <c r="T203" s="13"/>
      <c r="U203" s="13"/>
      <c r="V203" s="13"/>
      <c r="W203" s="13">
        <v>0</v>
      </c>
      <c r="X203" s="13">
        <v>1</v>
      </c>
      <c r="Y203" s="13">
        <v>0</v>
      </c>
      <c r="Z203" s="13">
        <v>0</v>
      </c>
      <c r="AA203" s="13">
        <v>1</v>
      </c>
      <c r="AB203" s="13">
        <v>0</v>
      </c>
    </row>
    <row r="204" spans="1:28" x14ac:dyDescent="0.2">
      <c r="A204" s="13">
        <v>50</v>
      </c>
      <c r="B204" s="13">
        <v>0</v>
      </c>
      <c r="C204" s="13">
        <v>0</v>
      </c>
      <c r="D204" s="13">
        <v>1</v>
      </c>
      <c r="E204" s="13">
        <v>209</v>
      </c>
      <c r="F204" s="13">
        <f>ROUND(Source!W180,O204)</f>
        <v>0</v>
      </c>
      <c r="G204" s="13" t="s">
        <v>167</v>
      </c>
      <c r="H204" s="13" t="s">
        <v>168</v>
      </c>
      <c r="I204" s="13"/>
      <c r="J204" s="13"/>
      <c r="K204" s="13">
        <v>209</v>
      </c>
      <c r="L204" s="13">
        <v>23</v>
      </c>
      <c r="M204" s="13">
        <v>3</v>
      </c>
      <c r="N204" s="13" t="s">
        <v>3</v>
      </c>
      <c r="O204" s="13">
        <v>2</v>
      </c>
      <c r="P204" s="13">
        <f>ROUND(Source!DO180,O204)</f>
        <v>0</v>
      </c>
      <c r="Q204" s="13"/>
      <c r="R204" s="13"/>
      <c r="S204" s="13"/>
      <c r="T204" s="13"/>
      <c r="U204" s="13"/>
      <c r="V204" s="13"/>
      <c r="W204" s="13">
        <v>0</v>
      </c>
      <c r="X204" s="13">
        <v>1</v>
      </c>
      <c r="Y204" s="13">
        <v>0</v>
      </c>
      <c r="Z204" s="13">
        <v>0</v>
      </c>
      <c r="AA204" s="13">
        <v>1</v>
      </c>
      <c r="AB204" s="13">
        <v>0</v>
      </c>
    </row>
    <row r="205" spans="1:28" x14ac:dyDescent="0.2">
      <c r="A205" s="13">
        <v>50</v>
      </c>
      <c r="B205" s="13">
        <v>0</v>
      </c>
      <c r="C205" s="13">
        <v>0</v>
      </c>
      <c r="D205" s="13">
        <v>1</v>
      </c>
      <c r="E205" s="13">
        <v>233</v>
      </c>
      <c r="F205" s="13">
        <f>ROUND(Source!BD180,O205)</f>
        <v>0</v>
      </c>
      <c r="G205" s="13" t="s">
        <v>169</v>
      </c>
      <c r="H205" s="13" t="s">
        <v>170</v>
      </c>
      <c r="I205" s="13"/>
      <c r="J205" s="13"/>
      <c r="K205" s="13">
        <v>233</v>
      </c>
      <c r="L205" s="13">
        <v>24</v>
      </c>
      <c r="M205" s="13">
        <v>3</v>
      </c>
      <c r="N205" s="13" t="s">
        <v>3</v>
      </c>
      <c r="O205" s="13">
        <v>2</v>
      </c>
      <c r="P205" s="13">
        <f>ROUND(Source!EV180,O205)</f>
        <v>0</v>
      </c>
      <c r="Q205" s="13"/>
      <c r="R205" s="13"/>
      <c r="S205" s="13"/>
      <c r="T205" s="13"/>
      <c r="U205" s="13"/>
      <c r="V205" s="13"/>
      <c r="W205" s="13">
        <v>0</v>
      </c>
      <c r="X205" s="13">
        <v>1</v>
      </c>
      <c r="Y205" s="13">
        <v>0</v>
      </c>
      <c r="Z205" s="13">
        <v>0</v>
      </c>
      <c r="AA205" s="13">
        <v>1</v>
      </c>
      <c r="AB205" s="13">
        <v>0</v>
      </c>
    </row>
    <row r="206" spans="1:28" x14ac:dyDescent="0.2">
      <c r="A206" s="13">
        <v>50</v>
      </c>
      <c r="B206" s="13">
        <v>0</v>
      </c>
      <c r="C206" s="13">
        <v>0</v>
      </c>
      <c r="D206" s="13">
        <v>1</v>
      </c>
      <c r="E206" s="13">
        <v>210</v>
      </c>
      <c r="F206" s="13">
        <f>ROUND(Source!X180,O206)</f>
        <v>1724.59</v>
      </c>
      <c r="G206" s="13" t="s">
        <v>171</v>
      </c>
      <c r="H206" s="13" t="s">
        <v>172</v>
      </c>
      <c r="I206" s="13"/>
      <c r="J206" s="13"/>
      <c r="K206" s="13">
        <v>210</v>
      </c>
      <c r="L206" s="13">
        <v>25</v>
      </c>
      <c r="M206" s="13">
        <v>3</v>
      </c>
      <c r="N206" s="13" t="s">
        <v>3</v>
      </c>
      <c r="O206" s="13">
        <v>2</v>
      </c>
      <c r="P206" s="13">
        <f>ROUND(Source!DP180,O206)</f>
        <v>97180.01</v>
      </c>
      <c r="Q206" s="13"/>
      <c r="R206" s="13"/>
      <c r="S206" s="13"/>
      <c r="T206" s="13"/>
      <c r="U206" s="13"/>
      <c r="V206" s="13"/>
      <c r="W206" s="13">
        <v>1724.59</v>
      </c>
      <c r="X206" s="13">
        <v>1</v>
      </c>
      <c r="Y206" s="13">
        <v>1724.59</v>
      </c>
      <c r="Z206" s="13">
        <v>97180.01</v>
      </c>
      <c r="AA206" s="13">
        <v>1</v>
      </c>
      <c r="AB206" s="13">
        <v>97180.01</v>
      </c>
    </row>
    <row r="207" spans="1:28" x14ac:dyDescent="0.2">
      <c r="A207" s="13">
        <v>50</v>
      </c>
      <c r="B207" s="13">
        <v>0</v>
      </c>
      <c r="C207" s="13">
        <v>0</v>
      </c>
      <c r="D207" s="13">
        <v>1</v>
      </c>
      <c r="E207" s="13">
        <v>211</v>
      </c>
      <c r="F207" s="13">
        <f>ROUND(Source!Y180,O207)</f>
        <v>918.8</v>
      </c>
      <c r="G207" s="13" t="s">
        <v>173</v>
      </c>
      <c r="H207" s="13" t="s">
        <v>174</v>
      </c>
      <c r="I207" s="13"/>
      <c r="J207" s="13"/>
      <c r="K207" s="13">
        <v>211</v>
      </c>
      <c r="L207" s="13">
        <v>26</v>
      </c>
      <c r="M207" s="13">
        <v>3</v>
      </c>
      <c r="N207" s="13" t="s">
        <v>3</v>
      </c>
      <c r="O207" s="13">
        <v>2</v>
      </c>
      <c r="P207" s="13">
        <f>ROUND(Source!DQ180,O207)</f>
        <v>51774.55</v>
      </c>
      <c r="Q207" s="13"/>
      <c r="R207" s="13"/>
      <c r="S207" s="13"/>
      <c r="T207" s="13"/>
      <c r="U207" s="13"/>
      <c r="V207" s="13"/>
      <c r="W207" s="13">
        <v>918.8</v>
      </c>
      <c r="X207" s="13">
        <v>1</v>
      </c>
      <c r="Y207" s="13">
        <v>918.8</v>
      </c>
      <c r="Z207" s="13">
        <v>51774.55</v>
      </c>
      <c r="AA207" s="13">
        <v>1</v>
      </c>
      <c r="AB207" s="13">
        <v>51774.55</v>
      </c>
    </row>
    <row r="208" spans="1:28" x14ac:dyDescent="0.2">
      <c r="A208" s="13">
        <v>50</v>
      </c>
      <c r="B208" s="13">
        <v>0</v>
      </c>
      <c r="C208" s="13">
        <v>0</v>
      </c>
      <c r="D208" s="13">
        <v>1</v>
      </c>
      <c r="E208" s="13">
        <v>224</v>
      </c>
      <c r="F208" s="13">
        <f>ROUND(Source!AR180,O208)</f>
        <v>303840.73</v>
      </c>
      <c r="G208" s="13" t="s">
        <v>175</v>
      </c>
      <c r="H208" s="13" t="s">
        <v>176</v>
      </c>
      <c r="I208" s="13"/>
      <c r="J208" s="13"/>
      <c r="K208" s="13">
        <v>224</v>
      </c>
      <c r="L208" s="13">
        <v>27</v>
      </c>
      <c r="M208" s="13">
        <v>3</v>
      </c>
      <c r="N208" s="13" t="s">
        <v>3</v>
      </c>
      <c r="O208" s="13">
        <v>2</v>
      </c>
      <c r="P208" s="13">
        <f>ROUND(Source!EJ180,O208)</f>
        <v>2330131.31</v>
      </c>
      <c r="Q208" s="13"/>
      <c r="R208" s="13"/>
      <c r="S208" s="13"/>
      <c r="T208" s="13"/>
      <c r="U208" s="13"/>
      <c r="V208" s="13"/>
      <c r="W208" s="13">
        <v>303840.73</v>
      </c>
      <c r="X208" s="13">
        <v>1</v>
      </c>
      <c r="Y208" s="13">
        <v>303840.73</v>
      </c>
      <c r="Z208" s="13">
        <v>2330131.31</v>
      </c>
      <c r="AA208" s="13">
        <v>1</v>
      </c>
      <c r="AB208" s="13">
        <v>2330131.31</v>
      </c>
    </row>
    <row r="210" spans="1:255" x14ac:dyDescent="0.2">
      <c r="A210" s="10">
        <v>4</v>
      </c>
      <c r="B210" s="10">
        <v>1</v>
      </c>
      <c r="C210" s="10"/>
      <c r="D210" s="10">
        <f>ROW(A267)</f>
        <v>267</v>
      </c>
      <c r="E210" s="10"/>
      <c r="F210" s="10" t="s">
        <v>30</v>
      </c>
      <c r="G210" s="10" t="s">
        <v>326</v>
      </c>
      <c r="H210" s="10" t="s">
        <v>3</v>
      </c>
      <c r="I210" s="10">
        <v>0</v>
      </c>
      <c r="J210" s="10"/>
      <c r="K210" s="10">
        <v>-1</v>
      </c>
      <c r="L210" s="10"/>
      <c r="M210" s="10" t="s">
        <v>3</v>
      </c>
      <c r="N210" s="10"/>
      <c r="O210" s="10"/>
      <c r="P210" s="10"/>
      <c r="Q210" s="10"/>
      <c r="R210" s="10"/>
      <c r="S210" s="10">
        <v>0</v>
      </c>
      <c r="T210" s="10">
        <v>0</v>
      </c>
      <c r="U210" s="10" t="s">
        <v>3</v>
      </c>
      <c r="V210" s="10">
        <v>0</v>
      </c>
      <c r="W210" s="10"/>
      <c r="X210" s="10"/>
      <c r="Y210" s="10"/>
      <c r="Z210" s="10"/>
      <c r="AA210" s="10"/>
      <c r="AB210" s="10" t="s">
        <v>3</v>
      </c>
      <c r="AC210" s="10" t="s">
        <v>3</v>
      </c>
      <c r="AD210" s="10" t="s">
        <v>3</v>
      </c>
      <c r="AE210" s="10" t="s">
        <v>3</v>
      </c>
      <c r="AF210" s="10" t="s">
        <v>3</v>
      </c>
      <c r="AG210" s="10" t="s">
        <v>3</v>
      </c>
      <c r="AH210" s="10"/>
      <c r="AI210" s="10"/>
      <c r="AJ210" s="10"/>
      <c r="AK210" s="10"/>
      <c r="AL210" s="10"/>
      <c r="AM210" s="10"/>
      <c r="AN210" s="10"/>
      <c r="AO210" s="10"/>
      <c r="AP210" s="10" t="s">
        <v>3</v>
      </c>
      <c r="AQ210" s="10" t="s">
        <v>3</v>
      </c>
      <c r="AR210" s="10" t="s">
        <v>3</v>
      </c>
      <c r="AS210" s="10"/>
      <c r="AT210" s="10"/>
      <c r="AU210" s="10"/>
      <c r="AV210" s="10"/>
      <c r="AW210" s="10"/>
      <c r="AX210" s="10"/>
      <c r="AY210" s="10"/>
      <c r="AZ210" s="10" t="s">
        <v>3</v>
      </c>
      <c r="BA210" s="10"/>
      <c r="BB210" s="10" t="s">
        <v>3</v>
      </c>
      <c r="BC210" s="10" t="s">
        <v>3</v>
      </c>
      <c r="BD210" s="10" t="s">
        <v>3</v>
      </c>
      <c r="BE210" s="10" t="s">
        <v>3</v>
      </c>
      <c r="BF210" s="10" t="s">
        <v>3</v>
      </c>
      <c r="BG210" s="10" t="s">
        <v>3</v>
      </c>
      <c r="BH210" s="10" t="s">
        <v>3</v>
      </c>
      <c r="BI210" s="10" t="s">
        <v>3</v>
      </c>
      <c r="BJ210" s="10" t="s">
        <v>3</v>
      </c>
      <c r="BK210" s="10" t="s">
        <v>3</v>
      </c>
      <c r="BL210" s="10" t="s">
        <v>3</v>
      </c>
      <c r="BM210" s="10" t="s">
        <v>3</v>
      </c>
      <c r="BN210" s="10" t="s">
        <v>3</v>
      </c>
      <c r="BO210" s="10" t="s">
        <v>3</v>
      </c>
      <c r="BP210" s="10" t="s">
        <v>3</v>
      </c>
      <c r="BQ210" s="10"/>
      <c r="BR210" s="10"/>
      <c r="BS210" s="10"/>
      <c r="BT210" s="10"/>
      <c r="BU210" s="10"/>
      <c r="BV210" s="10"/>
      <c r="BW210" s="10"/>
      <c r="BX210" s="10">
        <v>0</v>
      </c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>
        <v>0</v>
      </c>
    </row>
    <row r="212" spans="1:255" x14ac:dyDescent="0.2">
      <c r="A212" s="11">
        <v>52</v>
      </c>
      <c r="B212" s="11">
        <f t="shared" ref="B212:G212" si="204">B267</f>
        <v>1</v>
      </c>
      <c r="C212" s="11">
        <f t="shared" si="204"/>
        <v>4</v>
      </c>
      <c r="D212" s="11">
        <f t="shared" si="204"/>
        <v>210</v>
      </c>
      <c r="E212" s="11">
        <f t="shared" si="204"/>
        <v>0</v>
      </c>
      <c r="F212" s="11" t="str">
        <f t="shared" si="204"/>
        <v>2</v>
      </c>
      <c r="G212" s="11" t="str">
        <f t="shared" si="204"/>
        <v>Кабельные изделия</v>
      </c>
      <c r="H212" s="11"/>
      <c r="I212" s="11"/>
      <c r="J212" s="11"/>
      <c r="K212" s="11"/>
      <c r="L212" s="11"/>
      <c r="M212" s="11"/>
      <c r="N212" s="11"/>
      <c r="O212" s="11">
        <f t="shared" ref="O212:AT212" si="205">O267</f>
        <v>27849.07</v>
      </c>
      <c r="P212" s="11">
        <f t="shared" si="205"/>
        <v>24245.67</v>
      </c>
      <c r="Q212" s="11">
        <f t="shared" si="205"/>
        <v>387.3</v>
      </c>
      <c r="R212" s="11">
        <f t="shared" si="205"/>
        <v>65.239999999999995</v>
      </c>
      <c r="S212" s="11">
        <f t="shared" si="205"/>
        <v>3216.1</v>
      </c>
      <c r="T212" s="11">
        <f t="shared" si="205"/>
        <v>0</v>
      </c>
      <c r="U212" s="11">
        <f t="shared" si="205"/>
        <v>255.19106951999999</v>
      </c>
      <c r="V212" s="11">
        <f t="shared" si="205"/>
        <v>0</v>
      </c>
      <c r="W212" s="11">
        <f t="shared" si="205"/>
        <v>0</v>
      </c>
      <c r="X212" s="11">
        <f t="shared" si="205"/>
        <v>3182.89</v>
      </c>
      <c r="Y212" s="11">
        <f t="shared" si="205"/>
        <v>1673.48</v>
      </c>
      <c r="Z212" s="11">
        <f t="shared" si="205"/>
        <v>0</v>
      </c>
      <c r="AA212" s="11">
        <f t="shared" si="205"/>
        <v>0</v>
      </c>
      <c r="AB212" s="11">
        <f t="shared" si="205"/>
        <v>27849.07</v>
      </c>
      <c r="AC212" s="11">
        <f t="shared" si="205"/>
        <v>24245.67</v>
      </c>
      <c r="AD212" s="11">
        <f t="shared" si="205"/>
        <v>387.3</v>
      </c>
      <c r="AE212" s="11">
        <f t="shared" si="205"/>
        <v>65.239999999999995</v>
      </c>
      <c r="AF212" s="11">
        <f t="shared" si="205"/>
        <v>3216.1</v>
      </c>
      <c r="AG212" s="11">
        <f t="shared" si="205"/>
        <v>0</v>
      </c>
      <c r="AH212" s="11">
        <f t="shared" si="205"/>
        <v>255.19106951999999</v>
      </c>
      <c r="AI212" s="11">
        <f t="shared" si="205"/>
        <v>0</v>
      </c>
      <c r="AJ212" s="11">
        <f t="shared" si="205"/>
        <v>0</v>
      </c>
      <c r="AK212" s="11">
        <f t="shared" si="205"/>
        <v>3182.89</v>
      </c>
      <c r="AL212" s="11">
        <f t="shared" si="205"/>
        <v>1673.48</v>
      </c>
      <c r="AM212" s="11">
        <f t="shared" si="205"/>
        <v>0</v>
      </c>
      <c r="AN212" s="11">
        <f t="shared" si="205"/>
        <v>0</v>
      </c>
      <c r="AO212" s="11">
        <f t="shared" si="205"/>
        <v>0</v>
      </c>
      <c r="AP212" s="11">
        <f t="shared" si="205"/>
        <v>0</v>
      </c>
      <c r="AQ212" s="11">
        <f t="shared" si="205"/>
        <v>0</v>
      </c>
      <c r="AR212" s="11">
        <f t="shared" si="205"/>
        <v>32705.439999999999</v>
      </c>
      <c r="AS212" s="11">
        <f t="shared" si="205"/>
        <v>0</v>
      </c>
      <c r="AT212" s="11">
        <f t="shared" si="205"/>
        <v>32705.439999999999</v>
      </c>
      <c r="AU212" s="11">
        <f t="shared" ref="AU212:BZ212" si="206">AU267</f>
        <v>0</v>
      </c>
      <c r="AV212" s="11">
        <f t="shared" si="206"/>
        <v>24245.67</v>
      </c>
      <c r="AW212" s="11">
        <f t="shared" si="206"/>
        <v>24245.67</v>
      </c>
      <c r="AX212" s="11">
        <f t="shared" si="206"/>
        <v>0</v>
      </c>
      <c r="AY212" s="11">
        <f t="shared" si="206"/>
        <v>24245.67</v>
      </c>
      <c r="AZ212" s="11">
        <f t="shared" si="206"/>
        <v>0</v>
      </c>
      <c r="BA212" s="11">
        <f t="shared" si="206"/>
        <v>0</v>
      </c>
      <c r="BB212" s="11">
        <f t="shared" si="206"/>
        <v>0</v>
      </c>
      <c r="BC212" s="11">
        <f t="shared" si="206"/>
        <v>0</v>
      </c>
      <c r="BD212" s="11">
        <f t="shared" si="206"/>
        <v>0</v>
      </c>
      <c r="BE212" s="11">
        <f t="shared" si="206"/>
        <v>0</v>
      </c>
      <c r="BF212" s="11">
        <f t="shared" si="206"/>
        <v>0</v>
      </c>
      <c r="BG212" s="11">
        <f t="shared" si="206"/>
        <v>0</v>
      </c>
      <c r="BH212" s="11">
        <f t="shared" si="206"/>
        <v>0</v>
      </c>
      <c r="BI212" s="11">
        <f t="shared" si="206"/>
        <v>0</v>
      </c>
      <c r="BJ212" s="11">
        <f t="shared" si="206"/>
        <v>0</v>
      </c>
      <c r="BK212" s="11">
        <f t="shared" si="206"/>
        <v>0</v>
      </c>
      <c r="BL212" s="11">
        <f t="shared" si="206"/>
        <v>0</v>
      </c>
      <c r="BM212" s="11">
        <f t="shared" si="206"/>
        <v>0</v>
      </c>
      <c r="BN212" s="11">
        <f t="shared" si="206"/>
        <v>0</v>
      </c>
      <c r="BO212" s="11">
        <f t="shared" si="206"/>
        <v>0</v>
      </c>
      <c r="BP212" s="11">
        <f t="shared" si="206"/>
        <v>0</v>
      </c>
      <c r="BQ212" s="11">
        <f t="shared" si="206"/>
        <v>0</v>
      </c>
      <c r="BR212" s="11">
        <f t="shared" si="206"/>
        <v>0</v>
      </c>
      <c r="BS212" s="11">
        <f t="shared" si="206"/>
        <v>0</v>
      </c>
      <c r="BT212" s="11">
        <f t="shared" si="206"/>
        <v>0</v>
      </c>
      <c r="BU212" s="11">
        <f t="shared" si="206"/>
        <v>0</v>
      </c>
      <c r="BV212" s="11">
        <f t="shared" si="206"/>
        <v>0</v>
      </c>
      <c r="BW212" s="11">
        <f t="shared" si="206"/>
        <v>0</v>
      </c>
      <c r="BX212" s="11">
        <f t="shared" si="206"/>
        <v>0</v>
      </c>
      <c r="BY212" s="11">
        <f t="shared" si="206"/>
        <v>0</v>
      </c>
      <c r="BZ212" s="11">
        <f t="shared" si="206"/>
        <v>0</v>
      </c>
      <c r="CA212" s="11">
        <f t="shared" ref="CA212:DF212" si="207">CA267</f>
        <v>32705.439999999999</v>
      </c>
      <c r="CB212" s="11">
        <f t="shared" si="207"/>
        <v>0</v>
      </c>
      <c r="CC212" s="11">
        <f t="shared" si="207"/>
        <v>32705.439999999999</v>
      </c>
      <c r="CD212" s="11">
        <f t="shared" si="207"/>
        <v>0</v>
      </c>
      <c r="CE212" s="11">
        <f t="shared" si="207"/>
        <v>24245.67</v>
      </c>
      <c r="CF212" s="11">
        <f t="shared" si="207"/>
        <v>24245.67</v>
      </c>
      <c r="CG212" s="11">
        <f t="shared" si="207"/>
        <v>0</v>
      </c>
      <c r="CH212" s="11">
        <f t="shared" si="207"/>
        <v>24245.67</v>
      </c>
      <c r="CI212" s="11">
        <f t="shared" si="207"/>
        <v>0</v>
      </c>
      <c r="CJ212" s="11">
        <f t="shared" si="207"/>
        <v>0</v>
      </c>
      <c r="CK212" s="11">
        <f t="shared" si="207"/>
        <v>0</v>
      </c>
      <c r="CL212" s="11">
        <f t="shared" si="207"/>
        <v>0</v>
      </c>
      <c r="CM212" s="11">
        <f t="shared" si="207"/>
        <v>0</v>
      </c>
      <c r="CN212" s="11">
        <f t="shared" si="207"/>
        <v>0</v>
      </c>
      <c r="CO212" s="11">
        <f t="shared" si="207"/>
        <v>0</v>
      </c>
      <c r="CP212" s="11">
        <f t="shared" si="207"/>
        <v>0</v>
      </c>
      <c r="CQ212" s="11">
        <f t="shared" si="207"/>
        <v>0</v>
      </c>
      <c r="CR212" s="11">
        <f t="shared" si="207"/>
        <v>0</v>
      </c>
      <c r="CS212" s="11">
        <f t="shared" si="207"/>
        <v>0</v>
      </c>
      <c r="CT212" s="11">
        <f t="shared" si="207"/>
        <v>0</v>
      </c>
      <c r="CU212" s="11">
        <f t="shared" si="207"/>
        <v>0</v>
      </c>
      <c r="CV212" s="11">
        <f t="shared" si="207"/>
        <v>0</v>
      </c>
      <c r="CW212" s="11">
        <f t="shared" si="207"/>
        <v>0</v>
      </c>
      <c r="CX212" s="11">
        <f t="shared" si="207"/>
        <v>0</v>
      </c>
      <c r="CY212" s="11">
        <f t="shared" si="207"/>
        <v>0</v>
      </c>
      <c r="CZ212" s="11">
        <f t="shared" si="207"/>
        <v>0</v>
      </c>
      <c r="DA212" s="11">
        <f t="shared" si="207"/>
        <v>0</v>
      </c>
      <c r="DB212" s="11">
        <f t="shared" si="207"/>
        <v>0</v>
      </c>
      <c r="DC212" s="11">
        <f t="shared" si="207"/>
        <v>0</v>
      </c>
      <c r="DD212" s="11">
        <f t="shared" si="207"/>
        <v>0</v>
      </c>
      <c r="DE212" s="11">
        <f t="shared" si="207"/>
        <v>0</v>
      </c>
      <c r="DF212" s="11">
        <f t="shared" si="207"/>
        <v>0</v>
      </c>
      <c r="DG212" s="12">
        <f t="shared" ref="DG212:EL212" si="208">DG267</f>
        <v>357425.32</v>
      </c>
      <c r="DH212" s="12">
        <f t="shared" si="208"/>
        <v>169033.06</v>
      </c>
      <c r="DI212" s="12">
        <f t="shared" si="208"/>
        <v>7165.02</v>
      </c>
      <c r="DJ212" s="12">
        <f t="shared" si="208"/>
        <v>3676.27</v>
      </c>
      <c r="DK212" s="12">
        <f t="shared" si="208"/>
        <v>181227.24</v>
      </c>
      <c r="DL212" s="12">
        <f t="shared" si="208"/>
        <v>0</v>
      </c>
      <c r="DM212" s="12">
        <f t="shared" si="208"/>
        <v>255.19106951999999</v>
      </c>
      <c r="DN212" s="12">
        <f t="shared" si="208"/>
        <v>0</v>
      </c>
      <c r="DO212" s="12">
        <f t="shared" si="208"/>
        <v>0</v>
      </c>
      <c r="DP212" s="12">
        <f t="shared" si="208"/>
        <v>179356.41</v>
      </c>
      <c r="DQ212" s="12">
        <f t="shared" si="208"/>
        <v>94300.800000000003</v>
      </c>
      <c r="DR212" s="12">
        <f t="shared" si="208"/>
        <v>0</v>
      </c>
      <c r="DS212" s="12">
        <f t="shared" si="208"/>
        <v>0</v>
      </c>
      <c r="DT212" s="12">
        <f t="shared" si="208"/>
        <v>357425.32</v>
      </c>
      <c r="DU212" s="12">
        <f t="shared" si="208"/>
        <v>169033.06</v>
      </c>
      <c r="DV212" s="12">
        <f t="shared" si="208"/>
        <v>7165.02</v>
      </c>
      <c r="DW212" s="12">
        <f t="shared" si="208"/>
        <v>3676.27</v>
      </c>
      <c r="DX212" s="12">
        <f t="shared" si="208"/>
        <v>181227.24</v>
      </c>
      <c r="DY212" s="12">
        <f t="shared" si="208"/>
        <v>0</v>
      </c>
      <c r="DZ212" s="12">
        <f t="shared" si="208"/>
        <v>255.19106951999999</v>
      </c>
      <c r="EA212" s="12">
        <f t="shared" si="208"/>
        <v>0</v>
      </c>
      <c r="EB212" s="12">
        <f t="shared" si="208"/>
        <v>0</v>
      </c>
      <c r="EC212" s="12">
        <f t="shared" si="208"/>
        <v>179356.41</v>
      </c>
      <c r="ED212" s="12">
        <f t="shared" si="208"/>
        <v>94300.800000000003</v>
      </c>
      <c r="EE212" s="12">
        <f t="shared" si="208"/>
        <v>0</v>
      </c>
      <c r="EF212" s="12">
        <f t="shared" si="208"/>
        <v>0</v>
      </c>
      <c r="EG212" s="12">
        <f t="shared" si="208"/>
        <v>0</v>
      </c>
      <c r="EH212" s="12">
        <f t="shared" si="208"/>
        <v>0</v>
      </c>
      <c r="EI212" s="12">
        <f t="shared" si="208"/>
        <v>0</v>
      </c>
      <c r="EJ212" s="12">
        <f t="shared" si="208"/>
        <v>631082.53</v>
      </c>
      <c r="EK212" s="12">
        <f t="shared" si="208"/>
        <v>0</v>
      </c>
      <c r="EL212" s="12">
        <f t="shared" si="208"/>
        <v>631082.53</v>
      </c>
      <c r="EM212" s="12">
        <f t="shared" ref="EM212:FR212" si="209">EM267</f>
        <v>0</v>
      </c>
      <c r="EN212" s="12">
        <f t="shared" si="209"/>
        <v>169033.06</v>
      </c>
      <c r="EO212" s="12">
        <f t="shared" si="209"/>
        <v>169033.06</v>
      </c>
      <c r="EP212" s="12">
        <f t="shared" si="209"/>
        <v>0</v>
      </c>
      <c r="EQ212" s="12">
        <f t="shared" si="209"/>
        <v>169033.06</v>
      </c>
      <c r="ER212" s="12">
        <f t="shared" si="209"/>
        <v>0</v>
      </c>
      <c r="ES212" s="12">
        <f t="shared" si="209"/>
        <v>0</v>
      </c>
      <c r="ET212" s="12">
        <f t="shared" si="209"/>
        <v>0</v>
      </c>
      <c r="EU212" s="12">
        <f t="shared" si="209"/>
        <v>0</v>
      </c>
      <c r="EV212" s="12">
        <f t="shared" si="209"/>
        <v>0</v>
      </c>
      <c r="EW212" s="12">
        <f t="shared" si="209"/>
        <v>0</v>
      </c>
      <c r="EX212" s="12">
        <f t="shared" si="209"/>
        <v>0</v>
      </c>
      <c r="EY212" s="12">
        <f t="shared" si="209"/>
        <v>0</v>
      </c>
      <c r="EZ212" s="12">
        <f t="shared" si="209"/>
        <v>0</v>
      </c>
      <c r="FA212" s="12">
        <f t="shared" si="209"/>
        <v>0</v>
      </c>
      <c r="FB212" s="12">
        <f t="shared" si="209"/>
        <v>0</v>
      </c>
      <c r="FC212" s="12">
        <f t="shared" si="209"/>
        <v>0</v>
      </c>
      <c r="FD212" s="12">
        <f t="shared" si="209"/>
        <v>0</v>
      </c>
      <c r="FE212" s="12">
        <f t="shared" si="209"/>
        <v>0</v>
      </c>
      <c r="FF212" s="12">
        <f t="shared" si="209"/>
        <v>0</v>
      </c>
      <c r="FG212" s="12">
        <f t="shared" si="209"/>
        <v>0</v>
      </c>
      <c r="FH212" s="12">
        <f t="shared" si="209"/>
        <v>0</v>
      </c>
      <c r="FI212" s="12">
        <f t="shared" si="209"/>
        <v>0</v>
      </c>
      <c r="FJ212" s="12">
        <f t="shared" si="209"/>
        <v>0</v>
      </c>
      <c r="FK212" s="12">
        <f t="shared" si="209"/>
        <v>0</v>
      </c>
      <c r="FL212" s="12">
        <f t="shared" si="209"/>
        <v>0</v>
      </c>
      <c r="FM212" s="12">
        <f t="shared" si="209"/>
        <v>0</v>
      </c>
      <c r="FN212" s="12">
        <f t="shared" si="209"/>
        <v>0</v>
      </c>
      <c r="FO212" s="12">
        <f t="shared" si="209"/>
        <v>0</v>
      </c>
      <c r="FP212" s="12">
        <f t="shared" si="209"/>
        <v>0</v>
      </c>
      <c r="FQ212" s="12">
        <f t="shared" si="209"/>
        <v>0</v>
      </c>
      <c r="FR212" s="12">
        <f t="shared" si="209"/>
        <v>0</v>
      </c>
      <c r="FS212" s="12">
        <f t="shared" ref="FS212:GX212" si="210">FS267</f>
        <v>631082.53</v>
      </c>
      <c r="FT212" s="12">
        <f t="shared" si="210"/>
        <v>0</v>
      </c>
      <c r="FU212" s="12">
        <f t="shared" si="210"/>
        <v>631082.53</v>
      </c>
      <c r="FV212" s="12">
        <f t="shared" si="210"/>
        <v>0</v>
      </c>
      <c r="FW212" s="12">
        <f t="shared" si="210"/>
        <v>169033.06</v>
      </c>
      <c r="FX212" s="12">
        <f t="shared" si="210"/>
        <v>169033.06</v>
      </c>
      <c r="FY212" s="12">
        <f t="shared" si="210"/>
        <v>0</v>
      </c>
      <c r="FZ212" s="12">
        <f t="shared" si="210"/>
        <v>169033.06</v>
      </c>
      <c r="GA212" s="12">
        <f t="shared" si="210"/>
        <v>0</v>
      </c>
      <c r="GB212" s="12">
        <f t="shared" si="210"/>
        <v>0</v>
      </c>
      <c r="GC212" s="12">
        <f t="shared" si="210"/>
        <v>0</v>
      </c>
      <c r="GD212" s="12">
        <f t="shared" si="210"/>
        <v>0</v>
      </c>
      <c r="GE212" s="12">
        <f t="shared" si="210"/>
        <v>0</v>
      </c>
      <c r="GF212" s="12">
        <f t="shared" si="210"/>
        <v>0</v>
      </c>
      <c r="GG212" s="12">
        <f t="shared" si="210"/>
        <v>0</v>
      </c>
      <c r="GH212" s="12">
        <f t="shared" si="210"/>
        <v>0</v>
      </c>
      <c r="GI212" s="12">
        <f t="shared" si="210"/>
        <v>0</v>
      </c>
      <c r="GJ212" s="12">
        <f t="shared" si="210"/>
        <v>0</v>
      </c>
      <c r="GK212" s="12">
        <f t="shared" si="210"/>
        <v>0</v>
      </c>
      <c r="GL212" s="12">
        <f t="shared" si="210"/>
        <v>0</v>
      </c>
      <c r="GM212" s="12">
        <f t="shared" si="210"/>
        <v>0</v>
      </c>
      <c r="GN212" s="12">
        <f t="shared" si="210"/>
        <v>0</v>
      </c>
      <c r="GO212" s="12">
        <f t="shared" si="210"/>
        <v>0</v>
      </c>
      <c r="GP212" s="12">
        <f t="shared" si="210"/>
        <v>0</v>
      </c>
      <c r="GQ212" s="12">
        <f t="shared" si="210"/>
        <v>0</v>
      </c>
      <c r="GR212" s="12">
        <f t="shared" si="210"/>
        <v>0</v>
      </c>
      <c r="GS212" s="12">
        <f t="shared" si="210"/>
        <v>0</v>
      </c>
      <c r="GT212" s="12">
        <f t="shared" si="210"/>
        <v>0</v>
      </c>
      <c r="GU212" s="12">
        <f t="shared" si="210"/>
        <v>0</v>
      </c>
      <c r="GV212" s="12">
        <f t="shared" si="210"/>
        <v>0</v>
      </c>
      <c r="GW212" s="12">
        <f t="shared" si="210"/>
        <v>0</v>
      </c>
      <c r="GX212" s="12">
        <f t="shared" si="210"/>
        <v>0</v>
      </c>
    </row>
    <row r="214" spans="1:255" x14ac:dyDescent="0.2">
      <c r="A214" s="2">
        <v>17</v>
      </c>
      <c r="B214" s="2">
        <v>1</v>
      </c>
      <c r="C214" s="2">
        <f>ROW(SmtRes!A255)</f>
        <v>255</v>
      </c>
      <c r="D214" s="2">
        <f>ROW(EtalonRes!A313)</f>
        <v>313</v>
      </c>
      <c r="E214" s="2" t="s">
        <v>3</v>
      </c>
      <c r="F214" s="2" t="s">
        <v>327</v>
      </c>
      <c r="G214" s="2" t="s">
        <v>328</v>
      </c>
      <c r="H214" s="2" t="s">
        <v>111</v>
      </c>
      <c r="I214" s="2">
        <f>ROUND((642+150)/100,9)</f>
        <v>7.92</v>
      </c>
      <c r="J214" s="2">
        <v>0</v>
      </c>
      <c r="K214" s="2">
        <f>ROUND((642+150)/100,9)</f>
        <v>7.92</v>
      </c>
      <c r="L214" s="2"/>
      <c r="M214" s="2"/>
      <c r="N214" s="2"/>
      <c r="O214" s="2">
        <f t="shared" ref="O214:O245" si="211">ROUND(CP214,2)</f>
        <v>2708.21</v>
      </c>
      <c r="P214" s="2">
        <f t="shared" ref="P214:P245" si="212">ROUND((ROUND((AC214*AW214*I214),2)*BC214),2)</f>
        <v>727.93</v>
      </c>
      <c r="Q214" s="2">
        <f>(ROUND((ROUND((((ET214*1.2))*AV214*I214),2)*BB214),2)+ROUND((ROUND(((AE214-((EU214*1.2)))*AV214*I214),2)*BS214),2))</f>
        <v>17.21</v>
      </c>
      <c r="R214" s="2">
        <f>(ROUND((ROUND((((EU214*1.2))*AV214*I214),2)*BS214),2)+ROUND((ROUND(((AE214-((EU214*1.2)))*AV214*I214),2)*BS214),2))</f>
        <v>0</v>
      </c>
      <c r="S214" s="2">
        <f t="shared" ref="S214:S245" si="213">ROUND((ROUND((AF214*AV214*I214),2)*BA214),2)</f>
        <v>1963.07</v>
      </c>
      <c r="T214" s="2">
        <f t="shared" ref="T214:T245" si="214">ROUND(CU214*I214,2)</f>
        <v>0</v>
      </c>
      <c r="U214" s="2">
        <f t="shared" ref="U214:U245" si="215">CV214*I214</f>
        <v>165.18142079999998</v>
      </c>
      <c r="V214" s="2">
        <f t="shared" ref="V214:V245" si="216">CW214*I214</f>
        <v>0</v>
      </c>
      <c r="W214" s="2">
        <f t="shared" ref="W214:W245" si="217">ROUND(CX214*I214,2)</f>
        <v>0</v>
      </c>
      <c r="X214" s="2">
        <f>(ROUND((((S214+ROUND((ROUND((((EU214*1.2))*AV214*I214),2)*BS214),2))*AT214)/100),2)+ROUND(((ROUND((ROUND(((AE214-((EU214*1.2)))*AV214*I214),2)*BS214),2)*AT214)/100),2))</f>
        <v>1766.76</v>
      </c>
      <c r="Y214" s="2">
        <f>(ROUND((((S214+ROUND((ROUND((((EU214*1.2))*AV214*I214),2)*BS214),2))*AU214)/100),2)+ROUND(((ROUND((ROUND(((AE214-((EU214*1.2)))*AV214*I214),2)*BS214),2)*AU214)/100),2))</f>
        <v>903.01</v>
      </c>
      <c r="Z214" s="2"/>
      <c r="AA214" s="2">
        <v>-1</v>
      </c>
      <c r="AB214" s="2">
        <f t="shared" ref="AB214:AB245" si="218">ROUND((AC214+AD214+AF214),6)</f>
        <v>330.72199999999998</v>
      </c>
      <c r="AC214" s="2">
        <f>ROUND(((ES214*1)),6)</f>
        <v>91.91</v>
      </c>
      <c r="AD214" s="2">
        <f>ROUND(((((ET214*1.2))-((EU214*1.2)))+AE214),6)</f>
        <v>2.0760000000000001</v>
      </c>
      <c r="AE214" s="2">
        <f>ROUND(((EU214*1.2)),6)</f>
        <v>0</v>
      </c>
      <c r="AF214" s="2">
        <f>ROUND(((EV214*1.2)),6)</f>
        <v>236.73599999999999</v>
      </c>
      <c r="AG214" s="2">
        <f t="shared" ref="AG214:AG245" si="219">ROUND((AP214),6)</f>
        <v>0</v>
      </c>
      <c r="AH214" s="2">
        <f>((EW214*1.2))</f>
        <v>19.920000000000002</v>
      </c>
      <c r="AI214" s="2">
        <f>((EX214*1.2))</f>
        <v>0</v>
      </c>
      <c r="AJ214" s="2">
        <f t="shared" ref="AJ214:AJ245" si="220">(AS214)</f>
        <v>0</v>
      </c>
      <c r="AK214" s="2">
        <v>290.92</v>
      </c>
      <c r="AL214" s="2">
        <v>91.91</v>
      </c>
      <c r="AM214" s="2">
        <v>1.73</v>
      </c>
      <c r="AN214" s="2">
        <v>0</v>
      </c>
      <c r="AO214" s="2">
        <v>197.28</v>
      </c>
      <c r="AP214" s="2">
        <v>0</v>
      </c>
      <c r="AQ214" s="2">
        <v>16.600000000000001</v>
      </c>
      <c r="AR214" s="2">
        <v>0</v>
      </c>
      <c r="AS214" s="2">
        <v>0</v>
      </c>
      <c r="AT214" s="2">
        <v>90</v>
      </c>
      <c r="AU214" s="2">
        <v>46</v>
      </c>
      <c r="AV214" s="2">
        <v>1.0469999999999999</v>
      </c>
      <c r="AW214" s="2">
        <v>1</v>
      </c>
      <c r="AX214" s="2"/>
      <c r="AY214" s="2"/>
      <c r="AZ214" s="2">
        <v>1</v>
      </c>
      <c r="BA214" s="2">
        <v>1</v>
      </c>
      <c r="BB214" s="2">
        <v>1</v>
      </c>
      <c r="BC214" s="2">
        <v>1</v>
      </c>
      <c r="BD214" s="2" t="s">
        <v>3</v>
      </c>
      <c r="BE214" s="2" t="s">
        <v>3</v>
      </c>
      <c r="BF214" s="2" t="s">
        <v>3</v>
      </c>
      <c r="BG214" s="2" t="s">
        <v>3</v>
      </c>
      <c r="BH214" s="2">
        <v>0</v>
      </c>
      <c r="BI214" s="2">
        <v>2</v>
      </c>
      <c r="BJ214" s="2" t="s">
        <v>329</v>
      </c>
      <c r="BK214" s="2"/>
      <c r="BL214" s="2"/>
      <c r="BM214" s="2">
        <v>68</v>
      </c>
      <c r="BN214" s="2">
        <v>0</v>
      </c>
      <c r="BO214" s="2" t="s">
        <v>327</v>
      </c>
      <c r="BP214" s="2">
        <v>1</v>
      </c>
      <c r="BQ214" s="2">
        <v>40</v>
      </c>
      <c r="BR214" s="2">
        <v>0</v>
      </c>
      <c r="BS214" s="2">
        <v>1</v>
      </c>
      <c r="BT214" s="2">
        <v>1</v>
      </c>
      <c r="BU214" s="2">
        <v>1</v>
      </c>
      <c r="BV214" s="2">
        <v>1</v>
      </c>
      <c r="BW214" s="2">
        <v>1</v>
      </c>
      <c r="BX214" s="2">
        <v>1</v>
      </c>
      <c r="BY214" s="2" t="s">
        <v>3</v>
      </c>
      <c r="BZ214" s="2">
        <v>90</v>
      </c>
      <c r="CA214" s="2">
        <v>46</v>
      </c>
      <c r="CB214" s="2" t="s">
        <v>3</v>
      </c>
      <c r="CC214" s="2"/>
      <c r="CD214" s="2"/>
      <c r="CE214" s="2">
        <v>1566</v>
      </c>
      <c r="CF214" s="2">
        <v>0</v>
      </c>
      <c r="CG214" s="2">
        <v>0</v>
      </c>
      <c r="CH214" s="2"/>
      <c r="CI214" s="2"/>
      <c r="CJ214" s="2"/>
      <c r="CK214" s="2"/>
      <c r="CL214" s="2"/>
      <c r="CM214" s="2">
        <v>0</v>
      </c>
      <c r="CN214" s="2" t="s">
        <v>797</v>
      </c>
      <c r="CO214" s="2">
        <v>0</v>
      </c>
      <c r="CP214" s="2">
        <f t="shared" ref="CP214:CP245" si="221">(P214+Q214+S214)</f>
        <v>2708.21</v>
      </c>
      <c r="CQ214" s="2">
        <f t="shared" ref="CQ214:CQ245" si="222">ROUND((ROUND((AC214*AW214*1),2)*BC214),2)</f>
        <v>91.91</v>
      </c>
      <c r="CR214" s="2">
        <f>(ROUND((ROUND((((ET214*1.2))*AV214*1),2)*BB214),2)+ROUND((ROUND(((AE214-((EU214*1.2)))*AV214*1),2)*BS214),2))</f>
        <v>2.17</v>
      </c>
      <c r="CS214" s="2">
        <f>(ROUND((ROUND((((EU214*1.2))*AV214*1),2)*BS214),2)+ROUND((ROUND(((AE214-((EU214*1.2)))*AV214*1),2)*BS214),2))</f>
        <v>0</v>
      </c>
      <c r="CT214" s="2">
        <f t="shared" ref="CT214:CT245" si="223">ROUND((ROUND((AF214*AV214*1),2)*BA214),2)</f>
        <v>247.86</v>
      </c>
      <c r="CU214" s="2">
        <f t="shared" ref="CU214:CU245" si="224">AG214</f>
        <v>0</v>
      </c>
      <c r="CV214" s="2">
        <f t="shared" ref="CV214:CV245" si="225">(AH214*AV214)</f>
        <v>20.85624</v>
      </c>
      <c r="CW214" s="2">
        <f t="shared" ref="CW214:CW245" si="226">AI214</f>
        <v>0</v>
      </c>
      <c r="CX214" s="2">
        <f t="shared" ref="CX214:CX245" si="227">AJ214</f>
        <v>0</v>
      </c>
      <c r="CY214" s="2">
        <f>(ROUND((((S214+ROUND((ROUND((((EU214*1.2))*AV214*1),2)*BS214),2))*AT214)/100),2)+ROUND(((ROUND((ROUND(((AE214-((EU214*1.2)))*AV214*1),2)*BS214),2)*AT214)/100),2))</f>
        <v>1766.76</v>
      </c>
      <c r="CZ214" s="2">
        <f>(ROUND((((S214+ROUND((ROUND((((EU214*1.2))*AV214*1),2)*BS214),2))*AU214)/100),2)+ROUND(((ROUND((ROUND(((AE214-((EU214*1.2)))*AV214*1),2)*BS214),2)*AU214)/100),2))</f>
        <v>903.01</v>
      </c>
      <c r="DA214" s="2"/>
      <c r="DB214" s="2">
        <v>111</v>
      </c>
      <c r="DC214" s="2" t="s">
        <v>3</v>
      </c>
      <c r="DD214" s="2" t="s">
        <v>113</v>
      </c>
      <c r="DE214" s="2" t="s">
        <v>114</v>
      </c>
      <c r="DF214" s="2" t="s">
        <v>114</v>
      </c>
      <c r="DG214" s="2" t="s">
        <v>114</v>
      </c>
      <c r="DH214" s="2" t="s">
        <v>3</v>
      </c>
      <c r="DI214" s="2" t="s">
        <v>114</v>
      </c>
      <c r="DJ214" s="2" t="s">
        <v>114</v>
      </c>
      <c r="DK214" s="2" t="s">
        <v>3</v>
      </c>
      <c r="DL214" s="2" t="s">
        <v>3</v>
      </c>
      <c r="DM214" s="2" t="s">
        <v>3</v>
      </c>
      <c r="DN214" s="2">
        <v>0</v>
      </c>
      <c r="DO214" s="2">
        <v>0</v>
      </c>
      <c r="DP214" s="2">
        <v>1</v>
      </c>
      <c r="DQ214" s="2">
        <v>1</v>
      </c>
      <c r="DR214" s="2"/>
      <c r="DS214" s="2"/>
      <c r="DT214" s="2"/>
      <c r="DU214" s="2">
        <v>1003</v>
      </c>
      <c r="DV214" s="2" t="s">
        <v>111</v>
      </c>
      <c r="DW214" s="2" t="s">
        <v>111</v>
      </c>
      <c r="DX214" s="2">
        <v>100</v>
      </c>
      <c r="DY214" s="2"/>
      <c r="DZ214" s="2" t="s">
        <v>3</v>
      </c>
      <c r="EA214" s="2" t="s">
        <v>3</v>
      </c>
      <c r="EB214" s="2" t="s">
        <v>3</v>
      </c>
      <c r="EC214" s="2" t="s">
        <v>3</v>
      </c>
      <c r="ED214" s="2"/>
      <c r="EE214" s="2">
        <v>55393700</v>
      </c>
      <c r="EF214" s="2">
        <v>40</v>
      </c>
      <c r="EG214" s="2" t="s">
        <v>26</v>
      </c>
      <c r="EH214" s="2">
        <v>0</v>
      </c>
      <c r="EI214" s="2" t="s">
        <v>3</v>
      </c>
      <c r="EJ214" s="2">
        <v>2</v>
      </c>
      <c r="EK214" s="2">
        <v>68</v>
      </c>
      <c r="EL214" s="2" t="s">
        <v>27</v>
      </c>
      <c r="EM214" s="2" t="s">
        <v>28</v>
      </c>
      <c r="EN214" s="2"/>
      <c r="EO214" s="2" t="s">
        <v>118</v>
      </c>
      <c r="EP214" s="2"/>
      <c r="EQ214" s="2">
        <v>1024</v>
      </c>
      <c r="ER214" s="2">
        <v>290.92</v>
      </c>
      <c r="ES214" s="2">
        <v>91.91</v>
      </c>
      <c r="ET214" s="2">
        <v>1.73</v>
      </c>
      <c r="EU214" s="2">
        <v>0</v>
      </c>
      <c r="EV214" s="2">
        <v>197.28</v>
      </c>
      <c r="EW214" s="2">
        <v>16.600000000000001</v>
      </c>
      <c r="EX214" s="2">
        <v>0</v>
      </c>
      <c r="EY214" s="2">
        <v>0</v>
      </c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>
        <v>0</v>
      </c>
      <c r="FR214" s="2">
        <v>0</v>
      </c>
      <c r="FS214" s="2">
        <v>0</v>
      </c>
      <c r="FT214" s="2"/>
      <c r="FU214" s="2"/>
      <c r="FV214" s="2"/>
      <c r="FW214" s="2"/>
      <c r="FX214" s="2">
        <v>90</v>
      </c>
      <c r="FY214" s="2">
        <v>46</v>
      </c>
      <c r="FZ214" s="2"/>
      <c r="GA214" s="2" t="s">
        <v>3</v>
      </c>
      <c r="GB214" s="2"/>
      <c r="GC214" s="2"/>
      <c r="GD214" s="2">
        <v>1</v>
      </c>
      <c r="GE214" s="2"/>
      <c r="GF214" s="2">
        <v>-17066464</v>
      </c>
      <c r="GG214" s="2">
        <v>2</v>
      </c>
      <c r="GH214" s="2">
        <v>1</v>
      </c>
      <c r="GI214" s="2">
        <v>2</v>
      </c>
      <c r="GJ214" s="2">
        <v>0</v>
      </c>
      <c r="GK214" s="2">
        <v>0</v>
      </c>
      <c r="GL214" s="2">
        <f t="shared" ref="GL214:GL245" si="228">ROUND(IF(AND(BH214=3,BI214=3,FS214&lt;&gt;0),P214,0),2)</f>
        <v>0</v>
      </c>
      <c r="GM214" s="2">
        <f t="shared" ref="GM214:GM245" si="229">ROUND(O214+X214+Y214,2)+GX214</f>
        <v>5377.98</v>
      </c>
      <c r="GN214" s="2">
        <f t="shared" ref="GN214:GN245" si="230">IF(OR(BI214=0,BI214=1),GM214-GX214,0)</f>
        <v>0</v>
      </c>
      <c r="GO214" s="2">
        <f t="shared" ref="GO214:GO245" si="231">IF(BI214=2,GM214-GX214,0)</f>
        <v>5377.98</v>
      </c>
      <c r="GP214" s="2">
        <f t="shared" ref="GP214:GP245" si="232">IF(BI214=4,GM214-GX214,0)</f>
        <v>0</v>
      </c>
      <c r="GQ214" s="2"/>
      <c r="GR214" s="2">
        <v>0</v>
      </c>
      <c r="GS214" s="2">
        <v>3</v>
      </c>
      <c r="GT214" s="2">
        <v>0</v>
      </c>
      <c r="GU214" s="2" t="s">
        <v>3</v>
      </c>
      <c r="GV214" s="2">
        <f t="shared" ref="GV214:GV245" si="233">ROUND((GT214),6)</f>
        <v>0</v>
      </c>
      <c r="GW214" s="2">
        <v>1</v>
      </c>
      <c r="GX214" s="2">
        <f t="shared" ref="GX214:GX245" si="234">ROUND(HC214*I214,2)</f>
        <v>0</v>
      </c>
      <c r="GY214" s="2"/>
      <c r="GZ214" s="2"/>
      <c r="HA214" s="2">
        <v>0</v>
      </c>
      <c r="HB214" s="2">
        <v>0</v>
      </c>
      <c r="HC214" s="2">
        <f t="shared" ref="HC214:HC245" si="235">GV214*GW214</f>
        <v>0</v>
      </c>
      <c r="HD214" s="2"/>
      <c r="HE214" s="2" t="s">
        <v>3</v>
      </c>
      <c r="HF214" s="2" t="s">
        <v>3</v>
      </c>
      <c r="HG214" s="2"/>
      <c r="HH214" s="2"/>
      <c r="HI214" s="2"/>
      <c r="HJ214" s="2"/>
      <c r="HK214" s="2"/>
      <c r="HL214" s="2"/>
      <c r="HM214" s="2" t="s">
        <v>3</v>
      </c>
      <c r="HN214" s="2" t="s">
        <v>3</v>
      </c>
      <c r="HO214" s="2" t="s">
        <v>3</v>
      </c>
      <c r="HP214" s="2" t="s">
        <v>3</v>
      </c>
      <c r="HQ214" s="2" t="s">
        <v>3</v>
      </c>
      <c r="HR214" s="2"/>
      <c r="HS214" s="2">
        <v>0</v>
      </c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>
        <v>0</v>
      </c>
      <c r="IL214" s="2"/>
      <c r="IM214" s="2"/>
      <c r="IN214" s="2"/>
      <c r="IO214" s="2"/>
      <c r="IP214" s="2"/>
      <c r="IQ214" s="2"/>
      <c r="IR214" s="2"/>
      <c r="IS214" s="2"/>
      <c r="IT214" s="2"/>
      <c r="IU214" s="2"/>
    </row>
    <row r="215" spans="1:255" x14ac:dyDescent="0.2">
      <c r="A215" s="3">
        <v>17</v>
      </c>
      <c r="B215" s="3">
        <v>1</v>
      </c>
      <c r="C215" s="3">
        <f>ROW(SmtRes!A266)</f>
        <v>266</v>
      </c>
      <c r="D215" s="3">
        <f>ROW(EtalonRes!A324)</f>
        <v>324</v>
      </c>
      <c r="E215" s="3" t="s">
        <v>3</v>
      </c>
      <c r="F215" s="3" t="s">
        <v>327</v>
      </c>
      <c r="G215" s="3" t="s">
        <v>328</v>
      </c>
      <c r="H215" s="3" t="s">
        <v>111</v>
      </c>
      <c r="I215" s="3">
        <f>ROUND((642+150)/100,9)</f>
        <v>7.92</v>
      </c>
      <c r="J215" s="3">
        <v>0</v>
      </c>
      <c r="K215" s="3">
        <f>ROUND((642+150)/100,9)</f>
        <v>7.92</v>
      </c>
      <c r="O215" s="3">
        <f t="shared" si="211"/>
        <v>112582.54</v>
      </c>
      <c r="P215" s="3">
        <f t="shared" si="212"/>
        <v>1797.99</v>
      </c>
      <c r="Q215" s="3">
        <f>(ROUND((ROUND((((ET215*1.2))*AV215*I215),2)*BB215),2)+ROUND((ROUND(((AE215-((EU215*1.2)))*AV215*I215),2)*BS215),2))</f>
        <v>165.56</v>
      </c>
      <c r="R215" s="3">
        <f>(ROUND((ROUND((((EU215*1.2))*AV215*I215),2)*BS215),2)+ROUND((ROUND(((AE215-((EU215*1.2)))*AV215*I215),2)*BS215),2))</f>
        <v>0</v>
      </c>
      <c r="S215" s="3">
        <f t="shared" si="213"/>
        <v>110618.99</v>
      </c>
      <c r="T215" s="3">
        <f t="shared" si="214"/>
        <v>0</v>
      </c>
      <c r="U215" s="3">
        <f t="shared" si="215"/>
        <v>165.18142079999998</v>
      </c>
      <c r="V215" s="3">
        <f t="shared" si="216"/>
        <v>0</v>
      </c>
      <c r="W215" s="3">
        <f t="shared" si="217"/>
        <v>0</v>
      </c>
      <c r="X215" s="3">
        <f>(ROUND((((S215+ROUND((ROUND((((EU215*1.2))*AV215*I215),2)*BS215),2))*AT215)/100),2)+ROUND(((ROUND((ROUND(((AE215-((EU215*1.2)))*AV215*I215),2)*BS215),2)*AT215)/100),2))</f>
        <v>99557.09</v>
      </c>
      <c r="Y215" s="3">
        <f>(ROUND((((S215+ROUND((ROUND((((EU215*1.2))*AV215*I215),2)*BS215),2))*AU215)/100),2)+ROUND(((ROUND((ROUND(((AE215-((EU215*1.2)))*AV215*I215),2)*BS215),2)*AU215)/100),2))</f>
        <v>50884.74</v>
      </c>
      <c r="AA215" s="3">
        <v>-1</v>
      </c>
      <c r="AB215" s="3">
        <f t="shared" si="218"/>
        <v>330.72199999999998</v>
      </c>
      <c r="AC215" s="3">
        <f>ROUND(((ES215*1)),6)</f>
        <v>91.91</v>
      </c>
      <c r="AD215" s="3">
        <f>ROUND(((((ET215*1.2))-((EU215*1.2)))+AE215),6)</f>
        <v>2.0760000000000001</v>
      </c>
      <c r="AE215" s="3">
        <f>ROUND(((EU215*1.2)),6)</f>
        <v>0</v>
      </c>
      <c r="AF215" s="3">
        <f>ROUND(((EV215*1.2)),6)</f>
        <v>236.73599999999999</v>
      </c>
      <c r="AG215" s="3">
        <f t="shared" si="219"/>
        <v>0</v>
      </c>
      <c r="AH215" s="3">
        <f>((EW215*1.2))</f>
        <v>19.920000000000002</v>
      </c>
      <c r="AI215" s="3">
        <f>((EX215*1.2))</f>
        <v>0</v>
      </c>
      <c r="AJ215" s="3">
        <f t="shared" si="220"/>
        <v>0</v>
      </c>
      <c r="AK215" s="3">
        <v>290.92</v>
      </c>
      <c r="AL215" s="3">
        <v>91.91</v>
      </c>
      <c r="AM215" s="3">
        <v>1.73</v>
      </c>
      <c r="AN215" s="3">
        <v>0</v>
      </c>
      <c r="AO215" s="3">
        <v>197.28</v>
      </c>
      <c r="AP215" s="3">
        <v>0</v>
      </c>
      <c r="AQ215" s="3">
        <v>16.600000000000001</v>
      </c>
      <c r="AR215" s="3">
        <v>0</v>
      </c>
      <c r="AS215" s="3">
        <v>0</v>
      </c>
      <c r="AT215" s="3">
        <v>90</v>
      </c>
      <c r="AU215" s="3">
        <v>46</v>
      </c>
      <c r="AV215" s="3">
        <v>1.0469999999999999</v>
      </c>
      <c r="AW215" s="3">
        <v>1</v>
      </c>
      <c r="AZ215" s="3">
        <v>1</v>
      </c>
      <c r="BA215" s="3">
        <v>56.35</v>
      </c>
      <c r="BB215" s="3">
        <v>9.6199999999999992</v>
      </c>
      <c r="BC215" s="3">
        <v>2.4700000000000002</v>
      </c>
      <c r="BD215" s="3" t="s">
        <v>3</v>
      </c>
      <c r="BE215" s="3" t="s">
        <v>3</v>
      </c>
      <c r="BF215" s="3" t="s">
        <v>3</v>
      </c>
      <c r="BG215" s="3" t="s">
        <v>3</v>
      </c>
      <c r="BH215" s="3">
        <v>0</v>
      </c>
      <c r="BI215" s="3">
        <v>2</v>
      </c>
      <c r="BJ215" s="3" t="s">
        <v>329</v>
      </c>
      <c r="BM215" s="3">
        <v>68</v>
      </c>
      <c r="BN215" s="3">
        <v>0</v>
      </c>
      <c r="BO215" s="3" t="s">
        <v>327</v>
      </c>
      <c r="BP215" s="3">
        <v>1</v>
      </c>
      <c r="BQ215" s="3">
        <v>40</v>
      </c>
      <c r="BR215" s="3">
        <v>0</v>
      </c>
      <c r="BS215" s="3">
        <v>56.35</v>
      </c>
      <c r="BT215" s="3">
        <v>1</v>
      </c>
      <c r="BU215" s="3">
        <v>1</v>
      </c>
      <c r="BV215" s="3">
        <v>1</v>
      </c>
      <c r="BW215" s="3">
        <v>1</v>
      </c>
      <c r="BX215" s="3">
        <v>1</v>
      </c>
      <c r="BY215" s="3" t="s">
        <v>3</v>
      </c>
      <c r="BZ215" s="3">
        <v>90</v>
      </c>
      <c r="CA215" s="3">
        <v>46</v>
      </c>
      <c r="CB215" s="3" t="s">
        <v>3</v>
      </c>
      <c r="CE215" s="3">
        <v>1566</v>
      </c>
      <c r="CF215" s="3">
        <v>0</v>
      </c>
      <c r="CG215" s="3">
        <v>0</v>
      </c>
      <c r="CM215" s="3">
        <v>0</v>
      </c>
      <c r="CN215" s="3" t="s">
        <v>797</v>
      </c>
      <c r="CO215" s="3">
        <v>0</v>
      </c>
      <c r="CP215" s="3">
        <f t="shared" si="221"/>
        <v>112582.54000000001</v>
      </c>
      <c r="CQ215" s="3">
        <f t="shared" si="222"/>
        <v>227.02</v>
      </c>
      <c r="CR215" s="3">
        <f>(ROUND((ROUND((((ET215*1.2))*AV215*1),2)*BB215),2)+ROUND((ROUND(((AE215-((EU215*1.2)))*AV215*1),2)*BS215),2))</f>
        <v>20.88</v>
      </c>
      <c r="CS215" s="3">
        <f>(ROUND((ROUND((((EU215*1.2))*AV215*1),2)*BS215),2)+ROUND((ROUND(((AE215-((EU215*1.2)))*AV215*1),2)*BS215),2))</f>
        <v>0</v>
      </c>
      <c r="CT215" s="3">
        <f t="shared" si="223"/>
        <v>13966.91</v>
      </c>
      <c r="CU215" s="3">
        <f t="shared" si="224"/>
        <v>0</v>
      </c>
      <c r="CV215" s="3">
        <f t="shared" si="225"/>
        <v>20.85624</v>
      </c>
      <c r="CW215" s="3">
        <f t="shared" si="226"/>
        <v>0</v>
      </c>
      <c r="CX215" s="3">
        <f t="shared" si="227"/>
        <v>0</v>
      </c>
      <c r="CY215" s="3">
        <f>(ROUND((((S215+ROUND((ROUND((((EU215*1.2))*AV215*1),2)*BS215),2))*AT215)/100),2)+ROUND(((ROUND((ROUND(((AE215-((EU215*1.2)))*AV215*1),2)*BS215),2)*AT215)/100),2))</f>
        <v>99557.09</v>
      </c>
      <c r="CZ215" s="3">
        <f>(ROUND((((S215+ROUND((ROUND((((EU215*1.2))*AV215*1),2)*BS215),2))*AU215)/100),2)+ROUND(((ROUND((ROUND(((AE215-((EU215*1.2)))*AV215*1),2)*BS215),2)*AU215)/100),2))</f>
        <v>50884.74</v>
      </c>
      <c r="DB215" s="3">
        <v>112</v>
      </c>
      <c r="DC215" s="3" t="s">
        <v>3</v>
      </c>
      <c r="DD215" s="3" t="s">
        <v>113</v>
      </c>
      <c r="DE215" s="3" t="s">
        <v>114</v>
      </c>
      <c r="DF215" s="3" t="s">
        <v>114</v>
      </c>
      <c r="DG215" s="3" t="s">
        <v>114</v>
      </c>
      <c r="DH215" s="3" t="s">
        <v>3</v>
      </c>
      <c r="DI215" s="3" t="s">
        <v>114</v>
      </c>
      <c r="DJ215" s="3" t="s">
        <v>114</v>
      </c>
      <c r="DK215" s="3" t="s">
        <v>3</v>
      </c>
      <c r="DL215" s="3" t="s">
        <v>3</v>
      </c>
      <c r="DM215" s="3" t="s">
        <v>3</v>
      </c>
      <c r="DN215" s="3">
        <v>0</v>
      </c>
      <c r="DO215" s="3">
        <v>0</v>
      </c>
      <c r="DP215" s="3">
        <v>1</v>
      </c>
      <c r="DQ215" s="3">
        <v>1</v>
      </c>
      <c r="DU215" s="3">
        <v>1003</v>
      </c>
      <c r="DV215" s="3" t="s">
        <v>111</v>
      </c>
      <c r="DW215" s="3" t="s">
        <v>111</v>
      </c>
      <c r="DX215" s="3">
        <v>100</v>
      </c>
      <c r="DZ215" s="3" t="s">
        <v>3</v>
      </c>
      <c r="EA215" s="3" t="s">
        <v>3</v>
      </c>
      <c r="EB215" s="3" t="s">
        <v>3</v>
      </c>
      <c r="EC215" s="3" t="s">
        <v>3</v>
      </c>
      <c r="EE215" s="3">
        <v>55393700</v>
      </c>
      <c r="EF215" s="3">
        <v>40</v>
      </c>
      <c r="EG215" s="3" t="s">
        <v>26</v>
      </c>
      <c r="EH215" s="3">
        <v>0</v>
      </c>
      <c r="EI215" s="3" t="s">
        <v>3</v>
      </c>
      <c r="EJ215" s="3">
        <v>2</v>
      </c>
      <c r="EK215" s="3">
        <v>68</v>
      </c>
      <c r="EL215" s="3" t="s">
        <v>27</v>
      </c>
      <c r="EM215" s="3" t="s">
        <v>28</v>
      </c>
      <c r="EO215" s="3" t="s">
        <v>118</v>
      </c>
      <c r="EQ215" s="3">
        <v>1024</v>
      </c>
      <c r="ER215" s="3">
        <v>290.92</v>
      </c>
      <c r="ES215" s="3">
        <v>91.91</v>
      </c>
      <c r="ET215" s="3">
        <v>1.73</v>
      </c>
      <c r="EU215" s="3">
        <v>0</v>
      </c>
      <c r="EV215" s="3">
        <v>197.28</v>
      </c>
      <c r="EW215" s="3">
        <v>16.600000000000001</v>
      </c>
      <c r="EX215" s="3">
        <v>0</v>
      </c>
      <c r="EY215" s="3">
        <v>0</v>
      </c>
      <c r="FQ215" s="3">
        <v>0</v>
      </c>
      <c r="FR215" s="3">
        <v>0</v>
      </c>
      <c r="FS215" s="3">
        <v>0</v>
      </c>
      <c r="FX215" s="3">
        <v>90</v>
      </c>
      <c r="FY215" s="3">
        <v>46</v>
      </c>
      <c r="GA215" s="3" t="s">
        <v>3</v>
      </c>
      <c r="GD215" s="3">
        <v>1</v>
      </c>
      <c r="GF215" s="3">
        <v>-17066464</v>
      </c>
      <c r="GG215" s="3">
        <v>2</v>
      </c>
      <c r="GH215" s="3">
        <v>1</v>
      </c>
      <c r="GI215" s="3">
        <v>2</v>
      </c>
      <c r="GJ215" s="3">
        <v>0</v>
      </c>
      <c r="GK215" s="3">
        <v>0</v>
      </c>
      <c r="GL215" s="3">
        <f t="shared" si="228"/>
        <v>0</v>
      </c>
      <c r="GM215" s="3">
        <f t="shared" si="229"/>
        <v>263024.37</v>
      </c>
      <c r="GN215" s="3">
        <f t="shared" si="230"/>
        <v>0</v>
      </c>
      <c r="GO215" s="3">
        <f t="shared" si="231"/>
        <v>263024.37</v>
      </c>
      <c r="GP215" s="3">
        <f t="shared" si="232"/>
        <v>0</v>
      </c>
      <c r="GR215" s="3">
        <v>0</v>
      </c>
      <c r="GS215" s="3">
        <v>3</v>
      </c>
      <c r="GT215" s="3">
        <v>0</v>
      </c>
      <c r="GU215" s="3" t="s">
        <v>3</v>
      </c>
      <c r="GV215" s="3">
        <f t="shared" si="233"/>
        <v>0</v>
      </c>
      <c r="GW215" s="3">
        <v>1</v>
      </c>
      <c r="GX215" s="3">
        <f t="shared" si="234"/>
        <v>0</v>
      </c>
      <c r="HA215" s="3">
        <v>0</v>
      </c>
      <c r="HB215" s="3">
        <v>0</v>
      </c>
      <c r="HC215" s="3">
        <f t="shared" si="235"/>
        <v>0</v>
      </c>
      <c r="HE215" s="3" t="s">
        <v>3</v>
      </c>
      <c r="HF215" s="3" t="s">
        <v>3</v>
      </c>
      <c r="HM215" s="3" t="s">
        <v>3</v>
      </c>
      <c r="HN215" s="3" t="s">
        <v>3</v>
      </c>
      <c r="HO215" s="3" t="s">
        <v>3</v>
      </c>
      <c r="HP215" s="3" t="s">
        <v>3</v>
      </c>
      <c r="HQ215" s="3" t="s">
        <v>3</v>
      </c>
      <c r="HS215" s="3">
        <v>0</v>
      </c>
      <c r="IK215" s="3">
        <v>0</v>
      </c>
    </row>
    <row r="216" spans="1:255" x14ac:dyDescent="0.2">
      <c r="A216" s="2">
        <v>18</v>
      </c>
      <c r="B216" s="2">
        <v>1</v>
      </c>
      <c r="C216" s="2">
        <v>253</v>
      </c>
      <c r="D216" s="2"/>
      <c r="E216" s="2" t="s">
        <v>3</v>
      </c>
      <c r="F216" s="2" t="s">
        <v>330</v>
      </c>
      <c r="G216" s="2" t="s">
        <v>331</v>
      </c>
      <c r="H216" s="2" t="s">
        <v>332</v>
      </c>
      <c r="I216" s="2">
        <f>I214*J216</f>
        <v>807.84</v>
      </c>
      <c r="J216" s="2">
        <v>102</v>
      </c>
      <c r="K216" s="2">
        <v>102</v>
      </c>
      <c r="L216" s="2"/>
      <c r="M216" s="2"/>
      <c r="N216" s="2"/>
      <c r="O216" s="2">
        <f t="shared" si="211"/>
        <v>0</v>
      </c>
      <c r="P216" s="2">
        <f t="shared" si="212"/>
        <v>0</v>
      </c>
      <c r="Q216" s="2">
        <f t="shared" ref="Q216:Q221" si="236">(ROUND((ROUND(((ET216)*AV216*I216),2)*BB216),2)+ROUND((ROUND(((AE216-(EU216))*AV216*I216),2)*BS216),2))</f>
        <v>0</v>
      </c>
      <c r="R216" s="2">
        <f t="shared" ref="R216:R221" si="237">(ROUND((ROUND(((EU216)*AV216*I216),2)*BS216),2)+ROUND((ROUND(((AE216-(EU216))*AV216*I216),2)*BS216),2))</f>
        <v>0</v>
      </c>
      <c r="S216" s="2">
        <f t="shared" si="213"/>
        <v>0</v>
      </c>
      <c r="T216" s="2">
        <f t="shared" si="214"/>
        <v>0</v>
      </c>
      <c r="U216" s="2">
        <f t="shared" si="215"/>
        <v>0</v>
      </c>
      <c r="V216" s="2">
        <f t="shared" si="216"/>
        <v>0</v>
      </c>
      <c r="W216" s="2">
        <f t="shared" si="217"/>
        <v>0</v>
      </c>
      <c r="X216" s="2">
        <f t="shared" ref="X216:X221" si="238">(ROUND((((S216+ROUND((ROUND(((EU216)*AV216*I216),2)*BS216),2))*AT216)/100),2)+ROUND(((ROUND((ROUND(((AE216-(EU216))*AV216*I216),2)*BS216),2)*AT216)/100),2))</f>
        <v>0</v>
      </c>
      <c r="Y216" s="2">
        <f t="shared" ref="Y216:Y221" si="239">(ROUND((((S216+ROUND((ROUND(((EU216)*AV216*I216),2)*BS216),2))*AU216)/100),2)+ROUND(((ROUND((ROUND(((AE216-(EU216))*AV216*I216),2)*BS216),2)*AU216)/100),2))</f>
        <v>0</v>
      </c>
      <c r="Z216" s="2"/>
      <c r="AA216" s="2">
        <v>-1</v>
      </c>
      <c r="AB216" s="2">
        <f t="shared" si="218"/>
        <v>0</v>
      </c>
      <c r="AC216" s="2">
        <f t="shared" ref="AC216:AC221" si="240">ROUND((ES216),6)</f>
        <v>0</v>
      </c>
      <c r="AD216" s="2">
        <f t="shared" ref="AD216:AD221" si="241">ROUND((((ET216)-(EU216))+AE216),6)</f>
        <v>0</v>
      </c>
      <c r="AE216" s="2">
        <f t="shared" ref="AE216:AF221" si="242">ROUND((EU216),6)</f>
        <v>0</v>
      </c>
      <c r="AF216" s="2">
        <f t="shared" si="242"/>
        <v>0</v>
      </c>
      <c r="AG216" s="2">
        <f t="shared" si="219"/>
        <v>0</v>
      </c>
      <c r="AH216" s="2">
        <f t="shared" ref="AH216:AI221" si="243">(EW216)</f>
        <v>0</v>
      </c>
      <c r="AI216" s="2">
        <f t="shared" si="243"/>
        <v>0</v>
      </c>
      <c r="AJ216" s="2">
        <f t="shared" si="220"/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90</v>
      </c>
      <c r="AU216" s="2">
        <v>46</v>
      </c>
      <c r="AV216" s="2">
        <v>1.0469999999999999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3</v>
      </c>
      <c r="BI216" s="2">
        <v>2</v>
      </c>
      <c r="BJ216" s="2" t="s">
        <v>3</v>
      </c>
      <c r="BK216" s="2"/>
      <c r="BL216" s="2"/>
      <c r="BM216" s="2">
        <v>68</v>
      </c>
      <c r="BN216" s="2">
        <v>0</v>
      </c>
      <c r="BO216" s="2" t="s">
        <v>3</v>
      </c>
      <c r="BP216" s="2">
        <v>0</v>
      </c>
      <c r="BQ216" s="2">
        <v>40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90</v>
      </c>
      <c r="CA216" s="2">
        <v>46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798</v>
      </c>
      <c r="CO216" s="2">
        <v>0</v>
      </c>
      <c r="CP216" s="2">
        <f t="shared" si="221"/>
        <v>0</v>
      </c>
      <c r="CQ216" s="2">
        <f t="shared" si="222"/>
        <v>0</v>
      </c>
      <c r="CR216" s="2">
        <f t="shared" ref="CR216:CR221" si="244">(ROUND((ROUND(((ET216)*AV216*1),2)*BB216),2)+ROUND((ROUND(((AE216-(EU216))*AV216*1),2)*BS216),2))</f>
        <v>0</v>
      </c>
      <c r="CS216" s="2">
        <f t="shared" ref="CS216:CS221" si="245">(ROUND((ROUND(((EU216)*AV216*1),2)*BS216),2)+ROUND((ROUND(((AE216-(EU216))*AV216*1),2)*BS216),2))</f>
        <v>0</v>
      </c>
      <c r="CT216" s="2">
        <f t="shared" si="223"/>
        <v>0</v>
      </c>
      <c r="CU216" s="2">
        <f t="shared" si="224"/>
        <v>0</v>
      </c>
      <c r="CV216" s="2">
        <f t="shared" si="225"/>
        <v>0</v>
      </c>
      <c r="CW216" s="2">
        <f t="shared" si="226"/>
        <v>0</v>
      </c>
      <c r="CX216" s="2">
        <f t="shared" si="227"/>
        <v>0</v>
      </c>
      <c r="CY216" s="2">
        <f t="shared" ref="CY216:CY221" si="246">(ROUND((((S216+ROUND((ROUND(((EU216)*AV216*1),2)*BS216),2))*AT216)/100),2)+ROUND(((ROUND((ROUND(((AE216-(EU216))*AV216*1),2)*BS216),2)*AT216)/100),2))</f>
        <v>0</v>
      </c>
      <c r="CZ216" s="2">
        <f t="shared" ref="CZ216:CZ221" si="247">(ROUND((((S216+ROUND((ROUND(((EU216)*AV216*1),2)*BS216),2))*AU216)/100),2)+ROUND(((ROUND((ROUND(((AE216-(EU216))*AV216*1),2)*BS216),2)*AU216)/100),2))</f>
        <v>0</v>
      </c>
      <c r="DA216" s="2"/>
      <c r="DB216" s="2"/>
      <c r="DC216" s="2" t="s">
        <v>3</v>
      </c>
      <c r="DD216" s="2" t="s">
        <v>3</v>
      </c>
      <c r="DE216" s="2" t="s">
        <v>3</v>
      </c>
      <c r="DF216" s="2" t="s">
        <v>3</v>
      </c>
      <c r="DG216" s="2" t="s">
        <v>3</v>
      </c>
      <c r="DH216" s="2" t="s">
        <v>3</v>
      </c>
      <c r="DI216" s="2" t="s">
        <v>3</v>
      </c>
      <c r="DJ216" s="2" t="s">
        <v>3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1003</v>
      </c>
      <c r="DV216" s="2" t="s">
        <v>332</v>
      </c>
      <c r="DW216" s="2" t="s">
        <v>332</v>
      </c>
      <c r="DX216" s="2">
        <v>1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55393700</v>
      </c>
      <c r="EF216" s="2">
        <v>40</v>
      </c>
      <c r="EG216" s="2" t="s">
        <v>26</v>
      </c>
      <c r="EH216" s="2">
        <v>0</v>
      </c>
      <c r="EI216" s="2" t="s">
        <v>3</v>
      </c>
      <c r="EJ216" s="2">
        <v>2</v>
      </c>
      <c r="EK216" s="2">
        <v>68</v>
      </c>
      <c r="EL216" s="2" t="s">
        <v>27</v>
      </c>
      <c r="EM216" s="2" t="s">
        <v>28</v>
      </c>
      <c r="EN216" s="2"/>
      <c r="EO216" s="2" t="s">
        <v>118</v>
      </c>
      <c r="EP216" s="2"/>
      <c r="EQ216" s="2">
        <v>1024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90</v>
      </c>
      <c r="FY216" s="2">
        <v>46</v>
      </c>
      <c r="FZ216" s="2"/>
      <c r="GA216" s="2" t="s">
        <v>3</v>
      </c>
      <c r="GB216" s="2"/>
      <c r="GC216" s="2"/>
      <c r="GD216" s="2">
        <v>1</v>
      </c>
      <c r="GE216" s="2"/>
      <c r="GF216" s="2">
        <v>-1521476738</v>
      </c>
      <c r="GG216" s="2">
        <v>2</v>
      </c>
      <c r="GH216" s="2">
        <v>1</v>
      </c>
      <c r="GI216" s="2">
        <v>-2</v>
      </c>
      <c r="GJ216" s="2">
        <v>0</v>
      </c>
      <c r="GK216" s="2">
        <v>0</v>
      </c>
      <c r="GL216" s="2">
        <f t="shared" si="228"/>
        <v>0</v>
      </c>
      <c r="GM216" s="2">
        <f t="shared" si="229"/>
        <v>0</v>
      </c>
      <c r="GN216" s="2">
        <f t="shared" si="230"/>
        <v>0</v>
      </c>
      <c r="GO216" s="2">
        <f t="shared" si="231"/>
        <v>0</v>
      </c>
      <c r="GP216" s="2">
        <f t="shared" si="232"/>
        <v>0</v>
      </c>
      <c r="GQ216" s="2"/>
      <c r="GR216" s="2">
        <v>0</v>
      </c>
      <c r="GS216" s="2">
        <v>3</v>
      </c>
      <c r="GT216" s="2">
        <v>0</v>
      </c>
      <c r="GU216" s="2" t="s">
        <v>3</v>
      </c>
      <c r="GV216" s="2">
        <f t="shared" si="233"/>
        <v>0</v>
      </c>
      <c r="GW216" s="2">
        <v>1</v>
      </c>
      <c r="GX216" s="2">
        <f t="shared" si="234"/>
        <v>0</v>
      </c>
      <c r="GY216" s="2"/>
      <c r="GZ216" s="2"/>
      <c r="HA216" s="2">
        <v>0</v>
      </c>
      <c r="HB216" s="2">
        <v>0</v>
      </c>
      <c r="HC216" s="2">
        <f t="shared" si="235"/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113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 s="3">
        <v>18</v>
      </c>
      <c r="B217" s="3">
        <v>1</v>
      </c>
      <c r="C217" s="3">
        <v>264</v>
      </c>
      <c r="E217" s="3" t="s">
        <v>3</v>
      </c>
      <c r="F217" s="3" t="s">
        <v>330</v>
      </c>
      <c r="G217" s="3" t="s">
        <v>331</v>
      </c>
      <c r="H217" s="3" t="s">
        <v>332</v>
      </c>
      <c r="I217" s="3">
        <f>I215*J217</f>
        <v>807.84</v>
      </c>
      <c r="J217" s="3">
        <v>102</v>
      </c>
      <c r="K217" s="3">
        <v>102</v>
      </c>
      <c r="O217" s="3">
        <f t="shared" si="211"/>
        <v>0</v>
      </c>
      <c r="P217" s="3">
        <f t="shared" si="212"/>
        <v>0</v>
      </c>
      <c r="Q217" s="3">
        <f t="shared" si="236"/>
        <v>0</v>
      </c>
      <c r="R217" s="3">
        <f t="shared" si="237"/>
        <v>0</v>
      </c>
      <c r="S217" s="3">
        <f t="shared" si="213"/>
        <v>0</v>
      </c>
      <c r="T217" s="3">
        <f t="shared" si="214"/>
        <v>0</v>
      </c>
      <c r="U217" s="3">
        <f t="shared" si="215"/>
        <v>0</v>
      </c>
      <c r="V217" s="3">
        <f t="shared" si="216"/>
        <v>0</v>
      </c>
      <c r="W217" s="3">
        <f t="shared" si="217"/>
        <v>0</v>
      </c>
      <c r="X217" s="3">
        <f t="shared" si="238"/>
        <v>0</v>
      </c>
      <c r="Y217" s="3">
        <f t="shared" si="239"/>
        <v>0</v>
      </c>
      <c r="AA217" s="3">
        <v>-1</v>
      </c>
      <c r="AB217" s="3">
        <f t="shared" si="218"/>
        <v>0</v>
      </c>
      <c r="AC217" s="3">
        <f t="shared" si="240"/>
        <v>0</v>
      </c>
      <c r="AD217" s="3">
        <f t="shared" si="241"/>
        <v>0</v>
      </c>
      <c r="AE217" s="3">
        <f t="shared" si="242"/>
        <v>0</v>
      </c>
      <c r="AF217" s="3">
        <f t="shared" si="242"/>
        <v>0</v>
      </c>
      <c r="AG217" s="3">
        <f t="shared" si="219"/>
        <v>0</v>
      </c>
      <c r="AH217" s="3">
        <f t="shared" si="243"/>
        <v>0</v>
      </c>
      <c r="AI217" s="3">
        <f t="shared" si="243"/>
        <v>0</v>
      </c>
      <c r="AJ217" s="3">
        <f t="shared" si="220"/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90</v>
      </c>
      <c r="AU217" s="3">
        <v>46</v>
      </c>
      <c r="AV217" s="3">
        <v>1.0469999999999999</v>
      </c>
      <c r="AW217" s="3">
        <v>1</v>
      </c>
      <c r="AZ217" s="3">
        <v>1</v>
      </c>
      <c r="BA217" s="3">
        <v>1</v>
      </c>
      <c r="BB217" s="3">
        <v>1</v>
      </c>
      <c r="BC217" s="3">
        <v>9.86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3</v>
      </c>
      <c r="BI217" s="3">
        <v>2</v>
      </c>
      <c r="BJ217" s="3" t="s">
        <v>3</v>
      </c>
      <c r="BM217" s="3">
        <v>68</v>
      </c>
      <c r="BN217" s="3">
        <v>0</v>
      </c>
      <c r="BO217" s="3" t="s">
        <v>3</v>
      </c>
      <c r="BP217" s="3">
        <v>0</v>
      </c>
      <c r="BQ217" s="3">
        <v>40</v>
      </c>
      <c r="BR217" s="3">
        <v>0</v>
      </c>
      <c r="BS217" s="3">
        <v>1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90</v>
      </c>
      <c r="CA217" s="3">
        <v>46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798</v>
      </c>
      <c r="CO217" s="3">
        <v>0</v>
      </c>
      <c r="CP217" s="3">
        <f t="shared" si="221"/>
        <v>0</v>
      </c>
      <c r="CQ217" s="3">
        <f t="shared" si="222"/>
        <v>0</v>
      </c>
      <c r="CR217" s="3">
        <f t="shared" si="244"/>
        <v>0</v>
      </c>
      <c r="CS217" s="3">
        <f t="shared" si="245"/>
        <v>0</v>
      </c>
      <c r="CT217" s="3">
        <f t="shared" si="223"/>
        <v>0</v>
      </c>
      <c r="CU217" s="3">
        <f t="shared" si="224"/>
        <v>0</v>
      </c>
      <c r="CV217" s="3">
        <f t="shared" si="225"/>
        <v>0</v>
      </c>
      <c r="CW217" s="3">
        <f t="shared" si="226"/>
        <v>0</v>
      </c>
      <c r="CX217" s="3">
        <f t="shared" si="227"/>
        <v>0</v>
      </c>
      <c r="CY217" s="3">
        <f t="shared" si="246"/>
        <v>0</v>
      </c>
      <c r="CZ217" s="3">
        <f t="shared" si="247"/>
        <v>0</v>
      </c>
      <c r="DC217" s="3" t="s">
        <v>3</v>
      </c>
      <c r="DD217" s="3" t="s">
        <v>3</v>
      </c>
      <c r="DE217" s="3" t="s">
        <v>3</v>
      </c>
      <c r="DF217" s="3" t="s">
        <v>3</v>
      </c>
      <c r="DG217" s="3" t="s">
        <v>3</v>
      </c>
      <c r="DH217" s="3" t="s">
        <v>3</v>
      </c>
      <c r="DI217" s="3" t="s">
        <v>3</v>
      </c>
      <c r="DJ217" s="3" t="s">
        <v>3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1003</v>
      </c>
      <c r="DV217" s="3" t="s">
        <v>332</v>
      </c>
      <c r="DW217" s="3" t="s">
        <v>332</v>
      </c>
      <c r="DX217" s="3">
        <v>1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55393700</v>
      </c>
      <c r="EF217" s="3">
        <v>40</v>
      </c>
      <c r="EG217" s="3" t="s">
        <v>26</v>
      </c>
      <c r="EH217" s="3">
        <v>0</v>
      </c>
      <c r="EI217" s="3" t="s">
        <v>3</v>
      </c>
      <c r="EJ217" s="3">
        <v>2</v>
      </c>
      <c r="EK217" s="3">
        <v>68</v>
      </c>
      <c r="EL217" s="3" t="s">
        <v>27</v>
      </c>
      <c r="EM217" s="3" t="s">
        <v>28</v>
      </c>
      <c r="EO217" s="3" t="s">
        <v>118</v>
      </c>
      <c r="EQ217" s="3">
        <v>1024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FQ217" s="3">
        <v>0</v>
      </c>
      <c r="FR217" s="3">
        <v>0</v>
      </c>
      <c r="FS217" s="3">
        <v>0</v>
      </c>
      <c r="FX217" s="3">
        <v>90</v>
      </c>
      <c r="FY217" s="3">
        <v>46</v>
      </c>
      <c r="GA217" s="3" t="s">
        <v>3</v>
      </c>
      <c r="GD217" s="3">
        <v>1</v>
      </c>
      <c r="GF217" s="3">
        <v>-1521476738</v>
      </c>
      <c r="GG217" s="3">
        <v>2</v>
      </c>
      <c r="GH217" s="3">
        <v>1</v>
      </c>
      <c r="GI217" s="3">
        <v>5</v>
      </c>
      <c r="GJ217" s="3">
        <v>0</v>
      </c>
      <c r="GK217" s="3">
        <v>0</v>
      </c>
      <c r="GL217" s="3">
        <f t="shared" si="228"/>
        <v>0</v>
      </c>
      <c r="GM217" s="3">
        <f t="shared" si="229"/>
        <v>0</v>
      </c>
      <c r="GN217" s="3">
        <f t="shared" si="230"/>
        <v>0</v>
      </c>
      <c r="GO217" s="3">
        <f t="shared" si="231"/>
        <v>0</v>
      </c>
      <c r="GP217" s="3">
        <f t="shared" si="232"/>
        <v>0</v>
      </c>
      <c r="GR217" s="3">
        <v>0</v>
      </c>
      <c r="GS217" s="3">
        <v>3</v>
      </c>
      <c r="GT217" s="3">
        <v>0</v>
      </c>
      <c r="GU217" s="3" t="s">
        <v>3</v>
      </c>
      <c r="GV217" s="3">
        <f t="shared" si="233"/>
        <v>0</v>
      </c>
      <c r="GW217" s="3">
        <v>1</v>
      </c>
      <c r="GX217" s="3">
        <f t="shared" si="234"/>
        <v>0</v>
      </c>
      <c r="HA217" s="3">
        <v>0</v>
      </c>
      <c r="HB217" s="3">
        <v>0</v>
      </c>
      <c r="HC217" s="3">
        <f t="shared" si="235"/>
        <v>0</v>
      </c>
      <c r="HE217" s="3" t="s">
        <v>3</v>
      </c>
      <c r="HF217" s="3" t="s">
        <v>3</v>
      </c>
      <c r="HM217" s="3" t="s">
        <v>113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8" spans="1:255" x14ac:dyDescent="0.2">
      <c r="A218" s="2">
        <v>18</v>
      </c>
      <c r="B218" s="2">
        <v>1</v>
      </c>
      <c r="C218" s="2">
        <v>254</v>
      </c>
      <c r="D218" s="2"/>
      <c r="E218" s="2" t="s">
        <v>3</v>
      </c>
      <c r="F218" s="2" t="s">
        <v>333</v>
      </c>
      <c r="G218" s="2" t="s">
        <v>334</v>
      </c>
      <c r="H218" s="2" t="s">
        <v>60</v>
      </c>
      <c r="I218" s="2">
        <f>I214*J218</f>
        <v>17.13888</v>
      </c>
      <c r="J218" s="2">
        <v>2.1640000000000001</v>
      </c>
      <c r="K218" s="2">
        <v>2.1640000000000001</v>
      </c>
      <c r="L218" s="2"/>
      <c r="M218" s="2"/>
      <c r="N218" s="2"/>
      <c r="O218" s="2">
        <f t="shared" si="211"/>
        <v>0</v>
      </c>
      <c r="P218" s="2">
        <f t="shared" si="212"/>
        <v>0</v>
      </c>
      <c r="Q218" s="2">
        <f t="shared" si="236"/>
        <v>0</v>
      </c>
      <c r="R218" s="2">
        <f t="shared" si="237"/>
        <v>0</v>
      </c>
      <c r="S218" s="2">
        <f t="shared" si="213"/>
        <v>0</v>
      </c>
      <c r="T218" s="2">
        <f t="shared" si="214"/>
        <v>0</v>
      </c>
      <c r="U218" s="2">
        <f t="shared" si="215"/>
        <v>0</v>
      </c>
      <c r="V218" s="2">
        <f t="shared" si="216"/>
        <v>0</v>
      </c>
      <c r="W218" s="2">
        <f t="shared" si="217"/>
        <v>0</v>
      </c>
      <c r="X218" s="2">
        <f t="shared" si="238"/>
        <v>0</v>
      </c>
      <c r="Y218" s="2">
        <f t="shared" si="239"/>
        <v>0</v>
      </c>
      <c r="Z218" s="2"/>
      <c r="AA218" s="2">
        <v>-1</v>
      </c>
      <c r="AB218" s="2">
        <f t="shared" si="218"/>
        <v>0</v>
      </c>
      <c r="AC218" s="2">
        <f t="shared" si="240"/>
        <v>0</v>
      </c>
      <c r="AD218" s="2">
        <f t="shared" si="241"/>
        <v>0</v>
      </c>
      <c r="AE218" s="2">
        <f t="shared" si="242"/>
        <v>0</v>
      </c>
      <c r="AF218" s="2">
        <f t="shared" si="242"/>
        <v>0</v>
      </c>
      <c r="AG218" s="2">
        <f t="shared" si="219"/>
        <v>0</v>
      </c>
      <c r="AH218" s="2">
        <f t="shared" si="243"/>
        <v>0</v>
      </c>
      <c r="AI218" s="2">
        <f t="shared" si="243"/>
        <v>0</v>
      </c>
      <c r="AJ218" s="2">
        <f t="shared" si="220"/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90</v>
      </c>
      <c r="AU218" s="2">
        <v>46</v>
      </c>
      <c r="AV218" s="2">
        <v>1.0469999999999999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2</v>
      </c>
      <c r="BJ218" s="2" t="s">
        <v>3</v>
      </c>
      <c r="BK218" s="2"/>
      <c r="BL218" s="2"/>
      <c r="BM218" s="2">
        <v>68</v>
      </c>
      <c r="BN218" s="2">
        <v>0</v>
      </c>
      <c r="BO218" s="2" t="s">
        <v>3</v>
      </c>
      <c r="BP218" s="2">
        <v>0</v>
      </c>
      <c r="BQ218" s="2">
        <v>40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90</v>
      </c>
      <c r="CA218" s="2">
        <v>46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798</v>
      </c>
      <c r="CO218" s="2">
        <v>0</v>
      </c>
      <c r="CP218" s="2">
        <f t="shared" si="221"/>
        <v>0</v>
      </c>
      <c r="CQ218" s="2">
        <f t="shared" si="222"/>
        <v>0</v>
      </c>
      <c r="CR218" s="2">
        <f t="shared" si="244"/>
        <v>0</v>
      </c>
      <c r="CS218" s="2">
        <f t="shared" si="245"/>
        <v>0</v>
      </c>
      <c r="CT218" s="2">
        <f t="shared" si="223"/>
        <v>0</v>
      </c>
      <c r="CU218" s="2">
        <f t="shared" si="224"/>
        <v>0</v>
      </c>
      <c r="CV218" s="2">
        <f t="shared" si="225"/>
        <v>0</v>
      </c>
      <c r="CW218" s="2">
        <f t="shared" si="226"/>
        <v>0</v>
      </c>
      <c r="CX218" s="2">
        <f t="shared" si="227"/>
        <v>0</v>
      </c>
      <c r="CY218" s="2">
        <f t="shared" si="246"/>
        <v>0</v>
      </c>
      <c r="CZ218" s="2">
        <f t="shared" si="247"/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1010</v>
      </c>
      <c r="DV218" s="2" t="s">
        <v>60</v>
      </c>
      <c r="DW218" s="2" t="s">
        <v>60</v>
      </c>
      <c r="DX218" s="2">
        <v>100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55393700</v>
      </c>
      <c r="EF218" s="2">
        <v>40</v>
      </c>
      <c r="EG218" s="2" t="s">
        <v>26</v>
      </c>
      <c r="EH218" s="2">
        <v>0</v>
      </c>
      <c r="EI218" s="2" t="s">
        <v>3</v>
      </c>
      <c r="EJ218" s="2">
        <v>2</v>
      </c>
      <c r="EK218" s="2">
        <v>68</v>
      </c>
      <c r="EL218" s="2" t="s">
        <v>27</v>
      </c>
      <c r="EM218" s="2" t="s">
        <v>28</v>
      </c>
      <c r="EN218" s="2"/>
      <c r="EO218" s="2" t="s">
        <v>118</v>
      </c>
      <c r="EP218" s="2"/>
      <c r="EQ218" s="2">
        <v>1024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90</v>
      </c>
      <c r="FY218" s="2">
        <v>46</v>
      </c>
      <c r="FZ218" s="2"/>
      <c r="GA218" s="2" t="s">
        <v>3</v>
      </c>
      <c r="GB218" s="2"/>
      <c r="GC218" s="2"/>
      <c r="GD218" s="2">
        <v>1</v>
      </c>
      <c r="GE218" s="2"/>
      <c r="GF218" s="2">
        <v>-18502350</v>
      </c>
      <c r="GG218" s="2">
        <v>2</v>
      </c>
      <c r="GH218" s="2">
        <v>1</v>
      </c>
      <c r="GI218" s="2">
        <v>-2</v>
      </c>
      <c r="GJ218" s="2">
        <v>0</v>
      </c>
      <c r="GK218" s="2">
        <v>0</v>
      </c>
      <c r="GL218" s="2">
        <f t="shared" si="228"/>
        <v>0</v>
      </c>
      <c r="GM218" s="2">
        <f t="shared" si="229"/>
        <v>0</v>
      </c>
      <c r="GN218" s="2">
        <f t="shared" si="230"/>
        <v>0</v>
      </c>
      <c r="GO218" s="2">
        <f t="shared" si="231"/>
        <v>0</v>
      </c>
      <c r="GP218" s="2">
        <f t="shared" si="232"/>
        <v>0</v>
      </c>
      <c r="GQ218" s="2"/>
      <c r="GR218" s="2">
        <v>0</v>
      </c>
      <c r="GS218" s="2">
        <v>3</v>
      </c>
      <c r="GT218" s="2">
        <v>0</v>
      </c>
      <c r="GU218" s="2" t="s">
        <v>3</v>
      </c>
      <c r="GV218" s="2">
        <f t="shared" si="233"/>
        <v>0</v>
      </c>
      <c r="GW218" s="2">
        <v>1</v>
      </c>
      <c r="GX218" s="2">
        <f t="shared" si="234"/>
        <v>0</v>
      </c>
      <c r="GY218" s="2"/>
      <c r="GZ218" s="2"/>
      <c r="HA218" s="2">
        <v>0</v>
      </c>
      <c r="HB218" s="2">
        <v>0</v>
      </c>
      <c r="HC218" s="2">
        <f t="shared" si="235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113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 s="3">
        <v>18</v>
      </c>
      <c r="B219" s="3">
        <v>1</v>
      </c>
      <c r="C219" s="3">
        <v>265</v>
      </c>
      <c r="E219" s="3" t="s">
        <v>3</v>
      </c>
      <c r="F219" s="3" t="s">
        <v>333</v>
      </c>
      <c r="G219" s="3" t="s">
        <v>334</v>
      </c>
      <c r="H219" s="3" t="s">
        <v>60</v>
      </c>
      <c r="I219" s="3">
        <f>I215*J219</f>
        <v>17.13888</v>
      </c>
      <c r="J219" s="3">
        <v>2.1640000000000001</v>
      </c>
      <c r="K219" s="3">
        <v>2.1640000000000001</v>
      </c>
      <c r="O219" s="3">
        <f t="shared" si="211"/>
        <v>0</v>
      </c>
      <c r="P219" s="3">
        <f t="shared" si="212"/>
        <v>0</v>
      </c>
      <c r="Q219" s="3">
        <f t="shared" si="236"/>
        <v>0</v>
      </c>
      <c r="R219" s="3">
        <f t="shared" si="237"/>
        <v>0</v>
      </c>
      <c r="S219" s="3">
        <f t="shared" si="213"/>
        <v>0</v>
      </c>
      <c r="T219" s="3">
        <f t="shared" si="214"/>
        <v>0</v>
      </c>
      <c r="U219" s="3">
        <f t="shared" si="215"/>
        <v>0</v>
      </c>
      <c r="V219" s="3">
        <f t="shared" si="216"/>
        <v>0</v>
      </c>
      <c r="W219" s="3">
        <f t="shared" si="217"/>
        <v>0</v>
      </c>
      <c r="X219" s="3">
        <f t="shared" si="238"/>
        <v>0</v>
      </c>
      <c r="Y219" s="3">
        <f t="shared" si="239"/>
        <v>0</v>
      </c>
      <c r="AA219" s="3">
        <v>-1</v>
      </c>
      <c r="AB219" s="3">
        <f t="shared" si="218"/>
        <v>0</v>
      </c>
      <c r="AC219" s="3">
        <f t="shared" si="240"/>
        <v>0</v>
      </c>
      <c r="AD219" s="3">
        <f t="shared" si="241"/>
        <v>0</v>
      </c>
      <c r="AE219" s="3">
        <f t="shared" si="242"/>
        <v>0</v>
      </c>
      <c r="AF219" s="3">
        <f t="shared" si="242"/>
        <v>0</v>
      </c>
      <c r="AG219" s="3">
        <f t="shared" si="219"/>
        <v>0</v>
      </c>
      <c r="AH219" s="3">
        <f t="shared" si="243"/>
        <v>0</v>
      </c>
      <c r="AI219" s="3">
        <f t="shared" si="243"/>
        <v>0</v>
      </c>
      <c r="AJ219" s="3">
        <f t="shared" si="220"/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90</v>
      </c>
      <c r="AU219" s="3">
        <v>46</v>
      </c>
      <c r="AV219" s="3">
        <v>1.0469999999999999</v>
      </c>
      <c r="AW219" s="3">
        <v>1</v>
      </c>
      <c r="AZ219" s="3">
        <v>1</v>
      </c>
      <c r="BA219" s="3">
        <v>1</v>
      </c>
      <c r="BB219" s="3">
        <v>1</v>
      </c>
      <c r="BC219" s="3">
        <v>9.86</v>
      </c>
      <c r="BD219" s="3" t="s">
        <v>3</v>
      </c>
      <c r="BE219" s="3" t="s">
        <v>3</v>
      </c>
      <c r="BF219" s="3" t="s">
        <v>3</v>
      </c>
      <c r="BG219" s="3" t="s">
        <v>3</v>
      </c>
      <c r="BH219" s="3">
        <v>3</v>
      </c>
      <c r="BI219" s="3">
        <v>2</v>
      </c>
      <c r="BJ219" s="3" t="s">
        <v>3</v>
      </c>
      <c r="BM219" s="3">
        <v>68</v>
      </c>
      <c r="BN219" s="3">
        <v>0</v>
      </c>
      <c r="BO219" s="3" t="s">
        <v>3</v>
      </c>
      <c r="BP219" s="3">
        <v>0</v>
      </c>
      <c r="BQ219" s="3">
        <v>40</v>
      </c>
      <c r="BR219" s="3">
        <v>0</v>
      </c>
      <c r="BS219" s="3">
        <v>1</v>
      </c>
      <c r="BT219" s="3">
        <v>1</v>
      </c>
      <c r="BU219" s="3">
        <v>1</v>
      </c>
      <c r="BV219" s="3">
        <v>1</v>
      </c>
      <c r="BW219" s="3">
        <v>1</v>
      </c>
      <c r="BX219" s="3">
        <v>1</v>
      </c>
      <c r="BY219" s="3" t="s">
        <v>3</v>
      </c>
      <c r="BZ219" s="3">
        <v>90</v>
      </c>
      <c r="CA219" s="3">
        <v>46</v>
      </c>
      <c r="CB219" s="3" t="s">
        <v>3</v>
      </c>
      <c r="CE219" s="3">
        <v>1566</v>
      </c>
      <c r="CF219" s="3">
        <v>0</v>
      </c>
      <c r="CG219" s="3">
        <v>0</v>
      </c>
      <c r="CM219" s="3">
        <v>0</v>
      </c>
      <c r="CN219" s="3" t="s">
        <v>798</v>
      </c>
      <c r="CO219" s="3">
        <v>0</v>
      </c>
      <c r="CP219" s="3">
        <f t="shared" si="221"/>
        <v>0</v>
      </c>
      <c r="CQ219" s="3">
        <f t="shared" si="222"/>
        <v>0</v>
      </c>
      <c r="CR219" s="3">
        <f t="shared" si="244"/>
        <v>0</v>
      </c>
      <c r="CS219" s="3">
        <f t="shared" si="245"/>
        <v>0</v>
      </c>
      <c r="CT219" s="3">
        <f t="shared" si="223"/>
        <v>0</v>
      </c>
      <c r="CU219" s="3">
        <f t="shared" si="224"/>
        <v>0</v>
      </c>
      <c r="CV219" s="3">
        <f t="shared" si="225"/>
        <v>0</v>
      </c>
      <c r="CW219" s="3">
        <f t="shared" si="226"/>
        <v>0</v>
      </c>
      <c r="CX219" s="3">
        <f t="shared" si="227"/>
        <v>0</v>
      </c>
      <c r="CY219" s="3">
        <f t="shared" si="246"/>
        <v>0</v>
      </c>
      <c r="CZ219" s="3">
        <f t="shared" si="247"/>
        <v>0</v>
      </c>
      <c r="DC219" s="3" t="s">
        <v>3</v>
      </c>
      <c r="DD219" s="3" t="s">
        <v>3</v>
      </c>
      <c r="DE219" s="3" t="s">
        <v>3</v>
      </c>
      <c r="DF219" s="3" t="s">
        <v>3</v>
      </c>
      <c r="DG219" s="3" t="s">
        <v>3</v>
      </c>
      <c r="DH219" s="3" t="s">
        <v>3</v>
      </c>
      <c r="DI219" s="3" t="s">
        <v>3</v>
      </c>
      <c r="DJ219" s="3" t="s">
        <v>3</v>
      </c>
      <c r="DK219" s="3" t="s">
        <v>3</v>
      </c>
      <c r="DL219" s="3" t="s">
        <v>3</v>
      </c>
      <c r="DM219" s="3" t="s">
        <v>3</v>
      </c>
      <c r="DN219" s="3">
        <v>0</v>
      </c>
      <c r="DO219" s="3">
        <v>0</v>
      </c>
      <c r="DP219" s="3">
        <v>1</v>
      </c>
      <c r="DQ219" s="3">
        <v>1</v>
      </c>
      <c r="DU219" s="3">
        <v>1010</v>
      </c>
      <c r="DV219" s="3" t="s">
        <v>60</v>
      </c>
      <c r="DW219" s="3" t="s">
        <v>60</v>
      </c>
      <c r="DX219" s="3">
        <v>100</v>
      </c>
      <c r="DZ219" s="3" t="s">
        <v>3</v>
      </c>
      <c r="EA219" s="3" t="s">
        <v>3</v>
      </c>
      <c r="EB219" s="3" t="s">
        <v>3</v>
      </c>
      <c r="EC219" s="3" t="s">
        <v>3</v>
      </c>
      <c r="EE219" s="3">
        <v>55393700</v>
      </c>
      <c r="EF219" s="3">
        <v>40</v>
      </c>
      <c r="EG219" s="3" t="s">
        <v>26</v>
      </c>
      <c r="EH219" s="3">
        <v>0</v>
      </c>
      <c r="EI219" s="3" t="s">
        <v>3</v>
      </c>
      <c r="EJ219" s="3">
        <v>2</v>
      </c>
      <c r="EK219" s="3">
        <v>68</v>
      </c>
      <c r="EL219" s="3" t="s">
        <v>27</v>
      </c>
      <c r="EM219" s="3" t="s">
        <v>28</v>
      </c>
      <c r="EO219" s="3" t="s">
        <v>118</v>
      </c>
      <c r="EQ219" s="3">
        <v>1024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FQ219" s="3">
        <v>0</v>
      </c>
      <c r="FR219" s="3">
        <v>0</v>
      </c>
      <c r="FS219" s="3">
        <v>0</v>
      </c>
      <c r="FX219" s="3">
        <v>90</v>
      </c>
      <c r="FY219" s="3">
        <v>46</v>
      </c>
      <c r="GA219" s="3" t="s">
        <v>3</v>
      </c>
      <c r="GD219" s="3">
        <v>1</v>
      </c>
      <c r="GF219" s="3">
        <v>-18502350</v>
      </c>
      <c r="GG219" s="3">
        <v>2</v>
      </c>
      <c r="GH219" s="3">
        <v>1</v>
      </c>
      <c r="GI219" s="3">
        <v>5</v>
      </c>
      <c r="GJ219" s="3">
        <v>0</v>
      </c>
      <c r="GK219" s="3">
        <v>0</v>
      </c>
      <c r="GL219" s="3">
        <f t="shared" si="228"/>
        <v>0</v>
      </c>
      <c r="GM219" s="3">
        <f t="shared" si="229"/>
        <v>0</v>
      </c>
      <c r="GN219" s="3">
        <f t="shared" si="230"/>
        <v>0</v>
      </c>
      <c r="GO219" s="3">
        <f t="shared" si="231"/>
        <v>0</v>
      </c>
      <c r="GP219" s="3">
        <f t="shared" si="232"/>
        <v>0</v>
      </c>
      <c r="GR219" s="3">
        <v>0</v>
      </c>
      <c r="GS219" s="3">
        <v>3</v>
      </c>
      <c r="GT219" s="3">
        <v>0</v>
      </c>
      <c r="GU219" s="3" t="s">
        <v>3</v>
      </c>
      <c r="GV219" s="3">
        <f t="shared" si="233"/>
        <v>0</v>
      </c>
      <c r="GW219" s="3">
        <v>1</v>
      </c>
      <c r="GX219" s="3">
        <f t="shared" si="234"/>
        <v>0</v>
      </c>
      <c r="HA219" s="3">
        <v>0</v>
      </c>
      <c r="HB219" s="3">
        <v>0</v>
      </c>
      <c r="HC219" s="3">
        <f t="shared" si="235"/>
        <v>0</v>
      </c>
      <c r="HE219" s="3" t="s">
        <v>3</v>
      </c>
      <c r="HF219" s="3" t="s">
        <v>3</v>
      </c>
      <c r="HM219" s="3" t="s">
        <v>113</v>
      </c>
      <c r="HN219" s="3" t="s">
        <v>3</v>
      </c>
      <c r="HO219" s="3" t="s">
        <v>3</v>
      </c>
      <c r="HP219" s="3" t="s">
        <v>3</v>
      </c>
      <c r="HQ219" s="3" t="s">
        <v>3</v>
      </c>
      <c r="HS219" s="3">
        <v>0</v>
      </c>
      <c r="IK219" s="3">
        <v>0</v>
      </c>
    </row>
    <row r="220" spans="1:255" x14ac:dyDescent="0.2">
      <c r="A220" s="2">
        <v>18</v>
      </c>
      <c r="B220" s="2">
        <v>1</v>
      </c>
      <c r="C220" s="2">
        <v>255</v>
      </c>
      <c r="D220" s="2"/>
      <c r="E220" s="2" t="s">
        <v>3</v>
      </c>
      <c r="F220" s="2" t="s">
        <v>335</v>
      </c>
      <c r="G220" s="2" t="s">
        <v>336</v>
      </c>
      <c r="H220" s="2" t="s">
        <v>337</v>
      </c>
      <c r="I220" s="2">
        <f>I214*J220</f>
        <v>0</v>
      </c>
      <c r="J220" s="2">
        <v>0</v>
      </c>
      <c r="K220" s="2">
        <v>0</v>
      </c>
      <c r="L220" s="2"/>
      <c r="M220" s="2"/>
      <c r="N220" s="2"/>
      <c r="O220" s="2">
        <f t="shared" si="211"/>
        <v>0</v>
      </c>
      <c r="P220" s="2">
        <f t="shared" si="212"/>
        <v>0</v>
      </c>
      <c r="Q220" s="2">
        <f t="shared" si="236"/>
        <v>0</v>
      </c>
      <c r="R220" s="2">
        <f t="shared" si="237"/>
        <v>0</v>
      </c>
      <c r="S220" s="2">
        <f t="shared" si="213"/>
        <v>0</v>
      </c>
      <c r="T220" s="2">
        <f t="shared" si="214"/>
        <v>0</v>
      </c>
      <c r="U220" s="2">
        <f t="shared" si="215"/>
        <v>0</v>
      </c>
      <c r="V220" s="2">
        <f t="shared" si="216"/>
        <v>0</v>
      </c>
      <c r="W220" s="2">
        <f t="shared" si="217"/>
        <v>0</v>
      </c>
      <c r="X220" s="2">
        <f t="shared" si="238"/>
        <v>0</v>
      </c>
      <c r="Y220" s="2">
        <f t="shared" si="239"/>
        <v>0</v>
      </c>
      <c r="Z220" s="2"/>
      <c r="AA220" s="2">
        <v>-1</v>
      </c>
      <c r="AB220" s="2">
        <f t="shared" si="218"/>
        <v>0</v>
      </c>
      <c r="AC220" s="2">
        <f t="shared" si="240"/>
        <v>0</v>
      </c>
      <c r="AD220" s="2">
        <f t="shared" si="241"/>
        <v>0</v>
      </c>
      <c r="AE220" s="2">
        <f t="shared" si="242"/>
        <v>0</v>
      </c>
      <c r="AF220" s="2">
        <f t="shared" si="242"/>
        <v>0</v>
      </c>
      <c r="AG220" s="2">
        <f t="shared" si="219"/>
        <v>0</v>
      </c>
      <c r="AH220" s="2">
        <f t="shared" si="243"/>
        <v>0</v>
      </c>
      <c r="AI220" s="2">
        <f t="shared" si="243"/>
        <v>0</v>
      </c>
      <c r="AJ220" s="2">
        <f t="shared" si="220"/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90</v>
      </c>
      <c r="AU220" s="2">
        <v>46</v>
      </c>
      <c r="AV220" s="2">
        <v>1.0469999999999999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2</v>
      </c>
      <c r="BJ220" s="2" t="s">
        <v>3</v>
      </c>
      <c r="BK220" s="2"/>
      <c r="BL220" s="2"/>
      <c r="BM220" s="2">
        <v>68</v>
      </c>
      <c r="BN220" s="2">
        <v>0</v>
      </c>
      <c r="BO220" s="2" t="s">
        <v>3</v>
      </c>
      <c r="BP220" s="2">
        <v>0</v>
      </c>
      <c r="BQ220" s="2">
        <v>40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90</v>
      </c>
      <c r="CA220" s="2">
        <v>46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798</v>
      </c>
      <c r="CO220" s="2">
        <v>0</v>
      </c>
      <c r="CP220" s="2">
        <f t="shared" si="221"/>
        <v>0</v>
      </c>
      <c r="CQ220" s="2">
        <f t="shared" si="222"/>
        <v>0</v>
      </c>
      <c r="CR220" s="2">
        <f t="shared" si="244"/>
        <v>0</v>
      </c>
      <c r="CS220" s="2">
        <f t="shared" si="245"/>
        <v>0</v>
      </c>
      <c r="CT220" s="2">
        <f t="shared" si="223"/>
        <v>0</v>
      </c>
      <c r="CU220" s="2">
        <f t="shared" si="224"/>
        <v>0</v>
      </c>
      <c r="CV220" s="2">
        <f t="shared" si="225"/>
        <v>0</v>
      </c>
      <c r="CW220" s="2">
        <f t="shared" si="226"/>
        <v>0</v>
      </c>
      <c r="CX220" s="2">
        <f t="shared" si="227"/>
        <v>0</v>
      </c>
      <c r="CY220" s="2">
        <f t="shared" si="246"/>
        <v>0</v>
      </c>
      <c r="CZ220" s="2">
        <f t="shared" si="247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1003</v>
      </c>
      <c r="DV220" s="2" t="s">
        <v>337</v>
      </c>
      <c r="DW220" s="2" t="s">
        <v>337</v>
      </c>
      <c r="DX220" s="2">
        <v>1000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55393700</v>
      </c>
      <c r="EF220" s="2">
        <v>40</v>
      </c>
      <c r="EG220" s="2" t="s">
        <v>26</v>
      </c>
      <c r="EH220" s="2">
        <v>0</v>
      </c>
      <c r="EI220" s="2" t="s">
        <v>3</v>
      </c>
      <c r="EJ220" s="2">
        <v>2</v>
      </c>
      <c r="EK220" s="2">
        <v>68</v>
      </c>
      <c r="EL220" s="2" t="s">
        <v>27</v>
      </c>
      <c r="EM220" s="2" t="s">
        <v>28</v>
      </c>
      <c r="EN220" s="2"/>
      <c r="EO220" s="2" t="s">
        <v>118</v>
      </c>
      <c r="EP220" s="2"/>
      <c r="EQ220" s="2">
        <v>1024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90</v>
      </c>
      <c r="FY220" s="2">
        <v>46</v>
      </c>
      <c r="FZ220" s="2"/>
      <c r="GA220" s="2" t="s">
        <v>3</v>
      </c>
      <c r="GB220" s="2"/>
      <c r="GC220" s="2"/>
      <c r="GD220" s="2">
        <v>1</v>
      </c>
      <c r="GE220" s="2"/>
      <c r="GF220" s="2">
        <v>683689724</v>
      </c>
      <c r="GG220" s="2">
        <v>2</v>
      </c>
      <c r="GH220" s="2">
        <v>1</v>
      </c>
      <c r="GI220" s="2">
        <v>-2</v>
      </c>
      <c r="GJ220" s="2">
        <v>0</v>
      </c>
      <c r="GK220" s="2">
        <v>0</v>
      </c>
      <c r="GL220" s="2">
        <f t="shared" si="228"/>
        <v>0</v>
      </c>
      <c r="GM220" s="2">
        <f t="shared" si="229"/>
        <v>0</v>
      </c>
      <c r="GN220" s="2">
        <f t="shared" si="230"/>
        <v>0</v>
      </c>
      <c r="GO220" s="2">
        <f t="shared" si="231"/>
        <v>0</v>
      </c>
      <c r="GP220" s="2">
        <f t="shared" si="232"/>
        <v>0</v>
      </c>
      <c r="GQ220" s="2"/>
      <c r="GR220" s="2">
        <v>0</v>
      </c>
      <c r="GS220" s="2">
        <v>3</v>
      </c>
      <c r="GT220" s="2">
        <v>0</v>
      </c>
      <c r="GU220" s="2" t="s">
        <v>3</v>
      </c>
      <c r="GV220" s="2">
        <f t="shared" si="233"/>
        <v>0</v>
      </c>
      <c r="GW220" s="2">
        <v>1</v>
      </c>
      <c r="GX220" s="2">
        <f t="shared" si="234"/>
        <v>0</v>
      </c>
      <c r="GY220" s="2"/>
      <c r="GZ220" s="2"/>
      <c r="HA220" s="2">
        <v>0</v>
      </c>
      <c r="HB220" s="2">
        <v>0</v>
      </c>
      <c r="HC220" s="2">
        <f t="shared" si="235"/>
        <v>0</v>
      </c>
      <c r="HD220" s="2"/>
      <c r="HE220" s="2" t="s">
        <v>3</v>
      </c>
      <c r="HF220" s="2" t="s">
        <v>3</v>
      </c>
      <c r="HG220" s="2"/>
      <c r="HH220" s="2"/>
      <c r="HI220" s="2"/>
      <c r="HJ220" s="2"/>
      <c r="HK220" s="2"/>
      <c r="HL220" s="2"/>
      <c r="HM220" s="2" t="s">
        <v>113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 s="3">
        <v>18</v>
      </c>
      <c r="B221" s="3">
        <v>1</v>
      </c>
      <c r="C221" s="3">
        <v>266</v>
      </c>
      <c r="E221" s="3" t="s">
        <v>3</v>
      </c>
      <c r="F221" s="3" t="s">
        <v>335</v>
      </c>
      <c r="G221" s="3" t="s">
        <v>336</v>
      </c>
      <c r="H221" s="3" t="s">
        <v>337</v>
      </c>
      <c r="I221" s="3">
        <f>I215*J221</f>
        <v>0</v>
      </c>
      <c r="J221" s="3">
        <v>0</v>
      </c>
      <c r="K221" s="3">
        <v>0</v>
      </c>
      <c r="O221" s="3">
        <f t="shared" si="211"/>
        <v>0</v>
      </c>
      <c r="P221" s="3">
        <f t="shared" si="212"/>
        <v>0</v>
      </c>
      <c r="Q221" s="3">
        <f t="shared" si="236"/>
        <v>0</v>
      </c>
      <c r="R221" s="3">
        <f t="shared" si="237"/>
        <v>0</v>
      </c>
      <c r="S221" s="3">
        <f t="shared" si="213"/>
        <v>0</v>
      </c>
      <c r="T221" s="3">
        <f t="shared" si="214"/>
        <v>0</v>
      </c>
      <c r="U221" s="3">
        <f t="shared" si="215"/>
        <v>0</v>
      </c>
      <c r="V221" s="3">
        <f t="shared" si="216"/>
        <v>0</v>
      </c>
      <c r="W221" s="3">
        <f t="shared" si="217"/>
        <v>0</v>
      </c>
      <c r="X221" s="3">
        <f t="shared" si="238"/>
        <v>0</v>
      </c>
      <c r="Y221" s="3">
        <f t="shared" si="239"/>
        <v>0</v>
      </c>
      <c r="AA221" s="3">
        <v>-1</v>
      </c>
      <c r="AB221" s="3">
        <f t="shared" si="218"/>
        <v>0</v>
      </c>
      <c r="AC221" s="3">
        <f t="shared" si="240"/>
        <v>0</v>
      </c>
      <c r="AD221" s="3">
        <f t="shared" si="241"/>
        <v>0</v>
      </c>
      <c r="AE221" s="3">
        <f t="shared" si="242"/>
        <v>0</v>
      </c>
      <c r="AF221" s="3">
        <f t="shared" si="242"/>
        <v>0</v>
      </c>
      <c r="AG221" s="3">
        <f t="shared" si="219"/>
        <v>0</v>
      </c>
      <c r="AH221" s="3">
        <f t="shared" si="243"/>
        <v>0</v>
      </c>
      <c r="AI221" s="3">
        <f t="shared" si="243"/>
        <v>0</v>
      </c>
      <c r="AJ221" s="3">
        <f t="shared" si="220"/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90</v>
      </c>
      <c r="AU221" s="3">
        <v>46</v>
      </c>
      <c r="AV221" s="3">
        <v>1.0469999999999999</v>
      </c>
      <c r="AW221" s="3">
        <v>1</v>
      </c>
      <c r="AZ221" s="3">
        <v>1</v>
      </c>
      <c r="BA221" s="3">
        <v>1</v>
      </c>
      <c r="BB221" s="3">
        <v>1</v>
      </c>
      <c r="BC221" s="3">
        <v>9.86</v>
      </c>
      <c r="BD221" s="3" t="s">
        <v>3</v>
      </c>
      <c r="BE221" s="3" t="s">
        <v>3</v>
      </c>
      <c r="BF221" s="3" t="s">
        <v>3</v>
      </c>
      <c r="BG221" s="3" t="s">
        <v>3</v>
      </c>
      <c r="BH221" s="3">
        <v>3</v>
      </c>
      <c r="BI221" s="3">
        <v>2</v>
      </c>
      <c r="BJ221" s="3" t="s">
        <v>3</v>
      </c>
      <c r="BM221" s="3">
        <v>68</v>
      </c>
      <c r="BN221" s="3">
        <v>0</v>
      </c>
      <c r="BO221" s="3" t="s">
        <v>3</v>
      </c>
      <c r="BP221" s="3">
        <v>0</v>
      </c>
      <c r="BQ221" s="3">
        <v>40</v>
      </c>
      <c r="BR221" s="3">
        <v>0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 t="s">
        <v>3</v>
      </c>
      <c r="BZ221" s="3">
        <v>90</v>
      </c>
      <c r="CA221" s="3">
        <v>46</v>
      </c>
      <c r="CB221" s="3" t="s">
        <v>3</v>
      </c>
      <c r="CE221" s="3">
        <v>1566</v>
      </c>
      <c r="CF221" s="3">
        <v>0</v>
      </c>
      <c r="CG221" s="3">
        <v>0</v>
      </c>
      <c r="CM221" s="3">
        <v>0</v>
      </c>
      <c r="CN221" s="3" t="s">
        <v>798</v>
      </c>
      <c r="CO221" s="3">
        <v>0</v>
      </c>
      <c r="CP221" s="3">
        <f t="shared" si="221"/>
        <v>0</v>
      </c>
      <c r="CQ221" s="3">
        <f t="shared" si="222"/>
        <v>0</v>
      </c>
      <c r="CR221" s="3">
        <f t="shared" si="244"/>
        <v>0</v>
      </c>
      <c r="CS221" s="3">
        <f t="shared" si="245"/>
        <v>0</v>
      </c>
      <c r="CT221" s="3">
        <f t="shared" si="223"/>
        <v>0</v>
      </c>
      <c r="CU221" s="3">
        <f t="shared" si="224"/>
        <v>0</v>
      </c>
      <c r="CV221" s="3">
        <f t="shared" si="225"/>
        <v>0</v>
      </c>
      <c r="CW221" s="3">
        <f t="shared" si="226"/>
        <v>0</v>
      </c>
      <c r="CX221" s="3">
        <f t="shared" si="227"/>
        <v>0</v>
      </c>
      <c r="CY221" s="3">
        <f t="shared" si="246"/>
        <v>0</v>
      </c>
      <c r="CZ221" s="3">
        <f t="shared" si="247"/>
        <v>0</v>
      </c>
      <c r="DC221" s="3" t="s">
        <v>3</v>
      </c>
      <c r="DD221" s="3" t="s">
        <v>3</v>
      </c>
      <c r="DE221" s="3" t="s">
        <v>3</v>
      </c>
      <c r="DF221" s="3" t="s">
        <v>3</v>
      </c>
      <c r="DG221" s="3" t="s">
        <v>3</v>
      </c>
      <c r="DH221" s="3" t="s">
        <v>3</v>
      </c>
      <c r="DI221" s="3" t="s">
        <v>3</v>
      </c>
      <c r="DJ221" s="3" t="s">
        <v>3</v>
      </c>
      <c r="DK221" s="3" t="s">
        <v>3</v>
      </c>
      <c r="DL221" s="3" t="s">
        <v>3</v>
      </c>
      <c r="DM221" s="3" t="s">
        <v>3</v>
      </c>
      <c r="DN221" s="3">
        <v>0</v>
      </c>
      <c r="DO221" s="3">
        <v>0</v>
      </c>
      <c r="DP221" s="3">
        <v>1</v>
      </c>
      <c r="DQ221" s="3">
        <v>1</v>
      </c>
      <c r="DU221" s="3">
        <v>1003</v>
      </c>
      <c r="DV221" s="3" t="s">
        <v>337</v>
      </c>
      <c r="DW221" s="3" t="s">
        <v>337</v>
      </c>
      <c r="DX221" s="3">
        <v>1000</v>
      </c>
      <c r="DZ221" s="3" t="s">
        <v>3</v>
      </c>
      <c r="EA221" s="3" t="s">
        <v>3</v>
      </c>
      <c r="EB221" s="3" t="s">
        <v>3</v>
      </c>
      <c r="EC221" s="3" t="s">
        <v>3</v>
      </c>
      <c r="EE221" s="3">
        <v>55393700</v>
      </c>
      <c r="EF221" s="3">
        <v>40</v>
      </c>
      <c r="EG221" s="3" t="s">
        <v>26</v>
      </c>
      <c r="EH221" s="3">
        <v>0</v>
      </c>
      <c r="EI221" s="3" t="s">
        <v>3</v>
      </c>
      <c r="EJ221" s="3">
        <v>2</v>
      </c>
      <c r="EK221" s="3">
        <v>68</v>
      </c>
      <c r="EL221" s="3" t="s">
        <v>27</v>
      </c>
      <c r="EM221" s="3" t="s">
        <v>28</v>
      </c>
      <c r="EO221" s="3" t="s">
        <v>118</v>
      </c>
      <c r="EQ221" s="3">
        <v>1024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FQ221" s="3">
        <v>0</v>
      </c>
      <c r="FR221" s="3">
        <v>0</v>
      </c>
      <c r="FS221" s="3">
        <v>0</v>
      </c>
      <c r="FX221" s="3">
        <v>90</v>
      </c>
      <c r="FY221" s="3">
        <v>46</v>
      </c>
      <c r="GA221" s="3" t="s">
        <v>3</v>
      </c>
      <c r="GD221" s="3">
        <v>1</v>
      </c>
      <c r="GF221" s="3">
        <v>683689724</v>
      </c>
      <c r="GG221" s="3">
        <v>2</v>
      </c>
      <c r="GH221" s="3">
        <v>1</v>
      </c>
      <c r="GI221" s="3">
        <v>5</v>
      </c>
      <c r="GJ221" s="3">
        <v>0</v>
      </c>
      <c r="GK221" s="3">
        <v>0</v>
      </c>
      <c r="GL221" s="3">
        <f t="shared" si="228"/>
        <v>0</v>
      </c>
      <c r="GM221" s="3">
        <f t="shared" si="229"/>
        <v>0</v>
      </c>
      <c r="GN221" s="3">
        <f t="shared" si="230"/>
        <v>0</v>
      </c>
      <c r="GO221" s="3">
        <f t="shared" si="231"/>
        <v>0</v>
      </c>
      <c r="GP221" s="3">
        <f t="shared" si="232"/>
        <v>0</v>
      </c>
      <c r="GR221" s="3">
        <v>0</v>
      </c>
      <c r="GS221" s="3">
        <v>3</v>
      </c>
      <c r="GT221" s="3">
        <v>0</v>
      </c>
      <c r="GU221" s="3" t="s">
        <v>3</v>
      </c>
      <c r="GV221" s="3">
        <f t="shared" si="233"/>
        <v>0</v>
      </c>
      <c r="GW221" s="3">
        <v>1</v>
      </c>
      <c r="GX221" s="3">
        <f t="shared" si="234"/>
        <v>0</v>
      </c>
      <c r="HA221" s="3">
        <v>0</v>
      </c>
      <c r="HB221" s="3">
        <v>0</v>
      </c>
      <c r="HC221" s="3">
        <f t="shared" si="235"/>
        <v>0</v>
      </c>
      <c r="HE221" s="3" t="s">
        <v>3</v>
      </c>
      <c r="HF221" s="3" t="s">
        <v>3</v>
      </c>
      <c r="HM221" s="3" t="s">
        <v>113</v>
      </c>
      <c r="HN221" s="3" t="s">
        <v>3</v>
      </c>
      <c r="HO221" s="3" t="s">
        <v>3</v>
      </c>
      <c r="HP221" s="3" t="s">
        <v>3</v>
      </c>
      <c r="HQ221" s="3" t="s">
        <v>3</v>
      </c>
      <c r="HS221" s="3">
        <v>0</v>
      </c>
      <c r="IK221" s="3">
        <v>0</v>
      </c>
    </row>
    <row r="222" spans="1:255" x14ac:dyDescent="0.2">
      <c r="A222" s="2">
        <v>17</v>
      </c>
      <c r="B222" s="2">
        <v>1</v>
      </c>
      <c r="C222" s="2">
        <f>ROW(SmtRes!A270)</f>
        <v>270</v>
      </c>
      <c r="D222" s="2">
        <f>ROW(EtalonRes!A328)</f>
        <v>328</v>
      </c>
      <c r="E222" s="2" t="s">
        <v>338</v>
      </c>
      <c r="F222" s="2" t="s">
        <v>339</v>
      </c>
      <c r="G222" s="2" t="s">
        <v>340</v>
      </c>
      <c r="H222" s="2" t="s">
        <v>111</v>
      </c>
      <c r="I222" s="2">
        <f>ROUND((642)/100,9)</f>
        <v>6.42</v>
      </c>
      <c r="J222" s="2">
        <v>0</v>
      </c>
      <c r="K222" s="2">
        <f>ROUND((642)/100,9)</f>
        <v>6.42</v>
      </c>
      <c r="L222" s="2"/>
      <c r="M222" s="2"/>
      <c r="N222" s="2"/>
      <c r="O222" s="2">
        <f t="shared" si="211"/>
        <v>3833.66</v>
      </c>
      <c r="P222" s="2">
        <f t="shared" si="212"/>
        <v>2017.74</v>
      </c>
      <c r="Q222" s="2">
        <f>(ROUND((ROUND((((ET222*1.2))*AV222*I222),2)*BB222),2)+ROUND((ROUND(((AE222-((EU222*1.2)))*AV222*I222),2)*BS222),2))</f>
        <v>265.13</v>
      </c>
      <c r="R222" s="2">
        <f>(ROUND((ROUND((((EU222*1.2))*AV222*I222),2)*BS222),2)+ROUND((ROUND(((AE222-((EU222*1.2)))*AV222*I222),2)*BS222),2))</f>
        <v>46.06</v>
      </c>
      <c r="S222" s="2">
        <f t="shared" si="213"/>
        <v>1550.79</v>
      </c>
      <c r="T222" s="2">
        <f t="shared" si="214"/>
        <v>0</v>
      </c>
      <c r="U222" s="2">
        <f t="shared" si="215"/>
        <v>120.99132</v>
      </c>
      <c r="V222" s="2">
        <f t="shared" si="216"/>
        <v>0</v>
      </c>
      <c r="W222" s="2">
        <f t="shared" si="217"/>
        <v>0</v>
      </c>
      <c r="X222" s="2">
        <f>(ROUND((((S222+ROUND((ROUND((((EU222*1.2))*AV222*I222),2)*BS222),2))*AT222)/100),2)+ROUND(((ROUND((ROUND(((AE222-((EU222*1.2)))*AV222*I222),2)*BS222),2)*AT222)/100),2))</f>
        <v>1548.94</v>
      </c>
      <c r="Y222" s="2">
        <f>(ROUND((((S222+ROUND((ROUND((((EU222*1.2))*AV222*I222),2)*BS222),2))*AU222)/100),2)+ROUND(((ROUND((ROUND(((AE222-((EU222*1.2)))*AV222*I222),2)*BS222),2)*AU222)/100),2))</f>
        <v>814.39</v>
      </c>
      <c r="Z222" s="2"/>
      <c r="AA222" s="2">
        <v>55937296</v>
      </c>
      <c r="AB222" s="2">
        <f t="shared" si="218"/>
        <v>584.44600000000003</v>
      </c>
      <c r="AC222" s="2">
        <f>ROUND(((ES222*1)),6)</f>
        <v>314.29000000000002</v>
      </c>
      <c r="AD222" s="2">
        <f>ROUND(((((ET222*1.2))-((EU222*1.2)))+AE222),6)</f>
        <v>39.444000000000003</v>
      </c>
      <c r="AE222" s="2">
        <f>ROUND(((EU222*1.2)),6)</f>
        <v>6.8520000000000003</v>
      </c>
      <c r="AF222" s="2">
        <f>ROUND(((EV222*1.2)),6)</f>
        <v>230.71199999999999</v>
      </c>
      <c r="AG222" s="2">
        <f t="shared" si="219"/>
        <v>0</v>
      </c>
      <c r="AH222" s="2">
        <f>((EW222*1.2))</f>
        <v>18</v>
      </c>
      <c r="AI222" s="2">
        <f>((EX222*1.2))</f>
        <v>0</v>
      </c>
      <c r="AJ222" s="2">
        <f t="shared" si="220"/>
        <v>0</v>
      </c>
      <c r="AK222" s="2">
        <v>539.41999999999996</v>
      </c>
      <c r="AL222" s="2">
        <v>314.29000000000002</v>
      </c>
      <c r="AM222" s="2">
        <v>32.869999999999997</v>
      </c>
      <c r="AN222" s="2">
        <v>5.71</v>
      </c>
      <c r="AO222" s="2">
        <v>192.26</v>
      </c>
      <c r="AP222" s="2">
        <v>0</v>
      </c>
      <c r="AQ222" s="2">
        <v>15</v>
      </c>
      <c r="AR222" s="2">
        <v>0</v>
      </c>
      <c r="AS222" s="2">
        <v>0</v>
      </c>
      <c r="AT222" s="2">
        <v>97</v>
      </c>
      <c r="AU222" s="2">
        <v>51</v>
      </c>
      <c r="AV222" s="2">
        <v>1.0469999999999999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0</v>
      </c>
      <c r="BI222" s="2">
        <v>2</v>
      </c>
      <c r="BJ222" s="2" t="s">
        <v>341</v>
      </c>
      <c r="BK222" s="2"/>
      <c r="BL222" s="2"/>
      <c r="BM222" s="2">
        <v>67</v>
      </c>
      <c r="BN222" s="2">
        <v>0</v>
      </c>
      <c r="BO222" s="2" t="s">
        <v>339</v>
      </c>
      <c r="BP222" s="2">
        <v>1</v>
      </c>
      <c r="BQ222" s="2">
        <v>40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97</v>
      </c>
      <c r="CA222" s="2">
        <v>51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797</v>
      </c>
      <c r="CO222" s="2">
        <v>0</v>
      </c>
      <c r="CP222" s="2">
        <f t="shared" si="221"/>
        <v>3833.66</v>
      </c>
      <c r="CQ222" s="2">
        <f t="shared" si="222"/>
        <v>314.29000000000002</v>
      </c>
      <c r="CR222" s="2">
        <f>(ROUND((ROUND((((ET222*1.2))*AV222*1),2)*BB222),2)+ROUND((ROUND(((AE222-((EU222*1.2)))*AV222*1),2)*BS222),2))</f>
        <v>41.3</v>
      </c>
      <c r="CS222" s="2">
        <f>(ROUND((ROUND((((EU222*1.2))*AV222*1),2)*BS222),2)+ROUND((ROUND(((AE222-((EU222*1.2)))*AV222*1),2)*BS222),2))</f>
        <v>7.17</v>
      </c>
      <c r="CT222" s="2">
        <f t="shared" si="223"/>
        <v>241.56</v>
      </c>
      <c r="CU222" s="2">
        <f t="shared" si="224"/>
        <v>0</v>
      </c>
      <c r="CV222" s="2">
        <f t="shared" si="225"/>
        <v>18.846</v>
      </c>
      <c r="CW222" s="2">
        <f t="shared" si="226"/>
        <v>0</v>
      </c>
      <c r="CX222" s="2">
        <f t="shared" si="227"/>
        <v>0</v>
      </c>
      <c r="CY222" s="2">
        <f>(ROUND((((S222+ROUND((ROUND((((EU222*1.2))*AV222*1),2)*BS222),2))*AT222)/100),2)+ROUND(((ROUND((ROUND(((AE222-((EU222*1.2)))*AV222*1),2)*BS222),2)*AT222)/100),2))</f>
        <v>1511.22</v>
      </c>
      <c r="CZ222" s="2">
        <f>(ROUND((((S222+ROUND((ROUND((((EU222*1.2))*AV222*1),2)*BS222),2))*AU222)/100),2)+ROUND(((ROUND((ROUND(((AE222-((EU222*1.2)))*AV222*1),2)*BS222),2)*AU222)/100),2))</f>
        <v>794.56</v>
      </c>
      <c r="DA222" s="2"/>
      <c r="DB222" s="2">
        <v>113</v>
      </c>
      <c r="DC222" s="2" t="s">
        <v>3</v>
      </c>
      <c r="DD222" s="2" t="s">
        <v>113</v>
      </c>
      <c r="DE222" s="2" t="s">
        <v>114</v>
      </c>
      <c r="DF222" s="2" t="s">
        <v>114</v>
      </c>
      <c r="DG222" s="2" t="s">
        <v>114</v>
      </c>
      <c r="DH222" s="2" t="s">
        <v>3</v>
      </c>
      <c r="DI222" s="2" t="s">
        <v>114</v>
      </c>
      <c r="DJ222" s="2" t="s">
        <v>114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1003</v>
      </c>
      <c r="DV222" s="2" t="s">
        <v>111</v>
      </c>
      <c r="DW222" s="2" t="s">
        <v>111</v>
      </c>
      <c r="DX222" s="2">
        <v>100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55393699</v>
      </c>
      <c r="EF222" s="2">
        <v>40</v>
      </c>
      <c r="EG222" s="2" t="s">
        <v>26</v>
      </c>
      <c r="EH222" s="2">
        <v>0</v>
      </c>
      <c r="EI222" s="2" t="s">
        <v>3</v>
      </c>
      <c r="EJ222" s="2">
        <v>2</v>
      </c>
      <c r="EK222" s="2">
        <v>67</v>
      </c>
      <c r="EL222" s="2" t="s">
        <v>62</v>
      </c>
      <c r="EM222" s="2" t="s">
        <v>63</v>
      </c>
      <c r="EN222" s="2"/>
      <c r="EO222" s="2" t="s">
        <v>118</v>
      </c>
      <c r="EP222" s="2"/>
      <c r="EQ222" s="2">
        <v>0</v>
      </c>
      <c r="ER222" s="2">
        <v>539.41999999999996</v>
      </c>
      <c r="ES222" s="2">
        <v>314.29000000000002</v>
      </c>
      <c r="ET222" s="2">
        <v>32.869999999999997</v>
      </c>
      <c r="EU222" s="2">
        <v>5.71</v>
      </c>
      <c r="EV222" s="2">
        <v>192.26</v>
      </c>
      <c r="EW222" s="2">
        <v>15</v>
      </c>
      <c r="EX222" s="2">
        <v>0</v>
      </c>
      <c r="EY222" s="2">
        <v>0</v>
      </c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97</v>
      </c>
      <c r="FY222" s="2">
        <v>51</v>
      </c>
      <c r="FZ222" s="2"/>
      <c r="GA222" s="2" t="s">
        <v>3</v>
      </c>
      <c r="GB222" s="2"/>
      <c r="GC222" s="2"/>
      <c r="GD222" s="2">
        <v>1</v>
      </c>
      <c r="GE222" s="2"/>
      <c r="GF222" s="2">
        <v>823412492</v>
      </c>
      <c r="GG222" s="2">
        <v>2</v>
      </c>
      <c r="GH222" s="2">
        <v>1</v>
      </c>
      <c r="GI222" s="2">
        <v>2</v>
      </c>
      <c r="GJ222" s="2">
        <v>0</v>
      </c>
      <c r="GK222" s="2">
        <v>0</v>
      </c>
      <c r="GL222" s="2">
        <f t="shared" si="228"/>
        <v>0</v>
      </c>
      <c r="GM222" s="2">
        <f t="shared" si="229"/>
        <v>6196.99</v>
      </c>
      <c r="GN222" s="2">
        <f t="shared" si="230"/>
        <v>0</v>
      </c>
      <c r="GO222" s="2">
        <f t="shared" si="231"/>
        <v>6196.99</v>
      </c>
      <c r="GP222" s="2">
        <f t="shared" si="232"/>
        <v>0</v>
      </c>
      <c r="GQ222" s="2"/>
      <c r="GR222" s="2">
        <v>0</v>
      </c>
      <c r="GS222" s="2">
        <v>3</v>
      </c>
      <c r="GT222" s="2">
        <v>0</v>
      </c>
      <c r="GU222" s="2" t="s">
        <v>3</v>
      </c>
      <c r="GV222" s="2">
        <f t="shared" si="233"/>
        <v>0</v>
      </c>
      <c r="GW222" s="2">
        <v>1</v>
      </c>
      <c r="GX222" s="2">
        <f t="shared" si="234"/>
        <v>0</v>
      </c>
      <c r="GY222" s="2"/>
      <c r="GZ222" s="2"/>
      <c r="HA222" s="2">
        <v>0</v>
      </c>
      <c r="HB222" s="2">
        <v>0</v>
      </c>
      <c r="HC222" s="2">
        <f t="shared" si="235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3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">
      <c r="A223" s="3">
        <v>17</v>
      </c>
      <c r="B223" s="3">
        <v>1</v>
      </c>
      <c r="C223" s="3">
        <f>ROW(SmtRes!A274)</f>
        <v>274</v>
      </c>
      <c r="D223" s="3">
        <f>ROW(EtalonRes!A332)</f>
        <v>332</v>
      </c>
      <c r="E223" s="3" t="s">
        <v>338</v>
      </c>
      <c r="F223" s="3" t="s">
        <v>339</v>
      </c>
      <c r="G223" s="3" t="s">
        <v>340</v>
      </c>
      <c r="H223" s="3" t="s">
        <v>111</v>
      </c>
      <c r="I223" s="3">
        <f>ROUND((642)/100,9)</f>
        <v>6.42</v>
      </c>
      <c r="J223" s="3">
        <v>0</v>
      </c>
      <c r="K223" s="3">
        <f>ROUND((642)/100,9)</f>
        <v>6.42</v>
      </c>
      <c r="O223" s="3">
        <f t="shared" si="211"/>
        <v>112236.63</v>
      </c>
      <c r="P223" s="3">
        <f t="shared" si="212"/>
        <v>19854.560000000001</v>
      </c>
      <c r="Q223" s="3">
        <f>(ROUND((ROUND((((ET223*1.2))*AV223*I223),2)*BB223),2)+ROUND((ROUND(((AE223-((EU223*1.2)))*AV223*I223),2)*BS223),2))</f>
        <v>4995.05</v>
      </c>
      <c r="R223" s="3">
        <f>(ROUND((ROUND((((EU223*1.2))*AV223*I223),2)*BS223),2)+ROUND((ROUND(((AE223-((EU223*1.2)))*AV223*I223),2)*BS223),2))</f>
        <v>2595.48</v>
      </c>
      <c r="S223" s="3">
        <f t="shared" si="213"/>
        <v>87387.02</v>
      </c>
      <c r="T223" s="3">
        <f t="shared" si="214"/>
        <v>0</v>
      </c>
      <c r="U223" s="3">
        <f t="shared" si="215"/>
        <v>120.99132</v>
      </c>
      <c r="V223" s="3">
        <f t="shared" si="216"/>
        <v>0</v>
      </c>
      <c r="W223" s="3">
        <f t="shared" si="217"/>
        <v>0</v>
      </c>
      <c r="X223" s="3">
        <f>(ROUND((((S223+ROUND((ROUND((((EU223*1.2))*AV223*I223),2)*BS223),2))*AT223)/100),2)+ROUND(((ROUND((ROUND(((AE223-((EU223*1.2)))*AV223*I223),2)*BS223),2)*AT223)/100),2))</f>
        <v>87283.03</v>
      </c>
      <c r="Y223" s="3">
        <f>(ROUND((((S223+ROUND((ROUND((((EU223*1.2))*AV223*I223),2)*BS223),2))*AU223)/100),2)+ROUND(((ROUND((ROUND(((AE223-((EU223*1.2)))*AV223*I223),2)*BS223),2)*AU223)/100),2))</f>
        <v>45891.08</v>
      </c>
      <c r="AA223" s="3">
        <v>55937298</v>
      </c>
      <c r="AB223" s="3">
        <f t="shared" si="218"/>
        <v>584.44600000000003</v>
      </c>
      <c r="AC223" s="3">
        <f>ROUND(((ES223*1)),6)</f>
        <v>314.29000000000002</v>
      </c>
      <c r="AD223" s="3">
        <f>ROUND(((((ET223*1.2))-((EU223*1.2)))+AE223),6)</f>
        <v>39.444000000000003</v>
      </c>
      <c r="AE223" s="3">
        <f>ROUND(((EU223*1.2)),6)</f>
        <v>6.8520000000000003</v>
      </c>
      <c r="AF223" s="3">
        <f>ROUND(((EV223*1.2)),6)</f>
        <v>230.71199999999999</v>
      </c>
      <c r="AG223" s="3">
        <f t="shared" si="219"/>
        <v>0</v>
      </c>
      <c r="AH223" s="3">
        <f>((EW223*1.2))</f>
        <v>18</v>
      </c>
      <c r="AI223" s="3">
        <f>((EX223*1.2))</f>
        <v>0</v>
      </c>
      <c r="AJ223" s="3">
        <f t="shared" si="220"/>
        <v>0</v>
      </c>
      <c r="AK223" s="3">
        <v>539.41999999999996</v>
      </c>
      <c r="AL223" s="3">
        <v>314.29000000000002</v>
      </c>
      <c r="AM223" s="3">
        <v>32.869999999999997</v>
      </c>
      <c r="AN223" s="3">
        <v>5.71</v>
      </c>
      <c r="AO223" s="3">
        <v>192.26</v>
      </c>
      <c r="AP223" s="3">
        <v>0</v>
      </c>
      <c r="AQ223" s="3">
        <v>15</v>
      </c>
      <c r="AR223" s="3">
        <v>0</v>
      </c>
      <c r="AS223" s="3">
        <v>0</v>
      </c>
      <c r="AT223" s="3">
        <v>97</v>
      </c>
      <c r="AU223" s="3">
        <v>51</v>
      </c>
      <c r="AV223" s="3">
        <v>1.0469999999999999</v>
      </c>
      <c r="AW223" s="3">
        <v>1</v>
      </c>
      <c r="AZ223" s="3">
        <v>1</v>
      </c>
      <c r="BA223" s="3">
        <v>56.35</v>
      </c>
      <c r="BB223" s="3">
        <v>18.84</v>
      </c>
      <c r="BC223" s="3">
        <v>9.84</v>
      </c>
      <c r="BD223" s="3" t="s">
        <v>3</v>
      </c>
      <c r="BE223" s="3" t="s">
        <v>3</v>
      </c>
      <c r="BF223" s="3" t="s">
        <v>3</v>
      </c>
      <c r="BG223" s="3" t="s">
        <v>3</v>
      </c>
      <c r="BH223" s="3">
        <v>0</v>
      </c>
      <c r="BI223" s="3">
        <v>2</v>
      </c>
      <c r="BJ223" s="3" t="s">
        <v>341</v>
      </c>
      <c r="BM223" s="3">
        <v>67</v>
      </c>
      <c r="BN223" s="3">
        <v>0</v>
      </c>
      <c r="BO223" s="3" t="s">
        <v>339</v>
      </c>
      <c r="BP223" s="3">
        <v>1</v>
      </c>
      <c r="BQ223" s="3">
        <v>40</v>
      </c>
      <c r="BR223" s="3">
        <v>0</v>
      </c>
      <c r="BS223" s="3">
        <v>56.35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 t="s">
        <v>3</v>
      </c>
      <c r="BZ223" s="3">
        <v>97</v>
      </c>
      <c r="CA223" s="3">
        <v>51</v>
      </c>
      <c r="CB223" s="3" t="s">
        <v>3</v>
      </c>
      <c r="CE223" s="3">
        <v>1566</v>
      </c>
      <c r="CF223" s="3">
        <v>0</v>
      </c>
      <c r="CG223" s="3">
        <v>0</v>
      </c>
      <c r="CM223" s="3">
        <v>0</v>
      </c>
      <c r="CN223" s="3" t="s">
        <v>797</v>
      </c>
      <c r="CO223" s="3">
        <v>0</v>
      </c>
      <c r="CP223" s="3">
        <f t="shared" si="221"/>
        <v>112236.63</v>
      </c>
      <c r="CQ223" s="3">
        <f t="shared" si="222"/>
        <v>3092.61</v>
      </c>
      <c r="CR223" s="3">
        <f>(ROUND((ROUND((((ET223*1.2))*AV223*1),2)*BB223),2)+ROUND((ROUND(((AE223-((EU223*1.2)))*AV223*1),2)*BS223),2))</f>
        <v>778.09</v>
      </c>
      <c r="CS223" s="3">
        <f>(ROUND((ROUND((((EU223*1.2))*AV223*1),2)*BS223),2)+ROUND((ROUND(((AE223-((EU223*1.2)))*AV223*1),2)*BS223),2))</f>
        <v>404.03</v>
      </c>
      <c r="CT223" s="3">
        <f t="shared" si="223"/>
        <v>13611.91</v>
      </c>
      <c r="CU223" s="3">
        <f t="shared" si="224"/>
        <v>0</v>
      </c>
      <c r="CV223" s="3">
        <f t="shared" si="225"/>
        <v>18.846</v>
      </c>
      <c r="CW223" s="3">
        <f t="shared" si="226"/>
        <v>0</v>
      </c>
      <c r="CX223" s="3">
        <f t="shared" si="227"/>
        <v>0</v>
      </c>
      <c r="CY223" s="3">
        <f>(ROUND((((S223+ROUND((ROUND((((EU223*1.2))*AV223*1),2)*BS223),2))*AT223)/100),2)+ROUND(((ROUND((ROUND(((AE223-((EU223*1.2)))*AV223*1),2)*BS223),2)*AT223)/100),2))</f>
        <v>85157.32</v>
      </c>
      <c r="CZ223" s="3">
        <f>(ROUND((((S223+ROUND((ROUND((((EU223*1.2))*AV223*1),2)*BS223),2))*AU223)/100),2)+ROUND(((ROUND((ROUND(((AE223-((EU223*1.2)))*AV223*1),2)*BS223),2)*AU223)/100),2))</f>
        <v>44773.440000000002</v>
      </c>
      <c r="DB223" s="3">
        <v>114</v>
      </c>
      <c r="DC223" s="3" t="s">
        <v>3</v>
      </c>
      <c r="DD223" s="3" t="s">
        <v>113</v>
      </c>
      <c r="DE223" s="3" t="s">
        <v>114</v>
      </c>
      <c r="DF223" s="3" t="s">
        <v>114</v>
      </c>
      <c r="DG223" s="3" t="s">
        <v>114</v>
      </c>
      <c r="DH223" s="3" t="s">
        <v>3</v>
      </c>
      <c r="DI223" s="3" t="s">
        <v>114</v>
      </c>
      <c r="DJ223" s="3" t="s">
        <v>114</v>
      </c>
      <c r="DK223" s="3" t="s">
        <v>3</v>
      </c>
      <c r="DL223" s="3" t="s">
        <v>3</v>
      </c>
      <c r="DM223" s="3" t="s">
        <v>3</v>
      </c>
      <c r="DN223" s="3">
        <v>0</v>
      </c>
      <c r="DO223" s="3">
        <v>0</v>
      </c>
      <c r="DP223" s="3">
        <v>1</v>
      </c>
      <c r="DQ223" s="3">
        <v>1</v>
      </c>
      <c r="DU223" s="3">
        <v>1003</v>
      </c>
      <c r="DV223" s="3" t="s">
        <v>111</v>
      </c>
      <c r="DW223" s="3" t="s">
        <v>111</v>
      </c>
      <c r="DX223" s="3">
        <v>100</v>
      </c>
      <c r="DZ223" s="3" t="s">
        <v>3</v>
      </c>
      <c r="EA223" s="3" t="s">
        <v>3</v>
      </c>
      <c r="EB223" s="3" t="s">
        <v>3</v>
      </c>
      <c r="EC223" s="3" t="s">
        <v>3</v>
      </c>
      <c r="EE223" s="3">
        <v>55393699</v>
      </c>
      <c r="EF223" s="3">
        <v>40</v>
      </c>
      <c r="EG223" s="3" t="s">
        <v>26</v>
      </c>
      <c r="EH223" s="3">
        <v>0</v>
      </c>
      <c r="EI223" s="3" t="s">
        <v>3</v>
      </c>
      <c r="EJ223" s="3">
        <v>2</v>
      </c>
      <c r="EK223" s="3">
        <v>67</v>
      </c>
      <c r="EL223" s="3" t="s">
        <v>62</v>
      </c>
      <c r="EM223" s="3" t="s">
        <v>63</v>
      </c>
      <c r="EO223" s="3" t="s">
        <v>118</v>
      </c>
      <c r="EQ223" s="3">
        <v>0</v>
      </c>
      <c r="ER223" s="3">
        <v>539.41999999999996</v>
      </c>
      <c r="ES223" s="3">
        <v>314.29000000000002</v>
      </c>
      <c r="ET223" s="3">
        <v>32.869999999999997</v>
      </c>
      <c r="EU223" s="3">
        <v>5.71</v>
      </c>
      <c r="EV223" s="3">
        <v>192.26</v>
      </c>
      <c r="EW223" s="3">
        <v>15</v>
      </c>
      <c r="EX223" s="3">
        <v>0</v>
      </c>
      <c r="EY223" s="3">
        <v>0</v>
      </c>
      <c r="FQ223" s="3">
        <v>0</v>
      </c>
      <c r="FR223" s="3">
        <v>0</v>
      </c>
      <c r="FS223" s="3">
        <v>0</v>
      </c>
      <c r="FX223" s="3">
        <v>97</v>
      </c>
      <c r="FY223" s="3">
        <v>51</v>
      </c>
      <c r="GA223" s="3" t="s">
        <v>3</v>
      </c>
      <c r="GD223" s="3">
        <v>1</v>
      </c>
      <c r="GF223" s="3">
        <v>823412492</v>
      </c>
      <c r="GG223" s="3">
        <v>2</v>
      </c>
      <c r="GH223" s="3">
        <v>1</v>
      </c>
      <c r="GI223" s="3">
        <v>2</v>
      </c>
      <c r="GJ223" s="3">
        <v>0</v>
      </c>
      <c r="GK223" s="3">
        <v>0</v>
      </c>
      <c r="GL223" s="3">
        <f t="shared" si="228"/>
        <v>0</v>
      </c>
      <c r="GM223" s="3">
        <f t="shared" si="229"/>
        <v>245410.74</v>
      </c>
      <c r="GN223" s="3">
        <f t="shared" si="230"/>
        <v>0</v>
      </c>
      <c r="GO223" s="3">
        <f t="shared" si="231"/>
        <v>245410.74</v>
      </c>
      <c r="GP223" s="3">
        <f t="shared" si="232"/>
        <v>0</v>
      </c>
      <c r="GR223" s="3">
        <v>0</v>
      </c>
      <c r="GS223" s="3">
        <v>3</v>
      </c>
      <c r="GT223" s="3">
        <v>0</v>
      </c>
      <c r="GU223" s="3" t="s">
        <v>3</v>
      </c>
      <c r="GV223" s="3">
        <f t="shared" si="233"/>
        <v>0</v>
      </c>
      <c r="GW223" s="3">
        <v>1</v>
      </c>
      <c r="GX223" s="3">
        <f t="shared" si="234"/>
        <v>0</v>
      </c>
      <c r="HA223" s="3">
        <v>0</v>
      </c>
      <c r="HB223" s="3">
        <v>0</v>
      </c>
      <c r="HC223" s="3">
        <f t="shared" si="235"/>
        <v>0</v>
      </c>
      <c r="HE223" s="3" t="s">
        <v>3</v>
      </c>
      <c r="HF223" s="3" t="s">
        <v>3</v>
      </c>
      <c r="HM223" s="3" t="s">
        <v>3</v>
      </c>
      <c r="HN223" s="3" t="s">
        <v>3</v>
      </c>
      <c r="HO223" s="3" t="s">
        <v>3</v>
      </c>
      <c r="HP223" s="3" t="s">
        <v>3</v>
      </c>
      <c r="HQ223" s="3" t="s">
        <v>3</v>
      </c>
      <c r="HS223" s="3">
        <v>0</v>
      </c>
      <c r="IK223" s="3">
        <v>0</v>
      </c>
    </row>
    <row r="224" spans="1:255" x14ac:dyDescent="0.2">
      <c r="A224" s="2">
        <v>18</v>
      </c>
      <c r="B224" s="2">
        <v>1</v>
      </c>
      <c r="C224" s="2">
        <v>268</v>
      </c>
      <c r="D224" s="2"/>
      <c r="E224" s="2" t="s">
        <v>342</v>
      </c>
      <c r="F224" s="2" t="s">
        <v>343</v>
      </c>
      <c r="G224" s="2" t="s">
        <v>344</v>
      </c>
      <c r="H224" s="2" t="s">
        <v>332</v>
      </c>
      <c r="I224" s="2">
        <f>I222*J224</f>
        <v>654.84</v>
      </c>
      <c r="J224" s="2">
        <v>102</v>
      </c>
      <c r="K224" s="2">
        <v>102</v>
      </c>
      <c r="L224" s="2"/>
      <c r="M224" s="2"/>
      <c r="N224" s="2"/>
      <c r="O224" s="2">
        <f t="shared" si="211"/>
        <v>2259.1999999999998</v>
      </c>
      <c r="P224" s="2">
        <f t="shared" si="212"/>
        <v>2259.1999999999998</v>
      </c>
      <c r="Q224" s="2">
        <f t="shared" ref="Q224:Q233" si="248">(ROUND((ROUND(((ET224)*AV224*I224),2)*BB224),2)+ROUND((ROUND(((AE224-(EU224))*AV224*I224),2)*BS224),2))</f>
        <v>0</v>
      </c>
      <c r="R224" s="2">
        <f t="shared" ref="R224:R233" si="249">(ROUND((ROUND(((EU224)*AV224*I224),2)*BS224),2)+ROUND((ROUND(((AE224-(EU224))*AV224*I224),2)*BS224),2))</f>
        <v>0</v>
      </c>
      <c r="S224" s="2">
        <f t="shared" si="213"/>
        <v>0</v>
      </c>
      <c r="T224" s="2">
        <f t="shared" si="214"/>
        <v>0</v>
      </c>
      <c r="U224" s="2">
        <f t="shared" si="215"/>
        <v>0</v>
      </c>
      <c r="V224" s="2">
        <f t="shared" si="216"/>
        <v>0</v>
      </c>
      <c r="W224" s="2">
        <f t="shared" si="217"/>
        <v>0</v>
      </c>
      <c r="X224" s="2">
        <f t="shared" ref="X224:X233" si="250">(ROUND((((S224+ROUND((ROUND(((EU224)*AV224*I224),2)*BS224),2))*AT224)/100),2)+ROUND(((ROUND((ROUND(((AE224-(EU224))*AV224*I224),2)*BS224),2)*AT224)/100),2))</f>
        <v>0</v>
      </c>
      <c r="Y224" s="2">
        <f t="shared" ref="Y224:Y233" si="251">(ROUND((((S224+ROUND((ROUND(((EU224)*AV224*I224),2)*BS224),2))*AU224)/100),2)+ROUND(((ROUND((ROUND(((AE224-(EU224))*AV224*I224),2)*BS224),2)*AU224)/100),2))</f>
        <v>0</v>
      </c>
      <c r="Z224" s="2"/>
      <c r="AA224" s="2">
        <v>55937296</v>
      </c>
      <c r="AB224" s="2">
        <f t="shared" si="218"/>
        <v>3.45</v>
      </c>
      <c r="AC224" s="2">
        <f t="shared" ref="AC224:AC233" si="252">ROUND((ES224),6)</f>
        <v>3.45</v>
      </c>
      <c r="AD224" s="2">
        <f t="shared" ref="AD224:AD233" si="253">ROUND((((ET224)-(EU224))+AE224),6)</f>
        <v>0</v>
      </c>
      <c r="AE224" s="2">
        <f t="shared" ref="AE224:AE233" si="254">ROUND((EU224),6)</f>
        <v>0</v>
      </c>
      <c r="AF224" s="2">
        <f t="shared" ref="AF224:AF233" si="255">ROUND((EV224),6)</f>
        <v>0</v>
      </c>
      <c r="AG224" s="2">
        <f t="shared" si="219"/>
        <v>0</v>
      </c>
      <c r="AH224" s="2">
        <f t="shared" ref="AH224:AH233" si="256">(EW224)</f>
        <v>0</v>
      </c>
      <c r="AI224" s="2">
        <f t="shared" ref="AI224:AI233" si="257">(EX224)</f>
        <v>0</v>
      </c>
      <c r="AJ224" s="2">
        <f t="shared" si="220"/>
        <v>0</v>
      </c>
      <c r="AK224" s="2">
        <v>3.45</v>
      </c>
      <c r="AL224" s="2">
        <v>3.45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97</v>
      </c>
      <c r="AU224" s="2">
        <v>51</v>
      </c>
      <c r="AV224" s="2">
        <v>1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2</v>
      </c>
      <c r="BJ224" s="2" t="s">
        <v>345</v>
      </c>
      <c r="BK224" s="2"/>
      <c r="BL224" s="2"/>
      <c r="BM224" s="2">
        <v>67</v>
      </c>
      <c r="BN224" s="2">
        <v>0</v>
      </c>
      <c r="BO224" s="2" t="s">
        <v>3</v>
      </c>
      <c r="BP224" s="2">
        <v>0</v>
      </c>
      <c r="BQ224" s="2">
        <v>40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97</v>
      </c>
      <c r="CA224" s="2">
        <v>51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798</v>
      </c>
      <c r="CO224" s="2">
        <v>0</v>
      </c>
      <c r="CP224" s="2">
        <f t="shared" si="221"/>
        <v>2259.1999999999998</v>
      </c>
      <c r="CQ224" s="2">
        <f t="shared" si="222"/>
        <v>3.45</v>
      </c>
      <c r="CR224" s="2">
        <f t="shared" ref="CR224:CR233" si="258">(ROUND((ROUND(((ET224)*AV224*1),2)*BB224),2)+ROUND((ROUND(((AE224-(EU224))*AV224*1),2)*BS224),2))</f>
        <v>0</v>
      </c>
      <c r="CS224" s="2">
        <f t="shared" ref="CS224:CS233" si="259">(ROUND((ROUND(((EU224)*AV224*1),2)*BS224),2)+ROUND((ROUND(((AE224-(EU224))*AV224*1),2)*BS224),2))</f>
        <v>0</v>
      </c>
      <c r="CT224" s="2">
        <f t="shared" si="223"/>
        <v>0</v>
      </c>
      <c r="CU224" s="2">
        <f t="shared" si="224"/>
        <v>0</v>
      </c>
      <c r="CV224" s="2">
        <f t="shared" si="225"/>
        <v>0</v>
      </c>
      <c r="CW224" s="2">
        <f t="shared" si="226"/>
        <v>0</v>
      </c>
      <c r="CX224" s="2">
        <f t="shared" si="227"/>
        <v>0</v>
      </c>
      <c r="CY224" s="2">
        <f t="shared" ref="CY224:CY233" si="260">(ROUND((((S224+ROUND((ROUND(((EU224)*AV224*1),2)*BS224),2))*AT224)/100),2)+ROUND(((ROUND((ROUND(((AE224-(EU224))*AV224*1),2)*BS224),2)*AT224)/100),2))</f>
        <v>0</v>
      </c>
      <c r="CZ224" s="2">
        <f t="shared" ref="CZ224:CZ233" si="261">(ROUND((((S224+ROUND((ROUND(((EU224)*AV224*1),2)*BS224),2))*AU224)/100),2)+ROUND(((ROUND((ROUND(((AE224-(EU224))*AV224*1),2)*BS224),2)*AU224)/100),2))</f>
        <v>0</v>
      </c>
      <c r="DA224" s="2"/>
      <c r="DB224" s="2"/>
      <c r="DC224" s="2" t="s">
        <v>3</v>
      </c>
      <c r="DD224" s="2" t="s">
        <v>3</v>
      </c>
      <c r="DE224" s="2" t="s">
        <v>3</v>
      </c>
      <c r="DF224" s="2" t="s">
        <v>3</v>
      </c>
      <c r="DG224" s="2" t="s">
        <v>3</v>
      </c>
      <c r="DH224" s="2" t="s">
        <v>3</v>
      </c>
      <c r="DI224" s="2" t="s">
        <v>3</v>
      </c>
      <c r="DJ224" s="2" t="s">
        <v>3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1003</v>
      </c>
      <c r="DV224" s="2" t="s">
        <v>332</v>
      </c>
      <c r="DW224" s="2" t="s">
        <v>332</v>
      </c>
      <c r="DX224" s="2">
        <v>1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55393699</v>
      </c>
      <c r="EF224" s="2">
        <v>40</v>
      </c>
      <c r="EG224" s="2" t="s">
        <v>26</v>
      </c>
      <c r="EH224" s="2">
        <v>0</v>
      </c>
      <c r="EI224" s="2" t="s">
        <v>3</v>
      </c>
      <c r="EJ224" s="2">
        <v>2</v>
      </c>
      <c r="EK224" s="2">
        <v>67</v>
      </c>
      <c r="EL224" s="2" t="s">
        <v>62</v>
      </c>
      <c r="EM224" s="2" t="s">
        <v>63</v>
      </c>
      <c r="EN224" s="2"/>
      <c r="EO224" s="2" t="s">
        <v>118</v>
      </c>
      <c r="EP224" s="2"/>
      <c r="EQ224" s="2">
        <v>0</v>
      </c>
      <c r="ER224" s="2">
        <v>3.45</v>
      </c>
      <c r="ES224" s="2">
        <v>3.45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97</v>
      </c>
      <c r="FY224" s="2">
        <v>51</v>
      </c>
      <c r="FZ224" s="2"/>
      <c r="GA224" s="2" t="s">
        <v>3</v>
      </c>
      <c r="GB224" s="2"/>
      <c r="GC224" s="2"/>
      <c r="GD224" s="2">
        <v>1</v>
      </c>
      <c r="GE224" s="2"/>
      <c r="GF224" s="2">
        <v>1194371439</v>
      </c>
      <c r="GG224" s="2">
        <v>2</v>
      </c>
      <c r="GH224" s="2">
        <v>1</v>
      </c>
      <c r="GI224" s="2">
        <v>-2</v>
      </c>
      <c r="GJ224" s="2">
        <v>0</v>
      </c>
      <c r="GK224" s="2">
        <v>0</v>
      </c>
      <c r="GL224" s="2">
        <f t="shared" si="228"/>
        <v>0</v>
      </c>
      <c r="GM224" s="2">
        <f t="shared" si="229"/>
        <v>2259.1999999999998</v>
      </c>
      <c r="GN224" s="2">
        <f t="shared" si="230"/>
        <v>0</v>
      </c>
      <c r="GO224" s="2">
        <f t="shared" si="231"/>
        <v>2259.1999999999998</v>
      </c>
      <c r="GP224" s="2">
        <f t="shared" si="232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233"/>
        <v>0</v>
      </c>
      <c r="GW224" s="2">
        <v>1</v>
      </c>
      <c r="GX224" s="2">
        <f t="shared" si="234"/>
        <v>0</v>
      </c>
      <c r="GY224" s="2"/>
      <c r="GZ224" s="2"/>
      <c r="HA224" s="2">
        <v>0</v>
      </c>
      <c r="HB224" s="2">
        <v>0</v>
      </c>
      <c r="HC224" s="2">
        <f t="shared" si="235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113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">
      <c r="A225" s="3">
        <v>18</v>
      </c>
      <c r="B225" s="3">
        <v>1</v>
      </c>
      <c r="C225" s="3">
        <v>272</v>
      </c>
      <c r="E225" s="3" t="s">
        <v>342</v>
      </c>
      <c r="F225" s="3" t="s">
        <v>343</v>
      </c>
      <c r="G225" s="3" t="s">
        <v>344</v>
      </c>
      <c r="H225" s="3" t="s">
        <v>332</v>
      </c>
      <c r="I225" s="3">
        <f>I223*J225</f>
        <v>654.84</v>
      </c>
      <c r="J225" s="3">
        <v>102</v>
      </c>
      <c r="K225" s="3">
        <v>102</v>
      </c>
      <c r="O225" s="3">
        <f t="shared" si="211"/>
        <v>8562.3700000000008</v>
      </c>
      <c r="P225" s="3">
        <f t="shared" si="212"/>
        <v>8562.3700000000008</v>
      </c>
      <c r="Q225" s="3">
        <f t="shared" si="248"/>
        <v>0</v>
      </c>
      <c r="R225" s="3">
        <f t="shared" si="249"/>
        <v>0</v>
      </c>
      <c r="S225" s="3">
        <f t="shared" si="213"/>
        <v>0</v>
      </c>
      <c r="T225" s="3">
        <f t="shared" si="214"/>
        <v>0</v>
      </c>
      <c r="U225" s="3">
        <f t="shared" si="215"/>
        <v>0</v>
      </c>
      <c r="V225" s="3">
        <f t="shared" si="216"/>
        <v>0</v>
      </c>
      <c r="W225" s="3">
        <f t="shared" si="217"/>
        <v>0</v>
      </c>
      <c r="X225" s="3">
        <f t="shared" si="250"/>
        <v>0</v>
      </c>
      <c r="Y225" s="3">
        <f t="shared" si="251"/>
        <v>0</v>
      </c>
      <c r="AA225" s="3">
        <v>55937298</v>
      </c>
      <c r="AB225" s="3">
        <f t="shared" si="218"/>
        <v>3.45</v>
      </c>
      <c r="AC225" s="3">
        <f t="shared" si="252"/>
        <v>3.45</v>
      </c>
      <c r="AD225" s="3">
        <f t="shared" si="253"/>
        <v>0</v>
      </c>
      <c r="AE225" s="3">
        <f t="shared" si="254"/>
        <v>0</v>
      </c>
      <c r="AF225" s="3">
        <f t="shared" si="255"/>
        <v>0</v>
      </c>
      <c r="AG225" s="3">
        <f t="shared" si="219"/>
        <v>0</v>
      </c>
      <c r="AH225" s="3">
        <f t="shared" si="256"/>
        <v>0</v>
      </c>
      <c r="AI225" s="3">
        <f t="shared" si="257"/>
        <v>0</v>
      </c>
      <c r="AJ225" s="3">
        <f t="shared" si="220"/>
        <v>0</v>
      </c>
      <c r="AK225" s="3">
        <v>3.45</v>
      </c>
      <c r="AL225" s="3">
        <v>3.45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97</v>
      </c>
      <c r="AU225" s="3">
        <v>51</v>
      </c>
      <c r="AV225" s="3">
        <v>1</v>
      </c>
      <c r="AW225" s="3">
        <v>1</v>
      </c>
      <c r="AZ225" s="3">
        <v>1</v>
      </c>
      <c r="BA225" s="3">
        <v>1</v>
      </c>
      <c r="BB225" s="3">
        <v>1</v>
      </c>
      <c r="BC225" s="3">
        <v>3.79</v>
      </c>
      <c r="BD225" s="3" t="s">
        <v>3</v>
      </c>
      <c r="BE225" s="3" t="s">
        <v>3</v>
      </c>
      <c r="BF225" s="3" t="s">
        <v>3</v>
      </c>
      <c r="BG225" s="3" t="s">
        <v>3</v>
      </c>
      <c r="BH225" s="3">
        <v>3</v>
      </c>
      <c r="BI225" s="3">
        <v>2</v>
      </c>
      <c r="BJ225" s="3" t="s">
        <v>345</v>
      </c>
      <c r="BM225" s="3">
        <v>67</v>
      </c>
      <c r="BN225" s="3">
        <v>0</v>
      </c>
      <c r="BO225" s="3" t="s">
        <v>343</v>
      </c>
      <c r="BP225" s="3">
        <v>1</v>
      </c>
      <c r="BQ225" s="3">
        <v>40</v>
      </c>
      <c r="BR225" s="3">
        <v>0</v>
      </c>
      <c r="BS225" s="3">
        <v>1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 t="s">
        <v>3</v>
      </c>
      <c r="BZ225" s="3">
        <v>97</v>
      </c>
      <c r="CA225" s="3">
        <v>51</v>
      </c>
      <c r="CB225" s="3" t="s">
        <v>3</v>
      </c>
      <c r="CE225" s="3">
        <v>1566</v>
      </c>
      <c r="CF225" s="3">
        <v>0</v>
      </c>
      <c r="CG225" s="3">
        <v>0</v>
      </c>
      <c r="CM225" s="3">
        <v>0</v>
      </c>
      <c r="CN225" s="3" t="s">
        <v>798</v>
      </c>
      <c r="CO225" s="3">
        <v>0</v>
      </c>
      <c r="CP225" s="3">
        <f t="shared" si="221"/>
        <v>8562.3700000000008</v>
      </c>
      <c r="CQ225" s="3">
        <f t="shared" si="222"/>
        <v>13.08</v>
      </c>
      <c r="CR225" s="3">
        <f t="shared" si="258"/>
        <v>0</v>
      </c>
      <c r="CS225" s="3">
        <f t="shared" si="259"/>
        <v>0</v>
      </c>
      <c r="CT225" s="3">
        <f t="shared" si="223"/>
        <v>0</v>
      </c>
      <c r="CU225" s="3">
        <f t="shared" si="224"/>
        <v>0</v>
      </c>
      <c r="CV225" s="3">
        <f t="shared" si="225"/>
        <v>0</v>
      </c>
      <c r="CW225" s="3">
        <f t="shared" si="226"/>
        <v>0</v>
      </c>
      <c r="CX225" s="3">
        <f t="shared" si="227"/>
        <v>0</v>
      </c>
      <c r="CY225" s="3">
        <f t="shared" si="260"/>
        <v>0</v>
      </c>
      <c r="CZ225" s="3">
        <f t="shared" si="261"/>
        <v>0</v>
      </c>
      <c r="DC225" s="3" t="s">
        <v>3</v>
      </c>
      <c r="DD225" s="3" t="s">
        <v>3</v>
      </c>
      <c r="DE225" s="3" t="s">
        <v>3</v>
      </c>
      <c r="DF225" s="3" t="s">
        <v>3</v>
      </c>
      <c r="DG225" s="3" t="s">
        <v>3</v>
      </c>
      <c r="DH225" s="3" t="s">
        <v>3</v>
      </c>
      <c r="DI225" s="3" t="s">
        <v>3</v>
      </c>
      <c r="DJ225" s="3" t="s">
        <v>3</v>
      </c>
      <c r="DK225" s="3" t="s">
        <v>3</v>
      </c>
      <c r="DL225" s="3" t="s">
        <v>3</v>
      </c>
      <c r="DM225" s="3" t="s">
        <v>3</v>
      </c>
      <c r="DN225" s="3">
        <v>0</v>
      </c>
      <c r="DO225" s="3">
        <v>0</v>
      </c>
      <c r="DP225" s="3">
        <v>1</v>
      </c>
      <c r="DQ225" s="3">
        <v>1</v>
      </c>
      <c r="DU225" s="3">
        <v>1003</v>
      </c>
      <c r="DV225" s="3" t="s">
        <v>332</v>
      </c>
      <c r="DW225" s="3" t="s">
        <v>332</v>
      </c>
      <c r="DX225" s="3">
        <v>1</v>
      </c>
      <c r="DZ225" s="3" t="s">
        <v>3</v>
      </c>
      <c r="EA225" s="3" t="s">
        <v>3</v>
      </c>
      <c r="EB225" s="3" t="s">
        <v>3</v>
      </c>
      <c r="EC225" s="3" t="s">
        <v>3</v>
      </c>
      <c r="EE225" s="3">
        <v>55393699</v>
      </c>
      <c r="EF225" s="3">
        <v>40</v>
      </c>
      <c r="EG225" s="3" t="s">
        <v>26</v>
      </c>
      <c r="EH225" s="3">
        <v>0</v>
      </c>
      <c r="EI225" s="3" t="s">
        <v>3</v>
      </c>
      <c r="EJ225" s="3">
        <v>2</v>
      </c>
      <c r="EK225" s="3">
        <v>67</v>
      </c>
      <c r="EL225" s="3" t="s">
        <v>62</v>
      </c>
      <c r="EM225" s="3" t="s">
        <v>63</v>
      </c>
      <c r="EO225" s="3" t="s">
        <v>118</v>
      </c>
      <c r="EQ225" s="3">
        <v>0</v>
      </c>
      <c r="ER225" s="3">
        <v>3.45</v>
      </c>
      <c r="ES225" s="3">
        <v>3.45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FQ225" s="3">
        <v>0</v>
      </c>
      <c r="FR225" s="3">
        <v>0</v>
      </c>
      <c r="FS225" s="3">
        <v>0</v>
      </c>
      <c r="FX225" s="3">
        <v>97</v>
      </c>
      <c r="FY225" s="3">
        <v>51</v>
      </c>
      <c r="GA225" s="3" t="s">
        <v>3</v>
      </c>
      <c r="GD225" s="3">
        <v>1</v>
      </c>
      <c r="GF225" s="3">
        <v>1194371439</v>
      </c>
      <c r="GG225" s="3">
        <v>2</v>
      </c>
      <c r="GH225" s="3">
        <v>1</v>
      </c>
      <c r="GI225" s="3">
        <v>2</v>
      </c>
      <c r="GJ225" s="3">
        <v>0</v>
      </c>
      <c r="GK225" s="3">
        <v>0</v>
      </c>
      <c r="GL225" s="3">
        <f t="shared" si="228"/>
        <v>0</v>
      </c>
      <c r="GM225" s="3">
        <f t="shared" si="229"/>
        <v>8562.3700000000008</v>
      </c>
      <c r="GN225" s="3">
        <f t="shared" si="230"/>
        <v>0</v>
      </c>
      <c r="GO225" s="3">
        <f t="shared" si="231"/>
        <v>8562.3700000000008</v>
      </c>
      <c r="GP225" s="3">
        <f t="shared" si="232"/>
        <v>0</v>
      </c>
      <c r="GR225" s="3">
        <v>0</v>
      </c>
      <c r="GS225" s="3">
        <v>3</v>
      </c>
      <c r="GT225" s="3">
        <v>0</v>
      </c>
      <c r="GU225" s="3" t="s">
        <v>3</v>
      </c>
      <c r="GV225" s="3">
        <f t="shared" si="233"/>
        <v>0</v>
      </c>
      <c r="GW225" s="3">
        <v>1</v>
      </c>
      <c r="GX225" s="3">
        <f t="shared" si="234"/>
        <v>0</v>
      </c>
      <c r="HA225" s="3">
        <v>0</v>
      </c>
      <c r="HB225" s="3">
        <v>0</v>
      </c>
      <c r="HC225" s="3">
        <f t="shared" si="235"/>
        <v>0</v>
      </c>
      <c r="HE225" s="3" t="s">
        <v>3</v>
      </c>
      <c r="HF225" s="3" t="s">
        <v>3</v>
      </c>
      <c r="HM225" s="3" t="s">
        <v>113</v>
      </c>
      <c r="HN225" s="3" t="s">
        <v>3</v>
      </c>
      <c r="HO225" s="3" t="s">
        <v>3</v>
      </c>
      <c r="HP225" s="3" t="s">
        <v>3</v>
      </c>
      <c r="HQ225" s="3" t="s">
        <v>3</v>
      </c>
      <c r="HS225" s="3">
        <v>0</v>
      </c>
      <c r="IK225" s="3">
        <v>0</v>
      </c>
    </row>
    <row r="226" spans="1:255" x14ac:dyDescent="0.2">
      <c r="A226" s="2">
        <v>18</v>
      </c>
      <c r="B226" s="2">
        <v>1</v>
      </c>
      <c r="C226" s="2">
        <v>270</v>
      </c>
      <c r="D226" s="2"/>
      <c r="E226" s="2" t="s">
        <v>346</v>
      </c>
      <c r="F226" s="2" t="s">
        <v>347</v>
      </c>
      <c r="G226" s="2" t="s">
        <v>348</v>
      </c>
      <c r="H226" s="2" t="s">
        <v>183</v>
      </c>
      <c r="I226" s="2">
        <f>I222*J226</f>
        <v>33</v>
      </c>
      <c r="J226" s="2">
        <v>5.1401869158878508</v>
      </c>
      <c r="K226" s="2">
        <v>5.1401868999999998</v>
      </c>
      <c r="L226" s="2"/>
      <c r="M226" s="2"/>
      <c r="N226" s="2"/>
      <c r="O226" s="2">
        <f t="shared" si="211"/>
        <v>6889.41</v>
      </c>
      <c r="P226" s="2">
        <f t="shared" si="212"/>
        <v>6889.41</v>
      </c>
      <c r="Q226" s="2">
        <f t="shared" si="248"/>
        <v>0</v>
      </c>
      <c r="R226" s="2">
        <f t="shared" si="249"/>
        <v>0</v>
      </c>
      <c r="S226" s="2">
        <f t="shared" si="213"/>
        <v>0</v>
      </c>
      <c r="T226" s="2">
        <f t="shared" si="214"/>
        <v>0</v>
      </c>
      <c r="U226" s="2">
        <f t="shared" si="215"/>
        <v>0</v>
      </c>
      <c r="V226" s="2">
        <f t="shared" si="216"/>
        <v>0</v>
      </c>
      <c r="W226" s="2">
        <f t="shared" si="217"/>
        <v>0</v>
      </c>
      <c r="X226" s="2">
        <f t="shared" si="250"/>
        <v>0</v>
      </c>
      <c r="Y226" s="2">
        <f t="shared" si="251"/>
        <v>0</v>
      </c>
      <c r="Z226" s="2"/>
      <c r="AA226" s="2">
        <v>55937296</v>
      </c>
      <c r="AB226" s="2">
        <f t="shared" si="218"/>
        <v>208.77</v>
      </c>
      <c r="AC226" s="2">
        <f t="shared" si="252"/>
        <v>208.77</v>
      </c>
      <c r="AD226" s="2">
        <f t="shared" si="253"/>
        <v>0</v>
      </c>
      <c r="AE226" s="2">
        <f t="shared" si="254"/>
        <v>0</v>
      </c>
      <c r="AF226" s="2">
        <f t="shared" si="255"/>
        <v>0</v>
      </c>
      <c r="AG226" s="2">
        <f t="shared" si="219"/>
        <v>0</v>
      </c>
      <c r="AH226" s="2">
        <f t="shared" si="256"/>
        <v>0</v>
      </c>
      <c r="AI226" s="2">
        <f t="shared" si="257"/>
        <v>0</v>
      </c>
      <c r="AJ226" s="2">
        <f t="shared" si="220"/>
        <v>0</v>
      </c>
      <c r="AK226" s="2">
        <v>208.77</v>
      </c>
      <c r="AL226" s="2">
        <v>208.77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2</v>
      </c>
      <c r="BJ226" s="2" t="s">
        <v>347</v>
      </c>
      <c r="BK226" s="2"/>
      <c r="BL226" s="2"/>
      <c r="BM226" s="2">
        <v>400005</v>
      </c>
      <c r="BN226" s="2">
        <v>0</v>
      </c>
      <c r="BO226" s="2" t="s">
        <v>3</v>
      </c>
      <c r="BP226" s="2">
        <v>0</v>
      </c>
      <c r="BQ226" s="2">
        <v>213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97</v>
      </c>
      <c r="CA226" s="2">
        <v>51</v>
      </c>
      <c r="CB226" s="2" t="s">
        <v>3</v>
      </c>
      <c r="CC226" s="2"/>
      <c r="CD226" s="2"/>
      <c r="CE226" s="2">
        <v>1566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798</v>
      </c>
      <c r="CO226" s="2">
        <v>0</v>
      </c>
      <c r="CP226" s="2">
        <f t="shared" si="221"/>
        <v>6889.41</v>
      </c>
      <c r="CQ226" s="2">
        <f t="shared" si="222"/>
        <v>208.77</v>
      </c>
      <c r="CR226" s="2">
        <f t="shared" si="258"/>
        <v>0</v>
      </c>
      <c r="CS226" s="2">
        <f t="shared" si="259"/>
        <v>0</v>
      </c>
      <c r="CT226" s="2">
        <f t="shared" si="223"/>
        <v>0</v>
      </c>
      <c r="CU226" s="2">
        <f t="shared" si="224"/>
        <v>0</v>
      </c>
      <c r="CV226" s="2">
        <f t="shared" si="225"/>
        <v>0</v>
      </c>
      <c r="CW226" s="2">
        <f t="shared" si="226"/>
        <v>0</v>
      </c>
      <c r="CX226" s="2">
        <f t="shared" si="227"/>
        <v>0</v>
      </c>
      <c r="CY226" s="2">
        <f t="shared" si="260"/>
        <v>0</v>
      </c>
      <c r="CZ226" s="2">
        <f t="shared" si="261"/>
        <v>0</v>
      </c>
      <c r="DA226" s="2"/>
      <c r="DB226" s="2"/>
      <c r="DC226" s="2" t="s">
        <v>3</v>
      </c>
      <c r="DD226" s="2" t="s">
        <v>3</v>
      </c>
      <c r="DE226" s="2" t="s">
        <v>3</v>
      </c>
      <c r="DF226" s="2" t="s">
        <v>3</v>
      </c>
      <c r="DG226" s="2" t="s">
        <v>3</v>
      </c>
      <c r="DH226" s="2" t="s">
        <v>3</v>
      </c>
      <c r="DI226" s="2" t="s">
        <v>3</v>
      </c>
      <c r="DJ226" s="2" t="s">
        <v>3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1013</v>
      </c>
      <c r="DV226" s="2" t="s">
        <v>183</v>
      </c>
      <c r="DW226" s="2" t="s">
        <v>183</v>
      </c>
      <c r="DX226" s="2">
        <v>1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55393628</v>
      </c>
      <c r="EF226" s="2">
        <v>213</v>
      </c>
      <c r="EG226" s="2" t="s">
        <v>322</v>
      </c>
      <c r="EH226" s="2">
        <v>0</v>
      </c>
      <c r="EI226" s="2" t="s">
        <v>3</v>
      </c>
      <c r="EJ226" s="2">
        <v>1</v>
      </c>
      <c r="EK226" s="2">
        <v>400005</v>
      </c>
      <c r="EL226" s="2" t="s">
        <v>322</v>
      </c>
      <c r="EM226" s="2" t="s">
        <v>323</v>
      </c>
      <c r="EN226" s="2"/>
      <c r="EO226" s="2" t="s">
        <v>118</v>
      </c>
      <c r="EP226" s="2"/>
      <c r="EQ226" s="2">
        <v>16</v>
      </c>
      <c r="ER226" s="2">
        <v>0</v>
      </c>
      <c r="ES226" s="2">
        <v>208.77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97</v>
      </c>
      <c r="FY226" s="2">
        <v>51</v>
      </c>
      <c r="FZ226" s="2"/>
      <c r="GA226" s="2" t="s">
        <v>349</v>
      </c>
      <c r="GB226" s="2"/>
      <c r="GC226" s="2"/>
      <c r="GD226" s="2">
        <v>1</v>
      </c>
      <c r="GE226" s="2"/>
      <c r="GF226" s="2">
        <v>-1877605131</v>
      </c>
      <c r="GG226" s="2">
        <v>2</v>
      </c>
      <c r="GH226" s="2">
        <v>4</v>
      </c>
      <c r="GI226" s="2">
        <v>-2</v>
      </c>
      <c r="GJ226" s="2">
        <v>0</v>
      </c>
      <c r="GK226" s="2">
        <v>0</v>
      </c>
      <c r="GL226" s="2">
        <f t="shared" si="228"/>
        <v>0</v>
      </c>
      <c r="GM226" s="2">
        <f t="shared" si="229"/>
        <v>6889.41</v>
      </c>
      <c r="GN226" s="2">
        <f t="shared" si="230"/>
        <v>0</v>
      </c>
      <c r="GO226" s="2">
        <f t="shared" si="231"/>
        <v>6889.41</v>
      </c>
      <c r="GP226" s="2">
        <f t="shared" si="232"/>
        <v>0</v>
      </c>
      <c r="GQ226" s="2"/>
      <c r="GR226" s="2">
        <v>1</v>
      </c>
      <c r="GS226" s="2">
        <v>2</v>
      </c>
      <c r="GT226" s="2">
        <v>0</v>
      </c>
      <c r="GU226" s="2" t="s">
        <v>3</v>
      </c>
      <c r="GV226" s="2">
        <f t="shared" si="233"/>
        <v>0</v>
      </c>
      <c r="GW226" s="2">
        <v>1</v>
      </c>
      <c r="GX226" s="2">
        <f t="shared" si="234"/>
        <v>0</v>
      </c>
      <c r="GY226" s="2"/>
      <c r="GZ226" s="2"/>
      <c r="HA226" s="2">
        <v>0</v>
      </c>
      <c r="HB226" s="2">
        <v>0</v>
      </c>
      <c r="HC226" s="2">
        <f t="shared" si="235"/>
        <v>0</v>
      </c>
      <c r="HD226" s="2"/>
      <c r="HE226" s="2" t="s">
        <v>325</v>
      </c>
      <c r="HF226" s="2" t="s">
        <v>30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">
      <c r="A227" s="3">
        <v>18</v>
      </c>
      <c r="B227" s="3">
        <v>1</v>
      </c>
      <c r="C227" s="3">
        <v>274</v>
      </c>
      <c r="E227" s="3" t="s">
        <v>346</v>
      </c>
      <c r="F227" s="3" t="s">
        <v>347</v>
      </c>
      <c r="G227" s="3" t="s">
        <v>348</v>
      </c>
      <c r="H227" s="3" t="s">
        <v>183</v>
      </c>
      <c r="I227" s="3">
        <f>I223*J227</f>
        <v>33</v>
      </c>
      <c r="J227" s="3">
        <v>5.1401869158878508</v>
      </c>
      <c r="K227" s="3">
        <v>5.1401868999999998</v>
      </c>
      <c r="O227" s="3">
        <f t="shared" si="211"/>
        <v>67929.58</v>
      </c>
      <c r="P227" s="3">
        <f t="shared" si="212"/>
        <v>67929.58</v>
      </c>
      <c r="Q227" s="3">
        <f t="shared" si="248"/>
        <v>0</v>
      </c>
      <c r="R227" s="3">
        <f t="shared" si="249"/>
        <v>0</v>
      </c>
      <c r="S227" s="3">
        <f t="shared" si="213"/>
        <v>0</v>
      </c>
      <c r="T227" s="3">
        <f t="shared" si="214"/>
        <v>0</v>
      </c>
      <c r="U227" s="3">
        <f t="shared" si="215"/>
        <v>0</v>
      </c>
      <c r="V227" s="3">
        <f t="shared" si="216"/>
        <v>0</v>
      </c>
      <c r="W227" s="3">
        <f t="shared" si="217"/>
        <v>0</v>
      </c>
      <c r="X227" s="3">
        <f t="shared" si="250"/>
        <v>0</v>
      </c>
      <c r="Y227" s="3">
        <f t="shared" si="251"/>
        <v>0</v>
      </c>
      <c r="AA227" s="3">
        <v>55937298</v>
      </c>
      <c r="AB227" s="3">
        <f t="shared" si="218"/>
        <v>208.77</v>
      </c>
      <c r="AC227" s="3">
        <f t="shared" si="252"/>
        <v>208.77</v>
      </c>
      <c r="AD227" s="3">
        <f t="shared" si="253"/>
        <v>0</v>
      </c>
      <c r="AE227" s="3">
        <f t="shared" si="254"/>
        <v>0</v>
      </c>
      <c r="AF227" s="3">
        <f t="shared" si="255"/>
        <v>0</v>
      </c>
      <c r="AG227" s="3">
        <f t="shared" si="219"/>
        <v>0</v>
      </c>
      <c r="AH227" s="3">
        <f t="shared" si="256"/>
        <v>0</v>
      </c>
      <c r="AI227" s="3">
        <f t="shared" si="257"/>
        <v>0</v>
      </c>
      <c r="AJ227" s="3">
        <f t="shared" si="220"/>
        <v>0</v>
      </c>
      <c r="AK227" s="3">
        <v>208.77</v>
      </c>
      <c r="AL227" s="3">
        <v>208.77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1</v>
      </c>
      <c r="AW227" s="3">
        <v>1</v>
      </c>
      <c r="AZ227" s="3">
        <v>1</v>
      </c>
      <c r="BA227" s="3">
        <v>1</v>
      </c>
      <c r="BB227" s="3">
        <v>1</v>
      </c>
      <c r="BC227" s="3">
        <v>9.86</v>
      </c>
      <c r="BD227" s="3" t="s">
        <v>3</v>
      </c>
      <c r="BE227" s="3" t="s">
        <v>3</v>
      </c>
      <c r="BF227" s="3" t="s">
        <v>3</v>
      </c>
      <c r="BG227" s="3" t="s">
        <v>3</v>
      </c>
      <c r="BH227" s="3">
        <v>3</v>
      </c>
      <c r="BI227" s="3">
        <v>2</v>
      </c>
      <c r="BJ227" s="3" t="s">
        <v>347</v>
      </c>
      <c r="BM227" s="3">
        <v>400005</v>
      </c>
      <c r="BN227" s="3">
        <v>0</v>
      </c>
      <c r="BO227" s="3" t="s">
        <v>3</v>
      </c>
      <c r="BP227" s="3">
        <v>0</v>
      </c>
      <c r="BQ227" s="3">
        <v>213</v>
      </c>
      <c r="BR227" s="3">
        <v>0</v>
      </c>
      <c r="BS227" s="3">
        <v>1</v>
      </c>
      <c r="BT227" s="3">
        <v>1</v>
      </c>
      <c r="BU227" s="3">
        <v>1</v>
      </c>
      <c r="BV227" s="3">
        <v>1</v>
      </c>
      <c r="BW227" s="3">
        <v>1</v>
      </c>
      <c r="BX227" s="3">
        <v>1</v>
      </c>
      <c r="BY227" s="3" t="s">
        <v>3</v>
      </c>
      <c r="BZ227" s="3">
        <v>97</v>
      </c>
      <c r="CA227" s="3">
        <v>51</v>
      </c>
      <c r="CB227" s="3" t="s">
        <v>3</v>
      </c>
      <c r="CE227" s="3">
        <v>1566</v>
      </c>
      <c r="CF227" s="3">
        <v>0</v>
      </c>
      <c r="CG227" s="3">
        <v>0</v>
      </c>
      <c r="CM227" s="3">
        <v>0</v>
      </c>
      <c r="CN227" s="3" t="s">
        <v>798</v>
      </c>
      <c r="CO227" s="3">
        <v>0</v>
      </c>
      <c r="CP227" s="3">
        <f t="shared" si="221"/>
        <v>67929.58</v>
      </c>
      <c r="CQ227" s="3">
        <f t="shared" si="222"/>
        <v>2058.4699999999998</v>
      </c>
      <c r="CR227" s="3">
        <f t="shared" si="258"/>
        <v>0</v>
      </c>
      <c r="CS227" s="3">
        <f t="shared" si="259"/>
        <v>0</v>
      </c>
      <c r="CT227" s="3">
        <f t="shared" si="223"/>
        <v>0</v>
      </c>
      <c r="CU227" s="3">
        <f t="shared" si="224"/>
        <v>0</v>
      </c>
      <c r="CV227" s="3">
        <f t="shared" si="225"/>
        <v>0</v>
      </c>
      <c r="CW227" s="3">
        <f t="shared" si="226"/>
        <v>0</v>
      </c>
      <c r="CX227" s="3">
        <f t="shared" si="227"/>
        <v>0</v>
      </c>
      <c r="CY227" s="3">
        <f t="shared" si="260"/>
        <v>0</v>
      </c>
      <c r="CZ227" s="3">
        <f t="shared" si="261"/>
        <v>0</v>
      </c>
      <c r="DC227" s="3" t="s">
        <v>3</v>
      </c>
      <c r="DD227" s="3" t="s">
        <v>3</v>
      </c>
      <c r="DE227" s="3" t="s">
        <v>3</v>
      </c>
      <c r="DF227" s="3" t="s">
        <v>3</v>
      </c>
      <c r="DG227" s="3" t="s">
        <v>3</v>
      </c>
      <c r="DH227" s="3" t="s">
        <v>3</v>
      </c>
      <c r="DI227" s="3" t="s">
        <v>3</v>
      </c>
      <c r="DJ227" s="3" t="s">
        <v>3</v>
      </c>
      <c r="DK227" s="3" t="s">
        <v>3</v>
      </c>
      <c r="DL227" s="3" t="s">
        <v>3</v>
      </c>
      <c r="DM227" s="3" t="s">
        <v>3</v>
      </c>
      <c r="DN227" s="3">
        <v>0</v>
      </c>
      <c r="DO227" s="3">
        <v>0</v>
      </c>
      <c r="DP227" s="3">
        <v>1</v>
      </c>
      <c r="DQ227" s="3">
        <v>1</v>
      </c>
      <c r="DU227" s="3">
        <v>1013</v>
      </c>
      <c r="DV227" s="3" t="s">
        <v>183</v>
      </c>
      <c r="DW227" s="3" t="s">
        <v>183</v>
      </c>
      <c r="DX227" s="3">
        <v>1</v>
      </c>
      <c r="DZ227" s="3" t="s">
        <v>3</v>
      </c>
      <c r="EA227" s="3" t="s">
        <v>3</v>
      </c>
      <c r="EB227" s="3" t="s">
        <v>3</v>
      </c>
      <c r="EC227" s="3" t="s">
        <v>3</v>
      </c>
      <c r="EE227" s="3">
        <v>55393628</v>
      </c>
      <c r="EF227" s="3">
        <v>213</v>
      </c>
      <c r="EG227" s="3" t="s">
        <v>322</v>
      </c>
      <c r="EH227" s="3">
        <v>0</v>
      </c>
      <c r="EI227" s="3" t="s">
        <v>3</v>
      </c>
      <c r="EJ227" s="3">
        <v>1</v>
      </c>
      <c r="EK227" s="3">
        <v>400005</v>
      </c>
      <c r="EL227" s="3" t="s">
        <v>322</v>
      </c>
      <c r="EM227" s="3" t="s">
        <v>323</v>
      </c>
      <c r="EO227" s="3" t="s">
        <v>118</v>
      </c>
      <c r="EQ227" s="3">
        <v>16</v>
      </c>
      <c r="ER227" s="3">
        <v>0</v>
      </c>
      <c r="ES227" s="3">
        <v>208.77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Z227" s="3">
        <v>5</v>
      </c>
      <c r="FC227" s="3">
        <v>1</v>
      </c>
      <c r="FD227" s="3">
        <v>18</v>
      </c>
      <c r="FF227" s="3">
        <v>2462.1</v>
      </c>
      <c r="FQ227" s="3">
        <v>0</v>
      </c>
      <c r="FR227" s="3">
        <v>0</v>
      </c>
      <c r="FS227" s="3">
        <v>0</v>
      </c>
      <c r="FX227" s="3">
        <v>97</v>
      </c>
      <c r="FY227" s="3">
        <v>51</v>
      </c>
      <c r="GA227" s="3" t="s">
        <v>349</v>
      </c>
      <c r="GD227" s="3">
        <v>1</v>
      </c>
      <c r="GF227" s="3">
        <v>-1877605131</v>
      </c>
      <c r="GG227" s="3">
        <v>2</v>
      </c>
      <c r="GH227" s="3">
        <v>3</v>
      </c>
      <c r="GI227" s="3">
        <v>5</v>
      </c>
      <c r="GJ227" s="3">
        <v>0</v>
      </c>
      <c r="GK227" s="3">
        <v>0</v>
      </c>
      <c r="GL227" s="3">
        <f t="shared" si="228"/>
        <v>0</v>
      </c>
      <c r="GM227" s="3">
        <f t="shared" si="229"/>
        <v>67929.58</v>
      </c>
      <c r="GN227" s="3">
        <f t="shared" si="230"/>
        <v>0</v>
      </c>
      <c r="GO227" s="3">
        <f t="shared" si="231"/>
        <v>67929.58</v>
      </c>
      <c r="GP227" s="3">
        <f t="shared" si="232"/>
        <v>0</v>
      </c>
      <c r="GR227" s="3">
        <v>1</v>
      </c>
      <c r="GS227" s="3">
        <v>1</v>
      </c>
      <c r="GT227" s="3">
        <v>0</v>
      </c>
      <c r="GU227" s="3" t="s">
        <v>3</v>
      </c>
      <c r="GV227" s="3">
        <f t="shared" si="233"/>
        <v>0</v>
      </c>
      <c r="GW227" s="3">
        <v>1</v>
      </c>
      <c r="GX227" s="3">
        <f t="shared" si="234"/>
        <v>0</v>
      </c>
      <c r="HA227" s="3">
        <v>0</v>
      </c>
      <c r="HB227" s="3">
        <v>0</v>
      </c>
      <c r="HC227" s="3">
        <f t="shared" si="235"/>
        <v>0</v>
      </c>
      <c r="HE227" s="3" t="s">
        <v>325</v>
      </c>
      <c r="HF227" s="3" t="s">
        <v>30</v>
      </c>
      <c r="HM227" s="3" t="s">
        <v>3</v>
      </c>
      <c r="HN227" s="3" t="s">
        <v>3</v>
      </c>
      <c r="HO227" s="3" t="s">
        <v>3</v>
      </c>
      <c r="HP227" s="3" t="s">
        <v>3</v>
      </c>
      <c r="HQ227" s="3" t="s">
        <v>3</v>
      </c>
      <c r="HS227" s="3">
        <v>0</v>
      </c>
      <c r="IK227" s="3">
        <v>0</v>
      </c>
    </row>
    <row r="228" spans="1:255" x14ac:dyDescent="0.2">
      <c r="A228" s="2">
        <v>18</v>
      </c>
      <c r="B228" s="2">
        <v>1</v>
      </c>
      <c r="C228" s="2">
        <v>269</v>
      </c>
      <c r="D228" s="2"/>
      <c r="E228" s="2" t="s">
        <v>350</v>
      </c>
      <c r="F228" s="2" t="s">
        <v>351</v>
      </c>
      <c r="G228" s="2" t="s">
        <v>352</v>
      </c>
      <c r="H228" s="2" t="s">
        <v>353</v>
      </c>
      <c r="I228" s="2">
        <f>I222*J228</f>
        <v>2.14</v>
      </c>
      <c r="J228" s="2">
        <v>0.33333333333333337</v>
      </c>
      <c r="K228" s="2">
        <v>0.3333333</v>
      </c>
      <c r="L228" s="2"/>
      <c r="M228" s="2"/>
      <c r="N228" s="2"/>
      <c r="O228" s="2">
        <f t="shared" si="211"/>
        <v>848.7</v>
      </c>
      <c r="P228" s="2">
        <f t="shared" si="212"/>
        <v>848.7</v>
      </c>
      <c r="Q228" s="2">
        <f t="shared" si="248"/>
        <v>0</v>
      </c>
      <c r="R228" s="2">
        <f t="shared" si="249"/>
        <v>0</v>
      </c>
      <c r="S228" s="2">
        <f t="shared" si="213"/>
        <v>0</v>
      </c>
      <c r="T228" s="2">
        <f t="shared" si="214"/>
        <v>0</v>
      </c>
      <c r="U228" s="2">
        <f t="shared" si="215"/>
        <v>0</v>
      </c>
      <c r="V228" s="2">
        <f t="shared" si="216"/>
        <v>0</v>
      </c>
      <c r="W228" s="2">
        <f t="shared" si="217"/>
        <v>0</v>
      </c>
      <c r="X228" s="2">
        <f t="shared" si="250"/>
        <v>0</v>
      </c>
      <c r="Y228" s="2">
        <f t="shared" si="251"/>
        <v>0</v>
      </c>
      <c r="Z228" s="2"/>
      <c r="AA228" s="2">
        <v>55937296</v>
      </c>
      <c r="AB228" s="2">
        <f t="shared" si="218"/>
        <v>396.59</v>
      </c>
      <c r="AC228" s="2">
        <f t="shared" si="252"/>
        <v>396.59</v>
      </c>
      <c r="AD228" s="2">
        <f t="shared" si="253"/>
        <v>0</v>
      </c>
      <c r="AE228" s="2">
        <f t="shared" si="254"/>
        <v>0</v>
      </c>
      <c r="AF228" s="2">
        <f t="shared" si="255"/>
        <v>0</v>
      </c>
      <c r="AG228" s="2">
        <f t="shared" si="219"/>
        <v>0</v>
      </c>
      <c r="AH228" s="2">
        <f t="shared" si="256"/>
        <v>0</v>
      </c>
      <c r="AI228" s="2">
        <f t="shared" si="257"/>
        <v>0</v>
      </c>
      <c r="AJ228" s="2">
        <f t="shared" si="220"/>
        <v>0</v>
      </c>
      <c r="AK228" s="2">
        <v>396.59</v>
      </c>
      <c r="AL228" s="2">
        <v>396.59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97</v>
      </c>
      <c r="AU228" s="2">
        <v>51</v>
      </c>
      <c r="AV228" s="2">
        <v>1</v>
      </c>
      <c r="AW228" s="2">
        <v>1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3</v>
      </c>
      <c r="BI228" s="2">
        <v>2</v>
      </c>
      <c r="BJ228" s="2" t="s">
        <v>354</v>
      </c>
      <c r="BK228" s="2"/>
      <c r="BL228" s="2"/>
      <c r="BM228" s="2">
        <v>67</v>
      </c>
      <c r="BN228" s="2">
        <v>0</v>
      </c>
      <c r="BO228" s="2" t="s">
        <v>3</v>
      </c>
      <c r="BP228" s="2">
        <v>0</v>
      </c>
      <c r="BQ228" s="2">
        <v>40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97</v>
      </c>
      <c r="CA228" s="2">
        <v>51</v>
      </c>
      <c r="CB228" s="2" t="s">
        <v>3</v>
      </c>
      <c r="CC228" s="2"/>
      <c r="CD228" s="2"/>
      <c r="CE228" s="2">
        <v>1566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798</v>
      </c>
      <c r="CO228" s="2">
        <v>0</v>
      </c>
      <c r="CP228" s="2">
        <f t="shared" si="221"/>
        <v>848.7</v>
      </c>
      <c r="CQ228" s="2">
        <f t="shared" si="222"/>
        <v>396.59</v>
      </c>
      <c r="CR228" s="2">
        <f t="shared" si="258"/>
        <v>0</v>
      </c>
      <c r="CS228" s="2">
        <f t="shared" si="259"/>
        <v>0</v>
      </c>
      <c r="CT228" s="2">
        <f t="shared" si="223"/>
        <v>0</v>
      </c>
      <c r="CU228" s="2">
        <f t="shared" si="224"/>
        <v>0</v>
      </c>
      <c r="CV228" s="2">
        <f t="shared" si="225"/>
        <v>0</v>
      </c>
      <c r="CW228" s="2">
        <f t="shared" si="226"/>
        <v>0</v>
      </c>
      <c r="CX228" s="2">
        <f t="shared" si="227"/>
        <v>0</v>
      </c>
      <c r="CY228" s="2">
        <f t="shared" si="260"/>
        <v>0</v>
      </c>
      <c r="CZ228" s="2">
        <f t="shared" si="261"/>
        <v>0</v>
      </c>
      <c r="DA228" s="2"/>
      <c r="DB228" s="2"/>
      <c r="DC228" s="2" t="s">
        <v>3</v>
      </c>
      <c r="DD228" s="2" t="s">
        <v>3</v>
      </c>
      <c r="DE228" s="2" t="s">
        <v>3</v>
      </c>
      <c r="DF228" s="2" t="s">
        <v>3</v>
      </c>
      <c r="DG228" s="2" t="s">
        <v>3</v>
      </c>
      <c r="DH228" s="2" t="s">
        <v>3</v>
      </c>
      <c r="DI228" s="2" t="s">
        <v>3</v>
      </c>
      <c r="DJ228" s="2" t="s">
        <v>3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1010</v>
      </c>
      <c r="DV228" s="2" t="s">
        <v>353</v>
      </c>
      <c r="DW228" s="2" t="s">
        <v>353</v>
      </c>
      <c r="DX228" s="2">
        <v>1000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55393699</v>
      </c>
      <c r="EF228" s="2">
        <v>40</v>
      </c>
      <c r="EG228" s="2" t="s">
        <v>26</v>
      </c>
      <c r="EH228" s="2">
        <v>0</v>
      </c>
      <c r="EI228" s="2" t="s">
        <v>3</v>
      </c>
      <c r="EJ228" s="2">
        <v>2</v>
      </c>
      <c r="EK228" s="2">
        <v>67</v>
      </c>
      <c r="EL228" s="2" t="s">
        <v>62</v>
      </c>
      <c r="EM228" s="2" t="s">
        <v>63</v>
      </c>
      <c r="EN228" s="2"/>
      <c r="EO228" s="2" t="s">
        <v>118</v>
      </c>
      <c r="EP228" s="2"/>
      <c r="EQ228" s="2">
        <v>0</v>
      </c>
      <c r="ER228" s="2">
        <v>396.59</v>
      </c>
      <c r="ES228" s="2">
        <v>396.59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97</v>
      </c>
      <c r="FY228" s="2">
        <v>51</v>
      </c>
      <c r="FZ228" s="2"/>
      <c r="GA228" s="2" t="s">
        <v>3</v>
      </c>
      <c r="GB228" s="2"/>
      <c r="GC228" s="2"/>
      <c r="GD228" s="2">
        <v>1</v>
      </c>
      <c r="GE228" s="2"/>
      <c r="GF228" s="2">
        <v>1886730866</v>
      </c>
      <c r="GG228" s="2">
        <v>2</v>
      </c>
      <c r="GH228" s="2">
        <v>1</v>
      </c>
      <c r="GI228" s="2">
        <v>-2</v>
      </c>
      <c r="GJ228" s="2">
        <v>0</v>
      </c>
      <c r="GK228" s="2">
        <v>0</v>
      </c>
      <c r="GL228" s="2">
        <f t="shared" si="228"/>
        <v>0</v>
      </c>
      <c r="GM228" s="2">
        <f t="shared" si="229"/>
        <v>848.7</v>
      </c>
      <c r="GN228" s="2">
        <f t="shared" si="230"/>
        <v>0</v>
      </c>
      <c r="GO228" s="2">
        <f t="shared" si="231"/>
        <v>848.7</v>
      </c>
      <c r="GP228" s="2">
        <f t="shared" si="232"/>
        <v>0</v>
      </c>
      <c r="GQ228" s="2"/>
      <c r="GR228" s="2">
        <v>0</v>
      </c>
      <c r="GS228" s="2">
        <v>3</v>
      </c>
      <c r="GT228" s="2">
        <v>0</v>
      </c>
      <c r="GU228" s="2" t="s">
        <v>3</v>
      </c>
      <c r="GV228" s="2">
        <f t="shared" si="233"/>
        <v>0</v>
      </c>
      <c r="GW228" s="2">
        <v>1</v>
      </c>
      <c r="GX228" s="2">
        <f t="shared" si="234"/>
        <v>0</v>
      </c>
      <c r="GY228" s="2"/>
      <c r="GZ228" s="2"/>
      <c r="HA228" s="2">
        <v>0</v>
      </c>
      <c r="HB228" s="2">
        <v>0</v>
      </c>
      <c r="HC228" s="2">
        <f t="shared" si="235"/>
        <v>0</v>
      </c>
      <c r="HD228" s="2"/>
      <c r="HE228" s="2" t="s">
        <v>3</v>
      </c>
      <c r="HF228" s="2" t="s">
        <v>3</v>
      </c>
      <c r="HG228" s="2"/>
      <c r="HH228" s="2"/>
      <c r="HI228" s="2"/>
      <c r="HJ228" s="2"/>
      <c r="HK228" s="2"/>
      <c r="HL228" s="2"/>
      <c r="HM228" s="2" t="s">
        <v>113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">
      <c r="A229" s="3">
        <v>18</v>
      </c>
      <c r="B229" s="3">
        <v>1</v>
      </c>
      <c r="C229" s="3">
        <v>273</v>
      </c>
      <c r="E229" s="3" t="s">
        <v>350</v>
      </c>
      <c r="F229" s="3" t="s">
        <v>351</v>
      </c>
      <c r="G229" s="3" t="s">
        <v>352</v>
      </c>
      <c r="H229" s="3" t="s">
        <v>353</v>
      </c>
      <c r="I229" s="3">
        <f>I223*J229</f>
        <v>2.14</v>
      </c>
      <c r="J229" s="3">
        <v>0.33333333333333337</v>
      </c>
      <c r="K229" s="3">
        <v>0.3333333</v>
      </c>
      <c r="O229" s="3">
        <f t="shared" si="211"/>
        <v>3734.28</v>
      </c>
      <c r="P229" s="3">
        <f t="shared" si="212"/>
        <v>3734.28</v>
      </c>
      <c r="Q229" s="3">
        <f t="shared" si="248"/>
        <v>0</v>
      </c>
      <c r="R229" s="3">
        <f t="shared" si="249"/>
        <v>0</v>
      </c>
      <c r="S229" s="3">
        <f t="shared" si="213"/>
        <v>0</v>
      </c>
      <c r="T229" s="3">
        <f t="shared" si="214"/>
        <v>0</v>
      </c>
      <c r="U229" s="3">
        <f t="shared" si="215"/>
        <v>0</v>
      </c>
      <c r="V229" s="3">
        <f t="shared" si="216"/>
        <v>0</v>
      </c>
      <c r="W229" s="3">
        <f t="shared" si="217"/>
        <v>0</v>
      </c>
      <c r="X229" s="3">
        <f t="shared" si="250"/>
        <v>0</v>
      </c>
      <c r="Y229" s="3">
        <f t="shared" si="251"/>
        <v>0</v>
      </c>
      <c r="AA229" s="3">
        <v>55937298</v>
      </c>
      <c r="AB229" s="3">
        <f t="shared" si="218"/>
        <v>396.59</v>
      </c>
      <c r="AC229" s="3">
        <f t="shared" si="252"/>
        <v>396.59</v>
      </c>
      <c r="AD229" s="3">
        <f t="shared" si="253"/>
        <v>0</v>
      </c>
      <c r="AE229" s="3">
        <f t="shared" si="254"/>
        <v>0</v>
      </c>
      <c r="AF229" s="3">
        <f t="shared" si="255"/>
        <v>0</v>
      </c>
      <c r="AG229" s="3">
        <f t="shared" si="219"/>
        <v>0</v>
      </c>
      <c r="AH229" s="3">
        <f t="shared" si="256"/>
        <v>0</v>
      </c>
      <c r="AI229" s="3">
        <f t="shared" si="257"/>
        <v>0</v>
      </c>
      <c r="AJ229" s="3">
        <f t="shared" si="220"/>
        <v>0</v>
      </c>
      <c r="AK229" s="3">
        <v>396.59</v>
      </c>
      <c r="AL229" s="3">
        <v>396.59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97</v>
      </c>
      <c r="AU229" s="3">
        <v>51</v>
      </c>
      <c r="AV229" s="3">
        <v>1</v>
      </c>
      <c r="AW229" s="3">
        <v>1</v>
      </c>
      <c r="AZ229" s="3">
        <v>1</v>
      </c>
      <c r="BA229" s="3">
        <v>1</v>
      </c>
      <c r="BB229" s="3">
        <v>1</v>
      </c>
      <c r="BC229" s="3">
        <v>4.4000000000000004</v>
      </c>
      <c r="BD229" s="3" t="s">
        <v>3</v>
      </c>
      <c r="BE229" s="3" t="s">
        <v>3</v>
      </c>
      <c r="BF229" s="3" t="s">
        <v>3</v>
      </c>
      <c r="BG229" s="3" t="s">
        <v>3</v>
      </c>
      <c r="BH229" s="3">
        <v>3</v>
      </c>
      <c r="BI229" s="3">
        <v>2</v>
      </c>
      <c r="BJ229" s="3" t="s">
        <v>354</v>
      </c>
      <c r="BM229" s="3">
        <v>67</v>
      </c>
      <c r="BN229" s="3">
        <v>0</v>
      </c>
      <c r="BO229" s="3" t="s">
        <v>351</v>
      </c>
      <c r="BP229" s="3">
        <v>1</v>
      </c>
      <c r="BQ229" s="3">
        <v>40</v>
      </c>
      <c r="BR229" s="3">
        <v>0</v>
      </c>
      <c r="BS229" s="3">
        <v>1</v>
      </c>
      <c r="BT229" s="3">
        <v>1</v>
      </c>
      <c r="BU229" s="3">
        <v>1</v>
      </c>
      <c r="BV229" s="3">
        <v>1</v>
      </c>
      <c r="BW229" s="3">
        <v>1</v>
      </c>
      <c r="BX229" s="3">
        <v>1</v>
      </c>
      <c r="BY229" s="3" t="s">
        <v>3</v>
      </c>
      <c r="BZ229" s="3">
        <v>97</v>
      </c>
      <c r="CA229" s="3">
        <v>51</v>
      </c>
      <c r="CB229" s="3" t="s">
        <v>3</v>
      </c>
      <c r="CE229" s="3">
        <v>1566</v>
      </c>
      <c r="CF229" s="3">
        <v>0</v>
      </c>
      <c r="CG229" s="3">
        <v>0</v>
      </c>
      <c r="CM229" s="3">
        <v>0</v>
      </c>
      <c r="CN229" s="3" t="s">
        <v>798</v>
      </c>
      <c r="CO229" s="3">
        <v>0</v>
      </c>
      <c r="CP229" s="3">
        <f t="shared" si="221"/>
        <v>3734.28</v>
      </c>
      <c r="CQ229" s="3">
        <f t="shared" si="222"/>
        <v>1745</v>
      </c>
      <c r="CR229" s="3">
        <f t="shared" si="258"/>
        <v>0</v>
      </c>
      <c r="CS229" s="3">
        <f t="shared" si="259"/>
        <v>0</v>
      </c>
      <c r="CT229" s="3">
        <f t="shared" si="223"/>
        <v>0</v>
      </c>
      <c r="CU229" s="3">
        <f t="shared" si="224"/>
        <v>0</v>
      </c>
      <c r="CV229" s="3">
        <f t="shared" si="225"/>
        <v>0</v>
      </c>
      <c r="CW229" s="3">
        <f t="shared" si="226"/>
        <v>0</v>
      </c>
      <c r="CX229" s="3">
        <f t="shared" si="227"/>
        <v>0</v>
      </c>
      <c r="CY229" s="3">
        <f t="shared" si="260"/>
        <v>0</v>
      </c>
      <c r="CZ229" s="3">
        <f t="shared" si="261"/>
        <v>0</v>
      </c>
      <c r="DC229" s="3" t="s">
        <v>3</v>
      </c>
      <c r="DD229" s="3" t="s">
        <v>3</v>
      </c>
      <c r="DE229" s="3" t="s">
        <v>3</v>
      </c>
      <c r="DF229" s="3" t="s">
        <v>3</v>
      </c>
      <c r="DG229" s="3" t="s">
        <v>3</v>
      </c>
      <c r="DH229" s="3" t="s">
        <v>3</v>
      </c>
      <c r="DI229" s="3" t="s">
        <v>3</v>
      </c>
      <c r="DJ229" s="3" t="s">
        <v>3</v>
      </c>
      <c r="DK229" s="3" t="s">
        <v>3</v>
      </c>
      <c r="DL229" s="3" t="s">
        <v>3</v>
      </c>
      <c r="DM229" s="3" t="s">
        <v>3</v>
      </c>
      <c r="DN229" s="3">
        <v>0</v>
      </c>
      <c r="DO229" s="3">
        <v>0</v>
      </c>
      <c r="DP229" s="3">
        <v>1</v>
      </c>
      <c r="DQ229" s="3">
        <v>1</v>
      </c>
      <c r="DU229" s="3">
        <v>1010</v>
      </c>
      <c r="DV229" s="3" t="s">
        <v>353</v>
      </c>
      <c r="DW229" s="3" t="s">
        <v>353</v>
      </c>
      <c r="DX229" s="3">
        <v>1000</v>
      </c>
      <c r="DZ229" s="3" t="s">
        <v>3</v>
      </c>
      <c r="EA229" s="3" t="s">
        <v>3</v>
      </c>
      <c r="EB229" s="3" t="s">
        <v>3</v>
      </c>
      <c r="EC229" s="3" t="s">
        <v>3</v>
      </c>
      <c r="EE229" s="3">
        <v>55393699</v>
      </c>
      <c r="EF229" s="3">
        <v>40</v>
      </c>
      <c r="EG229" s="3" t="s">
        <v>26</v>
      </c>
      <c r="EH229" s="3">
        <v>0</v>
      </c>
      <c r="EI229" s="3" t="s">
        <v>3</v>
      </c>
      <c r="EJ229" s="3">
        <v>2</v>
      </c>
      <c r="EK229" s="3">
        <v>67</v>
      </c>
      <c r="EL229" s="3" t="s">
        <v>62</v>
      </c>
      <c r="EM229" s="3" t="s">
        <v>63</v>
      </c>
      <c r="EO229" s="3" t="s">
        <v>118</v>
      </c>
      <c r="EQ229" s="3">
        <v>0</v>
      </c>
      <c r="ER229" s="3">
        <v>396.59</v>
      </c>
      <c r="ES229" s="3">
        <v>396.59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FQ229" s="3">
        <v>0</v>
      </c>
      <c r="FR229" s="3">
        <v>0</v>
      </c>
      <c r="FS229" s="3">
        <v>0</v>
      </c>
      <c r="FX229" s="3">
        <v>97</v>
      </c>
      <c r="FY229" s="3">
        <v>51</v>
      </c>
      <c r="GA229" s="3" t="s">
        <v>3</v>
      </c>
      <c r="GD229" s="3">
        <v>1</v>
      </c>
      <c r="GF229" s="3">
        <v>1886730866</v>
      </c>
      <c r="GG229" s="3">
        <v>2</v>
      </c>
      <c r="GH229" s="3">
        <v>1</v>
      </c>
      <c r="GI229" s="3">
        <v>2</v>
      </c>
      <c r="GJ229" s="3">
        <v>0</v>
      </c>
      <c r="GK229" s="3">
        <v>0</v>
      </c>
      <c r="GL229" s="3">
        <f t="shared" si="228"/>
        <v>0</v>
      </c>
      <c r="GM229" s="3">
        <f t="shared" si="229"/>
        <v>3734.28</v>
      </c>
      <c r="GN229" s="3">
        <f t="shared" si="230"/>
        <v>0</v>
      </c>
      <c r="GO229" s="3">
        <f t="shared" si="231"/>
        <v>3734.28</v>
      </c>
      <c r="GP229" s="3">
        <f t="shared" si="232"/>
        <v>0</v>
      </c>
      <c r="GR229" s="3">
        <v>0</v>
      </c>
      <c r="GS229" s="3">
        <v>3</v>
      </c>
      <c r="GT229" s="3">
        <v>0</v>
      </c>
      <c r="GU229" s="3" t="s">
        <v>3</v>
      </c>
      <c r="GV229" s="3">
        <f t="shared" si="233"/>
        <v>0</v>
      </c>
      <c r="GW229" s="3">
        <v>1</v>
      </c>
      <c r="GX229" s="3">
        <f t="shared" si="234"/>
        <v>0</v>
      </c>
      <c r="HA229" s="3">
        <v>0</v>
      </c>
      <c r="HB229" s="3">
        <v>0</v>
      </c>
      <c r="HC229" s="3">
        <f t="shared" si="235"/>
        <v>0</v>
      </c>
      <c r="HE229" s="3" t="s">
        <v>3</v>
      </c>
      <c r="HF229" s="3" t="s">
        <v>3</v>
      </c>
      <c r="HM229" s="3" t="s">
        <v>113</v>
      </c>
      <c r="HN229" s="3" t="s">
        <v>3</v>
      </c>
      <c r="HO229" s="3" t="s">
        <v>3</v>
      </c>
      <c r="HP229" s="3" t="s">
        <v>3</v>
      </c>
      <c r="HQ229" s="3" t="s">
        <v>3</v>
      </c>
      <c r="HS229" s="3">
        <v>0</v>
      </c>
      <c r="IK229" s="3">
        <v>0</v>
      </c>
    </row>
    <row r="230" spans="1:255" x14ac:dyDescent="0.2">
      <c r="A230" s="2">
        <v>17</v>
      </c>
      <c r="B230" s="2">
        <v>1</v>
      </c>
      <c r="C230" s="2"/>
      <c r="D230" s="2"/>
      <c r="E230" s="2" t="s">
        <v>355</v>
      </c>
      <c r="F230" s="2" t="s">
        <v>356</v>
      </c>
      <c r="G230" s="2" t="s">
        <v>357</v>
      </c>
      <c r="H230" s="2" t="s">
        <v>60</v>
      </c>
      <c r="I230" s="2">
        <f>ROUND(2640/100,9)</f>
        <v>26.4</v>
      </c>
      <c r="J230" s="2">
        <v>0</v>
      </c>
      <c r="K230" s="2">
        <f>ROUND(2640/100,9)</f>
        <v>26.4</v>
      </c>
      <c r="L230" s="2"/>
      <c r="M230" s="2"/>
      <c r="N230" s="2"/>
      <c r="O230" s="2">
        <f t="shared" si="211"/>
        <v>2506.15</v>
      </c>
      <c r="P230" s="2">
        <f t="shared" si="212"/>
        <v>2506.15</v>
      </c>
      <c r="Q230" s="2">
        <f t="shared" si="248"/>
        <v>0</v>
      </c>
      <c r="R230" s="2">
        <f t="shared" si="249"/>
        <v>0</v>
      </c>
      <c r="S230" s="2">
        <f t="shared" si="213"/>
        <v>0</v>
      </c>
      <c r="T230" s="2">
        <f t="shared" si="214"/>
        <v>0</v>
      </c>
      <c r="U230" s="2">
        <f t="shared" si="215"/>
        <v>0</v>
      </c>
      <c r="V230" s="2">
        <f t="shared" si="216"/>
        <v>0</v>
      </c>
      <c r="W230" s="2">
        <f t="shared" si="217"/>
        <v>0</v>
      </c>
      <c r="X230" s="2">
        <f t="shared" si="250"/>
        <v>0</v>
      </c>
      <c r="Y230" s="2">
        <f t="shared" si="251"/>
        <v>0</v>
      </c>
      <c r="Z230" s="2"/>
      <c r="AA230" s="2">
        <v>55937296</v>
      </c>
      <c r="AB230" s="2">
        <f t="shared" si="218"/>
        <v>94.93</v>
      </c>
      <c r="AC230" s="2">
        <f t="shared" si="252"/>
        <v>94.93</v>
      </c>
      <c r="AD230" s="2">
        <f t="shared" si="253"/>
        <v>0</v>
      </c>
      <c r="AE230" s="2">
        <f t="shared" si="254"/>
        <v>0</v>
      </c>
      <c r="AF230" s="2">
        <f t="shared" si="255"/>
        <v>0</v>
      </c>
      <c r="AG230" s="2">
        <f t="shared" si="219"/>
        <v>0</v>
      </c>
      <c r="AH230" s="2">
        <f t="shared" si="256"/>
        <v>0</v>
      </c>
      <c r="AI230" s="2">
        <f t="shared" si="257"/>
        <v>0</v>
      </c>
      <c r="AJ230" s="2">
        <f t="shared" si="220"/>
        <v>0</v>
      </c>
      <c r="AK230" s="2">
        <v>94.93</v>
      </c>
      <c r="AL230" s="2">
        <v>94.93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1</v>
      </c>
      <c r="AW230" s="2">
        <v>1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3</v>
      </c>
      <c r="BI230" s="2">
        <v>2</v>
      </c>
      <c r="BJ230" s="2" t="s">
        <v>358</v>
      </c>
      <c r="BK230" s="2"/>
      <c r="BL230" s="2"/>
      <c r="BM230" s="2">
        <v>1617</v>
      </c>
      <c r="BN230" s="2">
        <v>0</v>
      </c>
      <c r="BO230" s="2" t="s">
        <v>3</v>
      </c>
      <c r="BP230" s="2">
        <v>0</v>
      </c>
      <c r="BQ230" s="2">
        <v>200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0</v>
      </c>
      <c r="CA230" s="2">
        <v>0</v>
      </c>
      <c r="CB230" s="2" t="s">
        <v>3</v>
      </c>
      <c r="CC230" s="2"/>
      <c r="CD230" s="2"/>
      <c r="CE230" s="2">
        <v>1566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3</v>
      </c>
      <c r="CO230" s="2">
        <v>0</v>
      </c>
      <c r="CP230" s="2">
        <f t="shared" si="221"/>
        <v>2506.15</v>
      </c>
      <c r="CQ230" s="2">
        <f t="shared" si="222"/>
        <v>94.93</v>
      </c>
      <c r="CR230" s="2">
        <f t="shared" si="258"/>
        <v>0</v>
      </c>
      <c r="CS230" s="2">
        <f t="shared" si="259"/>
        <v>0</v>
      </c>
      <c r="CT230" s="2">
        <f t="shared" si="223"/>
        <v>0</v>
      </c>
      <c r="CU230" s="2">
        <f t="shared" si="224"/>
        <v>0</v>
      </c>
      <c r="CV230" s="2">
        <f t="shared" si="225"/>
        <v>0</v>
      </c>
      <c r="CW230" s="2">
        <f t="shared" si="226"/>
        <v>0</v>
      </c>
      <c r="CX230" s="2">
        <f t="shared" si="227"/>
        <v>0</v>
      </c>
      <c r="CY230" s="2">
        <f t="shared" si="260"/>
        <v>0</v>
      </c>
      <c r="CZ230" s="2">
        <f t="shared" si="261"/>
        <v>0</v>
      </c>
      <c r="DA230" s="2"/>
      <c r="DB230" s="2"/>
      <c r="DC230" s="2" t="s">
        <v>3</v>
      </c>
      <c r="DD230" s="2" t="s">
        <v>3</v>
      </c>
      <c r="DE230" s="2" t="s">
        <v>3</v>
      </c>
      <c r="DF230" s="2" t="s">
        <v>3</v>
      </c>
      <c r="DG230" s="2" t="s">
        <v>3</v>
      </c>
      <c r="DH230" s="2" t="s">
        <v>3</v>
      </c>
      <c r="DI230" s="2" t="s">
        <v>3</v>
      </c>
      <c r="DJ230" s="2" t="s">
        <v>3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1010</v>
      </c>
      <c r="DV230" s="2" t="s">
        <v>60</v>
      </c>
      <c r="DW230" s="2" t="s">
        <v>60</v>
      </c>
      <c r="DX230" s="2">
        <v>100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55393728</v>
      </c>
      <c r="EF230" s="2">
        <v>200</v>
      </c>
      <c r="EG230" s="2" t="s">
        <v>359</v>
      </c>
      <c r="EH230" s="2">
        <v>0</v>
      </c>
      <c r="EI230" s="2" t="s">
        <v>3</v>
      </c>
      <c r="EJ230" s="2">
        <v>1</v>
      </c>
      <c r="EK230" s="2">
        <v>1617</v>
      </c>
      <c r="EL230" s="2" t="s">
        <v>360</v>
      </c>
      <c r="EM230" s="2" t="s">
        <v>361</v>
      </c>
      <c r="EN230" s="2"/>
      <c r="EO230" s="2" t="s">
        <v>3</v>
      </c>
      <c r="EP230" s="2"/>
      <c r="EQ230" s="2">
        <v>0</v>
      </c>
      <c r="ER230" s="2">
        <v>94.93</v>
      </c>
      <c r="ES230" s="2">
        <v>94.93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v>0</v>
      </c>
      <c r="FS230" s="2">
        <v>0</v>
      </c>
      <c r="FT230" s="2"/>
      <c r="FU230" s="2"/>
      <c r="FV230" s="2"/>
      <c r="FW230" s="2"/>
      <c r="FX230" s="2">
        <v>0</v>
      </c>
      <c r="FY230" s="2">
        <v>0</v>
      </c>
      <c r="FZ230" s="2"/>
      <c r="GA230" s="2" t="s">
        <v>3</v>
      </c>
      <c r="GB230" s="2"/>
      <c r="GC230" s="2"/>
      <c r="GD230" s="2">
        <v>1</v>
      </c>
      <c r="GE230" s="2"/>
      <c r="GF230" s="2">
        <v>1017990539</v>
      </c>
      <c r="GG230" s="2">
        <v>2</v>
      </c>
      <c r="GH230" s="2">
        <v>1</v>
      </c>
      <c r="GI230" s="2">
        <v>-2</v>
      </c>
      <c r="GJ230" s="2">
        <v>0</v>
      </c>
      <c r="GK230" s="2">
        <v>0</v>
      </c>
      <c r="GL230" s="2">
        <f t="shared" si="228"/>
        <v>0</v>
      </c>
      <c r="GM230" s="2">
        <f t="shared" si="229"/>
        <v>2506.15</v>
      </c>
      <c r="GN230" s="2">
        <f t="shared" si="230"/>
        <v>0</v>
      </c>
      <c r="GO230" s="2">
        <f t="shared" si="231"/>
        <v>2506.15</v>
      </c>
      <c r="GP230" s="2">
        <f t="shared" si="232"/>
        <v>0</v>
      </c>
      <c r="GQ230" s="2"/>
      <c r="GR230" s="2">
        <v>0</v>
      </c>
      <c r="GS230" s="2">
        <v>3</v>
      </c>
      <c r="GT230" s="2">
        <v>0</v>
      </c>
      <c r="GU230" s="2" t="s">
        <v>3</v>
      </c>
      <c r="GV230" s="2">
        <f t="shared" si="233"/>
        <v>0</v>
      </c>
      <c r="GW230" s="2">
        <v>1</v>
      </c>
      <c r="GX230" s="2">
        <f t="shared" si="234"/>
        <v>0</v>
      </c>
      <c r="GY230" s="2"/>
      <c r="GZ230" s="2"/>
      <c r="HA230" s="2">
        <v>0</v>
      </c>
      <c r="HB230" s="2">
        <v>0</v>
      </c>
      <c r="HC230" s="2">
        <f t="shared" si="235"/>
        <v>0</v>
      </c>
      <c r="HD230" s="2"/>
      <c r="HE230" s="2" t="s">
        <v>3</v>
      </c>
      <c r="HF230" s="2" t="s">
        <v>3</v>
      </c>
      <c r="HG230" s="2"/>
      <c r="HH230" s="2"/>
      <c r="HI230" s="2"/>
      <c r="HJ230" s="2"/>
      <c r="HK230" s="2"/>
      <c r="HL230" s="2"/>
      <c r="HM230" s="2" t="s">
        <v>3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">
      <c r="A231" s="3">
        <v>17</v>
      </c>
      <c r="B231" s="3">
        <v>1</v>
      </c>
      <c r="E231" s="3" t="s">
        <v>355</v>
      </c>
      <c r="F231" s="3" t="s">
        <v>356</v>
      </c>
      <c r="G231" s="3" t="s">
        <v>357</v>
      </c>
      <c r="H231" s="3" t="s">
        <v>60</v>
      </c>
      <c r="I231" s="3">
        <f>ROUND(2640/100,9)</f>
        <v>26.4</v>
      </c>
      <c r="J231" s="3">
        <v>0</v>
      </c>
      <c r="K231" s="3">
        <f>ROUND(2640/100,9)</f>
        <v>26.4</v>
      </c>
      <c r="O231" s="3">
        <f t="shared" si="211"/>
        <v>9272.76</v>
      </c>
      <c r="P231" s="3">
        <f t="shared" si="212"/>
        <v>9272.76</v>
      </c>
      <c r="Q231" s="3">
        <f t="shared" si="248"/>
        <v>0</v>
      </c>
      <c r="R231" s="3">
        <f t="shared" si="249"/>
        <v>0</v>
      </c>
      <c r="S231" s="3">
        <f t="shared" si="213"/>
        <v>0</v>
      </c>
      <c r="T231" s="3">
        <f t="shared" si="214"/>
        <v>0</v>
      </c>
      <c r="U231" s="3">
        <f t="shared" si="215"/>
        <v>0</v>
      </c>
      <c r="V231" s="3">
        <f t="shared" si="216"/>
        <v>0</v>
      </c>
      <c r="W231" s="3">
        <f t="shared" si="217"/>
        <v>0</v>
      </c>
      <c r="X231" s="3">
        <f t="shared" si="250"/>
        <v>0</v>
      </c>
      <c r="Y231" s="3">
        <f t="shared" si="251"/>
        <v>0</v>
      </c>
      <c r="AA231" s="3">
        <v>55937298</v>
      </c>
      <c r="AB231" s="3">
        <f t="shared" si="218"/>
        <v>94.93</v>
      </c>
      <c r="AC231" s="3">
        <f t="shared" si="252"/>
        <v>94.93</v>
      </c>
      <c r="AD231" s="3">
        <f t="shared" si="253"/>
        <v>0</v>
      </c>
      <c r="AE231" s="3">
        <f t="shared" si="254"/>
        <v>0</v>
      </c>
      <c r="AF231" s="3">
        <f t="shared" si="255"/>
        <v>0</v>
      </c>
      <c r="AG231" s="3">
        <f t="shared" si="219"/>
        <v>0</v>
      </c>
      <c r="AH231" s="3">
        <f t="shared" si="256"/>
        <v>0</v>
      </c>
      <c r="AI231" s="3">
        <f t="shared" si="257"/>
        <v>0</v>
      </c>
      <c r="AJ231" s="3">
        <f t="shared" si="220"/>
        <v>0</v>
      </c>
      <c r="AK231" s="3">
        <v>94.93</v>
      </c>
      <c r="AL231" s="3">
        <v>94.93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1</v>
      </c>
      <c r="AW231" s="3">
        <v>1</v>
      </c>
      <c r="AZ231" s="3">
        <v>1</v>
      </c>
      <c r="BA231" s="3">
        <v>1</v>
      </c>
      <c r="BB231" s="3">
        <v>1</v>
      </c>
      <c r="BC231" s="3">
        <v>3.7</v>
      </c>
      <c r="BD231" s="3" t="s">
        <v>3</v>
      </c>
      <c r="BE231" s="3" t="s">
        <v>3</v>
      </c>
      <c r="BF231" s="3" t="s">
        <v>3</v>
      </c>
      <c r="BG231" s="3" t="s">
        <v>3</v>
      </c>
      <c r="BH231" s="3">
        <v>3</v>
      </c>
      <c r="BI231" s="3">
        <v>2</v>
      </c>
      <c r="BJ231" s="3" t="s">
        <v>358</v>
      </c>
      <c r="BM231" s="3">
        <v>1617</v>
      </c>
      <c r="BN231" s="3">
        <v>0</v>
      </c>
      <c r="BO231" s="3" t="s">
        <v>356</v>
      </c>
      <c r="BP231" s="3">
        <v>1</v>
      </c>
      <c r="BQ231" s="3">
        <v>200</v>
      </c>
      <c r="BR231" s="3">
        <v>0</v>
      </c>
      <c r="BS231" s="3">
        <v>1</v>
      </c>
      <c r="BT231" s="3">
        <v>1</v>
      </c>
      <c r="BU231" s="3">
        <v>1</v>
      </c>
      <c r="BV231" s="3">
        <v>1</v>
      </c>
      <c r="BW231" s="3">
        <v>1</v>
      </c>
      <c r="BX231" s="3">
        <v>1</v>
      </c>
      <c r="BY231" s="3" t="s">
        <v>3</v>
      </c>
      <c r="BZ231" s="3">
        <v>0</v>
      </c>
      <c r="CA231" s="3">
        <v>0</v>
      </c>
      <c r="CB231" s="3" t="s">
        <v>3</v>
      </c>
      <c r="CE231" s="3">
        <v>1566</v>
      </c>
      <c r="CF231" s="3">
        <v>0</v>
      </c>
      <c r="CG231" s="3">
        <v>0</v>
      </c>
      <c r="CM231" s="3">
        <v>0</v>
      </c>
      <c r="CN231" s="3" t="s">
        <v>3</v>
      </c>
      <c r="CO231" s="3">
        <v>0</v>
      </c>
      <c r="CP231" s="3">
        <f t="shared" si="221"/>
        <v>9272.76</v>
      </c>
      <c r="CQ231" s="3">
        <f t="shared" si="222"/>
        <v>351.24</v>
      </c>
      <c r="CR231" s="3">
        <f t="shared" si="258"/>
        <v>0</v>
      </c>
      <c r="CS231" s="3">
        <f t="shared" si="259"/>
        <v>0</v>
      </c>
      <c r="CT231" s="3">
        <f t="shared" si="223"/>
        <v>0</v>
      </c>
      <c r="CU231" s="3">
        <f t="shared" si="224"/>
        <v>0</v>
      </c>
      <c r="CV231" s="3">
        <f t="shared" si="225"/>
        <v>0</v>
      </c>
      <c r="CW231" s="3">
        <f t="shared" si="226"/>
        <v>0</v>
      </c>
      <c r="CX231" s="3">
        <f t="shared" si="227"/>
        <v>0</v>
      </c>
      <c r="CY231" s="3">
        <f t="shared" si="260"/>
        <v>0</v>
      </c>
      <c r="CZ231" s="3">
        <f t="shared" si="261"/>
        <v>0</v>
      </c>
      <c r="DC231" s="3" t="s">
        <v>3</v>
      </c>
      <c r="DD231" s="3" t="s">
        <v>3</v>
      </c>
      <c r="DE231" s="3" t="s">
        <v>3</v>
      </c>
      <c r="DF231" s="3" t="s">
        <v>3</v>
      </c>
      <c r="DG231" s="3" t="s">
        <v>3</v>
      </c>
      <c r="DH231" s="3" t="s">
        <v>3</v>
      </c>
      <c r="DI231" s="3" t="s">
        <v>3</v>
      </c>
      <c r="DJ231" s="3" t="s">
        <v>3</v>
      </c>
      <c r="DK231" s="3" t="s">
        <v>3</v>
      </c>
      <c r="DL231" s="3" t="s">
        <v>3</v>
      </c>
      <c r="DM231" s="3" t="s">
        <v>3</v>
      </c>
      <c r="DN231" s="3">
        <v>0</v>
      </c>
      <c r="DO231" s="3">
        <v>0</v>
      </c>
      <c r="DP231" s="3">
        <v>1</v>
      </c>
      <c r="DQ231" s="3">
        <v>1</v>
      </c>
      <c r="DU231" s="3">
        <v>1010</v>
      </c>
      <c r="DV231" s="3" t="s">
        <v>60</v>
      </c>
      <c r="DW231" s="3" t="s">
        <v>60</v>
      </c>
      <c r="DX231" s="3">
        <v>100</v>
      </c>
      <c r="DZ231" s="3" t="s">
        <v>3</v>
      </c>
      <c r="EA231" s="3" t="s">
        <v>3</v>
      </c>
      <c r="EB231" s="3" t="s">
        <v>3</v>
      </c>
      <c r="EC231" s="3" t="s">
        <v>3</v>
      </c>
      <c r="EE231" s="3">
        <v>55393728</v>
      </c>
      <c r="EF231" s="3">
        <v>200</v>
      </c>
      <c r="EG231" s="3" t="s">
        <v>359</v>
      </c>
      <c r="EH231" s="3">
        <v>0</v>
      </c>
      <c r="EI231" s="3" t="s">
        <v>3</v>
      </c>
      <c r="EJ231" s="3">
        <v>1</v>
      </c>
      <c r="EK231" s="3">
        <v>1617</v>
      </c>
      <c r="EL231" s="3" t="s">
        <v>360</v>
      </c>
      <c r="EM231" s="3" t="s">
        <v>361</v>
      </c>
      <c r="EO231" s="3" t="s">
        <v>3</v>
      </c>
      <c r="EQ231" s="3">
        <v>0</v>
      </c>
      <c r="ER231" s="3">
        <v>94.93</v>
      </c>
      <c r="ES231" s="3">
        <v>94.93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FQ231" s="3">
        <v>0</v>
      </c>
      <c r="FR231" s="3">
        <v>0</v>
      </c>
      <c r="FS231" s="3">
        <v>0</v>
      </c>
      <c r="FX231" s="3">
        <v>0</v>
      </c>
      <c r="FY231" s="3">
        <v>0</v>
      </c>
      <c r="GA231" s="3" t="s">
        <v>3</v>
      </c>
      <c r="GD231" s="3">
        <v>1</v>
      </c>
      <c r="GF231" s="3">
        <v>1017990539</v>
      </c>
      <c r="GG231" s="3">
        <v>2</v>
      </c>
      <c r="GH231" s="3">
        <v>1</v>
      </c>
      <c r="GI231" s="3">
        <v>2</v>
      </c>
      <c r="GJ231" s="3">
        <v>0</v>
      </c>
      <c r="GK231" s="3">
        <v>0</v>
      </c>
      <c r="GL231" s="3">
        <f t="shared" si="228"/>
        <v>0</v>
      </c>
      <c r="GM231" s="3">
        <f t="shared" si="229"/>
        <v>9272.76</v>
      </c>
      <c r="GN231" s="3">
        <f t="shared" si="230"/>
        <v>0</v>
      </c>
      <c r="GO231" s="3">
        <f t="shared" si="231"/>
        <v>9272.76</v>
      </c>
      <c r="GP231" s="3">
        <f t="shared" si="232"/>
        <v>0</v>
      </c>
      <c r="GR231" s="3">
        <v>0</v>
      </c>
      <c r="GS231" s="3">
        <v>3</v>
      </c>
      <c r="GT231" s="3">
        <v>0</v>
      </c>
      <c r="GU231" s="3" t="s">
        <v>3</v>
      </c>
      <c r="GV231" s="3">
        <f t="shared" si="233"/>
        <v>0</v>
      </c>
      <c r="GW231" s="3">
        <v>1</v>
      </c>
      <c r="GX231" s="3">
        <f t="shared" si="234"/>
        <v>0</v>
      </c>
      <c r="HA231" s="3">
        <v>0</v>
      </c>
      <c r="HB231" s="3">
        <v>0</v>
      </c>
      <c r="HC231" s="3">
        <f t="shared" si="235"/>
        <v>0</v>
      </c>
      <c r="HE231" s="3" t="s">
        <v>3</v>
      </c>
      <c r="HF231" s="3" t="s">
        <v>3</v>
      </c>
      <c r="HM231" s="3" t="s">
        <v>3</v>
      </c>
      <c r="HN231" s="3" t="s">
        <v>3</v>
      </c>
      <c r="HO231" s="3" t="s">
        <v>3</v>
      </c>
      <c r="HP231" s="3" t="s">
        <v>3</v>
      </c>
      <c r="HQ231" s="3" t="s">
        <v>3</v>
      </c>
      <c r="HS231" s="3">
        <v>0</v>
      </c>
      <c r="IK231" s="3">
        <v>0</v>
      </c>
    </row>
    <row r="232" spans="1:255" x14ac:dyDescent="0.2">
      <c r="A232" s="2">
        <v>17</v>
      </c>
      <c r="B232" s="2">
        <v>1</v>
      </c>
      <c r="C232" s="2"/>
      <c r="D232" s="2"/>
      <c r="E232" s="2" t="s">
        <v>362</v>
      </c>
      <c r="F232" s="2" t="s">
        <v>363</v>
      </c>
      <c r="G232" s="2" t="s">
        <v>364</v>
      </c>
      <c r="H232" s="2" t="s">
        <v>60</v>
      </c>
      <c r="I232" s="2">
        <f>ROUND(2640/100,9)</f>
        <v>26.4</v>
      </c>
      <c r="J232" s="2">
        <v>0</v>
      </c>
      <c r="K232" s="2">
        <f>ROUND(2640/100,9)</f>
        <v>26.4</v>
      </c>
      <c r="L232" s="2"/>
      <c r="M232" s="2"/>
      <c r="N232" s="2"/>
      <c r="O232" s="2">
        <f t="shared" si="211"/>
        <v>456.19</v>
      </c>
      <c r="P232" s="2">
        <f t="shared" si="212"/>
        <v>456.19</v>
      </c>
      <c r="Q232" s="2">
        <f t="shared" si="248"/>
        <v>0</v>
      </c>
      <c r="R232" s="2">
        <f t="shared" si="249"/>
        <v>0</v>
      </c>
      <c r="S232" s="2">
        <f t="shared" si="213"/>
        <v>0</v>
      </c>
      <c r="T232" s="2">
        <f t="shared" si="214"/>
        <v>0</v>
      </c>
      <c r="U232" s="2">
        <f t="shared" si="215"/>
        <v>0</v>
      </c>
      <c r="V232" s="2">
        <f t="shared" si="216"/>
        <v>0</v>
      </c>
      <c r="W232" s="2">
        <f t="shared" si="217"/>
        <v>0</v>
      </c>
      <c r="X232" s="2">
        <f t="shared" si="250"/>
        <v>0</v>
      </c>
      <c r="Y232" s="2">
        <f t="shared" si="251"/>
        <v>0</v>
      </c>
      <c r="Z232" s="2"/>
      <c r="AA232" s="2">
        <v>55937296</v>
      </c>
      <c r="AB232" s="2">
        <f t="shared" si="218"/>
        <v>17.28</v>
      </c>
      <c r="AC232" s="2">
        <f t="shared" si="252"/>
        <v>17.28</v>
      </c>
      <c r="AD232" s="2">
        <f t="shared" si="253"/>
        <v>0</v>
      </c>
      <c r="AE232" s="2">
        <f t="shared" si="254"/>
        <v>0</v>
      </c>
      <c r="AF232" s="2">
        <f t="shared" si="255"/>
        <v>0</v>
      </c>
      <c r="AG232" s="2">
        <f t="shared" si="219"/>
        <v>0</v>
      </c>
      <c r="AH232" s="2">
        <f t="shared" si="256"/>
        <v>0</v>
      </c>
      <c r="AI232" s="2">
        <f t="shared" si="257"/>
        <v>0</v>
      </c>
      <c r="AJ232" s="2">
        <f t="shared" si="220"/>
        <v>0</v>
      </c>
      <c r="AK232" s="2">
        <v>17.28</v>
      </c>
      <c r="AL232" s="2">
        <v>17.28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1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3</v>
      </c>
      <c r="BI232" s="2">
        <v>2</v>
      </c>
      <c r="BJ232" s="2" t="s">
        <v>365</v>
      </c>
      <c r="BK232" s="2"/>
      <c r="BL232" s="2"/>
      <c r="BM232" s="2">
        <v>1617</v>
      </c>
      <c r="BN232" s="2">
        <v>0</v>
      </c>
      <c r="BO232" s="2" t="s">
        <v>3</v>
      </c>
      <c r="BP232" s="2">
        <v>0</v>
      </c>
      <c r="BQ232" s="2">
        <v>200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0</v>
      </c>
      <c r="CA232" s="2">
        <v>0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3</v>
      </c>
      <c r="CO232" s="2">
        <v>0</v>
      </c>
      <c r="CP232" s="2">
        <f t="shared" si="221"/>
        <v>456.19</v>
      </c>
      <c r="CQ232" s="2">
        <f t="shared" si="222"/>
        <v>17.28</v>
      </c>
      <c r="CR232" s="2">
        <f t="shared" si="258"/>
        <v>0</v>
      </c>
      <c r="CS232" s="2">
        <f t="shared" si="259"/>
        <v>0</v>
      </c>
      <c r="CT232" s="2">
        <f t="shared" si="223"/>
        <v>0</v>
      </c>
      <c r="CU232" s="2">
        <f t="shared" si="224"/>
        <v>0</v>
      </c>
      <c r="CV232" s="2">
        <f t="shared" si="225"/>
        <v>0</v>
      </c>
      <c r="CW232" s="2">
        <f t="shared" si="226"/>
        <v>0</v>
      </c>
      <c r="CX232" s="2">
        <f t="shared" si="227"/>
        <v>0</v>
      </c>
      <c r="CY232" s="2">
        <f t="shared" si="260"/>
        <v>0</v>
      </c>
      <c r="CZ232" s="2">
        <f t="shared" si="261"/>
        <v>0</v>
      </c>
      <c r="DA232" s="2"/>
      <c r="DB232" s="2"/>
      <c r="DC232" s="2" t="s">
        <v>3</v>
      </c>
      <c r="DD232" s="2" t="s">
        <v>3</v>
      </c>
      <c r="DE232" s="2" t="s">
        <v>3</v>
      </c>
      <c r="DF232" s="2" t="s">
        <v>3</v>
      </c>
      <c r="DG232" s="2" t="s">
        <v>3</v>
      </c>
      <c r="DH232" s="2" t="s">
        <v>3</v>
      </c>
      <c r="DI232" s="2" t="s">
        <v>3</v>
      </c>
      <c r="DJ232" s="2" t="s">
        <v>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1010</v>
      </c>
      <c r="DV232" s="2" t="s">
        <v>60</v>
      </c>
      <c r="DW232" s="2" t="s">
        <v>60</v>
      </c>
      <c r="DX232" s="2">
        <v>100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55393728</v>
      </c>
      <c r="EF232" s="2">
        <v>200</v>
      </c>
      <c r="EG232" s="2" t="s">
        <v>359</v>
      </c>
      <c r="EH232" s="2">
        <v>0</v>
      </c>
      <c r="EI232" s="2" t="s">
        <v>3</v>
      </c>
      <c r="EJ232" s="2">
        <v>1</v>
      </c>
      <c r="EK232" s="2">
        <v>1617</v>
      </c>
      <c r="EL232" s="2" t="s">
        <v>360</v>
      </c>
      <c r="EM232" s="2" t="s">
        <v>361</v>
      </c>
      <c r="EN232" s="2"/>
      <c r="EO232" s="2" t="s">
        <v>3</v>
      </c>
      <c r="EP232" s="2"/>
      <c r="EQ232" s="2">
        <v>0</v>
      </c>
      <c r="ER232" s="2">
        <v>17.28</v>
      </c>
      <c r="ES232" s="2">
        <v>17.28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0</v>
      </c>
      <c r="FY232" s="2">
        <v>0</v>
      </c>
      <c r="FZ232" s="2"/>
      <c r="GA232" s="2" t="s">
        <v>3</v>
      </c>
      <c r="GB232" s="2"/>
      <c r="GC232" s="2"/>
      <c r="GD232" s="2">
        <v>1</v>
      </c>
      <c r="GE232" s="2"/>
      <c r="GF232" s="2">
        <v>-2062965048</v>
      </c>
      <c r="GG232" s="2">
        <v>2</v>
      </c>
      <c r="GH232" s="2">
        <v>1</v>
      </c>
      <c r="GI232" s="2">
        <v>-2</v>
      </c>
      <c r="GJ232" s="2">
        <v>0</v>
      </c>
      <c r="GK232" s="2">
        <v>0</v>
      </c>
      <c r="GL232" s="2">
        <f t="shared" si="228"/>
        <v>0</v>
      </c>
      <c r="GM232" s="2">
        <f t="shared" si="229"/>
        <v>456.19</v>
      </c>
      <c r="GN232" s="2">
        <f t="shared" si="230"/>
        <v>0</v>
      </c>
      <c r="GO232" s="2">
        <f t="shared" si="231"/>
        <v>456.19</v>
      </c>
      <c r="GP232" s="2">
        <f t="shared" si="232"/>
        <v>0</v>
      </c>
      <c r="GQ232" s="2"/>
      <c r="GR232" s="2">
        <v>0</v>
      </c>
      <c r="GS232" s="2">
        <v>3</v>
      </c>
      <c r="GT232" s="2">
        <v>0</v>
      </c>
      <c r="GU232" s="2" t="s">
        <v>3</v>
      </c>
      <c r="GV232" s="2">
        <f t="shared" si="233"/>
        <v>0</v>
      </c>
      <c r="GW232" s="2">
        <v>1</v>
      </c>
      <c r="GX232" s="2">
        <f t="shared" si="234"/>
        <v>0</v>
      </c>
      <c r="GY232" s="2"/>
      <c r="GZ232" s="2"/>
      <c r="HA232" s="2">
        <v>0</v>
      </c>
      <c r="HB232" s="2">
        <v>0</v>
      </c>
      <c r="HC232" s="2">
        <f t="shared" si="235"/>
        <v>0</v>
      </c>
      <c r="HD232" s="2"/>
      <c r="HE232" s="2" t="s">
        <v>3</v>
      </c>
      <c r="HF232" s="2" t="s">
        <v>3</v>
      </c>
      <c r="HG232" s="2"/>
      <c r="HH232" s="2"/>
      <c r="HI232" s="2"/>
      <c r="HJ232" s="2"/>
      <c r="HK232" s="2"/>
      <c r="HL232" s="2"/>
      <c r="HM232" s="2" t="s">
        <v>3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">
      <c r="A233" s="3">
        <v>17</v>
      </c>
      <c r="B233" s="3">
        <v>1</v>
      </c>
      <c r="E233" s="3" t="s">
        <v>362</v>
      </c>
      <c r="F233" s="3" t="s">
        <v>363</v>
      </c>
      <c r="G233" s="3" t="s">
        <v>364</v>
      </c>
      <c r="H233" s="3" t="s">
        <v>60</v>
      </c>
      <c r="I233" s="3">
        <f>ROUND(2640/100,9)</f>
        <v>26.4</v>
      </c>
      <c r="J233" s="3">
        <v>0</v>
      </c>
      <c r="K233" s="3">
        <f>ROUND(2640/100,9)</f>
        <v>26.4</v>
      </c>
      <c r="O233" s="3">
        <f t="shared" si="211"/>
        <v>2960.67</v>
      </c>
      <c r="P233" s="3">
        <f t="shared" si="212"/>
        <v>2960.67</v>
      </c>
      <c r="Q233" s="3">
        <f t="shared" si="248"/>
        <v>0</v>
      </c>
      <c r="R233" s="3">
        <f t="shared" si="249"/>
        <v>0</v>
      </c>
      <c r="S233" s="3">
        <f t="shared" si="213"/>
        <v>0</v>
      </c>
      <c r="T233" s="3">
        <f t="shared" si="214"/>
        <v>0</v>
      </c>
      <c r="U233" s="3">
        <f t="shared" si="215"/>
        <v>0</v>
      </c>
      <c r="V233" s="3">
        <f t="shared" si="216"/>
        <v>0</v>
      </c>
      <c r="W233" s="3">
        <f t="shared" si="217"/>
        <v>0</v>
      </c>
      <c r="X233" s="3">
        <f t="shared" si="250"/>
        <v>0</v>
      </c>
      <c r="Y233" s="3">
        <f t="shared" si="251"/>
        <v>0</v>
      </c>
      <c r="AA233" s="3">
        <v>55937298</v>
      </c>
      <c r="AB233" s="3">
        <f t="shared" si="218"/>
        <v>17.28</v>
      </c>
      <c r="AC233" s="3">
        <f t="shared" si="252"/>
        <v>17.28</v>
      </c>
      <c r="AD233" s="3">
        <f t="shared" si="253"/>
        <v>0</v>
      </c>
      <c r="AE233" s="3">
        <f t="shared" si="254"/>
        <v>0</v>
      </c>
      <c r="AF233" s="3">
        <f t="shared" si="255"/>
        <v>0</v>
      </c>
      <c r="AG233" s="3">
        <f t="shared" si="219"/>
        <v>0</v>
      </c>
      <c r="AH233" s="3">
        <f t="shared" si="256"/>
        <v>0</v>
      </c>
      <c r="AI233" s="3">
        <f t="shared" si="257"/>
        <v>0</v>
      </c>
      <c r="AJ233" s="3">
        <f t="shared" si="220"/>
        <v>0</v>
      </c>
      <c r="AK233" s="3">
        <v>17.28</v>
      </c>
      <c r="AL233" s="3">
        <v>17.28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1</v>
      </c>
      <c r="AW233" s="3">
        <v>1</v>
      </c>
      <c r="AZ233" s="3">
        <v>1</v>
      </c>
      <c r="BA233" s="3">
        <v>1</v>
      </c>
      <c r="BB233" s="3">
        <v>1</v>
      </c>
      <c r="BC233" s="3">
        <v>6.49</v>
      </c>
      <c r="BD233" s="3" t="s">
        <v>3</v>
      </c>
      <c r="BE233" s="3" t="s">
        <v>3</v>
      </c>
      <c r="BF233" s="3" t="s">
        <v>3</v>
      </c>
      <c r="BG233" s="3" t="s">
        <v>3</v>
      </c>
      <c r="BH233" s="3">
        <v>3</v>
      </c>
      <c r="BI233" s="3">
        <v>2</v>
      </c>
      <c r="BJ233" s="3" t="s">
        <v>365</v>
      </c>
      <c r="BM233" s="3">
        <v>1617</v>
      </c>
      <c r="BN233" s="3">
        <v>0</v>
      </c>
      <c r="BO233" s="3" t="s">
        <v>363</v>
      </c>
      <c r="BP233" s="3">
        <v>1</v>
      </c>
      <c r="BQ233" s="3">
        <v>200</v>
      </c>
      <c r="BR233" s="3">
        <v>0</v>
      </c>
      <c r="BS233" s="3">
        <v>1</v>
      </c>
      <c r="BT233" s="3">
        <v>1</v>
      </c>
      <c r="BU233" s="3">
        <v>1</v>
      </c>
      <c r="BV233" s="3">
        <v>1</v>
      </c>
      <c r="BW233" s="3">
        <v>1</v>
      </c>
      <c r="BX233" s="3">
        <v>1</v>
      </c>
      <c r="BY233" s="3" t="s">
        <v>3</v>
      </c>
      <c r="BZ233" s="3">
        <v>0</v>
      </c>
      <c r="CA233" s="3">
        <v>0</v>
      </c>
      <c r="CB233" s="3" t="s">
        <v>3</v>
      </c>
      <c r="CE233" s="3">
        <v>1566</v>
      </c>
      <c r="CF233" s="3">
        <v>0</v>
      </c>
      <c r="CG233" s="3">
        <v>0</v>
      </c>
      <c r="CM233" s="3">
        <v>0</v>
      </c>
      <c r="CN233" s="3" t="s">
        <v>3</v>
      </c>
      <c r="CO233" s="3">
        <v>0</v>
      </c>
      <c r="CP233" s="3">
        <f t="shared" si="221"/>
        <v>2960.67</v>
      </c>
      <c r="CQ233" s="3">
        <f t="shared" si="222"/>
        <v>112.15</v>
      </c>
      <c r="CR233" s="3">
        <f t="shared" si="258"/>
        <v>0</v>
      </c>
      <c r="CS233" s="3">
        <f t="shared" si="259"/>
        <v>0</v>
      </c>
      <c r="CT233" s="3">
        <f t="shared" si="223"/>
        <v>0</v>
      </c>
      <c r="CU233" s="3">
        <f t="shared" si="224"/>
        <v>0</v>
      </c>
      <c r="CV233" s="3">
        <f t="shared" si="225"/>
        <v>0</v>
      </c>
      <c r="CW233" s="3">
        <f t="shared" si="226"/>
        <v>0</v>
      </c>
      <c r="CX233" s="3">
        <f t="shared" si="227"/>
        <v>0</v>
      </c>
      <c r="CY233" s="3">
        <f t="shared" si="260"/>
        <v>0</v>
      </c>
      <c r="CZ233" s="3">
        <f t="shared" si="261"/>
        <v>0</v>
      </c>
      <c r="DC233" s="3" t="s">
        <v>3</v>
      </c>
      <c r="DD233" s="3" t="s">
        <v>3</v>
      </c>
      <c r="DE233" s="3" t="s">
        <v>3</v>
      </c>
      <c r="DF233" s="3" t="s">
        <v>3</v>
      </c>
      <c r="DG233" s="3" t="s">
        <v>3</v>
      </c>
      <c r="DH233" s="3" t="s">
        <v>3</v>
      </c>
      <c r="DI233" s="3" t="s">
        <v>3</v>
      </c>
      <c r="DJ233" s="3" t="s">
        <v>3</v>
      </c>
      <c r="DK233" s="3" t="s">
        <v>3</v>
      </c>
      <c r="DL233" s="3" t="s">
        <v>3</v>
      </c>
      <c r="DM233" s="3" t="s">
        <v>3</v>
      </c>
      <c r="DN233" s="3">
        <v>0</v>
      </c>
      <c r="DO233" s="3">
        <v>0</v>
      </c>
      <c r="DP233" s="3">
        <v>1</v>
      </c>
      <c r="DQ233" s="3">
        <v>1</v>
      </c>
      <c r="DU233" s="3">
        <v>1010</v>
      </c>
      <c r="DV233" s="3" t="s">
        <v>60</v>
      </c>
      <c r="DW233" s="3" t="s">
        <v>60</v>
      </c>
      <c r="DX233" s="3">
        <v>100</v>
      </c>
      <c r="DZ233" s="3" t="s">
        <v>3</v>
      </c>
      <c r="EA233" s="3" t="s">
        <v>3</v>
      </c>
      <c r="EB233" s="3" t="s">
        <v>3</v>
      </c>
      <c r="EC233" s="3" t="s">
        <v>3</v>
      </c>
      <c r="EE233" s="3">
        <v>55393728</v>
      </c>
      <c r="EF233" s="3">
        <v>200</v>
      </c>
      <c r="EG233" s="3" t="s">
        <v>359</v>
      </c>
      <c r="EH233" s="3">
        <v>0</v>
      </c>
      <c r="EI233" s="3" t="s">
        <v>3</v>
      </c>
      <c r="EJ233" s="3">
        <v>1</v>
      </c>
      <c r="EK233" s="3">
        <v>1617</v>
      </c>
      <c r="EL233" s="3" t="s">
        <v>360</v>
      </c>
      <c r="EM233" s="3" t="s">
        <v>361</v>
      </c>
      <c r="EO233" s="3" t="s">
        <v>3</v>
      </c>
      <c r="EQ233" s="3">
        <v>0</v>
      </c>
      <c r="ER233" s="3">
        <v>17.28</v>
      </c>
      <c r="ES233" s="3">
        <v>17.28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FQ233" s="3">
        <v>0</v>
      </c>
      <c r="FR233" s="3">
        <v>0</v>
      </c>
      <c r="FS233" s="3">
        <v>0</v>
      </c>
      <c r="FX233" s="3">
        <v>0</v>
      </c>
      <c r="FY233" s="3">
        <v>0</v>
      </c>
      <c r="GA233" s="3" t="s">
        <v>3</v>
      </c>
      <c r="GD233" s="3">
        <v>1</v>
      </c>
      <c r="GF233" s="3">
        <v>-2062965048</v>
      </c>
      <c r="GG233" s="3">
        <v>2</v>
      </c>
      <c r="GH233" s="3">
        <v>1</v>
      </c>
      <c r="GI233" s="3">
        <v>2</v>
      </c>
      <c r="GJ233" s="3">
        <v>0</v>
      </c>
      <c r="GK233" s="3">
        <v>0</v>
      </c>
      <c r="GL233" s="3">
        <f t="shared" si="228"/>
        <v>0</v>
      </c>
      <c r="GM233" s="3">
        <f t="shared" si="229"/>
        <v>2960.67</v>
      </c>
      <c r="GN233" s="3">
        <f t="shared" si="230"/>
        <v>0</v>
      </c>
      <c r="GO233" s="3">
        <f t="shared" si="231"/>
        <v>2960.67</v>
      </c>
      <c r="GP233" s="3">
        <f t="shared" si="232"/>
        <v>0</v>
      </c>
      <c r="GR233" s="3">
        <v>0</v>
      </c>
      <c r="GS233" s="3">
        <v>3</v>
      </c>
      <c r="GT233" s="3">
        <v>0</v>
      </c>
      <c r="GU233" s="3" t="s">
        <v>3</v>
      </c>
      <c r="GV233" s="3">
        <f t="shared" si="233"/>
        <v>0</v>
      </c>
      <c r="GW233" s="3">
        <v>1</v>
      </c>
      <c r="GX233" s="3">
        <f t="shared" si="234"/>
        <v>0</v>
      </c>
      <c r="HA233" s="3">
        <v>0</v>
      </c>
      <c r="HB233" s="3">
        <v>0</v>
      </c>
      <c r="HC233" s="3">
        <f t="shared" si="235"/>
        <v>0</v>
      </c>
      <c r="HE233" s="3" t="s">
        <v>3</v>
      </c>
      <c r="HF233" s="3" t="s">
        <v>3</v>
      </c>
      <c r="HM233" s="3" t="s">
        <v>3</v>
      </c>
      <c r="HN233" s="3" t="s">
        <v>3</v>
      </c>
      <c r="HO233" s="3" t="s">
        <v>3</v>
      </c>
      <c r="HP233" s="3" t="s">
        <v>3</v>
      </c>
      <c r="HQ233" s="3" t="s">
        <v>3</v>
      </c>
      <c r="HS233" s="3">
        <v>0</v>
      </c>
      <c r="IK233" s="3">
        <v>0</v>
      </c>
    </row>
    <row r="234" spans="1:255" x14ac:dyDescent="0.2">
      <c r="A234" s="2">
        <v>17</v>
      </c>
      <c r="B234" s="2">
        <v>1</v>
      </c>
      <c r="C234" s="2">
        <f>ROW(SmtRes!A277)</f>
        <v>277</v>
      </c>
      <c r="D234" s="2">
        <f>ROW(EtalonRes!A336)</f>
        <v>336</v>
      </c>
      <c r="E234" s="2" t="s">
        <v>366</v>
      </c>
      <c r="F234" s="2" t="s">
        <v>367</v>
      </c>
      <c r="G234" s="2" t="s">
        <v>368</v>
      </c>
      <c r="H234" s="2" t="s">
        <v>111</v>
      </c>
      <c r="I234" s="2">
        <f>ROUND(150/100,9)</f>
        <v>1.5</v>
      </c>
      <c r="J234" s="2">
        <v>0</v>
      </c>
      <c r="K234" s="2">
        <f>ROUND(150/100,9)</f>
        <v>1.5</v>
      </c>
      <c r="L234" s="2"/>
      <c r="M234" s="2"/>
      <c r="N234" s="2"/>
      <c r="O234" s="2">
        <f t="shared" si="211"/>
        <v>900.12</v>
      </c>
      <c r="P234" s="2">
        <f t="shared" si="212"/>
        <v>435.98</v>
      </c>
      <c r="Q234" s="2">
        <f>(ROUND((ROUND((((ET234*1.2))*AV234*I234),2)*BB234),2)+ROUND((ROUND(((AE234-((EU234*1.2)))*AV234*I234),2)*BS234),2))</f>
        <v>81.400000000000006</v>
      </c>
      <c r="R234" s="2">
        <f>(ROUND((ROUND((((EU234*1.2))*AV234*I234),2)*BS234),2)+ROUND((ROUND(((AE234-((EU234*1.2)))*AV234*I234),2)*BS234),2))</f>
        <v>15.6</v>
      </c>
      <c r="S234" s="2">
        <f t="shared" si="213"/>
        <v>382.74</v>
      </c>
      <c r="T234" s="2">
        <f t="shared" si="214"/>
        <v>0</v>
      </c>
      <c r="U234" s="2">
        <f t="shared" si="215"/>
        <v>30.021677999999998</v>
      </c>
      <c r="V234" s="2">
        <f t="shared" si="216"/>
        <v>0</v>
      </c>
      <c r="W234" s="2">
        <f t="shared" si="217"/>
        <v>0</v>
      </c>
      <c r="X234" s="2">
        <f>(ROUND((((S234+ROUND((ROUND((((EU234*1.2))*AV234*I234),2)*BS234),2))*AT234)/100),2)+ROUND(((ROUND((ROUND(((AE234-((EU234*1.2)))*AV234*I234),2)*BS234),2)*AT234)/100),2))</f>
        <v>386.39</v>
      </c>
      <c r="Y234" s="2">
        <f>(ROUND((((S234+ROUND((ROUND((((EU234*1.2))*AV234*I234),2)*BS234),2))*AU234)/100),2)+ROUND(((ROUND((ROUND(((AE234-((EU234*1.2)))*AV234*I234),2)*BS234),2)*AU234)/100),2))</f>
        <v>203.15</v>
      </c>
      <c r="Z234" s="2"/>
      <c r="AA234" s="2">
        <v>55937296</v>
      </c>
      <c r="AB234" s="2">
        <f t="shared" si="218"/>
        <v>586.18600000000004</v>
      </c>
      <c r="AC234" s="2">
        <f>ROUND(((ES234*1)),6)</f>
        <v>290.64999999999998</v>
      </c>
      <c r="AD234" s="2">
        <f>ROUND(((((ET234*1.2))-((EU234*1.2)))+AE234),6)</f>
        <v>51.828000000000003</v>
      </c>
      <c r="AE234" s="2">
        <f>ROUND(((EU234*1.2)),6)</f>
        <v>9.9359999999999999</v>
      </c>
      <c r="AF234" s="2">
        <f>ROUND(((EV234*1.2)),6)</f>
        <v>243.708</v>
      </c>
      <c r="AG234" s="2">
        <f t="shared" si="219"/>
        <v>0</v>
      </c>
      <c r="AH234" s="2">
        <f>((EW234*1.2))</f>
        <v>19.116</v>
      </c>
      <c r="AI234" s="2">
        <f>((EX234*1.2))</f>
        <v>0</v>
      </c>
      <c r="AJ234" s="2">
        <f t="shared" si="220"/>
        <v>0</v>
      </c>
      <c r="AK234" s="2">
        <v>536.92999999999995</v>
      </c>
      <c r="AL234" s="2">
        <v>290.64999999999998</v>
      </c>
      <c r="AM234" s="2">
        <v>43.19</v>
      </c>
      <c r="AN234" s="2">
        <v>8.2799999999999994</v>
      </c>
      <c r="AO234" s="2">
        <v>203.09</v>
      </c>
      <c r="AP234" s="2">
        <v>0</v>
      </c>
      <c r="AQ234" s="2">
        <v>15.93</v>
      </c>
      <c r="AR234" s="2">
        <v>0</v>
      </c>
      <c r="AS234" s="2">
        <v>0</v>
      </c>
      <c r="AT234" s="2">
        <v>97</v>
      </c>
      <c r="AU234" s="2">
        <v>51</v>
      </c>
      <c r="AV234" s="2">
        <v>1.0469999999999999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0</v>
      </c>
      <c r="BI234" s="2">
        <v>2</v>
      </c>
      <c r="BJ234" s="2" t="s">
        <v>369</v>
      </c>
      <c r="BK234" s="2"/>
      <c r="BL234" s="2"/>
      <c r="BM234" s="2">
        <v>67</v>
      </c>
      <c r="BN234" s="2">
        <v>0</v>
      </c>
      <c r="BO234" s="2" t="s">
        <v>367</v>
      </c>
      <c r="BP234" s="2">
        <v>1</v>
      </c>
      <c r="BQ234" s="2">
        <v>40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97</v>
      </c>
      <c r="CA234" s="2">
        <v>51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797</v>
      </c>
      <c r="CO234" s="2">
        <v>0</v>
      </c>
      <c r="CP234" s="2">
        <f t="shared" si="221"/>
        <v>900.12</v>
      </c>
      <c r="CQ234" s="2">
        <f t="shared" si="222"/>
        <v>290.64999999999998</v>
      </c>
      <c r="CR234" s="2">
        <f>(ROUND((ROUND((((ET234*1.2))*AV234*1),2)*BB234),2)+ROUND((ROUND(((AE234-((EU234*1.2)))*AV234*1),2)*BS234),2))</f>
        <v>54.26</v>
      </c>
      <c r="CS234" s="2">
        <f>(ROUND((ROUND((((EU234*1.2))*AV234*1),2)*BS234),2)+ROUND((ROUND(((AE234-((EU234*1.2)))*AV234*1),2)*BS234),2))</f>
        <v>10.4</v>
      </c>
      <c r="CT234" s="2">
        <f t="shared" si="223"/>
        <v>255.16</v>
      </c>
      <c r="CU234" s="2">
        <f t="shared" si="224"/>
        <v>0</v>
      </c>
      <c r="CV234" s="2">
        <f t="shared" si="225"/>
        <v>20.014451999999999</v>
      </c>
      <c r="CW234" s="2">
        <f t="shared" si="226"/>
        <v>0</v>
      </c>
      <c r="CX234" s="2">
        <f t="shared" si="227"/>
        <v>0</v>
      </c>
      <c r="CY234" s="2">
        <f>(ROUND((((S234+ROUND((ROUND((((EU234*1.2))*AV234*1),2)*BS234),2))*AT234)/100),2)+ROUND(((ROUND((ROUND(((AE234-((EU234*1.2)))*AV234*1),2)*BS234),2)*AT234)/100),2))</f>
        <v>381.35</v>
      </c>
      <c r="CZ234" s="2">
        <f>(ROUND((((S234+ROUND((ROUND((((EU234*1.2))*AV234*1),2)*BS234),2))*AU234)/100),2)+ROUND(((ROUND((ROUND(((AE234-((EU234*1.2)))*AV234*1),2)*BS234),2)*AU234)/100),2))</f>
        <v>200.5</v>
      </c>
      <c r="DA234" s="2"/>
      <c r="DB234" s="2">
        <v>115</v>
      </c>
      <c r="DC234" s="2" t="s">
        <v>3</v>
      </c>
      <c r="DD234" s="2" t="s">
        <v>113</v>
      </c>
      <c r="DE234" s="2" t="s">
        <v>114</v>
      </c>
      <c r="DF234" s="2" t="s">
        <v>114</v>
      </c>
      <c r="DG234" s="2" t="s">
        <v>114</v>
      </c>
      <c r="DH234" s="2" t="s">
        <v>3</v>
      </c>
      <c r="DI234" s="2" t="s">
        <v>114</v>
      </c>
      <c r="DJ234" s="2" t="s">
        <v>114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1003</v>
      </c>
      <c r="DV234" s="2" t="s">
        <v>111</v>
      </c>
      <c r="DW234" s="2" t="s">
        <v>111</v>
      </c>
      <c r="DX234" s="2">
        <v>100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55393699</v>
      </c>
      <c r="EF234" s="2">
        <v>40</v>
      </c>
      <c r="EG234" s="2" t="s">
        <v>26</v>
      </c>
      <c r="EH234" s="2">
        <v>0</v>
      </c>
      <c r="EI234" s="2" t="s">
        <v>3</v>
      </c>
      <c r="EJ234" s="2">
        <v>2</v>
      </c>
      <c r="EK234" s="2">
        <v>67</v>
      </c>
      <c r="EL234" s="2" t="s">
        <v>62</v>
      </c>
      <c r="EM234" s="2" t="s">
        <v>63</v>
      </c>
      <c r="EN234" s="2"/>
      <c r="EO234" s="2" t="s">
        <v>118</v>
      </c>
      <c r="EP234" s="2"/>
      <c r="EQ234" s="2">
        <v>0</v>
      </c>
      <c r="ER234" s="2">
        <v>536.92999999999995</v>
      </c>
      <c r="ES234" s="2">
        <v>290.64999999999998</v>
      </c>
      <c r="ET234" s="2">
        <v>43.19</v>
      </c>
      <c r="EU234" s="2">
        <v>8.2799999999999994</v>
      </c>
      <c r="EV234" s="2">
        <v>203.09</v>
      </c>
      <c r="EW234" s="2">
        <v>15.93</v>
      </c>
      <c r="EX234" s="2">
        <v>0</v>
      </c>
      <c r="EY234" s="2">
        <v>0</v>
      </c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97</v>
      </c>
      <c r="FY234" s="2">
        <v>51</v>
      </c>
      <c r="FZ234" s="2"/>
      <c r="GA234" s="2" t="s">
        <v>3</v>
      </c>
      <c r="GB234" s="2"/>
      <c r="GC234" s="2"/>
      <c r="GD234" s="2">
        <v>1</v>
      </c>
      <c r="GE234" s="2"/>
      <c r="GF234" s="2">
        <v>1768576156</v>
      </c>
      <c r="GG234" s="2">
        <v>2</v>
      </c>
      <c r="GH234" s="2">
        <v>1</v>
      </c>
      <c r="GI234" s="2">
        <v>2</v>
      </c>
      <c r="GJ234" s="2">
        <v>0</v>
      </c>
      <c r="GK234" s="2">
        <v>0</v>
      </c>
      <c r="GL234" s="2">
        <f t="shared" si="228"/>
        <v>0</v>
      </c>
      <c r="GM234" s="2">
        <f t="shared" si="229"/>
        <v>1489.66</v>
      </c>
      <c r="GN234" s="2">
        <f t="shared" si="230"/>
        <v>0</v>
      </c>
      <c r="GO234" s="2">
        <f t="shared" si="231"/>
        <v>1489.66</v>
      </c>
      <c r="GP234" s="2">
        <f t="shared" si="232"/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si="233"/>
        <v>0</v>
      </c>
      <c r="GW234" s="2">
        <v>1</v>
      </c>
      <c r="GX234" s="2">
        <f t="shared" si="234"/>
        <v>0</v>
      </c>
      <c r="GY234" s="2"/>
      <c r="GZ234" s="2"/>
      <c r="HA234" s="2">
        <v>0</v>
      </c>
      <c r="HB234" s="2">
        <v>0</v>
      </c>
      <c r="HC234" s="2">
        <f t="shared" si="235"/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">
      <c r="A235" s="3">
        <v>17</v>
      </c>
      <c r="B235" s="3">
        <v>1</v>
      </c>
      <c r="C235" s="3">
        <f>ROW(SmtRes!A280)</f>
        <v>280</v>
      </c>
      <c r="D235" s="3">
        <f>ROW(EtalonRes!A340)</f>
        <v>340</v>
      </c>
      <c r="E235" s="3" t="s">
        <v>366</v>
      </c>
      <c r="F235" s="3" t="s">
        <v>367</v>
      </c>
      <c r="G235" s="3" t="s">
        <v>368</v>
      </c>
      <c r="H235" s="3" t="s">
        <v>111</v>
      </c>
      <c r="I235" s="3">
        <f>ROUND(150/100,9)</f>
        <v>1.5</v>
      </c>
      <c r="J235" s="3">
        <v>0</v>
      </c>
      <c r="K235" s="3">
        <f>ROUND(150/100,9)</f>
        <v>1.5</v>
      </c>
      <c r="O235" s="3">
        <f t="shared" si="211"/>
        <v>27457.759999999998</v>
      </c>
      <c r="P235" s="3">
        <f t="shared" si="212"/>
        <v>4290.04</v>
      </c>
      <c r="Q235" s="3">
        <f>(ROUND((ROUND((((ET235*1.2))*AV235*I235),2)*BB235),2)+ROUND((ROUND(((AE235-((EU235*1.2)))*AV235*I235),2)*BS235),2))</f>
        <v>1600.32</v>
      </c>
      <c r="R235" s="3">
        <f>(ROUND((ROUND((((EU235*1.2))*AV235*I235),2)*BS235),2)+ROUND((ROUND(((AE235-((EU235*1.2)))*AV235*I235),2)*BS235),2))</f>
        <v>879.06</v>
      </c>
      <c r="S235" s="3">
        <f t="shared" si="213"/>
        <v>21567.4</v>
      </c>
      <c r="T235" s="3">
        <f t="shared" si="214"/>
        <v>0</v>
      </c>
      <c r="U235" s="3">
        <f t="shared" si="215"/>
        <v>30.021677999999998</v>
      </c>
      <c r="V235" s="3">
        <f t="shared" si="216"/>
        <v>0</v>
      </c>
      <c r="W235" s="3">
        <f t="shared" si="217"/>
        <v>0</v>
      </c>
      <c r="X235" s="3">
        <f>(ROUND((((S235+ROUND((ROUND((((EU235*1.2))*AV235*I235),2)*BS235),2))*AT235)/100),2)+ROUND(((ROUND((ROUND(((AE235-((EU235*1.2)))*AV235*I235),2)*BS235),2)*AT235)/100),2))</f>
        <v>21773.07</v>
      </c>
      <c r="Y235" s="3">
        <f>(ROUND((((S235+ROUND((ROUND((((EU235*1.2))*AV235*I235),2)*BS235),2))*AU235)/100),2)+ROUND(((ROUND((ROUND(((AE235-((EU235*1.2)))*AV235*I235),2)*BS235),2)*AU235)/100),2))</f>
        <v>11447.69</v>
      </c>
      <c r="AA235" s="3">
        <v>55937298</v>
      </c>
      <c r="AB235" s="3">
        <f t="shared" si="218"/>
        <v>586.18600000000004</v>
      </c>
      <c r="AC235" s="3">
        <f>ROUND(((ES235*1)),6)</f>
        <v>290.64999999999998</v>
      </c>
      <c r="AD235" s="3">
        <f>ROUND(((((ET235*1.2))-((EU235*1.2)))+AE235),6)</f>
        <v>51.828000000000003</v>
      </c>
      <c r="AE235" s="3">
        <f>ROUND(((EU235*1.2)),6)</f>
        <v>9.9359999999999999</v>
      </c>
      <c r="AF235" s="3">
        <f>ROUND(((EV235*1.2)),6)</f>
        <v>243.708</v>
      </c>
      <c r="AG235" s="3">
        <f t="shared" si="219"/>
        <v>0</v>
      </c>
      <c r="AH235" s="3">
        <f>((EW235*1.2))</f>
        <v>19.116</v>
      </c>
      <c r="AI235" s="3">
        <f>((EX235*1.2))</f>
        <v>0</v>
      </c>
      <c r="AJ235" s="3">
        <f t="shared" si="220"/>
        <v>0</v>
      </c>
      <c r="AK235" s="3">
        <v>536.92999999999995</v>
      </c>
      <c r="AL235" s="3">
        <v>290.64999999999998</v>
      </c>
      <c r="AM235" s="3">
        <v>43.19</v>
      </c>
      <c r="AN235" s="3">
        <v>8.2799999999999994</v>
      </c>
      <c r="AO235" s="3">
        <v>203.09</v>
      </c>
      <c r="AP235" s="3">
        <v>0</v>
      </c>
      <c r="AQ235" s="3">
        <v>15.93</v>
      </c>
      <c r="AR235" s="3">
        <v>0</v>
      </c>
      <c r="AS235" s="3">
        <v>0</v>
      </c>
      <c r="AT235" s="3">
        <v>97</v>
      </c>
      <c r="AU235" s="3">
        <v>51</v>
      </c>
      <c r="AV235" s="3">
        <v>1.0469999999999999</v>
      </c>
      <c r="AW235" s="3">
        <v>1</v>
      </c>
      <c r="AZ235" s="3">
        <v>1</v>
      </c>
      <c r="BA235" s="3">
        <v>56.35</v>
      </c>
      <c r="BB235" s="3">
        <v>19.66</v>
      </c>
      <c r="BC235" s="3">
        <v>9.84</v>
      </c>
      <c r="BD235" s="3" t="s">
        <v>3</v>
      </c>
      <c r="BE235" s="3" t="s">
        <v>3</v>
      </c>
      <c r="BF235" s="3" t="s">
        <v>3</v>
      </c>
      <c r="BG235" s="3" t="s">
        <v>3</v>
      </c>
      <c r="BH235" s="3">
        <v>0</v>
      </c>
      <c r="BI235" s="3">
        <v>2</v>
      </c>
      <c r="BJ235" s="3" t="s">
        <v>369</v>
      </c>
      <c r="BM235" s="3">
        <v>67</v>
      </c>
      <c r="BN235" s="3">
        <v>0</v>
      </c>
      <c r="BO235" s="3" t="s">
        <v>367</v>
      </c>
      <c r="BP235" s="3">
        <v>1</v>
      </c>
      <c r="BQ235" s="3">
        <v>40</v>
      </c>
      <c r="BR235" s="3">
        <v>0</v>
      </c>
      <c r="BS235" s="3">
        <v>56.35</v>
      </c>
      <c r="BT235" s="3">
        <v>1</v>
      </c>
      <c r="BU235" s="3">
        <v>1</v>
      </c>
      <c r="BV235" s="3">
        <v>1</v>
      </c>
      <c r="BW235" s="3">
        <v>1</v>
      </c>
      <c r="BX235" s="3">
        <v>1</v>
      </c>
      <c r="BY235" s="3" t="s">
        <v>3</v>
      </c>
      <c r="BZ235" s="3">
        <v>97</v>
      </c>
      <c r="CA235" s="3">
        <v>51</v>
      </c>
      <c r="CB235" s="3" t="s">
        <v>3</v>
      </c>
      <c r="CE235" s="3">
        <v>1566</v>
      </c>
      <c r="CF235" s="3">
        <v>0</v>
      </c>
      <c r="CG235" s="3">
        <v>0</v>
      </c>
      <c r="CM235" s="3">
        <v>0</v>
      </c>
      <c r="CN235" s="3" t="s">
        <v>797</v>
      </c>
      <c r="CO235" s="3">
        <v>0</v>
      </c>
      <c r="CP235" s="3">
        <f t="shared" si="221"/>
        <v>27457.760000000002</v>
      </c>
      <c r="CQ235" s="3">
        <f t="shared" si="222"/>
        <v>2860</v>
      </c>
      <c r="CR235" s="3">
        <f>(ROUND((ROUND((((ET235*1.2))*AV235*1),2)*BB235),2)+ROUND((ROUND(((AE235-((EU235*1.2)))*AV235*1),2)*BS235),2))</f>
        <v>1066.75</v>
      </c>
      <c r="CS235" s="3">
        <f>(ROUND((ROUND((((EU235*1.2))*AV235*1),2)*BS235),2)+ROUND((ROUND(((AE235-((EU235*1.2)))*AV235*1),2)*BS235),2))</f>
        <v>586.04</v>
      </c>
      <c r="CT235" s="3">
        <f t="shared" si="223"/>
        <v>14378.27</v>
      </c>
      <c r="CU235" s="3">
        <f t="shared" si="224"/>
        <v>0</v>
      </c>
      <c r="CV235" s="3">
        <f t="shared" si="225"/>
        <v>20.014451999999999</v>
      </c>
      <c r="CW235" s="3">
        <f t="shared" si="226"/>
        <v>0</v>
      </c>
      <c r="CX235" s="3">
        <f t="shared" si="227"/>
        <v>0</v>
      </c>
      <c r="CY235" s="3">
        <f>(ROUND((((S235+ROUND((ROUND((((EU235*1.2))*AV235*1),2)*BS235),2))*AT235)/100),2)+ROUND(((ROUND((ROUND(((AE235-((EU235*1.2)))*AV235*1),2)*BS235),2)*AT235)/100),2))</f>
        <v>21488.84</v>
      </c>
      <c r="CZ235" s="3">
        <f>(ROUND((((S235+ROUND((ROUND((((EU235*1.2))*AV235*1),2)*BS235),2))*AU235)/100),2)+ROUND(((ROUND((ROUND(((AE235-((EU235*1.2)))*AV235*1),2)*BS235),2)*AU235)/100),2))</f>
        <v>11298.25</v>
      </c>
      <c r="DB235" s="3">
        <v>116</v>
      </c>
      <c r="DC235" s="3" t="s">
        <v>3</v>
      </c>
      <c r="DD235" s="3" t="s">
        <v>113</v>
      </c>
      <c r="DE235" s="3" t="s">
        <v>114</v>
      </c>
      <c r="DF235" s="3" t="s">
        <v>114</v>
      </c>
      <c r="DG235" s="3" t="s">
        <v>114</v>
      </c>
      <c r="DH235" s="3" t="s">
        <v>3</v>
      </c>
      <c r="DI235" s="3" t="s">
        <v>114</v>
      </c>
      <c r="DJ235" s="3" t="s">
        <v>114</v>
      </c>
      <c r="DK235" s="3" t="s">
        <v>3</v>
      </c>
      <c r="DL235" s="3" t="s">
        <v>3</v>
      </c>
      <c r="DM235" s="3" t="s">
        <v>3</v>
      </c>
      <c r="DN235" s="3">
        <v>0</v>
      </c>
      <c r="DO235" s="3">
        <v>0</v>
      </c>
      <c r="DP235" s="3">
        <v>1</v>
      </c>
      <c r="DQ235" s="3">
        <v>1</v>
      </c>
      <c r="DU235" s="3">
        <v>1003</v>
      </c>
      <c r="DV235" s="3" t="s">
        <v>111</v>
      </c>
      <c r="DW235" s="3" t="s">
        <v>111</v>
      </c>
      <c r="DX235" s="3">
        <v>100</v>
      </c>
      <c r="DZ235" s="3" t="s">
        <v>3</v>
      </c>
      <c r="EA235" s="3" t="s">
        <v>3</v>
      </c>
      <c r="EB235" s="3" t="s">
        <v>3</v>
      </c>
      <c r="EC235" s="3" t="s">
        <v>3</v>
      </c>
      <c r="EE235" s="3">
        <v>55393699</v>
      </c>
      <c r="EF235" s="3">
        <v>40</v>
      </c>
      <c r="EG235" s="3" t="s">
        <v>26</v>
      </c>
      <c r="EH235" s="3">
        <v>0</v>
      </c>
      <c r="EI235" s="3" t="s">
        <v>3</v>
      </c>
      <c r="EJ235" s="3">
        <v>2</v>
      </c>
      <c r="EK235" s="3">
        <v>67</v>
      </c>
      <c r="EL235" s="3" t="s">
        <v>62</v>
      </c>
      <c r="EM235" s="3" t="s">
        <v>63</v>
      </c>
      <c r="EO235" s="3" t="s">
        <v>118</v>
      </c>
      <c r="EQ235" s="3">
        <v>0</v>
      </c>
      <c r="ER235" s="3">
        <v>536.92999999999995</v>
      </c>
      <c r="ES235" s="3">
        <v>290.64999999999998</v>
      </c>
      <c r="ET235" s="3">
        <v>43.19</v>
      </c>
      <c r="EU235" s="3">
        <v>8.2799999999999994</v>
      </c>
      <c r="EV235" s="3">
        <v>203.09</v>
      </c>
      <c r="EW235" s="3">
        <v>15.93</v>
      </c>
      <c r="EX235" s="3">
        <v>0</v>
      </c>
      <c r="EY235" s="3">
        <v>0</v>
      </c>
      <c r="FQ235" s="3">
        <v>0</v>
      </c>
      <c r="FR235" s="3">
        <v>0</v>
      </c>
      <c r="FS235" s="3">
        <v>0</v>
      </c>
      <c r="FX235" s="3">
        <v>97</v>
      </c>
      <c r="FY235" s="3">
        <v>51</v>
      </c>
      <c r="GA235" s="3" t="s">
        <v>3</v>
      </c>
      <c r="GD235" s="3">
        <v>1</v>
      </c>
      <c r="GF235" s="3">
        <v>1768576156</v>
      </c>
      <c r="GG235" s="3">
        <v>2</v>
      </c>
      <c r="GH235" s="3">
        <v>1</v>
      </c>
      <c r="GI235" s="3">
        <v>2</v>
      </c>
      <c r="GJ235" s="3">
        <v>0</v>
      </c>
      <c r="GK235" s="3">
        <v>0</v>
      </c>
      <c r="GL235" s="3">
        <f t="shared" si="228"/>
        <v>0</v>
      </c>
      <c r="GM235" s="3">
        <f t="shared" si="229"/>
        <v>60678.52</v>
      </c>
      <c r="GN235" s="3">
        <f t="shared" si="230"/>
        <v>0</v>
      </c>
      <c r="GO235" s="3">
        <f t="shared" si="231"/>
        <v>60678.52</v>
      </c>
      <c r="GP235" s="3">
        <f t="shared" si="232"/>
        <v>0</v>
      </c>
      <c r="GR235" s="3">
        <v>0</v>
      </c>
      <c r="GS235" s="3">
        <v>3</v>
      </c>
      <c r="GT235" s="3">
        <v>0</v>
      </c>
      <c r="GU235" s="3" t="s">
        <v>3</v>
      </c>
      <c r="GV235" s="3">
        <f t="shared" si="233"/>
        <v>0</v>
      </c>
      <c r="GW235" s="3">
        <v>1</v>
      </c>
      <c r="GX235" s="3">
        <f t="shared" si="234"/>
        <v>0</v>
      </c>
      <c r="HA235" s="3">
        <v>0</v>
      </c>
      <c r="HB235" s="3">
        <v>0</v>
      </c>
      <c r="HC235" s="3">
        <f t="shared" si="235"/>
        <v>0</v>
      </c>
      <c r="HE235" s="3" t="s">
        <v>3</v>
      </c>
      <c r="HF235" s="3" t="s">
        <v>3</v>
      </c>
      <c r="HM235" s="3" t="s">
        <v>3</v>
      </c>
      <c r="HN235" s="3" t="s">
        <v>3</v>
      </c>
      <c r="HO235" s="3" t="s">
        <v>3</v>
      </c>
      <c r="HP235" s="3" t="s">
        <v>3</v>
      </c>
      <c r="HQ235" s="3" t="s">
        <v>3</v>
      </c>
      <c r="HS235" s="3">
        <v>0</v>
      </c>
      <c r="IK235" s="3">
        <v>0</v>
      </c>
    </row>
    <row r="236" spans="1:255" x14ac:dyDescent="0.2">
      <c r="A236" s="2">
        <v>18</v>
      </c>
      <c r="B236" s="2">
        <v>1</v>
      </c>
      <c r="C236" s="2">
        <v>276</v>
      </c>
      <c r="D236" s="2"/>
      <c r="E236" s="2" t="s">
        <v>370</v>
      </c>
      <c r="F236" s="2" t="s">
        <v>371</v>
      </c>
      <c r="G236" s="2" t="s">
        <v>372</v>
      </c>
      <c r="H236" s="2" t="s">
        <v>332</v>
      </c>
      <c r="I236" s="2">
        <f>I234*J236</f>
        <v>153</v>
      </c>
      <c r="J236" s="2">
        <v>102</v>
      </c>
      <c r="K236" s="2">
        <v>102</v>
      </c>
      <c r="L236" s="2"/>
      <c r="M236" s="2"/>
      <c r="N236" s="2"/>
      <c r="O236" s="2">
        <f t="shared" si="211"/>
        <v>794.07</v>
      </c>
      <c r="P236" s="2">
        <f t="shared" si="212"/>
        <v>794.07</v>
      </c>
      <c r="Q236" s="2">
        <f>(ROUND((ROUND(((ET236)*AV236*I236),2)*BB236),2)+ROUND((ROUND(((AE236-(EU236))*AV236*I236),2)*BS236),2))</f>
        <v>0</v>
      </c>
      <c r="R236" s="2">
        <f>(ROUND((ROUND(((EU236)*AV236*I236),2)*BS236),2)+ROUND((ROUND(((AE236-(EU236))*AV236*I236),2)*BS236),2))</f>
        <v>0</v>
      </c>
      <c r="S236" s="2">
        <f t="shared" si="213"/>
        <v>0</v>
      </c>
      <c r="T236" s="2">
        <f t="shared" si="214"/>
        <v>0</v>
      </c>
      <c r="U236" s="2">
        <f t="shared" si="215"/>
        <v>0</v>
      </c>
      <c r="V236" s="2">
        <f t="shared" si="216"/>
        <v>0</v>
      </c>
      <c r="W236" s="2">
        <f t="shared" si="217"/>
        <v>0</v>
      </c>
      <c r="X236" s="2">
        <f>(ROUND((((S236+ROUND((ROUND(((EU236)*AV236*I236),2)*BS236),2))*AT236)/100),2)+ROUND(((ROUND((ROUND(((AE236-(EU236))*AV236*I236),2)*BS236),2)*AT236)/100),2))</f>
        <v>0</v>
      </c>
      <c r="Y236" s="2">
        <f>(ROUND((((S236+ROUND((ROUND(((EU236)*AV236*I236),2)*BS236),2))*AU236)/100),2)+ROUND(((ROUND((ROUND(((AE236-(EU236))*AV236*I236),2)*BS236),2)*AU236)/100),2))</f>
        <v>0</v>
      </c>
      <c r="Z236" s="2"/>
      <c r="AA236" s="2">
        <v>55937296</v>
      </c>
      <c r="AB236" s="2">
        <f t="shared" si="218"/>
        <v>5.19</v>
      </c>
      <c r="AC236" s="2">
        <f>ROUND((ES236),6)</f>
        <v>5.19</v>
      </c>
      <c r="AD236" s="2">
        <f>ROUND((((ET236)-(EU236))+AE236),6)</f>
        <v>0</v>
      </c>
      <c r="AE236" s="2">
        <f t="shared" ref="AE236:AF239" si="262">ROUND((EU236),6)</f>
        <v>0</v>
      </c>
      <c r="AF236" s="2">
        <f t="shared" si="262"/>
        <v>0</v>
      </c>
      <c r="AG236" s="2">
        <f t="shared" si="219"/>
        <v>0</v>
      </c>
      <c r="AH236" s="2">
        <f t="shared" ref="AH236:AI239" si="263">(EW236)</f>
        <v>0</v>
      </c>
      <c r="AI236" s="2">
        <f t="shared" si="263"/>
        <v>0</v>
      </c>
      <c r="AJ236" s="2">
        <f t="shared" si="220"/>
        <v>0</v>
      </c>
      <c r="AK236" s="2">
        <v>5.19</v>
      </c>
      <c r="AL236" s="2">
        <v>5.19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97</v>
      </c>
      <c r="AU236" s="2">
        <v>51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2</v>
      </c>
      <c r="BJ236" s="2" t="s">
        <v>373</v>
      </c>
      <c r="BK236" s="2"/>
      <c r="BL236" s="2"/>
      <c r="BM236" s="2">
        <v>67</v>
      </c>
      <c r="BN236" s="2">
        <v>0</v>
      </c>
      <c r="BO236" s="2" t="s">
        <v>3</v>
      </c>
      <c r="BP236" s="2">
        <v>0</v>
      </c>
      <c r="BQ236" s="2">
        <v>40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97</v>
      </c>
      <c r="CA236" s="2">
        <v>51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798</v>
      </c>
      <c r="CO236" s="2">
        <v>0</v>
      </c>
      <c r="CP236" s="2">
        <f t="shared" si="221"/>
        <v>794.07</v>
      </c>
      <c r="CQ236" s="2">
        <f t="shared" si="222"/>
        <v>5.19</v>
      </c>
      <c r="CR236" s="2">
        <f>(ROUND((ROUND(((ET236)*AV236*1),2)*BB236),2)+ROUND((ROUND(((AE236-(EU236))*AV236*1),2)*BS236),2))</f>
        <v>0</v>
      </c>
      <c r="CS236" s="2">
        <f>(ROUND((ROUND(((EU236)*AV236*1),2)*BS236),2)+ROUND((ROUND(((AE236-(EU236))*AV236*1),2)*BS236),2))</f>
        <v>0</v>
      </c>
      <c r="CT236" s="2">
        <f t="shared" si="223"/>
        <v>0</v>
      </c>
      <c r="CU236" s="2">
        <f t="shared" si="224"/>
        <v>0</v>
      </c>
      <c r="CV236" s="2">
        <f t="shared" si="225"/>
        <v>0</v>
      </c>
      <c r="CW236" s="2">
        <f t="shared" si="226"/>
        <v>0</v>
      </c>
      <c r="CX236" s="2">
        <f t="shared" si="227"/>
        <v>0</v>
      </c>
      <c r="CY236" s="2">
        <f>(ROUND((((S236+ROUND((ROUND(((EU236)*AV236*1),2)*BS236),2))*AT236)/100),2)+ROUND(((ROUND((ROUND(((AE236-(EU236))*AV236*1),2)*BS236),2)*AT236)/100),2))</f>
        <v>0</v>
      </c>
      <c r="CZ236" s="2">
        <f>(ROUND((((S236+ROUND((ROUND(((EU236)*AV236*1),2)*BS236),2))*AU236)/100),2)+ROUND(((ROUND((ROUND(((AE236-(EU236))*AV236*1),2)*BS236),2)*AU236)/100),2))</f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1003</v>
      </c>
      <c r="DV236" s="2" t="s">
        <v>332</v>
      </c>
      <c r="DW236" s="2" t="s">
        <v>332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55393699</v>
      </c>
      <c r="EF236" s="2">
        <v>40</v>
      </c>
      <c r="EG236" s="2" t="s">
        <v>26</v>
      </c>
      <c r="EH236" s="2">
        <v>0</v>
      </c>
      <c r="EI236" s="2" t="s">
        <v>3</v>
      </c>
      <c r="EJ236" s="2">
        <v>2</v>
      </c>
      <c r="EK236" s="2">
        <v>67</v>
      </c>
      <c r="EL236" s="2" t="s">
        <v>62</v>
      </c>
      <c r="EM236" s="2" t="s">
        <v>63</v>
      </c>
      <c r="EN236" s="2"/>
      <c r="EO236" s="2" t="s">
        <v>118</v>
      </c>
      <c r="EP236" s="2"/>
      <c r="EQ236" s="2">
        <v>0</v>
      </c>
      <c r="ER236" s="2">
        <v>5.19</v>
      </c>
      <c r="ES236" s="2">
        <v>5.19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97</v>
      </c>
      <c r="FY236" s="2">
        <v>51</v>
      </c>
      <c r="FZ236" s="2"/>
      <c r="GA236" s="2" t="s">
        <v>3</v>
      </c>
      <c r="GB236" s="2"/>
      <c r="GC236" s="2"/>
      <c r="GD236" s="2">
        <v>1</v>
      </c>
      <c r="GE236" s="2"/>
      <c r="GF236" s="2">
        <v>-2061112428</v>
      </c>
      <c r="GG236" s="2">
        <v>2</v>
      </c>
      <c r="GH236" s="2">
        <v>1</v>
      </c>
      <c r="GI236" s="2">
        <v>-2</v>
      </c>
      <c r="GJ236" s="2">
        <v>0</v>
      </c>
      <c r="GK236" s="2">
        <v>0</v>
      </c>
      <c r="GL236" s="2">
        <f t="shared" si="228"/>
        <v>0</v>
      </c>
      <c r="GM236" s="2">
        <f t="shared" si="229"/>
        <v>794.07</v>
      </c>
      <c r="GN236" s="2">
        <f t="shared" si="230"/>
        <v>0</v>
      </c>
      <c r="GO236" s="2">
        <f t="shared" si="231"/>
        <v>794.07</v>
      </c>
      <c r="GP236" s="2">
        <f t="shared" si="232"/>
        <v>0</v>
      </c>
      <c r="GQ236" s="2"/>
      <c r="GR236" s="2">
        <v>0</v>
      </c>
      <c r="GS236" s="2">
        <v>3</v>
      </c>
      <c r="GT236" s="2">
        <v>0</v>
      </c>
      <c r="GU236" s="2" t="s">
        <v>3</v>
      </c>
      <c r="GV236" s="2">
        <f t="shared" si="233"/>
        <v>0</v>
      </c>
      <c r="GW236" s="2">
        <v>1</v>
      </c>
      <c r="GX236" s="2">
        <f t="shared" si="234"/>
        <v>0</v>
      </c>
      <c r="GY236" s="2"/>
      <c r="GZ236" s="2"/>
      <c r="HA236" s="2">
        <v>0</v>
      </c>
      <c r="HB236" s="2">
        <v>0</v>
      </c>
      <c r="HC236" s="2">
        <f t="shared" si="235"/>
        <v>0</v>
      </c>
      <c r="HD236" s="2"/>
      <c r="HE236" s="2" t="s">
        <v>3</v>
      </c>
      <c r="HF236" s="2" t="s">
        <v>3</v>
      </c>
      <c r="HG236" s="2"/>
      <c r="HH236" s="2"/>
      <c r="HI236" s="2"/>
      <c r="HJ236" s="2"/>
      <c r="HK236" s="2"/>
      <c r="HL236" s="2"/>
      <c r="HM236" s="2" t="s">
        <v>113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">
      <c r="A237" s="3">
        <v>18</v>
      </c>
      <c r="B237" s="3">
        <v>1</v>
      </c>
      <c r="C237" s="3">
        <v>279</v>
      </c>
      <c r="E237" s="3" t="s">
        <v>370</v>
      </c>
      <c r="F237" s="3" t="s">
        <v>371</v>
      </c>
      <c r="G237" s="3" t="s">
        <v>372</v>
      </c>
      <c r="H237" s="3" t="s">
        <v>332</v>
      </c>
      <c r="I237" s="3">
        <f>I235*J237</f>
        <v>153</v>
      </c>
      <c r="J237" s="3">
        <v>102</v>
      </c>
      <c r="K237" s="3">
        <v>102</v>
      </c>
      <c r="O237" s="3">
        <f t="shared" si="211"/>
        <v>2906.3</v>
      </c>
      <c r="P237" s="3">
        <f t="shared" si="212"/>
        <v>2906.3</v>
      </c>
      <c r="Q237" s="3">
        <f>(ROUND((ROUND(((ET237)*AV237*I237),2)*BB237),2)+ROUND((ROUND(((AE237-(EU237))*AV237*I237),2)*BS237),2))</f>
        <v>0</v>
      </c>
      <c r="R237" s="3">
        <f>(ROUND((ROUND(((EU237)*AV237*I237),2)*BS237),2)+ROUND((ROUND(((AE237-(EU237))*AV237*I237),2)*BS237),2))</f>
        <v>0</v>
      </c>
      <c r="S237" s="3">
        <f t="shared" si="213"/>
        <v>0</v>
      </c>
      <c r="T237" s="3">
        <f t="shared" si="214"/>
        <v>0</v>
      </c>
      <c r="U237" s="3">
        <f t="shared" si="215"/>
        <v>0</v>
      </c>
      <c r="V237" s="3">
        <f t="shared" si="216"/>
        <v>0</v>
      </c>
      <c r="W237" s="3">
        <f t="shared" si="217"/>
        <v>0</v>
      </c>
      <c r="X237" s="3">
        <f>(ROUND((((S237+ROUND((ROUND(((EU237)*AV237*I237),2)*BS237),2))*AT237)/100),2)+ROUND(((ROUND((ROUND(((AE237-(EU237))*AV237*I237),2)*BS237),2)*AT237)/100),2))</f>
        <v>0</v>
      </c>
      <c r="Y237" s="3">
        <f>(ROUND((((S237+ROUND((ROUND(((EU237)*AV237*I237),2)*BS237),2))*AU237)/100),2)+ROUND(((ROUND((ROUND(((AE237-(EU237))*AV237*I237),2)*BS237),2)*AU237)/100),2))</f>
        <v>0</v>
      </c>
      <c r="AA237" s="3">
        <v>55937298</v>
      </c>
      <c r="AB237" s="3">
        <f t="shared" si="218"/>
        <v>5.19</v>
      </c>
      <c r="AC237" s="3">
        <f>ROUND((ES237),6)</f>
        <v>5.19</v>
      </c>
      <c r="AD237" s="3">
        <f>ROUND((((ET237)-(EU237))+AE237),6)</f>
        <v>0</v>
      </c>
      <c r="AE237" s="3">
        <f t="shared" si="262"/>
        <v>0</v>
      </c>
      <c r="AF237" s="3">
        <f t="shared" si="262"/>
        <v>0</v>
      </c>
      <c r="AG237" s="3">
        <f t="shared" si="219"/>
        <v>0</v>
      </c>
      <c r="AH237" s="3">
        <f t="shared" si="263"/>
        <v>0</v>
      </c>
      <c r="AI237" s="3">
        <f t="shared" si="263"/>
        <v>0</v>
      </c>
      <c r="AJ237" s="3">
        <f t="shared" si="220"/>
        <v>0</v>
      </c>
      <c r="AK237" s="3">
        <v>5.19</v>
      </c>
      <c r="AL237" s="3">
        <v>5.19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97</v>
      </c>
      <c r="AU237" s="3">
        <v>51</v>
      </c>
      <c r="AV237" s="3">
        <v>1</v>
      </c>
      <c r="AW237" s="3">
        <v>1</v>
      </c>
      <c r="AZ237" s="3">
        <v>1</v>
      </c>
      <c r="BA237" s="3">
        <v>1</v>
      </c>
      <c r="BB237" s="3">
        <v>1</v>
      </c>
      <c r="BC237" s="3">
        <v>3.66</v>
      </c>
      <c r="BD237" s="3" t="s">
        <v>3</v>
      </c>
      <c r="BE237" s="3" t="s">
        <v>3</v>
      </c>
      <c r="BF237" s="3" t="s">
        <v>3</v>
      </c>
      <c r="BG237" s="3" t="s">
        <v>3</v>
      </c>
      <c r="BH237" s="3">
        <v>3</v>
      </c>
      <c r="BI237" s="3">
        <v>2</v>
      </c>
      <c r="BJ237" s="3" t="s">
        <v>373</v>
      </c>
      <c r="BM237" s="3">
        <v>67</v>
      </c>
      <c r="BN237" s="3">
        <v>0</v>
      </c>
      <c r="BO237" s="3" t="s">
        <v>371</v>
      </c>
      <c r="BP237" s="3">
        <v>1</v>
      </c>
      <c r="BQ237" s="3">
        <v>40</v>
      </c>
      <c r="BR237" s="3">
        <v>0</v>
      </c>
      <c r="BS237" s="3">
        <v>1</v>
      </c>
      <c r="BT237" s="3">
        <v>1</v>
      </c>
      <c r="BU237" s="3">
        <v>1</v>
      </c>
      <c r="BV237" s="3">
        <v>1</v>
      </c>
      <c r="BW237" s="3">
        <v>1</v>
      </c>
      <c r="BX237" s="3">
        <v>1</v>
      </c>
      <c r="BY237" s="3" t="s">
        <v>3</v>
      </c>
      <c r="BZ237" s="3">
        <v>97</v>
      </c>
      <c r="CA237" s="3">
        <v>51</v>
      </c>
      <c r="CB237" s="3" t="s">
        <v>3</v>
      </c>
      <c r="CE237" s="3">
        <v>1566</v>
      </c>
      <c r="CF237" s="3">
        <v>0</v>
      </c>
      <c r="CG237" s="3">
        <v>0</v>
      </c>
      <c r="CM237" s="3">
        <v>0</v>
      </c>
      <c r="CN237" s="3" t="s">
        <v>798</v>
      </c>
      <c r="CO237" s="3">
        <v>0</v>
      </c>
      <c r="CP237" s="3">
        <f t="shared" si="221"/>
        <v>2906.3</v>
      </c>
      <c r="CQ237" s="3">
        <f t="shared" si="222"/>
        <v>19</v>
      </c>
      <c r="CR237" s="3">
        <f>(ROUND((ROUND(((ET237)*AV237*1),2)*BB237),2)+ROUND((ROUND(((AE237-(EU237))*AV237*1),2)*BS237),2))</f>
        <v>0</v>
      </c>
      <c r="CS237" s="3">
        <f>(ROUND((ROUND(((EU237)*AV237*1),2)*BS237),2)+ROUND((ROUND(((AE237-(EU237))*AV237*1),2)*BS237),2))</f>
        <v>0</v>
      </c>
      <c r="CT237" s="3">
        <f t="shared" si="223"/>
        <v>0</v>
      </c>
      <c r="CU237" s="3">
        <f t="shared" si="224"/>
        <v>0</v>
      </c>
      <c r="CV237" s="3">
        <f t="shared" si="225"/>
        <v>0</v>
      </c>
      <c r="CW237" s="3">
        <f t="shared" si="226"/>
        <v>0</v>
      </c>
      <c r="CX237" s="3">
        <f t="shared" si="227"/>
        <v>0</v>
      </c>
      <c r="CY237" s="3">
        <f>(ROUND((((S237+ROUND((ROUND(((EU237)*AV237*1),2)*BS237),2))*AT237)/100),2)+ROUND(((ROUND((ROUND(((AE237-(EU237))*AV237*1),2)*BS237),2)*AT237)/100),2))</f>
        <v>0</v>
      </c>
      <c r="CZ237" s="3">
        <f>(ROUND((((S237+ROUND((ROUND(((EU237)*AV237*1),2)*BS237),2))*AU237)/100),2)+ROUND(((ROUND((ROUND(((AE237-(EU237))*AV237*1),2)*BS237),2)*AU237)/100),2))</f>
        <v>0</v>
      </c>
      <c r="DC237" s="3" t="s">
        <v>3</v>
      </c>
      <c r="DD237" s="3" t="s">
        <v>3</v>
      </c>
      <c r="DE237" s="3" t="s">
        <v>3</v>
      </c>
      <c r="DF237" s="3" t="s">
        <v>3</v>
      </c>
      <c r="DG237" s="3" t="s">
        <v>3</v>
      </c>
      <c r="DH237" s="3" t="s">
        <v>3</v>
      </c>
      <c r="DI237" s="3" t="s">
        <v>3</v>
      </c>
      <c r="DJ237" s="3" t="s">
        <v>3</v>
      </c>
      <c r="DK237" s="3" t="s">
        <v>3</v>
      </c>
      <c r="DL237" s="3" t="s">
        <v>3</v>
      </c>
      <c r="DM237" s="3" t="s">
        <v>3</v>
      </c>
      <c r="DN237" s="3">
        <v>0</v>
      </c>
      <c r="DO237" s="3">
        <v>0</v>
      </c>
      <c r="DP237" s="3">
        <v>1</v>
      </c>
      <c r="DQ237" s="3">
        <v>1</v>
      </c>
      <c r="DU237" s="3">
        <v>1003</v>
      </c>
      <c r="DV237" s="3" t="s">
        <v>332</v>
      </c>
      <c r="DW237" s="3" t="s">
        <v>332</v>
      </c>
      <c r="DX237" s="3">
        <v>1</v>
      </c>
      <c r="DZ237" s="3" t="s">
        <v>3</v>
      </c>
      <c r="EA237" s="3" t="s">
        <v>3</v>
      </c>
      <c r="EB237" s="3" t="s">
        <v>3</v>
      </c>
      <c r="EC237" s="3" t="s">
        <v>3</v>
      </c>
      <c r="EE237" s="3">
        <v>55393699</v>
      </c>
      <c r="EF237" s="3">
        <v>40</v>
      </c>
      <c r="EG237" s="3" t="s">
        <v>26</v>
      </c>
      <c r="EH237" s="3">
        <v>0</v>
      </c>
      <c r="EI237" s="3" t="s">
        <v>3</v>
      </c>
      <c r="EJ237" s="3">
        <v>2</v>
      </c>
      <c r="EK237" s="3">
        <v>67</v>
      </c>
      <c r="EL237" s="3" t="s">
        <v>62</v>
      </c>
      <c r="EM237" s="3" t="s">
        <v>63</v>
      </c>
      <c r="EO237" s="3" t="s">
        <v>118</v>
      </c>
      <c r="EQ237" s="3">
        <v>0</v>
      </c>
      <c r="ER237" s="3">
        <v>5.19</v>
      </c>
      <c r="ES237" s="3">
        <v>5.19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FQ237" s="3">
        <v>0</v>
      </c>
      <c r="FR237" s="3">
        <v>0</v>
      </c>
      <c r="FS237" s="3">
        <v>0</v>
      </c>
      <c r="FX237" s="3">
        <v>97</v>
      </c>
      <c r="FY237" s="3">
        <v>51</v>
      </c>
      <c r="GA237" s="3" t="s">
        <v>3</v>
      </c>
      <c r="GD237" s="3">
        <v>1</v>
      </c>
      <c r="GF237" s="3">
        <v>-2061112428</v>
      </c>
      <c r="GG237" s="3">
        <v>2</v>
      </c>
      <c r="GH237" s="3">
        <v>1</v>
      </c>
      <c r="GI237" s="3">
        <v>2</v>
      </c>
      <c r="GJ237" s="3">
        <v>0</v>
      </c>
      <c r="GK237" s="3">
        <v>0</v>
      </c>
      <c r="GL237" s="3">
        <f t="shared" si="228"/>
        <v>0</v>
      </c>
      <c r="GM237" s="3">
        <f t="shared" si="229"/>
        <v>2906.3</v>
      </c>
      <c r="GN237" s="3">
        <f t="shared" si="230"/>
        <v>0</v>
      </c>
      <c r="GO237" s="3">
        <f t="shared" si="231"/>
        <v>2906.3</v>
      </c>
      <c r="GP237" s="3">
        <f t="shared" si="232"/>
        <v>0</v>
      </c>
      <c r="GR237" s="3">
        <v>0</v>
      </c>
      <c r="GS237" s="3">
        <v>3</v>
      </c>
      <c r="GT237" s="3">
        <v>0</v>
      </c>
      <c r="GU237" s="3" t="s">
        <v>3</v>
      </c>
      <c r="GV237" s="3">
        <f t="shared" si="233"/>
        <v>0</v>
      </c>
      <c r="GW237" s="3">
        <v>1</v>
      </c>
      <c r="GX237" s="3">
        <f t="shared" si="234"/>
        <v>0</v>
      </c>
      <c r="HA237" s="3">
        <v>0</v>
      </c>
      <c r="HB237" s="3">
        <v>0</v>
      </c>
      <c r="HC237" s="3">
        <f t="shared" si="235"/>
        <v>0</v>
      </c>
      <c r="HE237" s="3" t="s">
        <v>3</v>
      </c>
      <c r="HF237" s="3" t="s">
        <v>3</v>
      </c>
      <c r="HM237" s="3" t="s">
        <v>113</v>
      </c>
      <c r="HN237" s="3" t="s">
        <v>3</v>
      </c>
      <c r="HO237" s="3" t="s">
        <v>3</v>
      </c>
      <c r="HP237" s="3" t="s">
        <v>3</v>
      </c>
      <c r="HQ237" s="3" t="s">
        <v>3</v>
      </c>
      <c r="HS237" s="3">
        <v>0</v>
      </c>
      <c r="IK237" s="3">
        <v>0</v>
      </c>
    </row>
    <row r="238" spans="1:255" x14ac:dyDescent="0.2">
      <c r="A238" s="2">
        <v>18</v>
      </c>
      <c r="B238" s="2">
        <v>1</v>
      </c>
      <c r="C238" s="2">
        <v>277</v>
      </c>
      <c r="D238" s="2"/>
      <c r="E238" s="2" t="s">
        <v>374</v>
      </c>
      <c r="F238" s="2" t="s">
        <v>375</v>
      </c>
      <c r="G238" s="2" t="s">
        <v>376</v>
      </c>
      <c r="H238" s="2" t="s">
        <v>353</v>
      </c>
      <c r="I238" s="2">
        <f>I234*J238</f>
        <v>0.5</v>
      </c>
      <c r="J238" s="2">
        <v>0.33333333333333331</v>
      </c>
      <c r="K238" s="2">
        <v>0.33333299999999999</v>
      </c>
      <c r="L238" s="2"/>
      <c r="M238" s="2"/>
      <c r="N238" s="2"/>
      <c r="O238" s="2">
        <f t="shared" si="211"/>
        <v>297.17</v>
      </c>
      <c r="P238" s="2">
        <f t="shared" si="212"/>
        <v>297.17</v>
      </c>
      <c r="Q238" s="2">
        <f>(ROUND((ROUND(((ET238)*AV238*I238),2)*BB238),2)+ROUND((ROUND(((AE238-(EU238))*AV238*I238),2)*BS238),2))</f>
        <v>0</v>
      </c>
      <c r="R238" s="2">
        <f>(ROUND((ROUND(((EU238)*AV238*I238),2)*BS238),2)+ROUND((ROUND(((AE238-(EU238))*AV238*I238),2)*BS238),2))</f>
        <v>0</v>
      </c>
      <c r="S238" s="2">
        <f t="shared" si="213"/>
        <v>0</v>
      </c>
      <c r="T238" s="2">
        <f t="shared" si="214"/>
        <v>0</v>
      </c>
      <c r="U238" s="2">
        <f t="shared" si="215"/>
        <v>0</v>
      </c>
      <c r="V238" s="2">
        <f t="shared" si="216"/>
        <v>0</v>
      </c>
      <c r="W238" s="2">
        <f t="shared" si="217"/>
        <v>0</v>
      </c>
      <c r="X238" s="2">
        <f>(ROUND((((S238+ROUND((ROUND(((EU238)*AV238*I238),2)*BS238),2))*AT238)/100),2)+ROUND(((ROUND((ROUND(((AE238-(EU238))*AV238*I238),2)*BS238),2)*AT238)/100),2))</f>
        <v>0</v>
      </c>
      <c r="Y238" s="2">
        <f>(ROUND((((S238+ROUND((ROUND(((EU238)*AV238*I238),2)*BS238),2))*AU238)/100),2)+ROUND(((ROUND((ROUND(((AE238-(EU238))*AV238*I238),2)*BS238),2)*AU238)/100),2))</f>
        <v>0</v>
      </c>
      <c r="Z238" s="2"/>
      <c r="AA238" s="2">
        <v>55937296</v>
      </c>
      <c r="AB238" s="2">
        <f t="shared" si="218"/>
        <v>594.33000000000004</v>
      </c>
      <c r="AC238" s="2">
        <f>ROUND((ES238),6)</f>
        <v>594.33000000000004</v>
      </c>
      <c r="AD238" s="2">
        <f>ROUND((((ET238)-(EU238))+AE238),6)</f>
        <v>0</v>
      </c>
      <c r="AE238" s="2">
        <f t="shared" si="262"/>
        <v>0</v>
      </c>
      <c r="AF238" s="2">
        <f t="shared" si="262"/>
        <v>0</v>
      </c>
      <c r="AG238" s="2">
        <f t="shared" si="219"/>
        <v>0</v>
      </c>
      <c r="AH238" s="2">
        <f t="shared" si="263"/>
        <v>0</v>
      </c>
      <c r="AI238" s="2">
        <f t="shared" si="263"/>
        <v>0</v>
      </c>
      <c r="AJ238" s="2">
        <f t="shared" si="220"/>
        <v>0</v>
      </c>
      <c r="AK238" s="2">
        <v>594.33000000000004</v>
      </c>
      <c r="AL238" s="2">
        <v>594.33000000000004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97</v>
      </c>
      <c r="AU238" s="2">
        <v>51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2</v>
      </c>
      <c r="BJ238" s="2" t="s">
        <v>377</v>
      </c>
      <c r="BK238" s="2"/>
      <c r="BL238" s="2"/>
      <c r="BM238" s="2">
        <v>67</v>
      </c>
      <c r="BN238" s="2">
        <v>0</v>
      </c>
      <c r="BO238" s="2" t="s">
        <v>3</v>
      </c>
      <c r="BP238" s="2">
        <v>0</v>
      </c>
      <c r="BQ238" s="2">
        <v>40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97</v>
      </c>
      <c r="CA238" s="2">
        <v>51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798</v>
      </c>
      <c r="CO238" s="2">
        <v>0</v>
      </c>
      <c r="CP238" s="2">
        <f t="shared" si="221"/>
        <v>297.17</v>
      </c>
      <c r="CQ238" s="2">
        <f t="shared" si="222"/>
        <v>594.33000000000004</v>
      </c>
      <c r="CR238" s="2">
        <f>(ROUND((ROUND(((ET238)*AV238*1),2)*BB238),2)+ROUND((ROUND(((AE238-(EU238))*AV238*1),2)*BS238),2))</f>
        <v>0</v>
      </c>
      <c r="CS238" s="2">
        <f>(ROUND((ROUND(((EU238)*AV238*1),2)*BS238),2)+ROUND((ROUND(((AE238-(EU238))*AV238*1),2)*BS238),2))</f>
        <v>0</v>
      </c>
      <c r="CT238" s="2">
        <f t="shared" si="223"/>
        <v>0</v>
      </c>
      <c r="CU238" s="2">
        <f t="shared" si="224"/>
        <v>0</v>
      </c>
      <c r="CV238" s="2">
        <f t="shared" si="225"/>
        <v>0</v>
      </c>
      <c r="CW238" s="2">
        <f t="shared" si="226"/>
        <v>0</v>
      </c>
      <c r="CX238" s="2">
        <f t="shared" si="227"/>
        <v>0</v>
      </c>
      <c r="CY238" s="2">
        <f>(ROUND((((S238+ROUND((ROUND(((EU238)*AV238*1),2)*BS238),2))*AT238)/100),2)+ROUND(((ROUND((ROUND(((AE238-(EU238))*AV238*1),2)*BS238),2)*AT238)/100),2))</f>
        <v>0</v>
      </c>
      <c r="CZ238" s="2">
        <f>(ROUND((((S238+ROUND((ROUND(((EU238)*AV238*1),2)*BS238),2))*AU238)/100),2)+ROUND(((ROUND((ROUND(((AE238-(EU238))*AV238*1),2)*BS238),2)*AU238)/100),2))</f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1010</v>
      </c>
      <c r="DV238" s="2" t="s">
        <v>353</v>
      </c>
      <c r="DW238" s="2" t="s">
        <v>353</v>
      </c>
      <c r="DX238" s="2">
        <v>1000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55393699</v>
      </c>
      <c r="EF238" s="2">
        <v>40</v>
      </c>
      <c r="EG238" s="2" t="s">
        <v>26</v>
      </c>
      <c r="EH238" s="2">
        <v>0</v>
      </c>
      <c r="EI238" s="2" t="s">
        <v>3</v>
      </c>
      <c r="EJ238" s="2">
        <v>2</v>
      </c>
      <c r="EK238" s="2">
        <v>67</v>
      </c>
      <c r="EL238" s="2" t="s">
        <v>62</v>
      </c>
      <c r="EM238" s="2" t="s">
        <v>63</v>
      </c>
      <c r="EN238" s="2"/>
      <c r="EO238" s="2" t="s">
        <v>118</v>
      </c>
      <c r="EP238" s="2"/>
      <c r="EQ238" s="2">
        <v>0</v>
      </c>
      <c r="ER238" s="2">
        <v>594.33000000000004</v>
      </c>
      <c r="ES238" s="2">
        <v>594.33000000000004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97</v>
      </c>
      <c r="FY238" s="2">
        <v>51</v>
      </c>
      <c r="FZ238" s="2"/>
      <c r="GA238" s="2" t="s">
        <v>3</v>
      </c>
      <c r="GB238" s="2"/>
      <c r="GC238" s="2"/>
      <c r="GD238" s="2">
        <v>1</v>
      </c>
      <c r="GE238" s="2"/>
      <c r="GF238" s="2">
        <v>-1804137467</v>
      </c>
      <c r="GG238" s="2">
        <v>2</v>
      </c>
      <c r="GH238" s="2">
        <v>1</v>
      </c>
      <c r="GI238" s="2">
        <v>-2</v>
      </c>
      <c r="GJ238" s="2">
        <v>0</v>
      </c>
      <c r="GK238" s="2">
        <v>0</v>
      </c>
      <c r="GL238" s="2">
        <f t="shared" si="228"/>
        <v>0</v>
      </c>
      <c r="GM238" s="2">
        <f t="shared" si="229"/>
        <v>297.17</v>
      </c>
      <c r="GN238" s="2">
        <f t="shared" si="230"/>
        <v>0</v>
      </c>
      <c r="GO238" s="2">
        <f t="shared" si="231"/>
        <v>297.17</v>
      </c>
      <c r="GP238" s="2">
        <f t="shared" si="232"/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si="233"/>
        <v>0</v>
      </c>
      <c r="GW238" s="2">
        <v>1</v>
      </c>
      <c r="GX238" s="2">
        <f t="shared" si="234"/>
        <v>0</v>
      </c>
      <c r="GY238" s="2"/>
      <c r="GZ238" s="2"/>
      <c r="HA238" s="2">
        <v>0</v>
      </c>
      <c r="HB238" s="2">
        <v>0</v>
      </c>
      <c r="HC238" s="2">
        <f t="shared" si="235"/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">
      <c r="A239" s="3">
        <v>18</v>
      </c>
      <c r="B239" s="3">
        <v>1</v>
      </c>
      <c r="C239" s="3">
        <v>280</v>
      </c>
      <c r="E239" s="3" t="s">
        <v>374</v>
      </c>
      <c r="F239" s="3" t="s">
        <v>375</v>
      </c>
      <c r="G239" s="3" t="s">
        <v>376</v>
      </c>
      <c r="H239" s="3" t="s">
        <v>353</v>
      </c>
      <c r="I239" s="3">
        <f>I235*J239</f>
        <v>0.5</v>
      </c>
      <c r="J239" s="3">
        <v>0.33333333333333331</v>
      </c>
      <c r="K239" s="3">
        <v>0.33333299999999999</v>
      </c>
      <c r="O239" s="3">
        <f t="shared" si="211"/>
        <v>796.42</v>
      </c>
      <c r="P239" s="3">
        <f t="shared" si="212"/>
        <v>796.42</v>
      </c>
      <c r="Q239" s="3">
        <f>(ROUND((ROUND(((ET239)*AV239*I239),2)*BB239),2)+ROUND((ROUND(((AE239-(EU239))*AV239*I239),2)*BS239),2))</f>
        <v>0</v>
      </c>
      <c r="R239" s="3">
        <f>(ROUND((ROUND(((EU239)*AV239*I239),2)*BS239),2)+ROUND((ROUND(((AE239-(EU239))*AV239*I239),2)*BS239),2))</f>
        <v>0</v>
      </c>
      <c r="S239" s="3">
        <f t="shared" si="213"/>
        <v>0</v>
      </c>
      <c r="T239" s="3">
        <f t="shared" si="214"/>
        <v>0</v>
      </c>
      <c r="U239" s="3">
        <f t="shared" si="215"/>
        <v>0</v>
      </c>
      <c r="V239" s="3">
        <f t="shared" si="216"/>
        <v>0</v>
      </c>
      <c r="W239" s="3">
        <f t="shared" si="217"/>
        <v>0</v>
      </c>
      <c r="X239" s="3">
        <f>(ROUND((((S239+ROUND((ROUND(((EU239)*AV239*I239),2)*BS239),2))*AT239)/100),2)+ROUND(((ROUND((ROUND(((AE239-(EU239))*AV239*I239),2)*BS239),2)*AT239)/100),2))</f>
        <v>0</v>
      </c>
      <c r="Y239" s="3">
        <f>(ROUND((((S239+ROUND((ROUND(((EU239)*AV239*I239),2)*BS239),2))*AU239)/100),2)+ROUND(((ROUND((ROUND(((AE239-(EU239))*AV239*I239),2)*BS239),2)*AU239)/100),2))</f>
        <v>0</v>
      </c>
      <c r="AA239" s="3">
        <v>55937298</v>
      </c>
      <c r="AB239" s="3">
        <f t="shared" si="218"/>
        <v>594.33000000000004</v>
      </c>
      <c r="AC239" s="3">
        <f>ROUND((ES239),6)</f>
        <v>594.33000000000004</v>
      </c>
      <c r="AD239" s="3">
        <f>ROUND((((ET239)-(EU239))+AE239),6)</f>
        <v>0</v>
      </c>
      <c r="AE239" s="3">
        <f t="shared" si="262"/>
        <v>0</v>
      </c>
      <c r="AF239" s="3">
        <f t="shared" si="262"/>
        <v>0</v>
      </c>
      <c r="AG239" s="3">
        <f t="shared" si="219"/>
        <v>0</v>
      </c>
      <c r="AH239" s="3">
        <f t="shared" si="263"/>
        <v>0</v>
      </c>
      <c r="AI239" s="3">
        <f t="shared" si="263"/>
        <v>0</v>
      </c>
      <c r="AJ239" s="3">
        <f t="shared" si="220"/>
        <v>0</v>
      </c>
      <c r="AK239" s="3">
        <v>594.33000000000004</v>
      </c>
      <c r="AL239" s="3">
        <v>594.33000000000004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97</v>
      </c>
      <c r="AU239" s="3">
        <v>51</v>
      </c>
      <c r="AV239" s="3">
        <v>1</v>
      </c>
      <c r="AW239" s="3">
        <v>1</v>
      </c>
      <c r="AZ239" s="3">
        <v>1</v>
      </c>
      <c r="BA239" s="3">
        <v>1</v>
      </c>
      <c r="BB239" s="3">
        <v>1</v>
      </c>
      <c r="BC239" s="3">
        <v>2.68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3</v>
      </c>
      <c r="BI239" s="3">
        <v>2</v>
      </c>
      <c r="BJ239" s="3" t="s">
        <v>377</v>
      </c>
      <c r="BM239" s="3">
        <v>67</v>
      </c>
      <c r="BN239" s="3">
        <v>0</v>
      </c>
      <c r="BO239" s="3" t="s">
        <v>375</v>
      </c>
      <c r="BP239" s="3">
        <v>1</v>
      </c>
      <c r="BQ239" s="3">
        <v>40</v>
      </c>
      <c r="BR239" s="3">
        <v>0</v>
      </c>
      <c r="BS239" s="3">
        <v>1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97</v>
      </c>
      <c r="CA239" s="3">
        <v>51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798</v>
      </c>
      <c r="CO239" s="3">
        <v>0</v>
      </c>
      <c r="CP239" s="3">
        <f t="shared" si="221"/>
        <v>796.42</v>
      </c>
      <c r="CQ239" s="3">
        <f t="shared" si="222"/>
        <v>1592.8</v>
      </c>
      <c r="CR239" s="3">
        <f>(ROUND((ROUND(((ET239)*AV239*1),2)*BB239),2)+ROUND((ROUND(((AE239-(EU239))*AV239*1),2)*BS239),2))</f>
        <v>0</v>
      </c>
      <c r="CS239" s="3">
        <f>(ROUND((ROUND(((EU239)*AV239*1),2)*BS239),2)+ROUND((ROUND(((AE239-(EU239))*AV239*1),2)*BS239),2))</f>
        <v>0</v>
      </c>
      <c r="CT239" s="3">
        <f t="shared" si="223"/>
        <v>0</v>
      </c>
      <c r="CU239" s="3">
        <f t="shared" si="224"/>
        <v>0</v>
      </c>
      <c r="CV239" s="3">
        <f t="shared" si="225"/>
        <v>0</v>
      </c>
      <c r="CW239" s="3">
        <f t="shared" si="226"/>
        <v>0</v>
      </c>
      <c r="CX239" s="3">
        <f t="shared" si="227"/>
        <v>0</v>
      </c>
      <c r="CY239" s="3">
        <f>(ROUND((((S239+ROUND((ROUND(((EU239)*AV239*1),2)*BS239),2))*AT239)/100),2)+ROUND(((ROUND((ROUND(((AE239-(EU239))*AV239*1),2)*BS239),2)*AT239)/100),2))</f>
        <v>0</v>
      </c>
      <c r="CZ239" s="3">
        <f>(ROUND((((S239+ROUND((ROUND(((EU239)*AV239*1),2)*BS239),2))*AU239)/100),2)+ROUND(((ROUND((ROUND(((AE239-(EU239))*AV239*1),2)*BS239),2)*AU239)/100),2))</f>
        <v>0</v>
      </c>
      <c r="DC239" s="3" t="s">
        <v>3</v>
      </c>
      <c r="DD239" s="3" t="s">
        <v>3</v>
      </c>
      <c r="DE239" s="3" t="s">
        <v>3</v>
      </c>
      <c r="DF239" s="3" t="s">
        <v>3</v>
      </c>
      <c r="DG239" s="3" t="s">
        <v>3</v>
      </c>
      <c r="DH239" s="3" t="s">
        <v>3</v>
      </c>
      <c r="DI239" s="3" t="s">
        <v>3</v>
      </c>
      <c r="DJ239" s="3" t="s">
        <v>3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1010</v>
      </c>
      <c r="DV239" s="3" t="s">
        <v>353</v>
      </c>
      <c r="DW239" s="3" t="s">
        <v>353</v>
      </c>
      <c r="DX239" s="3">
        <v>1000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55393699</v>
      </c>
      <c r="EF239" s="3">
        <v>40</v>
      </c>
      <c r="EG239" s="3" t="s">
        <v>26</v>
      </c>
      <c r="EH239" s="3">
        <v>0</v>
      </c>
      <c r="EI239" s="3" t="s">
        <v>3</v>
      </c>
      <c r="EJ239" s="3">
        <v>2</v>
      </c>
      <c r="EK239" s="3">
        <v>67</v>
      </c>
      <c r="EL239" s="3" t="s">
        <v>62</v>
      </c>
      <c r="EM239" s="3" t="s">
        <v>63</v>
      </c>
      <c r="EO239" s="3" t="s">
        <v>118</v>
      </c>
      <c r="EQ239" s="3">
        <v>0</v>
      </c>
      <c r="ER239" s="3">
        <v>594.33000000000004</v>
      </c>
      <c r="ES239" s="3">
        <v>594.33000000000004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FQ239" s="3">
        <v>0</v>
      </c>
      <c r="FR239" s="3">
        <v>0</v>
      </c>
      <c r="FS239" s="3">
        <v>0</v>
      </c>
      <c r="FX239" s="3">
        <v>97</v>
      </c>
      <c r="FY239" s="3">
        <v>51</v>
      </c>
      <c r="GA239" s="3" t="s">
        <v>3</v>
      </c>
      <c r="GD239" s="3">
        <v>1</v>
      </c>
      <c r="GF239" s="3">
        <v>-1804137467</v>
      </c>
      <c r="GG239" s="3">
        <v>2</v>
      </c>
      <c r="GH239" s="3">
        <v>1</v>
      </c>
      <c r="GI239" s="3">
        <v>2</v>
      </c>
      <c r="GJ239" s="3">
        <v>0</v>
      </c>
      <c r="GK239" s="3">
        <v>0</v>
      </c>
      <c r="GL239" s="3">
        <f t="shared" si="228"/>
        <v>0</v>
      </c>
      <c r="GM239" s="3">
        <f t="shared" si="229"/>
        <v>796.42</v>
      </c>
      <c r="GN239" s="3">
        <f t="shared" si="230"/>
        <v>0</v>
      </c>
      <c r="GO239" s="3">
        <f t="shared" si="231"/>
        <v>796.42</v>
      </c>
      <c r="GP239" s="3">
        <f t="shared" si="232"/>
        <v>0</v>
      </c>
      <c r="GR239" s="3">
        <v>0</v>
      </c>
      <c r="GS239" s="3">
        <v>3</v>
      </c>
      <c r="GT239" s="3">
        <v>0</v>
      </c>
      <c r="GU239" s="3" t="s">
        <v>3</v>
      </c>
      <c r="GV239" s="3">
        <f t="shared" si="233"/>
        <v>0</v>
      </c>
      <c r="GW239" s="3">
        <v>1</v>
      </c>
      <c r="GX239" s="3">
        <f t="shared" si="234"/>
        <v>0</v>
      </c>
      <c r="HA239" s="3">
        <v>0</v>
      </c>
      <c r="HB239" s="3">
        <v>0</v>
      </c>
      <c r="HC239" s="3">
        <f t="shared" si="235"/>
        <v>0</v>
      </c>
      <c r="HE239" s="3" t="s">
        <v>3</v>
      </c>
      <c r="HF239" s="3" t="s">
        <v>3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">
      <c r="A240" s="2">
        <v>17</v>
      </c>
      <c r="B240" s="2">
        <v>1</v>
      </c>
      <c r="C240" s="2">
        <f>ROW(SmtRes!A292)</f>
        <v>292</v>
      </c>
      <c r="D240" s="2">
        <f>ROW(EtalonRes!A356)</f>
        <v>356</v>
      </c>
      <c r="E240" s="2" t="s">
        <v>378</v>
      </c>
      <c r="F240" s="2" t="s">
        <v>379</v>
      </c>
      <c r="G240" s="2" t="s">
        <v>380</v>
      </c>
      <c r="H240" s="2" t="s">
        <v>111</v>
      </c>
      <c r="I240" s="2">
        <f>ROUND(2/100,9)</f>
        <v>0.02</v>
      </c>
      <c r="J240" s="2">
        <v>0</v>
      </c>
      <c r="K240" s="2">
        <f>ROUND(2/100,9)</f>
        <v>0.02</v>
      </c>
      <c r="L240" s="2"/>
      <c r="M240" s="2"/>
      <c r="N240" s="2"/>
      <c r="O240" s="2">
        <f t="shared" si="211"/>
        <v>40.44</v>
      </c>
      <c r="P240" s="2">
        <f t="shared" si="212"/>
        <v>33.78</v>
      </c>
      <c r="Q240" s="2">
        <f>(ROUND((ROUND((((ET240*1.2))*AV240*I240),2)*BB240),2)+ROUND((ROUND(((AE240-((EU240*1.2)))*AV240*I240),2)*BS240),2))</f>
        <v>1.55</v>
      </c>
      <c r="R240" s="2">
        <f>(ROUND((ROUND((((EU240*1.2))*AV240*I240),2)*BS240),2)+ROUND((ROUND(((AE240-((EU240*1.2)))*AV240*I240),2)*BS240),2))</f>
        <v>0.14000000000000001</v>
      </c>
      <c r="S240" s="2">
        <f t="shared" si="213"/>
        <v>5.1100000000000003</v>
      </c>
      <c r="T240" s="2">
        <f t="shared" si="214"/>
        <v>0</v>
      </c>
      <c r="U240" s="2">
        <f t="shared" si="215"/>
        <v>0.41461199999999998</v>
      </c>
      <c r="V240" s="2">
        <f t="shared" si="216"/>
        <v>0</v>
      </c>
      <c r="W240" s="2">
        <f t="shared" si="217"/>
        <v>0</v>
      </c>
      <c r="X240" s="2">
        <f>(ROUND((((S240+ROUND((ROUND((((EU240*1.2))*AV240*I240),2)*BS240),2))*AT240)/100),2)+ROUND(((ROUND((ROUND(((AE240-((EU240*1.2)))*AV240*I240),2)*BS240),2)*AT240)/100),2))</f>
        <v>5.09</v>
      </c>
      <c r="Y240" s="2">
        <f>(ROUND((((S240+ROUND((ROUND((((EU240*1.2))*AV240*I240),2)*BS240),2))*AU240)/100),2)+ROUND(((ROUND((ROUND(((AE240-((EU240*1.2)))*AV240*I240),2)*BS240),2)*AU240)/100),2))</f>
        <v>2.68</v>
      </c>
      <c r="Z240" s="2"/>
      <c r="AA240" s="2">
        <v>55937296</v>
      </c>
      <c r="AB240" s="2">
        <f t="shared" si="218"/>
        <v>2006.8579999999999</v>
      </c>
      <c r="AC240" s="2">
        <f>ROUND(((ES240*1)),6)</f>
        <v>1688.81</v>
      </c>
      <c r="AD240" s="2">
        <f>ROUND(((((ET240*1.2))-((EU240*1.2)))+AE240),6)</f>
        <v>74.111999999999995</v>
      </c>
      <c r="AE240" s="2">
        <f>ROUND(((EU240*1.2)),6)</f>
        <v>6.516</v>
      </c>
      <c r="AF240" s="2">
        <f>ROUND(((EV240*1.2)),6)</f>
        <v>243.93600000000001</v>
      </c>
      <c r="AG240" s="2">
        <f t="shared" si="219"/>
        <v>0</v>
      </c>
      <c r="AH240" s="2">
        <f>((EW240*1.2))</f>
        <v>19.8</v>
      </c>
      <c r="AI240" s="2">
        <f>((EX240*1.2))</f>
        <v>0</v>
      </c>
      <c r="AJ240" s="2">
        <f t="shared" si="220"/>
        <v>0</v>
      </c>
      <c r="AK240" s="2">
        <v>1953.85</v>
      </c>
      <c r="AL240" s="2">
        <v>1688.81</v>
      </c>
      <c r="AM240" s="2">
        <v>61.76</v>
      </c>
      <c r="AN240" s="2">
        <v>5.43</v>
      </c>
      <c r="AO240" s="2">
        <v>203.28</v>
      </c>
      <c r="AP240" s="2">
        <v>0</v>
      </c>
      <c r="AQ240" s="2">
        <v>16.5</v>
      </c>
      <c r="AR240" s="2">
        <v>0</v>
      </c>
      <c r="AS240" s="2">
        <v>0</v>
      </c>
      <c r="AT240" s="2">
        <v>97</v>
      </c>
      <c r="AU240" s="2">
        <v>51</v>
      </c>
      <c r="AV240" s="2">
        <v>1.0469999999999999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0</v>
      </c>
      <c r="BI240" s="2">
        <v>2</v>
      </c>
      <c r="BJ240" s="2" t="s">
        <v>381</v>
      </c>
      <c r="BK240" s="2"/>
      <c r="BL240" s="2"/>
      <c r="BM240" s="2">
        <v>67</v>
      </c>
      <c r="BN240" s="2">
        <v>0</v>
      </c>
      <c r="BO240" s="2" t="s">
        <v>379</v>
      </c>
      <c r="BP240" s="2">
        <v>1</v>
      </c>
      <c r="BQ240" s="2">
        <v>40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97</v>
      </c>
      <c r="CA240" s="2">
        <v>51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797</v>
      </c>
      <c r="CO240" s="2">
        <v>0</v>
      </c>
      <c r="CP240" s="2">
        <f t="shared" si="221"/>
        <v>40.44</v>
      </c>
      <c r="CQ240" s="2">
        <f t="shared" si="222"/>
        <v>1688.81</v>
      </c>
      <c r="CR240" s="2">
        <f>(ROUND((ROUND((((ET240*1.2))*AV240*1),2)*BB240),2)+ROUND((ROUND(((AE240-((EU240*1.2)))*AV240*1),2)*BS240),2))</f>
        <v>77.599999999999994</v>
      </c>
      <c r="CS240" s="2">
        <f>(ROUND((ROUND((((EU240*1.2))*AV240*1),2)*BS240),2)+ROUND((ROUND(((AE240-((EU240*1.2)))*AV240*1),2)*BS240),2))</f>
        <v>6.82</v>
      </c>
      <c r="CT240" s="2">
        <f t="shared" si="223"/>
        <v>255.4</v>
      </c>
      <c r="CU240" s="2">
        <f t="shared" si="224"/>
        <v>0</v>
      </c>
      <c r="CV240" s="2">
        <f t="shared" si="225"/>
        <v>20.730599999999999</v>
      </c>
      <c r="CW240" s="2">
        <f t="shared" si="226"/>
        <v>0</v>
      </c>
      <c r="CX240" s="2">
        <f t="shared" si="227"/>
        <v>0</v>
      </c>
      <c r="CY240" s="2">
        <f>(ROUND((((S240+ROUND((ROUND((((EU240*1.2))*AV240*1),2)*BS240),2))*AT240)/100),2)+ROUND(((ROUND((ROUND(((AE240-((EU240*1.2)))*AV240*1),2)*BS240),2)*AT240)/100),2))</f>
        <v>11.57</v>
      </c>
      <c r="CZ240" s="2">
        <f>(ROUND((((S240+ROUND((ROUND((((EU240*1.2))*AV240*1),2)*BS240),2))*AU240)/100),2)+ROUND(((ROUND((ROUND(((AE240-((EU240*1.2)))*AV240*1),2)*BS240),2)*AU240)/100),2))</f>
        <v>6.08</v>
      </c>
      <c r="DA240" s="2"/>
      <c r="DB240" s="2">
        <v>117</v>
      </c>
      <c r="DC240" s="2" t="s">
        <v>3</v>
      </c>
      <c r="DD240" s="2" t="s">
        <v>113</v>
      </c>
      <c r="DE240" s="2" t="s">
        <v>114</v>
      </c>
      <c r="DF240" s="2" t="s">
        <v>114</v>
      </c>
      <c r="DG240" s="2" t="s">
        <v>114</v>
      </c>
      <c r="DH240" s="2" t="s">
        <v>3</v>
      </c>
      <c r="DI240" s="2" t="s">
        <v>114</v>
      </c>
      <c r="DJ240" s="2" t="s">
        <v>114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1003</v>
      </c>
      <c r="DV240" s="2" t="s">
        <v>111</v>
      </c>
      <c r="DW240" s="2" t="s">
        <v>111</v>
      </c>
      <c r="DX240" s="2">
        <v>100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55393699</v>
      </c>
      <c r="EF240" s="2">
        <v>40</v>
      </c>
      <c r="EG240" s="2" t="s">
        <v>26</v>
      </c>
      <c r="EH240" s="2">
        <v>0</v>
      </c>
      <c r="EI240" s="2" t="s">
        <v>3</v>
      </c>
      <c r="EJ240" s="2">
        <v>2</v>
      </c>
      <c r="EK240" s="2">
        <v>67</v>
      </c>
      <c r="EL240" s="2" t="s">
        <v>62</v>
      </c>
      <c r="EM240" s="2" t="s">
        <v>63</v>
      </c>
      <c r="EN240" s="2"/>
      <c r="EO240" s="2" t="s">
        <v>118</v>
      </c>
      <c r="EP240" s="2"/>
      <c r="EQ240" s="2">
        <v>0</v>
      </c>
      <c r="ER240" s="2">
        <v>1953.85</v>
      </c>
      <c r="ES240" s="2">
        <v>1688.81</v>
      </c>
      <c r="ET240" s="2">
        <v>61.76</v>
      </c>
      <c r="EU240" s="2">
        <v>5.43</v>
      </c>
      <c r="EV240" s="2">
        <v>203.28</v>
      </c>
      <c r="EW240" s="2">
        <v>16.5</v>
      </c>
      <c r="EX240" s="2">
        <v>0</v>
      </c>
      <c r="EY240" s="2">
        <v>0</v>
      </c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97</v>
      </c>
      <c r="FY240" s="2">
        <v>51</v>
      </c>
      <c r="FZ240" s="2"/>
      <c r="GA240" s="2" t="s">
        <v>3</v>
      </c>
      <c r="GB240" s="2"/>
      <c r="GC240" s="2"/>
      <c r="GD240" s="2">
        <v>1</v>
      </c>
      <c r="GE240" s="2"/>
      <c r="GF240" s="2">
        <v>-95014627</v>
      </c>
      <c r="GG240" s="2">
        <v>2</v>
      </c>
      <c r="GH240" s="2">
        <v>1</v>
      </c>
      <c r="GI240" s="2">
        <v>2</v>
      </c>
      <c r="GJ240" s="2">
        <v>0</v>
      </c>
      <c r="GK240" s="2">
        <v>0</v>
      </c>
      <c r="GL240" s="2">
        <f t="shared" si="228"/>
        <v>0</v>
      </c>
      <c r="GM240" s="2">
        <f t="shared" si="229"/>
        <v>48.21</v>
      </c>
      <c r="GN240" s="2">
        <f t="shared" si="230"/>
        <v>0</v>
      </c>
      <c r="GO240" s="2">
        <f t="shared" si="231"/>
        <v>48.21</v>
      </c>
      <c r="GP240" s="2">
        <f t="shared" si="232"/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si="233"/>
        <v>0</v>
      </c>
      <c r="GW240" s="2">
        <v>1</v>
      </c>
      <c r="GX240" s="2">
        <f t="shared" si="234"/>
        <v>0</v>
      </c>
      <c r="GY240" s="2"/>
      <c r="GZ240" s="2"/>
      <c r="HA240" s="2">
        <v>0</v>
      </c>
      <c r="HB240" s="2">
        <v>0</v>
      </c>
      <c r="HC240" s="2">
        <f t="shared" si="235"/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">
      <c r="A241" s="3">
        <v>17</v>
      </c>
      <c r="B241" s="3">
        <v>1</v>
      </c>
      <c r="C241" s="3">
        <f>ROW(SmtRes!A304)</f>
        <v>304</v>
      </c>
      <c r="D241" s="3">
        <f>ROW(EtalonRes!A372)</f>
        <v>372</v>
      </c>
      <c r="E241" s="3" t="s">
        <v>378</v>
      </c>
      <c r="F241" s="3" t="s">
        <v>379</v>
      </c>
      <c r="G241" s="3" t="s">
        <v>380</v>
      </c>
      <c r="H241" s="3" t="s">
        <v>111</v>
      </c>
      <c r="I241" s="3">
        <f>ROUND(2/100,9)</f>
        <v>0.02</v>
      </c>
      <c r="J241" s="3">
        <v>0</v>
      </c>
      <c r="K241" s="3">
        <f>ROUND(2/100,9)</f>
        <v>0.02</v>
      </c>
      <c r="O241" s="3">
        <f t="shared" si="211"/>
        <v>474.19</v>
      </c>
      <c r="P241" s="3">
        <f t="shared" si="212"/>
        <v>162.13999999999999</v>
      </c>
      <c r="Q241" s="3">
        <f>(ROUND((ROUND((((ET241*1.2))*AV241*I241),2)*BB241),2)+ROUND((ROUND(((AE241-((EU241*1.2)))*AV241*I241),2)*BS241),2))</f>
        <v>24.1</v>
      </c>
      <c r="R241" s="3">
        <f>(ROUND((ROUND((((EU241*1.2))*AV241*I241),2)*BS241),2)+ROUND((ROUND(((AE241-((EU241*1.2)))*AV241*I241),2)*BS241),2))</f>
        <v>7.89</v>
      </c>
      <c r="S241" s="3">
        <f t="shared" si="213"/>
        <v>287.95</v>
      </c>
      <c r="T241" s="3">
        <f t="shared" si="214"/>
        <v>0</v>
      </c>
      <c r="U241" s="3">
        <f t="shared" si="215"/>
        <v>0.41461199999999998</v>
      </c>
      <c r="V241" s="3">
        <f t="shared" si="216"/>
        <v>0</v>
      </c>
      <c r="W241" s="3">
        <f t="shared" si="217"/>
        <v>0</v>
      </c>
      <c r="X241" s="3">
        <f>(ROUND((((S241+ROUND((ROUND((((EU241*1.2))*AV241*I241),2)*BS241),2))*AT241)/100),2)+ROUND(((ROUND((ROUND(((AE241-((EU241*1.2)))*AV241*I241),2)*BS241),2)*AT241)/100),2))</f>
        <v>286.95999999999998</v>
      </c>
      <c r="Y241" s="3">
        <f>(ROUND((((S241+ROUND((ROUND((((EU241*1.2))*AV241*I241),2)*BS241),2))*AU241)/100),2)+ROUND(((ROUND((ROUND(((AE241-((EU241*1.2)))*AV241*I241),2)*BS241),2)*AU241)/100),2))</f>
        <v>150.88</v>
      </c>
      <c r="AA241" s="3">
        <v>55937298</v>
      </c>
      <c r="AB241" s="3">
        <f t="shared" si="218"/>
        <v>2006.8579999999999</v>
      </c>
      <c r="AC241" s="3">
        <f>ROUND(((ES241*1)),6)</f>
        <v>1688.81</v>
      </c>
      <c r="AD241" s="3">
        <f>ROUND(((((ET241*1.2))-((EU241*1.2)))+AE241),6)</f>
        <v>74.111999999999995</v>
      </c>
      <c r="AE241" s="3">
        <f>ROUND(((EU241*1.2)),6)</f>
        <v>6.516</v>
      </c>
      <c r="AF241" s="3">
        <f>ROUND(((EV241*1.2)),6)</f>
        <v>243.93600000000001</v>
      </c>
      <c r="AG241" s="3">
        <f t="shared" si="219"/>
        <v>0</v>
      </c>
      <c r="AH241" s="3">
        <f>((EW241*1.2))</f>
        <v>19.8</v>
      </c>
      <c r="AI241" s="3">
        <f>((EX241*1.2))</f>
        <v>0</v>
      </c>
      <c r="AJ241" s="3">
        <f t="shared" si="220"/>
        <v>0</v>
      </c>
      <c r="AK241" s="3">
        <v>1953.85</v>
      </c>
      <c r="AL241" s="3">
        <v>1688.81</v>
      </c>
      <c r="AM241" s="3">
        <v>61.76</v>
      </c>
      <c r="AN241" s="3">
        <v>5.43</v>
      </c>
      <c r="AO241" s="3">
        <v>203.28</v>
      </c>
      <c r="AP241" s="3">
        <v>0</v>
      </c>
      <c r="AQ241" s="3">
        <v>16.5</v>
      </c>
      <c r="AR241" s="3">
        <v>0</v>
      </c>
      <c r="AS241" s="3">
        <v>0</v>
      </c>
      <c r="AT241" s="3">
        <v>97</v>
      </c>
      <c r="AU241" s="3">
        <v>51</v>
      </c>
      <c r="AV241" s="3">
        <v>1.0469999999999999</v>
      </c>
      <c r="AW241" s="3">
        <v>1</v>
      </c>
      <c r="AZ241" s="3">
        <v>1</v>
      </c>
      <c r="BA241" s="3">
        <v>56.35</v>
      </c>
      <c r="BB241" s="3">
        <v>15.55</v>
      </c>
      <c r="BC241" s="3">
        <v>4.8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0</v>
      </c>
      <c r="BI241" s="3">
        <v>2</v>
      </c>
      <c r="BJ241" s="3" t="s">
        <v>381</v>
      </c>
      <c r="BM241" s="3">
        <v>67</v>
      </c>
      <c r="BN241" s="3">
        <v>0</v>
      </c>
      <c r="BO241" s="3" t="s">
        <v>379</v>
      </c>
      <c r="BP241" s="3">
        <v>1</v>
      </c>
      <c r="BQ241" s="3">
        <v>40</v>
      </c>
      <c r="BR241" s="3">
        <v>0</v>
      </c>
      <c r="BS241" s="3">
        <v>56.35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97</v>
      </c>
      <c r="CA241" s="3">
        <v>51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797</v>
      </c>
      <c r="CO241" s="3">
        <v>0</v>
      </c>
      <c r="CP241" s="3">
        <f t="shared" si="221"/>
        <v>474.18999999999994</v>
      </c>
      <c r="CQ241" s="3">
        <f t="shared" si="222"/>
        <v>8106.29</v>
      </c>
      <c r="CR241" s="3">
        <f>(ROUND((ROUND((((ET241*1.2))*AV241*1),2)*BB241),2)+ROUND((ROUND(((AE241-((EU241*1.2)))*AV241*1),2)*BS241),2))</f>
        <v>1206.68</v>
      </c>
      <c r="CS241" s="3">
        <f>(ROUND((ROUND((((EU241*1.2))*AV241*1),2)*BS241),2)+ROUND((ROUND(((AE241-((EU241*1.2)))*AV241*1),2)*BS241),2))</f>
        <v>384.31</v>
      </c>
      <c r="CT241" s="3">
        <f t="shared" si="223"/>
        <v>14391.79</v>
      </c>
      <c r="CU241" s="3">
        <f t="shared" si="224"/>
        <v>0</v>
      </c>
      <c r="CV241" s="3">
        <f t="shared" si="225"/>
        <v>20.730599999999999</v>
      </c>
      <c r="CW241" s="3">
        <f t="shared" si="226"/>
        <v>0</v>
      </c>
      <c r="CX241" s="3">
        <f t="shared" si="227"/>
        <v>0</v>
      </c>
      <c r="CY241" s="3">
        <f>(ROUND((((S241+ROUND((ROUND((((EU241*1.2))*AV241*1),2)*BS241),2))*AT241)/100),2)+ROUND(((ROUND((ROUND(((AE241-((EU241*1.2)))*AV241*1),2)*BS241),2)*AT241)/100),2))</f>
        <v>652.09</v>
      </c>
      <c r="CZ241" s="3">
        <f>(ROUND((((S241+ROUND((ROUND((((EU241*1.2))*AV241*1),2)*BS241),2))*AU241)/100),2)+ROUND(((ROUND((ROUND(((AE241-((EU241*1.2)))*AV241*1),2)*BS241),2)*AU241)/100),2))</f>
        <v>342.85</v>
      </c>
      <c r="DB241" s="3">
        <v>118</v>
      </c>
      <c r="DC241" s="3" t="s">
        <v>3</v>
      </c>
      <c r="DD241" s="3" t="s">
        <v>113</v>
      </c>
      <c r="DE241" s="3" t="s">
        <v>114</v>
      </c>
      <c r="DF241" s="3" t="s">
        <v>114</v>
      </c>
      <c r="DG241" s="3" t="s">
        <v>114</v>
      </c>
      <c r="DH241" s="3" t="s">
        <v>3</v>
      </c>
      <c r="DI241" s="3" t="s">
        <v>114</v>
      </c>
      <c r="DJ241" s="3" t="s">
        <v>114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1003</v>
      </c>
      <c r="DV241" s="3" t="s">
        <v>111</v>
      </c>
      <c r="DW241" s="3" t="s">
        <v>111</v>
      </c>
      <c r="DX241" s="3">
        <v>100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55393699</v>
      </c>
      <c r="EF241" s="3">
        <v>40</v>
      </c>
      <c r="EG241" s="3" t="s">
        <v>26</v>
      </c>
      <c r="EH241" s="3">
        <v>0</v>
      </c>
      <c r="EI241" s="3" t="s">
        <v>3</v>
      </c>
      <c r="EJ241" s="3">
        <v>2</v>
      </c>
      <c r="EK241" s="3">
        <v>67</v>
      </c>
      <c r="EL241" s="3" t="s">
        <v>62</v>
      </c>
      <c r="EM241" s="3" t="s">
        <v>63</v>
      </c>
      <c r="EO241" s="3" t="s">
        <v>118</v>
      </c>
      <c r="EQ241" s="3">
        <v>0</v>
      </c>
      <c r="ER241" s="3">
        <v>1953.85</v>
      </c>
      <c r="ES241" s="3">
        <v>1688.81</v>
      </c>
      <c r="ET241" s="3">
        <v>61.76</v>
      </c>
      <c r="EU241" s="3">
        <v>5.43</v>
      </c>
      <c r="EV241" s="3">
        <v>203.28</v>
      </c>
      <c r="EW241" s="3">
        <v>16.5</v>
      </c>
      <c r="EX241" s="3">
        <v>0</v>
      </c>
      <c r="EY241" s="3">
        <v>0</v>
      </c>
      <c r="FQ241" s="3">
        <v>0</v>
      </c>
      <c r="FR241" s="3">
        <v>0</v>
      </c>
      <c r="FS241" s="3">
        <v>0</v>
      </c>
      <c r="FX241" s="3">
        <v>97</v>
      </c>
      <c r="FY241" s="3">
        <v>51</v>
      </c>
      <c r="GA241" s="3" t="s">
        <v>3</v>
      </c>
      <c r="GD241" s="3">
        <v>1</v>
      </c>
      <c r="GF241" s="3">
        <v>-95014627</v>
      </c>
      <c r="GG241" s="3">
        <v>2</v>
      </c>
      <c r="GH241" s="3">
        <v>1</v>
      </c>
      <c r="GI241" s="3">
        <v>2</v>
      </c>
      <c r="GJ241" s="3">
        <v>0</v>
      </c>
      <c r="GK241" s="3">
        <v>0</v>
      </c>
      <c r="GL241" s="3">
        <f t="shared" si="228"/>
        <v>0</v>
      </c>
      <c r="GM241" s="3">
        <f t="shared" si="229"/>
        <v>912.03</v>
      </c>
      <c r="GN241" s="3">
        <f t="shared" si="230"/>
        <v>0</v>
      </c>
      <c r="GO241" s="3">
        <f t="shared" si="231"/>
        <v>912.03</v>
      </c>
      <c r="GP241" s="3">
        <f t="shared" si="232"/>
        <v>0</v>
      </c>
      <c r="GR241" s="3">
        <v>0</v>
      </c>
      <c r="GS241" s="3">
        <v>3</v>
      </c>
      <c r="GT241" s="3">
        <v>0</v>
      </c>
      <c r="GU241" s="3" t="s">
        <v>3</v>
      </c>
      <c r="GV241" s="3">
        <f t="shared" si="233"/>
        <v>0</v>
      </c>
      <c r="GW241" s="3">
        <v>1</v>
      </c>
      <c r="GX241" s="3">
        <f t="shared" si="234"/>
        <v>0</v>
      </c>
      <c r="HA241" s="3">
        <v>0</v>
      </c>
      <c r="HB241" s="3">
        <v>0</v>
      </c>
      <c r="HC241" s="3">
        <f t="shared" si="235"/>
        <v>0</v>
      </c>
      <c r="HE241" s="3" t="s">
        <v>3</v>
      </c>
      <c r="HF241" s="3" t="s">
        <v>3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">
      <c r="A242" s="2">
        <v>18</v>
      </c>
      <c r="B242" s="2">
        <v>1</v>
      </c>
      <c r="C242" s="2">
        <v>288</v>
      </c>
      <c r="D242" s="2"/>
      <c r="E242" s="2" t="s">
        <v>382</v>
      </c>
      <c r="F242" s="2" t="s">
        <v>383</v>
      </c>
      <c r="G242" s="2" t="s">
        <v>384</v>
      </c>
      <c r="H242" s="2" t="s">
        <v>332</v>
      </c>
      <c r="I242" s="2">
        <f>I240*J242</f>
        <v>2.06</v>
      </c>
      <c r="J242" s="2">
        <v>103</v>
      </c>
      <c r="K242" s="2">
        <v>103</v>
      </c>
      <c r="L242" s="2"/>
      <c r="M242" s="2"/>
      <c r="N242" s="2"/>
      <c r="O242" s="2">
        <f t="shared" si="211"/>
        <v>67.900000000000006</v>
      </c>
      <c r="P242" s="2">
        <f t="shared" si="212"/>
        <v>67.900000000000006</v>
      </c>
      <c r="Q242" s="2">
        <f>(ROUND((ROUND(((ET242)*AV242*I242),2)*BB242),2)+ROUND((ROUND(((AE242-(EU242))*AV242*I242),2)*BS242),2))</f>
        <v>0</v>
      </c>
      <c r="R242" s="2">
        <f>(ROUND((ROUND(((EU242)*AV242*I242),2)*BS242),2)+ROUND((ROUND(((AE242-(EU242))*AV242*I242),2)*BS242),2))</f>
        <v>0</v>
      </c>
      <c r="S242" s="2">
        <f t="shared" si="213"/>
        <v>0</v>
      </c>
      <c r="T242" s="2">
        <f t="shared" si="214"/>
        <v>0</v>
      </c>
      <c r="U242" s="2">
        <f t="shared" si="215"/>
        <v>0</v>
      </c>
      <c r="V242" s="2">
        <f t="shared" si="216"/>
        <v>0</v>
      </c>
      <c r="W242" s="2">
        <f t="shared" si="217"/>
        <v>0</v>
      </c>
      <c r="X242" s="2">
        <f>(ROUND((((S242+ROUND((ROUND(((EU242)*AV242*I242),2)*BS242),2))*AT242)/100),2)+ROUND(((ROUND((ROUND(((AE242-(EU242))*AV242*I242),2)*BS242),2)*AT242)/100),2))</f>
        <v>0</v>
      </c>
      <c r="Y242" s="2">
        <f>(ROUND((((S242+ROUND((ROUND(((EU242)*AV242*I242),2)*BS242),2))*AU242)/100),2)+ROUND(((ROUND((ROUND(((AE242-(EU242))*AV242*I242),2)*BS242),2)*AU242)/100),2))</f>
        <v>0</v>
      </c>
      <c r="Z242" s="2"/>
      <c r="AA242" s="2">
        <v>55937296</v>
      </c>
      <c r="AB242" s="2">
        <f t="shared" si="218"/>
        <v>32.96</v>
      </c>
      <c r="AC242" s="2">
        <f>ROUND((ES242),6)</f>
        <v>32.96</v>
      </c>
      <c r="AD242" s="2">
        <f>ROUND((((ET242)-(EU242))+AE242),6)</f>
        <v>0</v>
      </c>
      <c r="AE242" s="2">
        <f>ROUND((EU242),6)</f>
        <v>0</v>
      </c>
      <c r="AF242" s="2">
        <f>ROUND((EV242),6)</f>
        <v>0</v>
      </c>
      <c r="AG242" s="2">
        <f t="shared" si="219"/>
        <v>0</v>
      </c>
      <c r="AH242" s="2">
        <f>(EW242)</f>
        <v>0</v>
      </c>
      <c r="AI242" s="2">
        <f>(EX242)</f>
        <v>0</v>
      </c>
      <c r="AJ242" s="2">
        <f t="shared" si="220"/>
        <v>0</v>
      </c>
      <c r="AK242" s="2">
        <v>32.96</v>
      </c>
      <c r="AL242" s="2">
        <v>32.96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97</v>
      </c>
      <c r="AU242" s="2">
        <v>51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2</v>
      </c>
      <c r="BJ242" s="2" t="s">
        <v>385</v>
      </c>
      <c r="BK242" s="2"/>
      <c r="BL242" s="2"/>
      <c r="BM242" s="2">
        <v>67</v>
      </c>
      <c r="BN242" s="2">
        <v>0</v>
      </c>
      <c r="BO242" s="2" t="s">
        <v>3</v>
      </c>
      <c r="BP242" s="2">
        <v>0</v>
      </c>
      <c r="BQ242" s="2">
        <v>40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97</v>
      </c>
      <c r="CA242" s="2">
        <v>51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798</v>
      </c>
      <c r="CO242" s="2">
        <v>0</v>
      </c>
      <c r="CP242" s="2">
        <f t="shared" si="221"/>
        <v>67.900000000000006</v>
      </c>
      <c r="CQ242" s="2">
        <f t="shared" si="222"/>
        <v>32.96</v>
      </c>
      <c r="CR242" s="2">
        <f>(ROUND((ROUND(((ET242)*AV242*1),2)*BB242),2)+ROUND((ROUND(((AE242-(EU242))*AV242*1),2)*BS242),2))</f>
        <v>0</v>
      </c>
      <c r="CS242" s="2">
        <f>(ROUND((ROUND(((EU242)*AV242*1),2)*BS242),2)+ROUND((ROUND(((AE242-(EU242))*AV242*1),2)*BS242),2))</f>
        <v>0</v>
      </c>
      <c r="CT242" s="2">
        <f t="shared" si="223"/>
        <v>0</v>
      </c>
      <c r="CU242" s="2">
        <f t="shared" si="224"/>
        <v>0</v>
      </c>
      <c r="CV242" s="2">
        <f t="shared" si="225"/>
        <v>0</v>
      </c>
      <c r="CW242" s="2">
        <f t="shared" si="226"/>
        <v>0</v>
      </c>
      <c r="CX242" s="2">
        <f t="shared" si="227"/>
        <v>0</v>
      </c>
      <c r="CY242" s="2">
        <f>(ROUND((((S242+ROUND((ROUND(((EU242)*AV242*1),2)*BS242),2))*AT242)/100),2)+ROUND(((ROUND((ROUND(((AE242-(EU242))*AV242*1),2)*BS242),2)*AT242)/100),2))</f>
        <v>0</v>
      </c>
      <c r="CZ242" s="2">
        <f>(ROUND((((S242+ROUND((ROUND(((EU242)*AV242*1),2)*BS242),2))*AU242)/100),2)+ROUND(((ROUND((ROUND(((AE242-(EU242))*AV242*1),2)*BS242),2)*AU242)/100),2))</f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1003</v>
      </c>
      <c r="DV242" s="2" t="s">
        <v>332</v>
      </c>
      <c r="DW242" s="2" t="s">
        <v>332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55393699</v>
      </c>
      <c r="EF242" s="2">
        <v>40</v>
      </c>
      <c r="EG242" s="2" t="s">
        <v>26</v>
      </c>
      <c r="EH242" s="2">
        <v>0</v>
      </c>
      <c r="EI242" s="2" t="s">
        <v>3</v>
      </c>
      <c r="EJ242" s="2">
        <v>2</v>
      </c>
      <c r="EK242" s="2">
        <v>67</v>
      </c>
      <c r="EL242" s="2" t="s">
        <v>62</v>
      </c>
      <c r="EM242" s="2" t="s">
        <v>63</v>
      </c>
      <c r="EN242" s="2"/>
      <c r="EO242" s="2" t="s">
        <v>118</v>
      </c>
      <c r="EP242" s="2"/>
      <c r="EQ242" s="2">
        <v>0</v>
      </c>
      <c r="ER242" s="2">
        <v>32.96</v>
      </c>
      <c r="ES242" s="2">
        <v>32.96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97</v>
      </c>
      <c r="FY242" s="2">
        <v>51</v>
      </c>
      <c r="FZ242" s="2"/>
      <c r="GA242" s="2" t="s">
        <v>3</v>
      </c>
      <c r="GB242" s="2"/>
      <c r="GC242" s="2"/>
      <c r="GD242" s="2">
        <v>1</v>
      </c>
      <c r="GE242" s="2"/>
      <c r="GF242" s="2">
        <v>-511472295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228"/>
        <v>0</v>
      </c>
      <c r="GM242" s="2">
        <f t="shared" si="229"/>
        <v>67.900000000000006</v>
      </c>
      <c r="GN242" s="2">
        <f t="shared" si="230"/>
        <v>0</v>
      </c>
      <c r="GO242" s="2">
        <f t="shared" si="231"/>
        <v>67.900000000000006</v>
      </c>
      <c r="GP242" s="2">
        <f t="shared" si="232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233"/>
        <v>0</v>
      </c>
      <c r="GW242" s="2">
        <v>1</v>
      </c>
      <c r="GX242" s="2">
        <f t="shared" si="234"/>
        <v>0</v>
      </c>
      <c r="GY242" s="2"/>
      <c r="GZ242" s="2"/>
      <c r="HA242" s="2">
        <v>0</v>
      </c>
      <c r="HB242" s="2">
        <v>0</v>
      </c>
      <c r="HC242" s="2">
        <f t="shared" si="235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">
      <c r="A243" s="3">
        <v>18</v>
      </c>
      <c r="B243" s="3">
        <v>1</v>
      </c>
      <c r="C243" s="3">
        <v>300</v>
      </c>
      <c r="E243" s="3" t="s">
        <v>382</v>
      </c>
      <c r="F243" s="3" t="s">
        <v>383</v>
      </c>
      <c r="G243" s="3" t="s">
        <v>384</v>
      </c>
      <c r="H243" s="3" t="s">
        <v>332</v>
      </c>
      <c r="I243" s="3">
        <f>I241*J243</f>
        <v>2.06</v>
      </c>
      <c r="J243" s="3">
        <v>103</v>
      </c>
      <c r="K243" s="3">
        <v>103</v>
      </c>
      <c r="O243" s="3">
        <f t="shared" si="211"/>
        <v>113.39</v>
      </c>
      <c r="P243" s="3">
        <f t="shared" si="212"/>
        <v>113.39</v>
      </c>
      <c r="Q243" s="3">
        <f>(ROUND((ROUND(((ET243)*AV243*I243),2)*BB243),2)+ROUND((ROUND(((AE243-(EU243))*AV243*I243),2)*BS243),2))</f>
        <v>0</v>
      </c>
      <c r="R243" s="3">
        <f>(ROUND((ROUND(((EU243)*AV243*I243),2)*BS243),2)+ROUND((ROUND(((AE243-(EU243))*AV243*I243),2)*BS243),2))</f>
        <v>0</v>
      </c>
      <c r="S243" s="3">
        <f t="shared" si="213"/>
        <v>0</v>
      </c>
      <c r="T243" s="3">
        <f t="shared" si="214"/>
        <v>0</v>
      </c>
      <c r="U243" s="3">
        <f t="shared" si="215"/>
        <v>0</v>
      </c>
      <c r="V243" s="3">
        <f t="shared" si="216"/>
        <v>0</v>
      </c>
      <c r="W243" s="3">
        <f t="shared" si="217"/>
        <v>0</v>
      </c>
      <c r="X243" s="3">
        <f>(ROUND((((S243+ROUND((ROUND(((EU243)*AV243*I243),2)*BS243),2))*AT243)/100),2)+ROUND(((ROUND((ROUND(((AE243-(EU243))*AV243*I243),2)*BS243),2)*AT243)/100),2))</f>
        <v>0</v>
      </c>
      <c r="Y243" s="3">
        <f>(ROUND((((S243+ROUND((ROUND(((EU243)*AV243*I243),2)*BS243),2))*AU243)/100),2)+ROUND(((ROUND((ROUND(((AE243-(EU243))*AV243*I243),2)*BS243),2)*AU243)/100),2))</f>
        <v>0</v>
      </c>
      <c r="AA243" s="3">
        <v>55937298</v>
      </c>
      <c r="AB243" s="3">
        <f t="shared" si="218"/>
        <v>32.96</v>
      </c>
      <c r="AC243" s="3">
        <f>ROUND((ES243),6)</f>
        <v>32.96</v>
      </c>
      <c r="AD243" s="3">
        <f>ROUND((((ET243)-(EU243))+AE243),6)</f>
        <v>0</v>
      </c>
      <c r="AE243" s="3">
        <f>ROUND((EU243),6)</f>
        <v>0</v>
      </c>
      <c r="AF243" s="3">
        <f>ROUND((EV243),6)</f>
        <v>0</v>
      </c>
      <c r="AG243" s="3">
        <f t="shared" si="219"/>
        <v>0</v>
      </c>
      <c r="AH243" s="3">
        <f>(EW243)</f>
        <v>0</v>
      </c>
      <c r="AI243" s="3">
        <f>(EX243)</f>
        <v>0</v>
      </c>
      <c r="AJ243" s="3">
        <f t="shared" si="220"/>
        <v>0</v>
      </c>
      <c r="AK243" s="3">
        <v>32.96</v>
      </c>
      <c r="AL243" s="3">
        <v>32.96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97</v>
      </c>
      <c r="AU243" s="3">
        <v>51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1.67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2</v>
      </c>
      <c r="BJ243" s="3" t="s">
        <v>385</v>
      </c>
      <c r="BM243" s="3">
        <v>67</v>
      </c>
      <c r="BN243" s="3">
        <v>0</v>
      </c>
      <c r="BO243" s="3" t="s">
        <v>383</v>
      </c>
      <c r="BP243" s="3">
        <v>1</v>
      </c>
      <c r="BQ243" s="3">
        <v>40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97</v>
      </c>
      <c r="CA243" s="3">
        <v>51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798</v>
      </c>
      <c r="CO243" s="3">
        <v>0</v>
      </c>
      <c r="CP243" s="3">
        <f t="shared" si="221"/>
        <v>113.39</v>
      </c>
      <c r="CQ243" s="3">
        <f t="shared" si="222"/>
        <v>55.04</v>
      </c>
      <c r="CR243" s="3">
        <f>(ROUND((ROUND(((ET243)*AV243*1),2)*BB243),2)+ROUND((ROUND(((AE243-(EU243))*AV243*1),2)*BS243),2))</f>
        <v>0</v>
      </c>
      <c r="CS243" s="3">
        <f>(ROUND((ROUND(((EU243)*AV243*1),2)*BS243),2)+ROUND((ROUND(((AE243-(EU243))*AV243*1),2)*BS243),2))</f>
        <v>0</v>
      </c>
      <c r="CT243" s="3">
        <f t="shared" si="223"/>
        <v>0</v>
      </c>
      <c r="CU243" s="3">
        <f t="shared" si="224"/>
        <v>0</v>
      </c>
      <c r="CV243" s="3">
        <f t="shared" si="225"/>
        <v>0</v>
      </c>
      <c r="CW243" s="3">
        <f t="shared" si="226"/>
        <v>0</v>
      </c>
      <c r="CX243" s="3">
        <f t="shared" si="227"/>
        <v>0</v>
      </c>
      <c r="CY243" s="3">
        <f>(ROUND((((S243+ROUND((ROUND(((EU243)*AV243*1),2)*BS243),2))*AT243)/100),2)+ROUND(((ROUND((ROUND(((AE243-(EU243))*AV243*1),2)*BS243),2)*AT243)/100),2))</f>
        <v>0</v>
      </c>
      <c r="CZ243" s="3">
        <f>(ROUND((((S243+ROUND((ROUND(((EU243)*AV243*1),2)*BS243),2))*AU243)/100),2)+ROUND(((ROUND((ROUND(((AE243-(EU243))*AV243*1),2)*BS243),2)*AU243)/100),2))</f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1003</v>
      </c>
      <c r="DV243" s="3" t="s">
        <v>332</v>
      </c>
      <c r="DW243" s="3" t="s">
        <v>332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55393699</v>
      </c>
      <c r="EF243" s="3">
        <v>40</v>
      </c>
      <c r="EG243" s="3" t="s">
        <v>26</v>
      </c>
      <c r="EH243" s="3">
        <v>0</v>
      </c>
      <c r="EI243" s="3" t="s">
        <v>3</v>
      </c>
      <c r="EJ243" s="3">
        <v>2</v>
      </c>
      <c r="EK243" s="3">
        <v>67</v>
      </c>
      <c r="EL243" s="3" t="s">
        <v>62</v>
      </c>
      <c r="EM243" s="3" t="s">
        <v>63</v>
      </c>
      <c r="EO243" s="3" t="s">
        <v>118</v>
      </c>
      <c r="EQ243" s="3">
        <v>0</v>
      </c>
      <c r="ER243" s="3">
        <v>32.96</v>
      </c>
      <c r="ES243" s="3">
        <v>32.96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FQ243" s="3">
        <v>0</v>
      </c>
      <c r="FR243" s="3">
        <v>0</v>
      </c>
      <c r="FS243" s="3">
        <v>0</v>
      </c>
      <c r="FX243" s="3">
        <v>97</v>
      </c>
      <c r="FY243" s="3">
        <v>51</v>
      </c>
      <c r="GA243" s="3" t="s">
        <v>3</v>
      </c>
      <c r="GD243" s="3">
        <v>1</v>
      </c>
      <c r="GF243" s="3">
        <v>-511472295</v>
      </c>
      <c r="GG243" s="3">
        <v>2</v>
      </c>
      <c r="GH243" s="3">
        <v>1</v>
      </c>
      <c r="GI243" s="3">
        <v>2</v>
      </c>
      <c r="GJ243" s="3">
        <v>0</v>
      </c>
      <c r="GK243" s="3">
        <v>0</v>
      </c>
      <c r="GL243" s="3">
        <f t="shared" si="228"/>
        <v>0</v>
      </c>
      <c r="GM243" s="3">
        <f t="shared" si="229"/>
        <v>113.39</v>
      </c>
      <c r="GN243" s="3">
        <f t="shared" si="230"/>
        <v>0</v>
      </c>
      <c r="GO243" s="3">
        <f t="shared" si="231"/>
        <v>113.39</v>
      </c>
      <c r="GP243" s="3">
        <f t="shared" si="232"/>
        <v>0</v>
      </c>
      <c r="GR243" s="3">
        <v>0</v>
      </c>
      <c r="GS243" s="3">
        <v>3</v>
      </c>
      <c r="GT243" s="3">
        <v>0</v>
      </c>
      <c r="GU243" s="3" t="s">
        <v>3</v>
      </c>
      <c r="GV243" s="3">
        <f t="shared" si="233"/>
        <v>0</v>
      </c>
      <c r="GW243" s="3">
        <v>1</v>
      </c>
      <c r="GX243" s="3">
        <f t="shared" si="234"/>
        <v>0</v>
      </c>
      <c r="HA243" s="3">
        <v>0</v>
      </c>
      <c r="HB243" s="3">
        <v>0</v>
      </c>
      <c r="HC243" s="3">
        <f t="shared" si="235"/>
        <v>0</v>
      </c>
      <c r="HE243" s="3" t="s">
        <v>3</v>
      </c>
      <c r="HF243" s="3" t="s">
        <v>3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">
      <c r="A244" s="2">
        <v>17</v>
      </c>
      <c r="B244" s="2">
        <v>1</v>
      </c>
      <c r="C244" s="2">
        <f>ROW(SmtRes!A313)</f>
        <v>313</v>
      </c>
      <c r="D244" s="2">
        <f>ROW(EtalonRes!A382)</f>
        <v>382</v>
      </c>
      <c r="E244" s="2" t="s">
        <v>386</v>
      </c>
      <c r="F244" s="2" t="s">
        <v>387</v>
      </c>
      <c r="G244" s="2" t="s">
        <v>388</v>
      </c>
      <c r="H244" s="2" t="s">
        <v>111</v>
      </c>
      <c r="I244" s="2">
        <f>ROUND((642+150+2)/100,9)</f>
        <v>7.94</v>
      </c>
      <c r="J244" s="2">
        <v>0</v>
      </c>
      <c r="K244" s="2">
        <f>ROUND((642+150+2)/100,9)</f>
        <v>7.94</v>
      </c>
      <c r="L244" s="2"/>
      <c r="M244" s="2"/>
      <c r="N244" s="2"/>
      <c r="O244" s="2">
        <f t="shared" si="211"/>
        <v>1038.81</v>
      </c>
      <c r="P244" s="2">
        <f t="shared" si="212"/>
        <v>461.71</v>
      </c>
      <c r="Q244" s="2">
        <f>(ROUND((ROUND((((ET244*1.2))*AV244*I244),2)*BB244),2)+ROUND((ROUND(((AE244-((EU244*1.2)))*AV244*I244),2)*BS244),2))</f>
        <v>26.14</v>
      </c>
      <c r="R244" s="2">
        <f>(ROUND((ROUND((((EU244*1.2))*AV244*I244),2)*BS244),2)+ROUND((ROUND(((AE244-((EU244*1.2)))*AV244*I244),2)*BS244),2))</f>
        <v>2.99</v>
      </c>
      <c r="S244" s="2">
        <f t="shared" si="213"/>
        <v>550.96</v>
      </c>
      <c r="T244" s="2">
        <f t="shared" si="214"/>
        <v>0</v>
      </c>
      <c r="U244" s="2">
        <f t="shared" si="215"/>
        <v>44.791413839999997</v>
      </c>
      <c r="V244" s="2">
        <f t="shared" si="216"/>
        <v>0</v>
      </c>
      <c r="W244" s="2">
        <f t="shared" si="217"/>
        <v>0</v>
      </c>
      <c r="X244" s="2">
        <f>(ROUND((((S244+ROUND((ROUND((((EU244*1.2))*AV244*I244),2)*BS244),2))*AT244)/100),2)+ROUND(((ROUND((ROUND(((AE244-((EU244*1.2)))*AV244*I244),2)*BS244),2)*AT244)/100),2))</f>
        <v>537.33000000000004</v>
      </c>
      <c r="Y244" s="2">
        <f>(ROUND((((S244+ROUND((ROUND((((EU244*1.2))*AV244*I244),2)*BS244),2))*AU244)/100),2)+ROUND(((ROUND((ROUND(((AE244-((EU244*1.2)))*AV244*I244),2)*BS244),2)*AU244)/100),2))</f>
        <v>282.51</v>
      </c>
      <c r="Z244" s="2"/>
      <c r="AA244" s="2">
        <v>55937296</v>
      </c>
      <c r="AB244" s="2">
        <f t="shared" si="218"/>
        <v>127.57</v>
      </c>
      <c r="AC244" s="2">
        <f>ROUND(((ES244*1)),6)</f>
        <v>58.15</v>
      </c>
      <c r="AD244" s="2">
        <f>ROUND(((((ET244*1.2))-((EU244*1.2)))+AE244),6)</f>
        <v>3.1440000000000001</v>
      </c>
      <c r="AE244" s="2">
        <f>ROUND(((EU244*1.2)),6)</f>
        <v>0.36</v>
      </c>
      <c r="AF244" s="2">
        <f>ROUND(((EV244*1.2)),6)</f>
        <v>66.275999999999996</v>
      </c>
      <c r="AG244" s="2">
        <f t="shared" si="219"/>
        <v>0</v>
      </c>
      <c r="AH244" s="2">
        <f>((EW244*1.2))</f>
        <v>5.3879999999999999</v>
      </c>
      <c r="AI244" s="2">
        <f>((EX244*1.2))</f>
        <v>0</v>
      </c>
      <c r="AJ244" s="2">
        <f t="shared" si="220"/>
        <v>0</v>
      </c>
      <c r="AK244" s="2">
        <v>116</v>
      </c>
      <c r="AL244" s="2">
        <v>58.15</v>
      </c>
      <c r="AM244" s="2">
        <v>2.62</v>
      </c>
      <c r="AN244" s="2">
        <v>0.3</v>
      </c>
      <c r="AO244" s="2">
        <v>55.23</v>
      </c>
      <c r="AP244" s="2">
        <v>0</v>
      </c>
      <c r="AQ244" s="2">
        <v>4.49</v>
      </c>
      <c r="AR244" s="2">
        <v>0</v>
      </c>
      <c r="AS244" s="2">
        <v>0</v>
      </c>
      <c r="AT244" s="2">
        <v>97</v>
      </c>
      <c r="AU244" s="2">
        <v>51</v>
      </c>
      <c r="AV244" s="2">
        <v>1.0469999999999999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2</v>
      </c>
      <c r="BJ244" s="2" t="s">
        <v>389</v>
      </c>
      <c r="BK244" s="2"/>
      <c r="BL244" s="2"/>
      <c r="BM244" s="2">
        <v>67</v>
      </c>
      <c r="BN244" s="2">
        <v>0</v>
      </c>
      <c r="BO244" s="2" t="s">
        <v>387</v>
      </c>
      <c r="BP244" s="2">
        <v>1</v>
      </c>
      <c r="BQ244" s="2">
        <v>40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97</v>
      </c>
      <c r="CA244" s="2">
        <v>51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797</v>
      </c>
      <c r="CO244" s="2">
        <v>0</v>
      </c>
      <c r="CP244" s="2">
        <f t="shared" si="221"/>
        <v>1038.81</v>
      </c>
      <c r="CQ244" s="2">
        <f t="shared" si="222"/>
        <v>58.15</v>
      </c>
      <c r="CR244" s="2">
        <f>(ROUND((ROUND((((ET244*1.2))*AV244*1),2)*BB244),2)+ROUND((ROUND(((AE244-((EU244*1.2)))*AV244*1),2)*BS244),2))</f>
        <v>3.29</v>
      </c>
      <c r="CS244" s="2">
        <f>(ROUND((ROUND((((EU244*1.2))*AV244*1),2)*BS244),2)+ROUND((ROUND(((AE244-((EU244*1.2)))*AV244*1),2)*BS244),2))</f>
        <v>0.38</v>
      </c>
      <c r="CT244" s="2">
        <f t="shared" si="223"/>
        <v>69.39</v>
      </c>
      <c r="CU244" s="2">
        <f t="shared" si="224"/>
        <v>0</v>
      </c>
      <c r="CV244" s="2">
        <f t="shared" si="225"/>
        <v>5.6412359999999993</v>
      </c>
      <c r="CW244" s="2">
        <f t="shared" si="226"/>
        <v>0</v>
      </c>
      <c r="CX244" s="2">
        <f t="shared" si="227"/>
        <v>0</v>
      </c>
      <c r="CY244" s="2">
        <f>(ROUND((((S244+ROUND((ROUND((((EU244*1.2))*AV244*1),2)*BS244),2))*AT244)/100),2)+ROUND(((ROUND((ROUND(((AE244-((EU244*1.2)))*AV244*1),2)*BS244),2)*AT244)/100),2))</f>
        <v>534.79999999999995</v>
      </c>
      <c r="CZ244" s="2">
        <f>(ROUND((((S244+ROUND((ROUND((((EU244*1.2))*AV244*1),2)*BS244),2))*AU244)/100),2)+ROUND(((ROUND((ROUND(((AE244-((EU244*1.2)))*AV244*1),2)*BS244),2)*AU244)/100),2))</f>
        <v>281.18</v>
      </c>
      <c r="DA244" s="2"/>
      <c r="DB244" s="2">
        <v>119</v>
      </c>
      <c r="DC244" s="2" t="s">
        <v>3</v>
      </c>
      <c r="DD244" s="2" t="s">
        <v>113</v>
      </c>
      <c r="DE244" s="2" t="s">
        <v>114</v>
      </c>
      <c r="DF244" s="2" t="s">
        <v>114</v>
      </c>
      <c r="DG244" s="2" t="s">
        <v>114</v>
      </c>
      <c r="DH244" s="2" t="s">
        <v>3</v>
      </c>
      <c r="DI244" s="2" t="s">
        <v>114</v>
      </c>
      <c r="DJ244" s="2" t="s">
        <v>114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1003</v>
      </c>
      <c r="DV244" s="2" t="s">
        <v>111</v>
      </c>
      <c r="DW244" s="2" t="s">
        <v>111</v>
      </c>
      <c r="DX244" s="2">
        <v>100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55393699</v>
      </c>
      <c r="EF244" s="2">
        <v>40</v>
      </c>
      <c r="EG244" s="2" t="s">
        <v>26</v>
      </c>
      <c r="EH244" s="2">
        <v>0</v>
      </c>
      <c r="EI244" s="2" t="s">
        <v>3</v>
      </c>
      <c r="EJ244" s="2">
        <v>2</v>
      </c>
      <c r="EK244" s="2">
        <v>67</v>
      </c>
      <c r="EL244" s="2" t="s">
        <v>62</v>
      </c>
      <c r="EM244" s="2" t="s">
        <v>63</v>
      </c>
      <c r="EN244" s="2"/>
      <c r="EO244" s="2" t="s">
        <v>118</v>
      </c>
      <c r="EP244" s="2"/>
      <c r="EQ244" s="2">
        <v>0</v>
      </c>
      <c r="ER244" s="2">
        <v>116</v>
      </c>
      <c r="ES244" s="2">
        <v>58.15</v>
      </c>
      <c r="ET244" s="2">
        <v>2.62</v>
      </c>
      <c r="EU244" s="2">
        <v>0.3</v>
      </c>
      <c r="EV244" s="2">
        <v>55.23</v>
      </c>
      <c r="EW244" s="2">
        <v>4.49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97</v>
      </c>
      <c r="FY244" s="2">
        <v>51</v>
      </c>
      <c r="FZ244" s="2"/>
      <c r="GA244" s="2" t="s">
        <v>3</v>
      </c>
      <c r="GB244" s="2"/>
      <c r="GC244" s="2"/>
      <c r="GD244" s="2">
        <v>1</v>
      </c>
      <c r="GE244" s="2"/>
      <c r="GF244" s="2">
        <v>-93787614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228"/>
        <v>0</v>
      </c>
      <c r="GM244" s="2">
        <f t="shared" si="229"/>
        <v>1858.65</v>
      </c>
      <c r="GN244" s="2">
        <f t="shared" si="230"/>
        <v>0</v>
      </c>
      <c r="GO244" s="2">
        <f t="shared" si="231"/>
        <v>1858.65</v>
      </c>
      <c r="GP244" s="2">
        <f t="shared" si="232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233"/>
        <v>0</v>
      </c>
      <c r="GW244" s="2">
        <v>1</v>
      </c>
      <c r="GX244" s="2">
        <f t="shared" si="234"/>
        <v>0</v>
      </c>
      <c r="GY244" s="2"/>
      <c r="GZ244" s="2"/>
      <c r="HA244" s="2">
        <v>0</v>
      </c>
      <c r="HB244" s="2">
        <v>0</v>
      </c>
      <c r="HC244" s="2">
        <f t="shared" si="235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">
      <c r="A245" s="3">
        <v>17</v>
      </c>
      <c r="B245" s="3">
        <v>1</v>
      </c>
      <c r="C245" s="3">
        <f>ROW(SmtRes!A322)</f>
        <v>322</v>
      </c>
      <c r="D245" s="3">
        <f>ROW(EtalonRes!A392)</f>
        <v>392</v>
      </c>
      <c r="E245" s="3" t="s">
        <v>386</v>
      </c>
      <c r="F245" s="3" t="s">
        <v>387</v>
      </c>
      <c r="G245" s="3" t="s">
        <v>388</v>
      </c>
      <c r="H245" s="3" t="s">
        <v>111</v>
      </c>
      <c r="I245" s="3">
        <f>ROUND((642+150+2)/100,9)</f>
        <v>7.94</v>
      </c>
      <c r="J245" s="3">
        <v>0</v>
      </c>
      <c r="K245" s="3">
        <f>ROUND((642+150+2)/100,9)</f>
        <v>7.94</v>
      </c>
      <c r="O245" s="3">
        <f t="shared" si="211"/>
        <v>33158.959999999999</v>
      </c>
      <c r="P245" s="3">
        <f t="shared" si="212"/>
        <v>1712.94</v>
      </c>
      <c r="Q245" s="3">
        <f>(ROUND((ROUND((((ET245*1.2))*AV245*I245),2)*BB245),2)+ROUND((ROUND(((AE245-((EU245*1.2)))*AV245*I245),2)*BS245),2))</f>
        <v>399.42</v>
      </c>
      <c r="R245" s="3">
        <f>(ROUND((ROUND((((EU245*1.2))*AV245*I245),2)*BS245),2)+ROUND((ROUND(((AE245-((EU245*1.2)))*AV245*I245),2)*BS245),2))</f>
        <v>168.49</v>
      </c>
      <c r="S245" s="3">
        <f t="shared" si="213"/>
        <v>31046.6</v>
      </c>
      <c r="T245" s="3">
        <f t="shared" si="214"/>
        <v>0</v>
      </c>
      <c r="U245" s="3">
        <f t="shared" si="215"/>
        <v>44.791413839999997</v>
      </c>
      <c r="V245" s="3">
        <f t="shared" si="216"/>
        <v>0</v>
      </c>
      <c r="W245" s="3">
        <f t="shared" si="217"/>
        <v>0</v>
      </c>
      <c r="X245" s="3">
        <f>(ROUND((((S245+ROUND((ROUND((((EU245*1.2))*AV245*I245),2)*BS245),2))*AT245)/100),2)+ROUND(((ROUND((ROUND(((AE245-((EU245*1.2)))*AV245*I245),2)*BS245),2)*AT245)/100),2))</f>
        <v>30278.639999999999</v>
      </c>
      <c r="Y245" s="3">
        <f>(ROUND((((S245+ROUND((ROUND((((EU245*1.2))*AV245*I245),2)*BS245),2))*AU245)/100),2)+ROUND(((ROUND((ROUND(((AE245-((EU245*1.2)))*AV245*I245),2)*BS245),2)*AU245)/100),2))</f>
        <v>15919.7</v>
      </c>
      <c r="AA245" s="3">
        <v>55937298</v>
      </c>
      <c r="AB245" s="3">
        <f t="shared" si="218"/>
        <v>127.57</v>
      </c>
      <c r="AC245" s="3">
        <f>ROUND(((ES245*1)),6)</f>
        <v>58.15</v>
      </c>
      <c r="AD245" s="3">
        <f>ROUND(((((ET245*1.2))-((EU245*1.2)))+AE245),6)</f>
        <v>3.1440000000000001</v>
      </c>
      <c r="AE245" s="3">
        <f>ROUND(((EU245*1.2)),6)</f>
        <v>0.36</v>
      </c>
      <c r="AF245" s="3">
        <f>ROUND(((EV245*1.2)),6)</f>
        <v>66.275999999999996</v>
      </c>
      <c r="AG245" s="3">
        <f t="shared" si="219"/>
        <v>0</v>
      </c>
      <c r="AH245" s="3">
        <f>((EW245*1.2))</f>
        <v>5.3879999999999999</v>
      </c>
      <c r="AI245" s="3">
        <f>((EX245*1.2))</f>
        <v>0</v>
      </c>
      <c r="AJ245" s="3">
        <f t="shared" si="220"/>
        <v>0</v>
      </c>
      <c r="AK245" s="3">
        <v>116</v>
      </c>
      <c r="AL245" s="3">
        <v>58.15</v>
      </c>
      <c r="AM245" s="3">
        <v>2.62</v>
      </c>
      <c r="AN245" s="3">
        <v>0.3</v>
      </c>
      <c r="AO245" s="3">
        <v>55.23</v>
      </c>
      <c r="AP245" s="3">
        <v>0</v>
      </c>
      <c r="AQ245" s="3">
        <v>4.49</v>
      </c>
      <c r="AR245" s="3">
        <v>0</v>
      </c>
      <c r="AS245" s="3">
        <v>0</v>
      </c>
      <c r="AT245" s="3">
        <v>97</v>
      </c>
      <c r="AU245" s="3">
        <v>51</v>
      </c>
      <c r="AV245" s="3">
        <v>1.0469999999999999</v>
      </c>
      <c r="AW245" s="3">
        <v>1</v>
      </c>
      <c r="AZ245" s="3">
        <v>1</v>
      </c>
      <c r="BA245" s="3">
        <v>56.35</v>
      </c>
      <c r="BB245" s="3">
        <v>15.28</v>
      </c>
      <c r="BC245" s="3">
        <v>3.71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0</v>
      </c>
      <c r="BI245" s="3">
        <v>2</v>
      </c>
      <c r="BJ245" s="3" t="s">
        <v>389</v>
      </c>
      <c r="BM245" s="3">
        <v>67</v>
      </c>
      <c r="BN245" s="3">
        <v>0</v>
      </c>
      <c r="BO245" s="3" t="s">
        <v>387</v>
      </c>
      <c r="BP245" s="3">
        <v>1</v>
      </c>
      <c r="BQ245" s="3">
        <v>40</v>
      </c>
      <c r="BR245" s="3">
        <v>0</v>
      </c>
      <c r="BS245" s="3">
        <v>56.35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97</v>
      </c>
      <c r="CA245" s="3">
        <v>51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797</v>
      </c>
      <c r="CO245" s="3">
        <v>0</v>
      </c>
      <c r="CP245" s="3">
        <f t="shared" si="221"/>
        <v>33158.959999999999</v>
      </c>
      <c r="CQ245" s="3">
        <f t="shared" si="222"/>
        <v>215.74</v>
      </c>
      <c r="CR245" s="3">
        <f>(ROUND((ROUND((((ET245*1.2))*AV245*1),2)*BB245),2)+ROUND((ROUND(((AE245-((EU245*1.2)))*AV245*1),2)*BS245),2))</f>
        <v>50.27</v>
      </c>
      <c r="CS245" s="3">
        <f>(ROUND((ROUND((((EU245*1.2))*AV245*1),2)*BS245),2)+ROUND((ROUND(((AE245-((EU245*1.2)))*AV245*1),2)*BS245),2))</f>
        <v>21.41</v>
      </c>
      <c r="CT245" s="3">
        <f t="shared" si="223"/>
        <v>3910.13</v>
      </c>
      <c r="CU245" s="3">
        <f t="shared" si="224"/>
        <v>0</v>
      </c>
      <c r="CV245" s="3">
        <f t="shared" si="225"/>
        <v>5.6412359999999993</v>
      </c>
      <c r="CW245" s="3">
        <f t="shared" si="226"/>
        <v>0</v>
      </c>
      <c r="CX245" s="3">
        <f t="shared" si="227"/>
        <v>0</v>
      </c>
      <c r="CY245" s="3">
        <f>(ROUND((((S245+ROUND((ROUND((((EU245*1.2))*AV245*1),2)*BS245),2))*AT245)/100),2)+ROUND(((ROUND((ROUND(((AE245-((EU245*1.2)))*AV245*1),2)*BS245),2)*AT245)/100),2))</f>
        <v>30135.97</v>
      </c>
      <c r="CZ245" s="3">
        <f>(ROUND((((S245+ROUND((ROUND((((EU245*1.2))*AV245*1),2)*BS245),2))*AU245)/100),2)+ROUND(((ROUND((ROUND(((AE245-((EU245*1.2)))*AV245*1),2)*BS245),2)*AU245)/100),2))</f>
        <v>15844.69</v>
      </c>
      <c r="DB245" s="3">
        <v>120</v>
      </c>
      <c r="DC245" s="3" t="s">
        <v>3</v>
      </c>
      <c r="DD245" s="3" t="s">
        <v>113</v>
      </c>
      <c r="DE245" s="3" t="s">
        <v>114</v>
      </c>
      <c r="DF245" s="3" t="s">
        <v>114</v>
      </c>
      <c r="DG245" s="3" t="s">
        <v>114</v>
      </c>
      <c r="DH245" s="3" t="s">
        <v>3</v>
      </c>
      <c r="DI245" s="3" t="s">
        <v>114</v>
      </c>
      <c r="DJ245" s="3" t="s">
        <v>114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1003</v>
      </c>
      <c r="DV245" s="3" t="s">
        <v>111</v>
      </c>
      <c r="DW245" s="3" t="s">
        <v>111</v>
      </c>
      <c r="DX245" s="3">
        <v>100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55393699</v>
      </c>
      <c r="EF245" s="3">
        <v>40</v>
      </c>
      <c r="EG245" s="3" t="s">
        <v>26</v>
      </c>
      <c r="EH245" s="3">
        <v>0</v>
      </c>
      <c r="EI245" s="3" t="s">
        <v>3</v>
      </c>
      <c r="EJ245" s="3">
        <v>2</v>
      </c>
      <c r="EK245" s="3">
        <v>67</v>
      </c>
      <c r="EL245" s="3" t="s">
        <v>62</v>
      </c>
      <c r="EM245" s="3" t="s">
        <v>63</v>
      </c>
      <c r="EO245" s="3" t="s">
        <v>118</v>
      </c>
      <c r="EQ245" s="3">
        <v>0</v>
      </c>
      <c r="ER245" s="3">
        <v>116</v>
      </c>
      <c r="ES245" s="3">
        <v>58.15</v>
      </c>
      <c r="ET245" s="3">
        <v>2.62</v>
      </c>
      <c r="EU245" s="3">
        <v>0.3</v>
      </c>
      <c r="EV245" s="3">
        <v>55.23</v>
      </c>
      <c r="EW245" s="3">
        <v>4.49</v>
      </c>
      <c r="EX245" s="3">
        <v>0</v>
      </c>
      <c r="EY245" s="3">
        <v>0</v>
      </c>
      <c r="FQ245" s="3">
        <v>0</v>
      </c>
      <c r="FR245" s="3">
        <v>0</v>
      </c>
      <c r="FS245" s="3">
        <v>0</v>
      </c>
      <c r="FX245" s="3">
        <v>97</v>
      </c>
      <c r="FY245" s="3">
        <v>51</v>
      </c>
      <c r="GA245" s="3" t="s">
        <v>3</v>
      </c>
      <c r="GD245" s="3">
        <v>1</v>
      </c>
      <c r="GF245" s="3">
        <v>-93787614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228"/>
        <v>0</v>
      </c>
      <c r="GM245" s="3">
        <f t="shared" si="229"/>
        <v>79357.3</v>
      </c>
      <c r="GN245" s="3">
        <f t="shared" si="230"/>
        <v>0</v>
      </c>
      <c r="GO245" s="3">
        <f t="shared" si="231"/>
        <v>79357.3</v>
      </c>
      <c r="GP245" s="3">
        <f t="shared" si="232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233"/>
        <v>0</v>
      </c>
      <c r="GW245" s="3">
        <v>1</v>
      </c>
      <c r="GX245" s="3">
        <f t="shared" si="234"/>
        <v>0</v>
      </c>
      <c r="HA245" s="3">
        <v>0</v>
      </c>
      <c r="HB245" s="3">
        <v>0</v>
      </c>
      <c r="HC245" s="3">
        <f t="shared" si="235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">
      <c r="A246" s="2">
        <v>17</v>
      </c>
      <c r="B246" s="2">
        <v>1</v>
      </c>
      <c r="C246" s="2"/>
      <c r="D246" s="2"/>
      <c r="E246" s="2" t="s">
        <v>390</v>
      </c>
      <c r="F246" s="2" t="s">
        <v>391</v>
      </c>
      <c r="G246" s="2" t="s">
        <v>392</v>
      </c>
      <c r="H246" s="2" t="s">
        <v>332</v>
      </c>
      <c r="I246" s="2">
        <f>ROUND(642*1.03,9)</f>
        <v>661.26</v>
      </c>
      <c r="J246" s="2">
        <v>0</v>
      </c>
      <c r="K246" s="2">
        <f>ROUND(642*1.03,9)</f>
        <v>661.26</v>
      </c>
      <c r="L246" s="2"/>
      <c r="M246" s="2"/>
      <c r="N246" s="2"/>
      <c r="O246" s="2">
        <f t="shared" ref="O246:O265" si="264">ROUND(CP246,2)</f>
        <v>2347.4699999999998</v>
      </c>
      <c r="P246" s="2">
        <f t="shared" ref="P246:P265" si="265">ROUND((ROUND((AC246*AW246*I246),2)*BC246),2)</f>
        <v>2347.4699999999998</v>
      </c>
      <c r="Q246" s="2">
        <f t="shared" ref="Q246:Q251" si="266">(ROUND((ROUND(((ET246)*AV246*I246),2)*BB246),2)+ROUND((ROUND(((AE246-(EU246))*AV246*I246),2)*BS246),2))</f>
        <v>0</v>
      </c>
      <c r="R246" s="2">
        <f t="shared" ref="R246:R251" si="267">(ROUND((ROUND(((EU246)*AV246*I246),2)*BS246),2)+ROUND((ROUND(((AE246-(EU246))*AV246*I246),2)*BS246),2))</f>
        <v>0</v>
      </c>
      <c r="S246" s="2">
        <f t="shared" ref="S246:S265" si="268">ROUND((ROUND((AF246*AV246*I246),2)*BA246),2)</f>
        <v>0</v>
      </c>
      <c r="T246" s="2">
        <f t="shared" ref="T246:T265" si="269">ROUND(CU246*I246,2)</f>
        <v>0</v>
      </c>
      <c r="U246" s="2">
        <f t="shared" ref="U246:U265" si="270">CV246*I246</f>
        <v>0</v>
      </c>
      <c r="V246" s="2">
        <f t="shared" ref="V246:V265" si="271">CW246*I246</f>
        <v>0</v>
      </c>
      <c r="W246" s="2">
        <f t="shared" ref="W246:W265" si="272">ROUND(CX246*I246,2)</f>
        <v>0</v>
      </c>
      <c r="X246" s="2">
        <f t="shared" ref="X246:X251" si="273">(ROUND((((S246+ROUND((ROUND(((EU246)*AV246*I246),2)*BS246),2))*AT246)/100),2)+ROUND(((ROUND((ROUND(((AE246-(EU246))*AV246*I246),2)*BS246),2)*AT246)/100),2))</f>
        <v>0</v>
      </c>
      <c r="Y246" s="2">
        <f t="shared" ref="Y246:Y251" si="274">(ROUND((((S246+ROUND((ROUND(((EU246)*AV246*I246),2)*BS246),2))*AU246)/100),2)+ROUND(((ROUND((ROUND(((AE246-(EU246))*AV246*I246),2)*BS246),2)*AU246)/100),2))</f>
        <v>0</v>
      </c>
      <c r="Z246" s="2"/>
      <c r="AA246" s="2">
        <v>55937296</v>
      </c>
      <c r="AB246" s="2">
        <f t="shared" ref="AB246:AB265" si="275">ROUND((AC246+AD246+AF246),6)</f>
        <v>3.55</v>
      </c>
      <c r="AC246" s="2">
        <f t="shared" ref="AC246:AC251" si="276">ROUND((ES246),6)</f>
        <v>3.55</v>
      </c>
      <c r="AD246" s="2">
        <f t="shared" ref="AD246:AD251" si="277">ROUND((((ET246)-(EU246))+AE246),6)</f>
        <v>0</v>
      </c>
      <c r="AE246" s="2">
        <f t="shared" ref="AE246:AF251" si="278">ROUND((EU246),6)</f>
        <v>0</v>
      </c>
      <c r="AF246" s="2">
        <f t="shared" si="278"/>
        <v>0</v>
      </c>
      <c r="AG246" s="2">
        <f t="shared" ref="AG246:AG265" si="279">ROUND((AP246),6)</f>
        <v>0</v>
      </c>
      <c r="AH246" s="2">
        <f t="shared" ref="AH246:AI251" si="280">(EW246)</f>
        <v>0</v>
      </c>
      <c r="AI246" s="2">
        <f t="shared" si="280"/>
        <v>0</v>
      </c>
      <c r="AJ246" s="2">
        <f t="shared" ref="AJ246:AJ265" si="281">(AS246)</f>
        <v>0</v>
      </c>
      <c r="AK246" s="2">
        <v>3.55</v>
      </c>
      <c r="AL246" s="2">
        <v>3.55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2</v>
      </c>
      <c r="BJ246" s="2" t="s">
        <v>391</v>
      </c>
      <c r="BK246" s="2"/>
      <c r="BL246" s="2"/>
      <c r="BM246" s="2">
        <v>400005</v>
      </c>
      <c r="BN246" s="2">
        <v>0</v>
      </c>
      <c r="BO246" s="2" t="s">
        <v>3</v>
      </c>
      <c r="BP246" s="2">
        <v>0</v>
      </c>
      <c r="BQ246" s="2">
        <v>213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0</v>
      </c>
      <c r="CA246" s="2">
        <v>0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3</v>
      </c>
      <c r="CO246" s="2">
        <v>0</v>
      </c>
      <c r="CP246" s="2">
        <f t="shared" ref="CP246:CP265" si="282">(P246+Q246+S246)</f>
        <v>2347.4699999999998</v>
      </c>
      <c r="CQ246" s="2">
        <f t="shared" ref="CQ246:CQ265" si="283">ROUND((ROUND((AC246*AW246*1),2)*BC246),2)</f>
        <v>3.55</v>
      </c>
      <c r="CR246" s="2">
        <f t="shared" ref="CR246:CR251" si="284">(ROUND((ROUND(((ET246)*AV246*1),2)*BB246),2)+ROUND((ROUND(((AE246-(EU246))*AV246*1),2)*BS246),2))</f>
        <v>0</v>
      </c>
      <c r="CS246" s="2">
        <f t="shared" ref="CS246:CS251" si="285">(ROUND((ROUND(((EU246)*AV246*1),2)*BS246),2)+ROUND((ROUND(((AE246-(EU246))*AV246*1),2)*BS246),2))</f>
        <v>0</v>
      </c>
      <c r="CT246" s="2">
        <f t="shared" ref="CT246:CT265" si="286">ROUND((ROUND((AF246*AV246*1),2)*BA246),2)</f>
        <v>0</v>
      </c>
      <c r="CU246" s="2">
        <f t="shared" ref="CU246:CU265" si="287">AG246</f>
        <v>0</v>
      </c>
      <c r="CV246" s="2">
        <f t="shared" ref="CV246:CV265" si="288">(AH246*AV246)</f>
        <v>0</v>
      </c>
      <c r="CW246" s="2">
        <f t="shared" ref="CW246:CW265" si="289">AI246</f>
        <v>0</v>
      </c>
      <c r="CX246" s="2">
        <f t="shared" ref="CX246:CX265" si="290">AJ246</f>
        <v>0</v>
      </c>
      <c r="CY246" s="2">
        <f t="shared" ref="CY246:CY251" si="291">(ROUND((((S246+ROUND((ROUND(((EU246)*AV246*1),2)*BS246),2))*AT246)/100),2)+ROUND(((ROUND((ROUND(((AE246-(EU246))*AV246*1),2)*BS246),2)*AT246)/100),2))</f>
        <v>0</v>
      </c>
      <c r="CZ246" s="2">
        <f t="shared" ref="CZ246:CZ251" si="292"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1003</v>
      </c>
      <c r="DV246" s="2" t="s">
        <v>332</v>
      </c>
      <c r="DW246" s="2" t="s">
        <v>332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55393628</v>
      </c>
      <c r="EF246" s="2">
        <v>213</v>
      </c>
      <c r="EG246" s="2" t="s">
        <v>322</v>
      </c>
      <c r="EH246" s="2">
        <v>0</v>
      </c>
      <c r="EI246" s="2" t="s">
        <v>3</v>
      </c>
      <c r="EJ246" s="2">
        <v>1</v>
      </c>
      <c r="EK246" s="2">
        <v>400005</v>
      </c>
      <c r="EL246" s="2" t="s">
        <v>322</v>
      </c>
      <c r="EM246" s="2" t="s">
        <v>323</v>
      </c>
      <c r="EN246" s="2"/>
      <c r="EO246" s="2" t="s">
        <v>3</v>
      </c>
      <c r="EP246" s="2"/>
      <c r="EQ246" s="2">
        <v>16</v>
      </c>
      <c r="ER246" s="2">
        <v>0</v>
      </c>
      <c r="ES246" s="2">
        <v>3.55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0</v>
      </c>
      <c r="FY246" s="2">
        <v>0</v>
      </c>
      <c r="FZ246" s="2"/>
      <c r="GA246" s="2" t="s">
        <v>393</v>
      </c>
      <c r="GB246" s="2"/>
      <c r="GC246" s="2"/>
      <c r="GD246" s="2">
        <v>1</v>
      </c>
      <c r="GE246" s="2"/>
      <c r="GF246" s="2">
        <v>-109404374</v>
      </c>
      <c r="GG246" s="2">
        <v>2</v>
      </c>
      <c r="GH246" s="2">
        <v>4</v>
      </c>
      <c r="GI246" s="2">
        <v>-2</v>
      </c>
      <c r="GJ246" s="2">
        <v>0</v>
      </c>
      <c r="GK246" s="2">
        <v>0</v>
      </c>
      <c r="GL246" s="2">
        <f t="shared" ref="GL246:GL265" si="293">ROUND(IF(AND(BH246=3,BI246=3,FS246&lt;&gt;0),P246,0),2)</f>
        <v>0</v>
      </c>
      <c r="GM246" s="2">
        <f t="shared" ref="GM246:GM265" si="294">ROUND(O246+X246+Y246,2)+GX246</f>
        <v>2347.4699999999998</v>
      </c>
      <c r="GN246" s="2">
        <f t="shared" ref="GN246:GN265" si="295">IF(OR(BI246=0,BI246=1),GM246-GX246,0)</f>
        <v>0</v>
      </c>
      <c r="GO246" s="2">
        <f t="shared" ref="GO246:GO265" si="296">IF(BI246=2,GM246-GX246,0)</f>
        <v>2347.4699999999998</v>
      </c>
      <c r="GP246" s="2">
        <f t="shared" ref="GP246:GP265" si="297">IF(BI246=4,GM246-GX246,0)</f>
        <v>0</v>
      </c>
      <c r="GQ246" s="2"/>
      <c r="GR246" s="2">
        <v>1</v>
      </c>
      <c r="GS246" s="2">
        <v>2</v>
      </c>
      <c r="GT246" s="2">
        <v>0</v>
      </c>
      <c r="GU246" s="2" t="s">
        <v>3</v>
      </c>
      <c r="GV246" s="2">
        <f t="shared" ref="GV246:GV265" si="298">ROUND((GT246),6)</f>
        <v>0</v>
      </c>
      <c r="GW246" s="2">
        <v>1</v>
      </c>
      <c r="GX246" s="2">
        <f t="shared" ref="GX246:GX265" si="299">ROUND(HC246*I246,2)</f>
        <v>0</v>
      </c>
      <c r="GY246" s="2"/>
      <c r="GZ246" s="2"/>
      <c r="HA246" s="2">
        <v>0</v>
      </c>
      <c r="HB246" s="2">
        <v>0</v>
      </c>
      <c r="HC246" s="2">
        <f t="shared" ref="HC246:HC265" si="300">GV246*GW246</f>
        <v>0</v>
      </c>
      <c r="HD246" s="2"/>
      <c r="HE246" s="2" t="s">
        <v>325</v>
      </c>
      <c r="HF246" s="2" t="s">
        <v>30</v>
      </c>
      <c r="HG246" s="2"/>
      <c r="HH246" s="2"/>
      <c r="HI246" s="2"/>
      <c r="HJ246" s="2"/>
      <c r="HK246" s="2"/>
      <c r="HL246" s="2"/>
      <c r="HM246" s="2" t="s">
        <v>3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">
      <c r="A247" s="3">
        <v>17</v>
      </c>
      <c r="B247" s="3">
        <v>1</v>
      </c>
      <c r="E247" s="3" t="s">
        <v>390</v>
      </c>
      <c r="F247" s="3" t="s">
        <v>391</v>
      </c>
      <c r="G247" s="3" t="s">
        <v>392</v>
      </c>
      <c r="H247" s="3" t="s">
        <v>332</v>
      </c>
      <c r="I247" s="3">
        <f>ROUND(642*1.03,9)</f>
        <v>661.26</v>
      </c>
      <c r="J247" s="3">
        <v>0</v>
      </c>
      <c r="K247" s="3">
        <f>ROUND(642*1.03,9)</f>
        <v>661.26</v>
      </c>
      <c r="O247" s="3">
        <f t="shared" si="264"/>
        <v>23146.05</v>
      </c>
      <c r="P247" s="3">
        <f t="shared" si="265"/>
        <v>23146.05</v>
      </c>
      <c r="Q247" s="3">
        <f t="shared" si="266"/>
        <v>0</v>
      </c>
      <c r="R247" s="3">
        <f t="shared" si="267"/>
        <v>0</v>
      </c>
      <c r="S247" s="3">
        <f t="shared" si="268"/>
        <v>0</v>
      </c>
      <c r="T247" s="3">
        <f t="shared" si="269"/>
        <v>0</v>
      </c>
      <c r="U247" s="3">
        <f t="shared" si="270"/>
        <v>0</v>
      </c>
      <c r="V247" s="3">
        <f t="shared" si="271"/>
        <v>0</v>
      </c>
      <c r="W247" s="3">
        <f t="shared" si="272"/>
        <v>0</v>
      </c>
      <c r="X247" s="3">
        <f t="shared" si="273"/>
        <v>0</v>
      </c>
      <c r="Y247" s="3">
        <f t="shared" si="274"/>
        <v>0</v>
      </c>
      <c r="AA247" s="3">
        <v>55937298</v>
      </c>
      <c r="AB247" s="3">
        <f t="shared" si="275"/>
        <v>3.55</v>
      </c>
      <c r="AC247" s="3">
        <f t="shared" si="276"/>
        <v>3.55</v>
      </c>
      <c r="AD247" s="3">
        <f t="shared" si="277"/>
        <v>0</v>
      </c>
      <c r="AE247" s="3">
        <f t="shared" si="278"/>
        <v>0</v>
      </c>
      <c r="AF247" s="3">
        <f t="shared" si="278"/>
        <v>0</v>
      </c>
      <c r="AG247" s="3">
        <f t="shared" si="279"/>
        <v>0</v>
      </c>
      <c r="AH247" s="3">
        <f t="shared" si="280"/>
        <v>0</v>
      </c>
      <c r="AI247" s="3">
        <f t="shared" si="280"/>
        <v>0</v>
      </c>
      <c r="AJ247" s="3">
        <f t="shared" si="281"/>
        <v>0</v>
      </c>
      <c r="AK247" s="3">
        <v>3.55</v>
      </c>
      <c r="AL247" s="3">
        <v>3.55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9.86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2</v>
      </c>
      <c r="BJ247" s="3" t="s">
        <v>391</v>
      </c>
      <c r="BM247" s="3">
        <v>400005</v>
      </c>
      <c r="BN247" s="3">
        <v>0</v>
      </c>
      <c r="BO247" s="3" t="s">
        <v>3</v>
      </c>
      <c r="BP247" s="3">
        <v>0</v>
      </c>
      <c r="BQ247" s="3">
        <v>213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0</v>
      </c>
      <c r="CA247" s="3">
        <v>0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3</v>
      </c>
      <c r="CO247" s="3">
        <v>0</v>
      </c>
      <c r="CP247" s="3">
        <f t="shared" si="282"/>
        <v>23146.05</v>
      </c>
      <c r="CQ247" s="3">
        <f t="shared" si="283"/>
        <v>35</v>
      </c>
      <c r="CR247" s="3">
        <f t="shared" si="284"/>
        <v>0</v>
      </c>
      <c r="CS247" s="3">
        <f t="shared" si="285"/>
        <v>0</v>
      </c>
      <c r="CT247" s="3">
        <f t="shared" si="286"/>
        <v>0</v>
      </c>
      <c r="CU247" s="3">
        <f t="shared" si="287"/>
        <v>0</v>
      </c>
      <c r="CV247" s="3">
        <f t="shared" si="288"/>
        <v>0</v>
      </c>
      <c r="CW247" s="3">
        <f t="shared" si="289"/>
        <v>0</v>
      </c>
      <c r="CX247" s="3">
        <f t="shared" si="290"/>
        <v>0</v>
      </c>
      <c r="CY247" s="3">
        <f t="shared" si="291"/>
        <v>0</v>
      </c>
      <c r="CZ247" s="3">
        <f t="shared" si="292"/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1003</v>
      </c>
      <c r="DV247" s="3" t="s">
        <v>332</v>
      </c>
      <c r="DW247" s="3" t="s">
        <v>332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55393628</v>
      </c>
      <c r="EF247" s="3">
        <v>213</v>
      </c>
      <c r="EG247" s="3" t="s">
        <v>322</v>
      </c>
      <c r="EH247" s="3">
        <v>0</v>
      </c>
      <c r="EI247" s="3" t="s">
        <v>3</v>
      </c>
      <c r="EJ247" s="3">
        <v>1</v>
      </c>
      <c r="EK247" s="3">
        <v>400005</v>
      </c>
      <c r="EL247" s="3" t="s">
        <v>322</v>
      </c>
      <c r="EM247" s="3" t="s">
        <v>323</v>
      </c>
      <c r="EO247" s="3" t="s">
        <v>3</v>
      </c>
      <c r="EQ247" s="3">
        <v>16</v>
      </c>
      <c r="ER247" s="3">
        <v>0</v>
      </c>
      <c r="ES247" s="3">
        <v>3.55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5</v>
      </c>
      <c r="FC247" s="3">
        <v>1</v>
      </c>
      <c r="FD247" s="3">
        <v>18</v>
      </c>
      <c r="FF247" s="3">
        <v>41.83</v>
      </c>
      <c r="FQ247" s="3">
        <v>0</v>
      </c>
      <c r="FR247" s="3">
        <v>0</v>
      </c>
      <c r="FS247" s="3">
        <v>0</v>
      </c>
      <c r="FX247" s="3">
        <v>0</v>
      </c>
      <c r="FY247" s="3">
        <v>0</v>
      </c>
      <c r="GA247" s="3" t="s">
        <v>393</v>
      </c>
      <c r="GD247" s="3">
        <v>1</v>
      </c>
      <c r="GF247" s="3">
        <v>-109404374</v>
      </c>
      <c r="GG247" s="3">
        <v>2</v>
      </c>
      <c r="GH247" s="3">
        <v>3</v>
      </c>
      <c r="GI247" s="3">
        <v>5</v>
      </c>
      <c r="GJ247" s="3">
        <v>0</v>
      </c>
      <c r="GK247" s="3">
        <v>0</v>
      </c>
      <c r="GL247" s="3">
        <f t="shared" si="293"/>
        <v>0</v>
      </c>
      <c r="GM247" s="3">
        <f t="shared" si="294"/>
        <v>23146.05</v>
      </c>
      <c r="GN247" s="3">
        <f t="shared" si="295"/>
        <v>0</v>
      </c>
      <c r="GO247" s="3">
        <f t="shared" si="296"/>
        <v>23146.05</v>
      </c>
      <c r="GP247" s="3">
        <f t="shared" si="297"/>
        <v>0</v>
      </c>
      <c r="GR247" s="3">
        <v>1</v>
      </c>
      <c r="GS247" s="3">
        <v>1</v>
      </c>
      <c r="GT247" s="3">
        <v>0</v>
      </c>
      <c r="GU247" s="3" t="s">
        <v>3</v>
      </c>
      <c r="GV247" s="3">
        <f t="shared" si="298"/>
        <v>0</v>
      </c>
      <c r="GW247" s="3">
        <v>1</v>
      </c>
      <c r="GX247" s="3">
        <f t="shared" si="299"/>
        <v>0</v>
      </c>
      <c r="HA247" s="3">
        <v>0</v>
      </c>
      <c r="HB247" s="3">
        <v>0</v>
      </c>
      <c r="HC247" s="3">
        <f t="shared" si="300"/>
        <v>0</v>
      </c>
      <c r="HE247" s="3" t="s">
        <v>325</v>
      </c>
      <c r="HF247" s="3" t="s">
        <v>30</v>
      </c>
      <c r="HM247" s="3" t="s">
        <v>3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">
      <c r="A248" s="2">
        <v>17</v>
      </c>
      <c r="B248" s="2">
        <v>1</v>
      </c>
      <c r="C248" s="2"/>
      <c r="D248" s="2"/>
      <c r="E248" s="2" t="s">
        <v>394</v>
      </c>
      <c r="F248" s="2" t="s">
        <v>395</v>
      </c>
      <c r="G248" s="2" t="s">
        <v>803</v>
      </c>
      <c r="H248" s="2" t="s">
        <v>337</v>
      </c>
      <c r="I248" s="2">
        <f>ROUND(150*1.03/1000,9)</f>
        <v>0.1545</v>
      </c>
      <c r="J248" s="2">
        <v>0</v>
      </c>
      <c r="K248" s="2">
        <f>ROUND(150*1.03/1000,9)</f>
        <v>0.1545</v>
      </c>
      <c r="L248" s="2"/>
      <c r="M248" s="2"/>
      <c r="N248" s="2"/>
      <c r="O248" s="2">
        <f t="shared" si="264"/>
        <v>3046.33</v>
      </c>
      <c r="P248" s="2">
        <f t="shared" si="265"/>
        <v>3046.33</v>
      </c>
      <c r="Q248" s="2">
        <f t="shared" si="266"/>
        <v>0</v>
      </c>
      <c r="R248" s="2">
        <f t="shared" si="267"/>
        <v>0</v>
      </c>
      <c r="S248" s="2">
        <f t="shared" si="268"/>
        <v>0</v>
      </c>
      <c r="T248" s="2">
        <f t="shared" si="269"/>
        <v>0</v>
      </c>
      <c r="U248" s="2">
        <f t="shared" si="270"/>
        <v>0</v>
      </c>
      <c r="V248" s="2">
        <f t="shared" si="271"/>
        <v>0</v>
      </c>
      <c r="W248" s="2">
        <f t="shared" si="272"/>
        <v>0</v>
      </c>
      <c r="X248" s="2">
        <f t="shared" si="273"/>
        <v>0</v>
      </c>
      <c r="Y248" s="2">
        <f t="shared" si="274"/>
        <v>0</v>
      </c>
      <c r="Z248" s="2"/>
      <c r="AA248" s="2">
        <v>55937296</v>
      </c>
      <c r="AB248" s="2">
        <f t="shared" si="275"/>
        <v>19717.37</v>
      </c>
      <c r="AC248" s="2">
        <f t="shared" si="276"/>
        <v>19717.37</v>
      </c>
      <c r="AD248" s="2">
        <f t="shared" si="277"/>
        <v>0</v>
      </c>
      <c r="AE248" s="2">
        <f t="shared" si="278"/>
        <v>0</v>
      </c>
      <c r="AF248" s="2">
        <f t="shared" si="278"/>
        <v>0</v>
      </c>
      <c r="AG248" s="2">
        <f t="shared" si="279"/>
        <v>0</v>
      </c>
      <c r="AH248" s="2">
        <f t="shared" si="280"/>
        <v>0</v>
      </c>
      <c r="AI248" s="2">
        <f t="shared" si="280"/>
        <v>0</v>
      </c>
      <c r="AJ248" s="2">
        <f t="shared" si="281"/>
        <v>0</v>
      </c>
      <c r="AK248" s="2">
        <v>19717.37</v>
      </c>
      <c r="AL248" s="2">
        <v>19717.37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2</v>
      </c>
      <c r="BJ248" s="2" t="s">
        <v>396</v>
      </c>
      <c r="BK248" s="2"/>
      <c r="BL248" s="2"/>
      <c r="BM248" s="2">
        <v>1618</v>
      </c>
      <c r="BN248" s="2">
        <v>0</v>
      </c>
      <c r="BO248" s="2" t="s">
        <v>3</v>
      </c>
      <c r="BP248" s="2">
        <v>0</v>
      </c>
      <c r="BQ248" s="2">
        <v>201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0</v>
      </c>
      <c r="CA248" s="2">
        <v>0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3</v>
      </c>
      <c r="CO248" s="2">
        <v>0</v>
      </c>
      <c r="CP248" s="2">
        <f t="shared" si="282"/>
        <v>3046.33</v>
      </c>
      <c r="CQ248" s="2">
        <f t="shared" si="283"/>
        <v>19717.37</v>
      </c>
      <c r="CR248" s="2">
        <f t="shared" si="284"/>
        <v>0</v>
      </c>
      <c r="CS248" s="2">
        <f t="shared" si="285"/>
        <v>0</v>
      </c>
      <c r="CT248" s="2">
        <f t="shared" si="286"/>
        <v>0</v>
      </c>
      <c r="CU248" s="2">
        <f t="shared" si="287"/>
        <v>0</v>
      </c>
      <c r="CV248" s="2">
        <f t="shared" si="288"/>
        <v>0</v>
      </c>
      <c r="CW248" s="2">
        <f t="shared" si="289"/>
        <v>0</v>
      </c>
      <c r="CX248" s="2">
        <f t="shared" si="290"/>
        <v>0</v>
      </c>
      <c r="CY248" s="2">
        <f t="shared" si="291"/>
        <v>0</v>
      </c>
      <c r="CZ248" s="2">
        <f t="shared" si="292"/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1003</v>
      </c>
      <c r="DV248" s="2" t="s">
        <v>337</v>
      </c>
      <c r="DW248" s="2" t="s">
        <v>337</v>
      </c>
      <c r="DX248" s="2">
        <v>1000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55393729</v>
      </c>
      <c r="EF248" s="2">
        <v>201</v>
      </c>
      <c r="EG248" s="2" t="s">
        <v>397</v>
      </c>
      <c r="EH248" s="2">
        <v>0</v>
      </c>
      <c r="EI248" s="2" t="s">
        <v>3</v>
      </c>
      <c r="EJ248" s="2">
        <v>2</v>
      </c>
      <c r="EK248" s="2">
        <v>1618</v>
      </c>
      <c r="EL248" s="2" t="s">
        <v>398</v>
      </c>
      <c r="EM248" s="2" t="s">
        <v>399</v>
      </c>
      <c r="EN248" s="2"/>
      <c r="EO248" s="2" t="s">
        <v>3</v>
      </c>
      <c r="EP248" s="2"/>
      <c r="EQ248" s="2">
        <v>0</v>
      </c>
      <c r="ER248" s="2">
        <v>19717.37</v>
      </c>
      <c r="ES248" s="2">
        <v>19717.37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0</v>
      </c>
      <c r="FY248" s="2">
        <v>0</v>
      </c>
      <c r="FZ248" s="2"/>
      <c r="GA248" s="2" t="s">
        <v>3</v>
      </c>
      <c r="GB248" s="2"/>
      <c r="GC248" s="2"/>
      <c r="GD248" s="2">
        <v>1</v>
      </c>
      <c r="GE248" s="2"/>
      <c r="GF248" s="2">
        <v>-2093195521</v>
      </c>
      <c r="GG248" s="2">
        <v>2</v>
      </c>
      <c r="GH248" s="2">
        <v>1</v>
      </c>
      <c r="GI248" s="2">
        <v>-2</v>
      </c>
      <c r="GJ248" s="2">
        <v>0</v>
      </c>
      <c r="GK248" s="2">
        <v>0</v>
      </c>
      <c r="GL248" s="2">
        <f t="shared" si="293"/>
        <v>0</v>
      </c>
      <c r="GM248" s="2">
        <f t="shared" si="294"/>
        <v>3046.33</v>
      </c>
      <c r="GN248" s="2">
        <f t="shared" si="295"/>
        <v>0</v>
      </c>
      <c r="GO248" s="2">
        <f t="shared" si="296"/>
        <v>3046.33</v>
      </c>
      <c r="GP248" s="2">
        <f t="shared" si="297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298"/>
        <v>0</v>
      </c>
      <c r="GW248" s="2">
        <v>1</v>
      </c>
      <c r="GX248" s="2">
        <f t="shared" si="299"/>
        <v>0</v>
      </c>
      <c r="GY248" s="2"/>
      <c r="GZ248" s="2"/>
      <c r="HA248" s="2">
        <v>0</v>
      </c>
      <c r="HB248" s="2">
        <v>0</v>
      </c>
      <c r="HC248" s="2">
        <f t="shared" si="300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">
      <c r="A249" s="3">
        <v>17</v>
      </c>
      <c r="B249" s="3">
        <v>1</v>
      </c>
      <c r="E249" s="3" t="s">
        <v>394</v>
      </c>
      <c r="F249" s="3" t="s">
        <v>395</v>
      </c>
      <c r="G249" s="3" t="s">
        <v>803</v>
      </c>
      <c r="H249" s="3" t="s">
        <v>337</v>
      </c>
      <c r="I249" s="3">
        <f>ROUND(150*1.03/1000,9)</f>
        <v>0.1545</v>
      </c>
      <c r="J249" s="3">
        <v>0</v>
      </c>
      <c r="K249" s="3">
        <f>ROUND(150*1.03/1000,9)</f>
        <v>0.1545</v>
      </c>
      <c r="O249" s="3">
        <f t="shared" si="264"/>
        <v>9900.57</v>
      </c>
      <c r="P249" s="3">
        <f t="shared" si="265"/>
        <v>9900.57</v>
      </c>
      <c r="Q249" s="3">
        <f t="shared" si="266"/>
        <v>0</v>
      </c>
      <c r="R249" s="3">
        <f t="shared" si="267"/>
        <v>0</v>
      </c>
      <c r="S249" s="3">
        <f t="shared" si="268"/>
        <v>0</v>
      </c>
      <c r="T249" s="3">
        <f t="shared" si="269"/>
        <v>0</v>
      </c>
      <c r="U249" s="3">
        <f t="shared" si="270"/>
        <v>0</v>
      </c>
      <c r="V249" s="3">
        <f t="shared" si="271"/>
        <v>0</v>
      </c>
      <c r="W249" s="3">
        <f t="shared" si="272"/>
        <v>0</v>
      </c>
      <c r="X249" s="3">
        <f t="shared" si="273"/>
        <v>0</v>
      </c>
      <c r="Y249" s="3">
        <f t="shared" si="274"/>
        <v>0</v>
      </c>
      <c r="AA249" s="3">
        <v>55937298</v>
      </c>
      <c r="AB249" s="3">
        <f t="shared" si="275"/>
        <v>19717.37</v>
      </c>
      <c r="AC249" s="3">
        <f t="shared" si="276"/>
        <v>19717.37</v>
      </c>
      <c r="AD249" s="3">
        <f t="shared" si="277"/>
        <v>0</v>
      </c>
      <c r="AE249" s="3">
        <f t="shared" si="278"/>
        <v>0</v>
      </c>
      <c r="AF249" s="3">
        <f t="shared" si="278"/>
        <v>0</v>
      </c>
      <c r="AG249" s="3">
        <f t="shared" si="279"/>
        <v>0</v>
      </c>
      <c r="AH249" s="3">
        <f t="shared" si="280"/>
        <v>0</v>
      </c>
      <c r="AI249" s="3">
        <f t="shared" si="280"/>
        <v>0</v>
      </c>
      <c r="AJ249" s="3">
        <f t="shared" si="281"/>
        <v>0</v>
      </c>
      <c r="AK249" s="3">
        <v>19717.37</v>
      </c>
      <c r="AL249" s="3">
        <v>19717.37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1</v>
      </c>
      <c r="AW249" s="3">
        <v>1</v>
      </c>
      <c r="AZ249" s="3">
        <v>1</v>
      </c>
      <c r="BA249" s="3">
        <v>1</v>
      </c>
      <c r="BB249" s="3">
        <v>1</v>
      </c>
      <c r="BC249" s="3">
        <v>3.25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3</v>
      </c>
      <c r="BI249" s="3">
        <v>2</v>
      </c>
      <c r="BJ249" s="3" t="s">
        <v>396</v>
      </c>
      <c r="BM249" s="3">
        <v>1618</v>
      </c>
      <c r="BN249" s="3">
        <v>0</v>
      </c>
      <c r="BO249" s="3" t="s">
        <v>395</v>
      </c>
      <c r="BP249" s="3">
        <v>1</v>
      </c>
      <c r="BQ249" s="3">
        <v>201</v>
      </c>
      <c r="BR249" s="3">
        <v>0</v>
      </c>
      <c r="BS249" s="3">
        <v>1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0</v>
      </c>
      <c r="CA249" s="3">
        <v>0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3</v>
      </c>
      <c r="CO249" s="3">
        <v>0</v>
      </c>
      <c r="CP249" s="3">
        <f t="shared" si="282"/>
        <v>9900.57</v>
      </c>
      <c r="CQ249" s="3">
        <f t="shared" si="283"/>
        <v>64081.45</v>
      </c>
      <c r="CR249" s="3">
        <f t="shared" si="284"/>
        <v>0</v>
      </c>
      <c r="CS249" s="3">
        <f t="shared" si="285"/>
        <v>0</v>
      </c>
      <c r="CT249" s="3">
        <f t="shared" si="286"/>
        <v>0</v>
      </c>
      <c r="CU249" s="3">
        <f t="shared" si="287"/>
        <v>0</v>
      </c>
      <c r="CV249" s="3">
        <f t="shared" si="288"/>
        <v>0</v>
      </c>
      <c r="CW249" s="3">
        <f t="shared" si="289"/>
        <v>0</v>
      </c>
      <c r="CX249" s="3">
        <f t="shared" si="290"/>
        <v>0</v>
      </c>
      <c r="CY249" s="3">
        <f t="shared" si="291"/>
        <v>0</v>
      </c>
      <c r="CZ249" s="3">
        <f t="shared" si="292"/>
        <v>0</v>
      </c>
      <c r="DC249" s="3" t="s">
        <v>3</v>
      </c>
      <c r="DD249" s="3" t="s">
        <v>3</v>
      </c>
      <c r="DE249" s="3" t="s">
        <v>3</v>
      </c>
      <c r="DF249" s="3" t="s">
        <v>3</v>
      </c>
      <c r="DG249" s="3" t="s">
        <v>3</v>
      </c>
      <c r="DH249" s="3" t="s">
        <v>3</v>
      </c>
      <c r="DI249" s="3" t="s">
        <v>3</v>
      </c>
      <c r="DJ249" s="3" t="s">
        <v>3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1003</v>
      </c>
      <c r="DV249" s="3" t="s">
        <v>337</v>
      </c>
      <c r="DW249" s="3" t="s">
        <v>337</v>
      </c>
      <c r="DX249" s="3">
        <v>1000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55393729</v>
      </c>
      <c r="EF249" s="3">
        <v>201</v>
      </c>
      <c r="EG249" s="3" t="s">
        <v>397</v>
      </c>
      <c r="EH249" s="3">
        <v>0</v>
      </c>
      <c r="EI249" s="3" t="s">
        <v>3</v>
      </c>
      <c r="EJ249" s="3">
        <v>2</v>
      </c>
      <c r="EK249" s="3">
        <v>1618</v>
      </c>
      <c r="EL249" s="3" t="s">
        <v>398</v>
      </c>
      <c r="EM249" s="3" t="s">
        <v>399</v>
      </c>
      <c r="EO249" s="3" t="s">
        <v>3</v>
      </c>
      <c r="EQ249" s="3">
        <v>0</v>
      </c>
      <c r="ER249" s="3">
        <v>19717.37</v>
      </c>
      <c r="ES249" s="3">
        <v>19717.37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FQ249" s="3">
        <v>0</v>
      </c>
      <c r="FR249" s="3">
        <v>0</v>
      </c>
      <c r="FS249" s="3">
        <v>0</v>
      </c>
      <c r="FX249" s="3">
        <v>0</v>
      </c>
      <c r="FY249" s="3">
        <v>0</v>
      </c>
      <c r="GA249" s="3" t="s">
        <v>3</v>
      </c>
      <c r="GD249" s="3">
        <v>1</v>
      </c>
      <c r="GF249" s="3">
        <v>-2093195521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93"/>
        <v>0</v>
      </c>
      <c r="GM249" s="3">
        <f t="shared" si="294"/>
        <v>9900.57</v>
      </c>
      <c r="GN249" s="3">
        <f t="shared" si="295"/>
        <v>0</v>
      </c>
      <c r="GO249" s="3">
        <f t="shared" si="296"/>
        <v>9900.57</v>
      </c>
      <c r="GP249" s="3">
        <f t="shared" si="297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98"/>
        <v>0</v>
      </c>
      <c r="GW249" s="3">
        <v>1</v>
      </c>
      <c r="GX249" s="3">
        <f t="shared" si="299"/>
        <v>0</v>
      </c>
      <c r="HA249" s="3">
        <v>0</v>
      </c>
      <c r="HB249" s="3">
        <v>0</v>
      </c>
      <c r="HC249" s="3">
        <f t="shared" si="300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">
      <c r="A250" s="2">
        <v>17</v>
      </c>
      <c r="B250" s="2">
        <v>1</v>
      </c>
      <c r="C250" s="2"/>
      <c r="D250" s="2"/>
      <c r="E250" s="2" t="s">
        <v>400</v>
      </c>
      <c r="F250" s="2" t="s">
        <v>401</v>
      </c>
      <c r="G250" s="2" t="s">
        <v>402</v>
      </c>
      <c r="H250" s="2" t="s">
        <v>332</v>
      </c>
      <c r="I250" s="2">
        <f>ROUND(2*1.03,9)</f>
        <v>2.06</v>
      </c>
      <c r="J250" s="2">
        <v>0</v>
      </c>
      <c r="K250" s="2">
        <f>ROUND(2*1.03,9)</f>
        <v>2.06</v>
      </c>
      <c r="L250" s="2"/>
      <c r="M250" s="2"/>
      <c r="N250" s="2"/>
      <c r="O250" s="2">
        <f t="shared" si="264"/>
        <v>23.94</v>
      </c>
      <c r="P250" s="2">
        <f t="shared" si="265"/>
        <v>23.94</v>
      </c>
      <c r="Q250" s="2">
        <f t="shared" si="266"/>
        <v>0</v>
      </c>
      <c r="R250" s="2">
        <f t="shared" si="267"/>
        <v>0</v>
      </c>
      <c r="S250" s="2">
        <f t="shared" si="268"/>
        <v>0</v>
      </c>
      <c r="T250" s="2">
        <f t="shared" si="269"/>
        <v>0</v>
      </c>
      <c r="U250" s="2">
        <f t="shared" si="270"/>
        <v>0</v>
      </c>
      <c r="V250" s="2">
        <f t="shared" si="271"/>
        <v>0</v>
      </c>
      <c r="W250" s="2">
        <f t="shared" si="272"/>
        <v>0</v>
      </c>
      <c r="X250" s="2">
        <f t="shared" si="273"/>
        <v>0</v>
      </c>
      <c r="Y250" s="2">
        <f t="shared" si="274"/>
        <v>0</v>
      </c>
      <c r="Z250" s="2"/>
      <c r="AA250" s="2">
        <v>55937296</v>
      </c>
      <c r="AB250" s="2">
        <f t="shared" si="275"/>
        <v>11.62</v>
      </c>
      <c r="AC250" s="2">
        <f t="shared" si="276"/>
        <v>11.62</v>
      </c>
      <c r="AD250" s="2">
        <f t="shared" si="277"/>
        <v>0</v>
      </c>
      <c r="AE250" s="2">
        <f t="shared" si="278"/>
        <v>0</v>
      </c>
      <c r="AF250" s="2">
        <f t="shared" si="278"/>
        <v>0</v>
      </c>
      <c r="AG250" s="2">
        <f t="shared" si="279"/>
        <v>0</v>
      </c>
      <c r="AH250" s="2">
        <f t="shared" si="280"/>
        <v>0</v>
      </c>
      <c r="AI250" s="2">
        <f t="shared" si="280"/>
        <v>0</v>
      </c>
      <c r="AJ250" s="2">
        <f t="shared" si="281"/>
        <v>0</v>
      </c>
      <c r="AK250" s="2">
        <v>11.620000000000001</v>
      </c>
      <c r="AL250" s="2">
        <v>11.620000000000001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2</v>
      </c>
      <c r="BJ250" s="2" t="s">
        <v>401</v>
      </c>
      <c r="BK250" s="2"/>
      <c r="BL250" s="2"/>
      <c r="BM250" s="2">
        <v>400005</v>
      </c>
      <c r="BN250" s="2">
        <v>0</v>
      </c>
      <c r="BO250" s="2" t="s">
        <v>3</v>
      </c>
      <c r="BP250" s="2">
        <v>0</v>
      </c>
      <c r="BQ250" s="2">
        <v>213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0</v>
      </c>
      <c r="CA250" s="2">
        <v>0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3</v>
      </c>
      <c r="CO250" s="2">
        <v>0</v>
      </c>
      <c r="CP250" s="2">
        <f t="shared" si="282"/>
        <v>23.94</v>
      </c>
      <c r="CQ250" s="2">
        <f t="shared" si="283"/>
        <v>11.62</v>
      </c>
      <c r="CR250" s="2">
        <f t="shared" si="284"/>
        <v>0</v>
      </c>
      <c r="CS250" s="2">
        <f t="shared" si="285"/>
        <v>0</v>
      </c>
      <c r="CT250" s="2">
        <f t="shared" si="286"/>
        <v>0</v>
      </c>
      <c r="CU250" s="2">
        <f t="shared" si="287"/>
        <v>0</v>
      </c>
      <c r="CV250" s="2">
        <f t="shared" si="288"/>
        <v>0</v>
      </c>
      <c r="CW250" s="2">
        <f t="shared" si="289"/>
        <v>0</v>
      </c>
      <c r="CX250" s="2">
        <f t="shared" si="290"/>
        <v>0</v>
      </c>
      <c r="CY250" s="2">
        <f t="shared" si="291"/>
        <v>0</v>
      </c>
      <c r="CZ250" s="2">
        <f t="shared" si="292"/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1003</v>
      </c>
      <c r="DV250" s="2" t="s">
        <v>332</v>
      </c>
      <c r="DW250" s="2" t="s">
        <v>332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55393628</v>
      </c>
      <c r="EF250" s="2">
        <v>213</v>
      </c>
      <c r="EG250" s="2" t="s">
        <v>322</v>
      </c>
      <c r="EH250" s="2">
        <v>0</v>
      </c>
      <c r="EI250" s="2" t="s">
        <v>3</v>
      </c>
      <c r="EJ250" s="2">
        <v>1</v>
      </c>
      <c r="EK250" s="2">
        <v>400005</v>
      </c>
      <c r="EL250" s="2" t="s">
        <v>322</v>
      </c>
      <c r="EM250" s="2" t="s">
        <v>323</v>
      </c>
      <c r="EN250" s="2"/>
      <c r="EO250" s="2" t="s">
        <v>3</v>
      </c>
      <c r="EP250" s="2"/>
      <c r="EQ250" s="2">
        <v>16</v>
      </c>
      <c r="ER250" s="2">
        <v>0</v>
      </c>
      <c r="ES250" s="2">
        <v>11.620000000000001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0</v>
      </c>
      <c r="FY250" s="2">
        <v>0</v>
      </c>
      <c r="FZ250" s="2"/>
      <c r="GA250" s="2" t="s">
        <v>403</v>
      </c>
      <c r="GB250" s="2"/>
      <c r="GC250" s="2"/>
      <c r="GD250" s="2">
        <v>1</v>
      </c>
      <c r="GE250" s="2"/>
      <c r="GF250" s="2">
        <v>1773367642</v>
      </c>
      <c r="GG250" s="2">
        <v>2</v>
      </c>
      <c r="GH250" s="2">
        <v>4</v>
      </c>
      <c r="GI250" s="2">
        <v>-2</v>
      </c>
      <c r="GJ250" s="2">
        <v>0</v>
      </c>
      <c r="GK250" s="2">
        <v>0</v>
      </c>
      <c r="GL250" s="2">
        <f t="shared" si="293"/>
        <v>0</v>
      </c>
      <c r="GM250" s="2">
        <f t="shared" si="294"/>
        <v>23.94</v>
      </c>
      <c r="GN250" s="2">
        <f t="shared" si="295"/>
        <v>0</v>
      </c>
      <c r="GO250" s="2">
        <f t="shared" si="296"/>
        <v>23.94</v>
      </c>
      <c r="GP250" s="2">
        <f t="shared" si="297"/>
        <v>0</v>
      </c>
      <c r="GQ250" s="2"/>
      <c r="GR250" s="2">
        <v>1</v>
      </c>
      <c r="GS250" s="2">
        <v>2</v>
      </c>
      <c r="GT250" s="2">
        <v>0</v>
      </c>
      <c r="GU250" s="2" t="s">
        <v>3</v>
      </c>
      <c r="GV250" s="2">
        <f t="shared" si="298"/>
        <v>0</v>
      </c>
      <c r="GW250" s="2">
        <v>1</v>
      </c>
      <c r="GX250" s="2">
        <f t="shared" si="299"/>
        <v>0</v>
      </c>
      <c r="GY250" s="2"/>
      <c r="GZ250" s="2"/>
      <c r="HA250" s="2">
        <v>0</v>
      </c>
      <c r="HB250" s="2">
        <v>0</v>
      </c>
      <c r="HC250" s="2">
        <f t="shared" si="300"/>
        <v>0</v>
      </c>
      <c r="HD250" s="2"/>
      <c r="HE250" s="2" t="s">
        <v>325</v>
      </c>
      <c r="HF250" s="2" t="s">
        <v>30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 s="3">
        <v>17</v>
      </c>
      <c r="B251" s="3">
        <v>1</v>
      </c>
      <c r="E251" s="3" t="s">
        <v>400</v>
      </c>
      <c r="F251" s="3" t="s">
        <v>401</v>
      </c>
      <c r="G251" s="3" t="s">
        <v>402</v>
      </c>
      <c r="H251" s="3" t="s">
        <v>332</v>
      </c>
      <c r="I251" s="3">
        <f>ROUND(2*1.03,9)</f>
        <v>2.06</v>
      </c>
      <c r="J251" s="3">
        <v>0</v>
      </c>
      <c r="K251" s="3">
        <f>ROUND(2*1.03,9)</f>
        <v>2.06</v>
      </c>
      <c r="O251" s="3">
        <f t="shared" si="264"/>
        <v>236.05</v>
      </c>
      <c r="P251" s="3">
        <f t="shared" si="265"/>
        <v>236.05</v>
      </c>
      <c r="Q251" s="3">
        <f t="shared" si="266"/>
        <v>0</v>
      </c>
      <c r="R251" s="3">
        <f t="shared" si="267"/>
        <v>0</v>
      </c>
      <c r="S251" s="3">
        <f t="shared" si="268"/>
        <v>0</v>
      </c>
      <c r="T251" s="3">
        <f t="shared" si="269"/>
        <v>0</v>
      </c>
      <c r="U251" s="3">
        <f t="shared" si="270"/>
        <v>0</v>
      </c>
      <c r="V251" s="3">
        <f t="shared" si="271"/>
        <v>0</v>
      </c>
      <c r="W251" s="3">
        <f t="shared" si="272"/>
        <v>0</v>
      </c>
      <c r="X251" s="3">
        <f t="shared" si="273"/>
        <v>0</v>
      </c>
      <c r="Y251" s="3">
        <f t="shared" si="274"/>
        <v>0</v>
      </c>
      <c r="AA251" s="3">
        <v>55937298</v>
      </c>
      <c r="AB251" s="3">
        <f t="shared" si="275"/>
        <v>11.62</v>
      </c>
      <c r="AC251" s="3">
        <f t="shared" si="276"/>
        <v>11.62</v>
      </c>
      <c r="AD251" s="3">
        <f t="shared" si="277"/>
        <v>0</v>
      </c>
      <c r="AE251" s="3">
        <f t="shared" si="278"/>
        <v>0</v>
      </c>
      <c r="AF251" s="3">
        <f t="shared" si="278"/>
        <v>0</v>
      </c>
      <c r="AG251" s="3">
        <f t="shared" si="279"/>
        <v>0</v>
      </c>
      <c r="AH251" s="3">
        <f t="shared" si="280"/>
        <v>0</v>
      </c>
      <c r="AI251" s="3">
        <f t="shared" si="280"/>
        <v>0</v>
      </c>
      <c r="AJ251" s="3">
        <f t="shared" si="281"/>
        <v>0</v>
      </c>
      <c r="AK251" s="3">
        <v>11.620000000000001</v>
      </c>
      <c r="AL251" s="3">
        <v>11.620000000000001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1</v>
      </c>
      <c r="AW251" s="3">
        <v>1</v>
      </c>
      <c r="AZ251" s="3">
        <v>1</v>
      </c>
      <c r="BA251" s="3">
        <v>1</v>
      </c>
      <c r="BB251" s="3">
        <v>1</v>
      </c>
      <c r="BC251" s="3">
        <v>9.86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3</v>
      </c>
      <c r="BI251" s="3">
        <v>2</v>
      </c>
      <c r="BJ251" s="3" t="s">
        <v>401</v>
      </c>
      <c r="BM251" s="3">
        <v>400005</v>
      </c>
      <c r="BN251" s="3">
        <v>0</v>
      </c>
      <c r="BO251" s="3" t="s">
        <v>3</v>
      </c>
      <c r="BP251" s="3">
        <v>0</v>
      </c>
      <c r="BQ251" s="3">
        <v>213</v>
      </c>
      <c r="BR251" s="3">
        <v>0</v>
      </c>
      <c r="BS251" s="3">
        <v>1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0</v>
      </c>
      <c r="CA251" s="3">
        <v>0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3</v>
      </c>
      <c r="CO251" s="3">
        <v>0</v>
      </c>
      <c r="CP251" s="3">
        <f t="shared" si="282"/>
        <v>236.05</v>
      </c>
      <c r="CQ251" s="3">
        <f t="shared" si="283"/>
        <v>114.57</v>
      </c>
      <c r="CR251" s="3">
        <f t="shared" si="284"/>
        <v>0</v>
      </c>
      <c r="CS251" s="3">
        <f t="shared" si="285"/>
        <v>0</v>
      </c>
      <c r="CT251" s="3">
        <f t="shared" si="286"/>
        <v>0</v>
      </c>
      <c r="CU251" s="3">
        <f t="shared" si="287"/>
        <v>0</v>
      </c>
      <c r="CV251" s="3">
        <f t="shared" si="288"/>
        <v>0</v>
      </c>
      <c r="CW251" s="3">
        <f t="shared" si="289"/>
        <v>0</v>
      </c>
      <c r="CX251" s="3">
        <f t="shared" si="290"/>
        <v>0</v>
      </c>
      <c r="CY251" s="3">
        <f t="shared" si="291"/>
        <v>0</v>
      </c>
      <c r="CZ251" s="3">
        <f t="shared" si="292"/>
        <v>0</v>
      </c>
      <c r="DC251" s="3" t="s">
        <v>3</v>
      </c>
      <c r="DD251" s="3" t="s">
        <v>3</v>
      </c>
      <c r="DE251" s="3" t="s">
        <v>3</v>
      </c>
      <c r="DF251" s="3" t="s">
        <v>3</v>
      </c>
      <c r="DG251" s="3" t="s">
        <v>3</v>
      </c>
      <c r="DH251" s="3" t="s">
        <v>3</v>
      </c>
      <c r="DI251" s="3" t="s">
        <v>3</v>
      </c>
      <c r="DJ251" s="3" t="s">
        <v>3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1003</v>
      </c>
      <c r="DV251" s="3" t="s">
        <v>332</v>
      </c>
      <c r="DW251" s="3" t="s">
        <v>332</v>
      </c>
      <c r="DX251" s="3">
        <v>1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55393628</v>
      </c>
      <c r="EF251" s="3">
        <v>213</v>
      </c>
      <c r="EG251" s="3" t="s">
        <v>322</v>
      </c>
      <c r="EH251" s="3">
        <v>0</v>
      </c>
      <c r="EI251" s="3" t="s">
        <v>3</v>
      </c>
      <c r="EJ251" s="3">
        <v>1</v>
      </c>
      <c r="EK251" s="3">
        <v>400005</v>
      </c>
      <c r="EL251" s="3" t="s">
        <v>322</v>
      </c>
      <c r="EM251" s="3" t="s">
        <v>323</v>
      </c>
      <c r="EO251" s="3" t="s">
        <v>3</v>
      </c>
      <c r="EQ251" s="3">
        <v>16</v>
      </c>
      <c r="ER251" s="3">
        <v>0</v>
      </c>
      <c r="ES251" s="3">
        <v>11.620000000000001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5</v>
      </c>
      <c r="FC251" s="3">
        <v>1</v>
      </c>
      <c r="FD251" s="3">
        <v>18</v>
      </c>
      <c r="FF251" s="3">
        <v>136.97</v>
      </c>
      <c r="FQ251" s="3">
        <v>0</v>
      </c>
      <c r="FR251" s="3">
        <v>0</v>
      </c>
      <c r="FS251" s="3">
        <v>0</v>
      </c>
      <c r="FX251" s="3">
        <v>0</v>
      </c>
      <c r="FY251" s="3">
        <v>0</v>
      </c>
      <c r="GA251" s="3" t="s">
        <v>403</v>
      </c>
      <c r="GD251" s="3">
        <v>1</v>
      </c>
      <c r="GF251" s="3">
        <v>1773367642</v>
      </c>
      <c r="GG251" s="3">
        <v>2</v>
      </c>
      <c r="GH251" s="3">
        <v>3</v>
      </c>
      <c r="GI251" s="3">
        <v>5</v>
      </c>
      <c r="GJ251" s="3">
        <v>0</v>
      </c>
      <c r="GK251" s="3">
        <v>0</v>
      </c>
      <c r="GL251" s="3">
        <f t="shared" si="293"/>
        <v>0</v>
      </c>
      <c r="GM251" s="3">
        <f t="shared" si="294"/>
        <v>236.05</v>
      </c>
      <c r="GN251" s="3">
        <f t="shared" si="295"/>
        <v>0</v>
      </c>
      <c r="GO251" s="3">
        <f t="shared" si="296"/>
        <v>236.05</v>
      </c>
      <c r="GP251" s="3">
        <f t="shared" si="297"/>
        <v>0</v>
      </c>
      <c r="GR251" s="3">
        <v>1</v>
      </c>
      <c r="GS251" s="3">
        <v>1</v>
      </c>
      <c r="GT251" s="3">
        <v>0</v>
      </c>
      <c r="GU251" s="3" t="s">
        <v>3</v>
      </c>
      <c r="GV251" s="3">
        <f t="shared" si="298"/>
        <v>0</v>
      </c>
      <c r="GW251" s="3">
        <v>1</v>
      </c>
      <c r="GX251" s="3">
        <f t="shared" si="299"/>
        <v>0</v>
      </c>
      <c r="HA251" s="3">
        <v>0</v>
      </c>
      <c r="HB251" s="3">
        <v>0</v>
      </c>
      <c r="HC251" s="3">
        <f t="shared" si="300"/>
        <v>0</v>
      </c>
      <c r="HE251" s="3" t="s">
        <v>325</v>
      </c>
      <c r="HF251" s="3" t="s">
        <v>30</v>
      </c>
      <c r="HM251" s="3" t="s">
        <v>3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">
      <c r="A252" s="2">
        <v>17</v>
      </c>
      <c r="B252" s="2">
        <v>1</v>
      </c>
      <c r="C252" s="2">
        <f>ROW(SmtRes!A330)</f>
        <v>330</v>
      </c>
      <c r="D252" s="2">
        <f>ROW(EtalonRes!A401)</f>
        <v>401</v>
      </c>
      <c r="E252" s="2" t="s">
        <v>404</v>
      </c>
      <c r="F252" s="2" t="s">
        <v>405</v>
      </c>
      <c r="G252" s="2" t="s">
        <v>406</v>
      </c>
      <c r="H252" s="2" t="s">
        <v>111</v>
      </c>
      <c r="I252" s="2">
        <f>ROUND(2/100,9)</f>
        <v>0.02</v>
      </c>
      <c r="J252" s="2">
        <v>0</v>
      </c>
      <c r="K252" s="2">
        <f>ROUND(2/100,9)</f>
        <v>0.02</v>
      </c>
      <c r="L252" s="2"/>
      <c r="M252" s="2"/>
      <c r="N252" s="2"/>
      <c r="O252" s="2">
        <f t="shared" si="264"/>
        <v>1.75</v>
      </c>
      <c r="P252" s="2">
        <f t="shared" si="265"/>
        <v>1.1100000000000001</v>
      </c>
      <c r="Q252" s="2">
        <f>(ROUND((ROUND((((ET252*1.2))*AV252*I252),2)*BB252),2)+ROUND((ROUND(((AE252-((EU252*1.2)))*AV252*I252),2)*BS252),2))</f>
        <v>7.0000000000000007E-2</v>
      </c>
      <c r="R252" s="2">
        <f>(ROUND((ROUND((((EU252*1.2))*AV252*I252),2)*BS252),2)+ROUND((ROUND(((AE252-((EU252*1.2)))*AV252*I252),2)*BS252),2))</f>
        <v>0.01</v>
      </c>
      <c r="S252" s="2">
        <f t="shared" si="268"/>
        <v>0.56999999999999995</v>
      </c>
      <c r="T252" s="2">
        <f t="shared" si="269"/>
        <v>0</v>
      </c>
      <c r="U252" s="2">
        <f t="shared" si="270"/>
        <v>4.5984239999999996E-2</v>
      </c>
      <c r="V252" s="2">
        <f t="shared" si="271"/>
        <v>0</v>
      </c>
      <c r="W252" s="2">
        <f t="shared" si="272"/>
        <v>0</v>
      </c>
      <c r="X252" s="2">
        <f>(ROUND((((S252+ROUND((ROUND((((EU252*1.2))*AV252*I252),2)*BS252),2))*AT252)/100),2)+ROUND(((ROUND((ROUND(((AE252-((EU252*1.2)))*AV252*I252),2)*BS252),2)*AT252)/100),2))</f>
        <v>0.56000000000000005</v>
      </c>
      <c r="Y252" s="2">
        <f>(ROUND((((S252+ROUND((ROUND((((EU252*1.2))*AV252*I252),2)*BS252),2))*AU252)/100),2)+ROUND(((ROUND((ROUND(((AE252-((EU252*1.2)))*AV252*I252),2)*BS252),2)*AU252)/100),2))</f>
        <v>0.3</v>
      </c>
      <c r="Z252" s="2"/>
      <c r="AA252" s="2">
        <v>55937296</v>
      </c>
      <c r="AB252" s="2">
        <f t="shared" si="275"/>
        <v>85.626000000000005</v>
      </c>
      <c r="AC252" s="2">
        <f>ROUND(((ES252*1)),6)</f>
        <v>55.47</v>
      </c>
      <c r="AD252" s="2">
        <f>ROUND(((((ET252*1.2))-((EU252*1.2)))+AE252),6)</f>
        <v>3.1440000000000001</v>
      </c>
      <c r="AE252" s="2">
        <f>ROUND(((EU252*1.2)),6)</f>
        <v>0.36</v>
      </c>
      <c r="AF252" s="2">
        <f>ROUND(((EV252*1.2)),6)</f>
        <v>27.012</v>
      </c>
      <c r="AG252" s="2">
        <f t="shared" si="279"/>
        <v>0</v>
      </c>
      <c r="AH252" s="2">
        <f>((EW252*1.2))</f>
        <v>2.1960000000000002</v>
      </c>
      <c r="AI252" s="2">
        <f>((EX252*1.2))</f>
        <v>0</v>
      </c>
      <c r="AJ252" s="2">
        <f t="shared" si="281"/>
        <v>0</v>
      </c>
      <c r="AK252" s="2">
        <v>80.599999999999994</v>
      </c>
      <c r="AL252" s="2">
        <v>55.47</v>
      </c>
      <c r="AM252" s="2">
        <v>2.62</v>
      </c>
      <c r="AN252" s="2">
        <v>0.3</v>
      </c>
      <c r="AO252" s="2">
        <v>22.51</v>
      </c>
      <c r="AP252" s="2">
        <v>0</v>
      </c>
      <c r="AQ252" s="2">
        <v>1.83</v>
      </c>
      <c r="AR252" s="2">
        <v>0</v>
      </c>
      <c r="AS252" s="2">
        <v>0</v>
      </c>
      <c r="AT252" s="2">
        <v>97</v>
      </c>
      <c r="AU252" s="2">
        <v>51</v>
      </c>
      <c r="AV252" s="2">
        <v>1.0469999999999999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2</v>
      </c>
      <c r="BJ252" s="2" t="s">
        <v>407</v>
      </c>
      <c r="BK252" s="2"/>
      <c r="BL252" s="2"/>
      <c r="BM252" s="2">
        <v>67</v>
      </c>
      <c r="BN252" s="2">
        <v>0</v>
      </c>
      <c r="BO252" s="2" t="s">
        <v>405</v>
      </c>
      <c r="BP252" s="2">
        <v>1</v>
      </c>
      <c r="BQ252" s="2">
        <v>40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97</v>
      </c>
      <c r="CA252" s="2">
        <v>51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797</v>
      </c>
      <c r="CO252" s="2">
        <v>0</v>
      </c>
      <c r="CP252" s="2">
        <f t="shared" si="282"/>
        <v>1.75</v>
      </c>
      <c r="CQ252" s="2">
        <f t="shared" si="283"/>
        <v>55.47</v>
      </c>
      <c r="CR252" s="2">
        <f>(ROUND((ROUND((((ET252*1.2))*AV252*1),2)*BB252),2)+ROUND((ROUND(((AE252-((EU252*1.2)))*AV252*1),2)*BS252),2))</f>
        <v>3.29</v>
      </c>
      <c r="CS252" s="2">
        <f>(ROUND((ROUND((((EU252*1.2))*AV252*1),2)*BS252),2)+ROUND((ROUND(((AE252-((EU252*1.2)))*AV252*1),2)*BS252),2))</f>
        <v>0.38</v>
      </c>
      <c r="CT252" s="2">
        <f t="shared" si="286"/>
        <v>28.28</v>
      </c>
      <c r="CU252" s="2">
        <f t="shared" si="287"/>
        <v>0</v>
      </c>
      <c r="CV252" s="2">
        <f t="shared" si="288"/>
        <v>2.2992119999999998</v>
      </c>
      <c r="CW252" s="2">
        <f t="shared" si="289"/>
        <v>0</v>
      </c>
      <c r="CX252" s="2">
        <f t="shared" si="290"/>
        <v>0</v>
      </c>
      <c r="CY252" s="2">
        <f>(ROUND((((S252+ROUND((ROUND((((EU252*1.2))*AV252*1),2)*BS252),2))*AT252)/100),2)+ROUND(((ROUND((ROUND(((AE252-((EU252*1.2)))*AV252*1),2)*BS252),2)*AT252)/100),2))</f>
        <v>0.92</v>
      </c>
      <c r="CZ252" s="2">
        <f>(ROUND((((S252+ROUND((ROUND((((EU252*1.2))*AV252*1),2)*BS252),2))*AU252)/100),2)+ROUND(((ROUND((ROUND(((AE252-((EU252*1.2)))*AV252*1),2)*BS252),2)*AU252)/100),2))</f>
        <v>0.48</v>
      </c>
      <c r="DA252" s="2"/>
      <c r="DB252" s="2">
        <v>121</v>
      </c>
      <c r="DC252" s="2" t="s">
        <v>3</v>
      </c>
      <c r="DD252" s="2" t="s">
        <v>113</v>
      </c>
      <c r="DE252" s="2" t="s">
        <v>114</v>
      </c>
      <c r="DF252" s="2" t="s">
        <v>114</v>
      </c>
      <c r="DG252" s="2" t="s">
        <v>114</v>
      </c>
      <c r="DH252" s="2" t="s">
        <v>3</v>
      </c>
      <c r="DI252" s="2" t="s">
        <v>114</v>
      </c>
      <c r="DJ252" s="2" t="s">
        <v>114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1003</v>
      </c>
      <c r="DV252" s="2" t="s">
        <v>111</v>
      </c>
      <c r="DW252" s="2" t="s">
        <v>111</v>
      </c>
      <c r="DX252" s="2">
        <v>100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55393699</v>
      </c>
      <c r="EF252" s="2">
        <v>40</v>
      </c>
      <c r="EG252" s="2" t="s">
        <v>26</v>
      </c>
      <c r="EH252" s="2">
        <v>0</v>
      </c>
      <c r="EI252" s="2" t="s">
        <v>3</v>
      </c>
      <c r="EJ252" s="2">
        <v>2</v>
      </c>
      <c r="EK252" s="2">
        <v>67</v>
      </c>
      <c r="EL252" s="2" t="s">
        <v>62</v>
      </c>
      <c r="EM252" s="2" t="s">
        <v>63</v>
      </c>
      <c r="EN252" s="2"/>
      <c r="EO252" s="2" t="s">
        <v>118</v>
      </c>
      <c r="EP252" s="2"/>
      <c r="EQ252" s="2">
        <v>0</v>
      </c>
      <c r="ER252" s="2">
        <v>80.599999999999994</v>
      </c>
      <c r="ES252" s="2">
        <v>55.47</v>
      </c>
      <c r="ET252" s="2">
        <v>2.62</v>
      </c>
      <c r="EU252" s="2">
        <v>0.3</v>
      </c>
      <c r="EV252" s="2">
        <v>22.51</v>
      </c>
      <c r="EW252" s="2">
        <v>1.83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97</v>
      </c>
      <c r="FY252" s="2">
        <v>51</v>
      </c>
      <c r="FZ252" s="2"/>
      <c r="GA252" s="2" t="s">
        <v>3</v>
      </c>
      <c r="GB252" s="2"/>
      <c r="GC252" s="2"/>
      <c r="GD252" s="2">
        <v>1</v>
      </c>
      <c r="GE252" s="2"/>
      <c r="GF252" s="2">
        <v>370634059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si="293"/>
        <v>0</v>
      </c>
      <c r="GM252" s="2">
        <f t="shared" si="294"/>
        <v>2.61</v>
      </c>
      <c r="GN252" s="2">
        <f t="shared" si="295"/>
        <v>0</v>
      </c>
      <c r="GO252" s="2">
        <f t="shared" si="296"/>
        <v>2.61</v>
      </c>
      <c r="GP252" s="2">
        <f t="shared" si="297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298"/>
        <v>0</v>
      </c>
      <c r="GW252" s="2">
        <v>1</v>
      </c>
      <c r="GX252" s="2">
        <f t="shared" si="299"/>
        <v>0</v>
      </c>
      <c r="GY252" s="2"/>
      <c r="GZ252" s="2"/>
      <c r="HA252" s="2">
        <v>0</v>
      </c>
      <c r="HB252" s="2">
        <v>0</v>
      </c>
      <c r="HC252" s="2">
        <f t="shared" si="300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3">
        <v>17</v>
      </c>
      <c r="B253" s="3">
        <v>1</v>
      </c>
      <c r="C253" s="3">
        <f>ROW(SmtRes!A338)</f>
        <v>338</v>
      </c>
      <c r="D253" s="3">
        <f>ROW(EtalonRes!A410)</f>
        <v>410</v>
      </c>
      <c r="E253" s="3" t="s">
        <v>404</v>
      </c>
      <c r="F253" s="3" t="s">
        <v>405</v>
      </c>
      <c r="G253" s="3" t="s">
        <v>406</v>
      </c>
      <c r="H253" s="3" t="s">
        <v>111</v>
      </c>
      <c r="I253" s="3">
        <f>ROUND(2/100,9)</f>
        <v>0.02</v>
      </c>
      <c r="J253" s="3">
        <v>0</v>
      </c>
      <c r="K253" s="3">
        <f>ROUND(2/100,9)</f>
        <v>0.02</v>
      </c>
      <c r="O253" s="3">
        <f t="shared" si="264"/>
        <v>36.65</v>
      </c>
      <c r="P253" s="3">
        <f t="shared" si="265"/>
        <v>3.46</v>
      </c>
      <c r="Q253" s="3">
        <f>(ROUND((ROUND((((ET253*1.2))*AV253*I253),2)*BB253),2)+ROUND((ROUND(((AE253-((EU253*1.2)))*AV253*I253),2)*BS253),2))</f>
        <v>1.07</v>
      </c>
      <c r="R253" s="3">
        <f>(ROUND((ROUND((((EU253*1.2))*AV253*I253),2)*BS253),2)+ROUND((ROUND(((AE253-((EU253*1.2)))*AV253*I253),2)*BS253),2))</f>
        <v>0.56000000000000005</v>
      </c>
      <c r="S253" s="3">
        <f t="shared" si="268"/>
        <v>32.119999999999997</v>
      </c>
      <c r="T253" s="3">
        <f t="shared" si="269"/>
        <v>0</v>
      </c>
      <c r="U253" s="3">
        <f t="shared" si="270"/>
        <v>4.5984239999999996E-2</v>
      </c>
      <c r="V253" s="3">
        <f t="shared" si="271"/>
        <v>0</v>
      </c>
      <c r="W253" s="3">
        <f t="shared" si="272"/>
        <v>0</v>
      </c>
      <c r="X253" s="3">
        <f>(ROUND((((S253+ROUND((ROUND((((EU253*1.2))*AV253*I253),2)*BS253),2))*AT253)/100),2)+ROUND(((ROUND((ROUND(((AE253-((EU253*1.2)))*AV253*I253),2)*BS253),2)*AT253)/100),2))</f>
        <v>31.7</v>
      </c>
      <c r="Y253" s="3">
        <f>(ROUND((((S253+ROUND((ROUND((((EU253*1.2))*AV253*I253),2)*BS253),2))*AU253)/100),2)+ROUND(((ROUND((ROUND(((AE253-((EU253*1.2)))*AV253*I253),2)*BS253),2)*AU253)/100),2))</f>
        <v>16.670000000000002</v>
      </c>
      <c r="AA253" s="3">
        <v>55937298</v>
      </c>
      <c r="AB253" s="3">
        <f t="shared" si="275"/>
        <v>85.626000000000005</v>
      </c>
      <c r="AC253" s="3">
        <f>ROUND(((ES253*1)),6)</f>
        <v>55.47</v>
      </c>
      <c r="AD253" s="3">
        <f>ROUND(((((ET253*1.2))-((EU253*1.2)))+AE253),6)</f>
        <v>3.1440000000000001</v>
      </c>
      <c r="AE253" s="3">
        <f>ROUND(((EU253*1.2)),6)</f>
        <v>0.36</v>
      </c>
      <c r="AF253" s="3">
        <f>ROUND(((EV253*1.2)),6)</f>
        <v>27.012</v>
      </c>
      <c r="AG253" s="3">
        <f t="shared" si="279"/>
        <v>0</v>
      </c>
      <c r="AH253" s="3">
        <f>((EW253*1.2))</f>
        <v>2.1960000000000002</v>
      </c>
      <c r="AI253" s="3">
        <f>((EX253*1.2))</f>
        <v>0</v>
      </c>
      <c r="AJ253" s="3">
        <f t="shared" si="281"/>
        <v>0</v>
      </c>
      <c r="AK253" s="3">
        <v>80.599999999999994</v>
      </c>
      <c r="AL253" s="3">
        <v>55.47</v>
      </c>
      <c r="AM253" s="3">
        <v>2.62</v>
      </c>
      <c r="AN253" s="3">
        <v>0.3</v>
      </c>
      <c r="AO253" s="3">
        <v>22.51</v>
      </c>
      <c r="AP253" s="3">
        <v>0</v>
      </c>
      <c r="AQ253" s="3">
        <v>1.83</v>
      </c>
      <c r="AR253" s="3">
        <v>0</v>
      </c>
      <c r="AS253" s="3">
        <v>0</v>
      </c>
      <c r="AT253" s="3">
        <v>97</v>
      </c>
      <c r="AU253" s="3">
        <v>51</v>
      </c>
      <c r="AV253" s="3">
        <v>1.0469999999999999</v>
      </c>
      <c r="AW253" s="3">
        <v>1</v>
      </c>
      <c r="AZ253" s="3">
        <v>1</v>
      </c>
      <c r="BA253" s="3">
        <v>56.35</v>
      </c>
      <c r="BB253" s="3">
        <v>15.28</v>
      </c>
      <c r="BC253" s="3">
        <v>3.12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0</v>
      </c>
      <c r="BI253" s="3">
        <v>2</v>
      </c>
      <c r="BJ253" s="3" t="s">
        <v>407</v>
      </c>
      <c r="BM253" s="3">
        <v>67</v>
      </c>
      <c r="BN253" s="3">
        <v>0</v>
      </c>
      <c r="BO253" s="3" t="s">
        <v>405</v>
      </c>
      <c r="BP253" s="3">
        <v>1</v>
      </c>
      <c r="BQ253" s="3">
        <v>40</v>
      </c>
      <c r="BR253" s="3">
        <v>0</v>
      </c>
      <c r="BS253" s="3">
        <v>56.35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97</v>
      </c>
      <c r="CA253" s="3">
        <v>51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797</v>
      </c>
      <c r="CO253" s="3">
        <v>0</v>
      </c>
      <c r="CP253" s="3">
        <f t="shared" si="282"/>
        <v>36.65</v>
      </c>
      <c r="CQ253" s="3">
        <f t="shared" si="283"/>
        <v>173.07</v>
      </c>
      <c r="CR253" s="3">
        <f>(ROUND((ROUND((((ET253*1.2))*AV253*1),2)*BB253),2)+ROUND((ROUND(((AE253-((EU253*1.2)))*AV253*1),2)*BS253),2))</f>
        <v>50.27</v>
      </c>
      <c r="CS253" s="3">
        <f>(ROUND((ROUND((((EU253*1.2))*AV253*1),2)*BS253),2)+ROUND((ROUND(((AE253-((EU253*1.2)))*AV253*1),2)*BS253),2))</f>
        <v>21.41</v>
      </c>
      <c r="CT253" s="3">
        <f t="shared" si="286"/>
        <v>1593.58</v>
      </c>
      <c r="CU253" s="3">
        <f t="shared" si="287"/>
        <v>0</v>
      </c>
      <c r="CV253" s="3">
        <f t="shared" si="288"/>
        <v>2.2992119999999998</v>
      </c>
      <c r="CW253" s="3">
        <f t="shared" si="289"/>
        <v>0</v>
      </c>
      <c r="CX253" s="3">
        <f t="shared" si="290"/>
        <v>0</v>
      </c>
      <c r="CY253" s="3">
        <f>(ROUND((((S253+ROUND((ROUND((((EU253*1.2))*AV253*1),2)*BS253),2))*AT253)/100),2)+ROUND(((ROUND((ROUND(((AE253-((EU253*1.2)))*AV253*1),2)*BS253),2)*AT253)/100),2))</f>
        <v>51.92</v>
      </c>
      <c r="CZ253" s="3">
        <f>(ROUND((((S253+ROUND((ROUND((((EU253*1.2))*AV253*1),2)*BS253),2))*AU253)/100),2)+ROUND(((ROUND((ROUND(((AE253-((EU253*1.2)))*AV253*1),2)*BS253),2)*AU253)/100),2))</f>
        <v>27.3</v>
      </c>
      <c r="DB253" s="3">
        <v>122</v>
      </c>
      <c r="DC253" s="3" t="s">
        <v>3</v>
      </c>
      <c r="DD253" s="3" t="s">
        <v>113</v>
      </c>
      <c r="DE253" s="3" t="s">
        <v>114</v>
      </c>
      <c r="DF253" s="3" t="s">
        <v>114</v>
      </c>
      <c r="DG253" s="3" t="s">
        <v>114</v>
      </c>
      <c r="DH253" s="3" t="s">
        <v>3</v>
      </c>
      <c r="DI253" s="3" t="s">
        <v>114</v>
      </c>
      <c r="DJ253" s="3" t="s">
        <v>114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1003</v>
      </c>
      <c r="DV253" s="3" t="s">
        <v>111</v>
      </c>
      <c r="DW253" s="3" t="s">
        <v>111</v>
      </c>
      <c r="DX253" s="3">
        <v>100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55393699</v>
      </c>
      <c r="EF253" s="3">
        <v>40</v>
      </c>
      <c r="EG253" s="3" t="s">
        <v>26</v>
      </c>
      <c r="EH253" s="3">
        <v>0</v>
      </c>
      <c r="EI253" s="3" t="s">
        <v>3</v>
      </c>
      <c r="EJ253" s="3">
        <v>2</v>
      </c>
      <c r="EK253" s="3">
        <v>67</v>
      </c>
      <c r="EL253" s="3" t="s">
        <v>62</v>
      </c>
      <c r="EM253" s="3" t="s">
        <v>63</v>
      </c>
      <c r="EO253" s="3" t="s">
        <v>118</v>
      </c>
      <c r="EQ253" s="3">
        <v>0</v>
      </c>
      <c r="ER253" s="3">
        <v>80.599999999999994</v>
      </c>
      <c r="ES253" s="3">
        <v>55.47</v>
      </c>
      <c r="ET253" s="3">
        <v>2.62</v>
      </c>
      <c r="EU253" s="3">
        <v>0.3</v>
      </c>
      <c r="EV253" s="3">
        <v>22.51</v>
      </c>
      <c r="EW253" s="3">
        <v>1.83</v>
      </c>
      <c r="EX253" s="3">
        <v>0</v>
      </c>
      <c r="EY253" s="3">
        <v>0</v>
      </c>
      <c r="FQ253" s="3">
        <v>0</v>
      </c>
      <c r="FR253" s="3">
        <v>0</v>
      </c>
      <c r="FS253" s="3">
        <v>0</v>
      </c>
      <c r="FX253" s="3">
        <v>97</v>
      </c>
      <c r="FY253" s="3">
        <v>51</v>
      </c>
      <c r="GA253" s="3" t="s">
        <v>3</v>
      </c>
      <c r="GD253" s="3">
        <v>1</v>
      </c>
      <c r="GF253" s="3">
        <v>370634059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93"/>
        <v>0</v>
      </c>
      <c r="GM253" s="3">
        <f t="shared" si="294"/>
        <v>85.02</v>
      </c>
      <c r="GN253" s="3">
        <f t="shared" si="295"/>
        <v>0</v>
      </c>
      <c r="GO253" s="3">
        <f t="shared" si="296"/>
        <v>85.02</v>
      </c>
      <c r="GP253" s="3">
        <f t="shared" si="297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98"/>
        <v>0</v>
      </c>
      <c r="GW253" s="3">
        <v>1</v>
      </c>
      <c r="GX253" s="3">
        <f t="shared" si="299"/>
        <v>0</v>
      </c>
      <c r="HA253" s="3">
        <v>0</v>
      </c>
      <c r="HB253" s="3">
        <v>0</v>
      </c>
      <c r="HC253" s="3">
        <f t="shared" si="300"/>
        <v>0</v>
      </c>
      <c r="HE253" s="3" t="s">
        <v>3</v>
      </c>
      <c r="HF253" s="3" t="s">
        <v>3</v>
      </c>
      <c r="HM253" s="3" t="s">
        <v>3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">
      <c r="A254" s="2">
        <v>17</v>
      </c>
      <c r="B254" s="2">
        <v>1</v>
      </c>
      <c r="C254" s="2"/>
      <c r="D254" s="2"/>
      <c r="E254" s="2" t="s">
        <v>408</v>
      </c>
      <c r="F254" s="2" t="s">
        <v>401</v>
      </c>
      <c r="G254" s="2" t="s">
        <v>402</v>
      </c>
      <c r="H254" s="2" t="s">
        <v>332</v>
      </c>
      <c r="I254" s="2">
        <f>ROUND(2*1.03,9)</f>
        <v>2.06</v>
      </c>
      <c r="J254" s="2">
        <v>0</v>
      </c>
      <c r="K254" s="2">
        <f>ROUND(2*1.03,9)</f>
        <v>2.06</v>
      </c>
      <c r="L254" s="2"/>
      <c r="M254" s="2"/>
      <c r="N254" s="2"/>
      <c r="O254" s="2">
        <f t="shared" si="264"/>
        <v>23.94</v>
      </c>
      <c r="P254" s="2">
        <f t="shared" si="265"/>
        <v>23.94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268"/>
        <v>0</v>
      </c>
      <c r="T254" s="2">
        <f t="shared" si="269"/>
        <v>0</v>
      </c>
      <c r="U254" s="2">
        <f t="shared" si="270"/>
        <v>0</v>
      </c>
      <c r="V254" s="2">
        <f t="shared" si="271"/>
        <v>0</v>
      </c>
      <c r="W254" s="2">
        <f t="shared" si="272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55937296</v>
      </c>
      <c r="AB254" s="2">
        <f t="shared" si="275"/>
        <v>11.62</v>
      </c>
      <c r="AC254" s="2">
        <f>ROUND((ES254),6)</f>
        <v>11.62</v>
      </c>
      <c r="AD254" s="2">
        <f>ROUND((((ET254)-(EU254))+AE254),6)</f>
        <v>0</v>
      </c>
      <c r="AE254" s="2">
        <f>ROUND((EU254),6)</f>
        <v>0</v>
      </c>
      <c r="AF254" s="2">
        <f>ROUND((EV254),6)</f>
        <v>0</v>
      </c>
      <c r="AG254" s="2">
        <f t="shared" si="279"/>
        <v>0</v>
      </c>
      <c r="AH254" s="2">
        <f>(EW254)</f>
        <v>0</v>
      </c>
      <c r="AI254" s="2">
        <f>(EX254)</f>
        <v>0</v>
      </c>
      <c r="AJ254" s="2">
        <f t="shared" si="281"/>
        <v>0</v>
      </c>
      <c r="AK254" s="2">
        <v>11.620000000000001</v>
      </c>
      <c r="AL254" s="2">
        <v>11.620000000000001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2</v>
      </c>
      <c r="BJ254" s="2" t="s">
        <v>401</v>
      </c>
      <c r="BK254" s="2"/>
      <c r="BL254" s="2"/>
      <c r="BM254" s="2">
        <v>400005</v>
      </c>
      <c r="BN254" s="2">
        <v>0</v>
      </c>
      <c r="BO254" s="2" t="s">
        <v>3</v>
      </c>
      <c r="BP254" s="2">
        <v>0</v>
      </c>
      <c r="BQ254" s="2">
        <v>213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0</v>
      </c>
      <c r="CA254" s="2">
        <v>0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3</v>
      </c>
      <c r="CO254" s="2">
        <v>0</v>
      </c>
      <c r="CP254" s="2">
        <f t="shared" si="282"/>
        <v>23.94</v>
      </c>
      <c r="CQ254" s="2">
        <f t="shared" si="283"/>
        <v>11.62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286"/>
        <v>0</v>
      </c>
      <c r="CU254" s="2">
        <f t="shared" si="287"/>
        <v>0</v>
      </c>
      <c r="CV254" s="2">
        <f t="shared" si="288"/>
        <v>0</v>
      </c>
      <c r="CW254" s="2">
        <f t="shared" si="289"/>
        <v>0</v>
      </c>
      <c r="CX254" s="2">
        <f t="shared" si="290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1003</v>
      </c>
      <c r="DV254" s="2" t="s">
        <v>332</v>
      </c>
      <c r="DW254" s="2" t="s">
        <v>332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55393628</v>
      </c>
      <c r="EF254" s="2">
        <v>213</v>
      </c>
      <c r="EG254" s="2" t="s">
        <v>322</v>
      </c>
      <c r="EH254" s="2">
        <v>0</v>
      </c>
      <c r="EI254" s="2" t="s">
        <v>3</v>
      </c>
      <c r="EJ254" s="2">
        <v>1</v>
      </c>
      <c r="EK254" s="2">
        <v>400005</v>
      </c>
      <c r="EL254" s="2" t="s">
        <v>322</v>
      </c>
      <c r="EM254" s="2" t="s">
        <v>323</v>
      </c>
      <c r="EN254" s="2"/>
      <c r="EO254" s="2" t="s">
        <v>3</v>
      </c>
      <c r="EP254" s="2"/>
      <c r="EQ254" s="2">
        <v>16</v>
      </c>
      <c r="ER254" s="2">
        <v>0</v>
      </c>
      <c r="ES254" s="2">
        <v>11.620000000000001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0</v>
      </c>
      <c r="FY254" s="2">
        <v>0</v>
      </c>
      <c r="FZ254" s="2"/>
      <c r="GA254" s="2" t="s">
        <v>403</v>
      </c>
      <c r="GB254" s="2"/>
      <c r="GC254" s="2"/>
      <c r="GD254" s="2">
        <v>1</v>
      </c>
      <c r="GE254" s="2"/>
      <c r="GF254" s="2">
        <v>1773367642</v>
      </c>
      <c r="GG254" s="2">
        <v>2</v>
      </c>
      <c r="GH254" s="2">
        <v>4</v>
      </c>
      <c r="GI254" s="2">
        <v>-2</v>
      </c>
      <c r="GJ254" s="2">
        <v>0</v>
      </c>
      <c r="GK254" s="2">
        <v>0</v>
      </c>
      <c r="GL254" s="2">
        <f t="shared" si="293"/>
        <v>0</v>
      </c>
      <c r="GM254" s="2">
        <f t="shared" si="294"/>
        <v>23.94</v>
      </c>
      <c r="GN254" s="2">
        <f t="shared" si="295"/>
        <v>0</v>
      </c>
      <c r="GO254" s="2">
        <f t="shared" si="296"/>
        <v>23.94</v>
      </c>
      <c r="GP254" s="2">
        <f t="shared" si="297"/>
        <v>0</v>
      </c>
      <c r="GQ254" s="2"/>
      <c r="GR254" s="2">
        <v>1</v>
      </c>
      <c r="GS254" s="2">
        <v>2</v>
      </c>
      <c r="GT254" s="2">
        <v>0</v>
      </c>
      <c r="GU254" s="2" t="s">
        <v>3</v>
      </c>
      <c r="GV254" s="2">
        <f t="shared" si="298"/>
        <v>0</v>
      </c>
      <c r="GW254" s="2">
        <v>1</v>
      </c>
      <c r="GX254" s="2">
        <f t="shared" si="299"/>
        <v>0</v>
      </c>
      <c r="GY254" s="2"/>
      <c r="GZ254" s="2"/>
      <c r="HA254" s="2">
        <v>0</v>
      </c>
      <c r="HB254" s="2">
        <v>0</v>
      </c>
      <c r="HC254" s="2">
        <f t="shared" si="300"/>
        <v>0</v>
      </c>
      <c r="HD254" s="2"/>
      <c r="HE254" s="2" t="s">
        <v>325</v>
      </c>
      <c r="HF254" s="2" t="s">
        <v>30</v>
      </c>
      <c r="HG254" s="2"/>
      <c r="HH254" s="2"/>
      <c r="HI254" s="2"/>
      <c r="HJ254" s="2"/>
      <c r="HK254" s="2"/>
      <c r="HL254" s="2"/>
      <c r="HM254" s="2" t="s">
        <v>3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 s="3">
        <v>17</v>
      </c>
      <c r="B255" s="3">
        <v>1</v>
      </c>
      <c r="E255" s="3" t="s">
        <v>408</v>
      </c>
      <c r="F255" s="3" t="s">
        <v>401</v>
      </c>
      <c r="G255" s="3" t="s">
        <v>402</v>
      </c>
      <c r="H255" s="3" t="s">
        <v>332</v>
      </c>
      <c r="I255" s="3">
        <f>ROUND(2*1.03,9)</f>
        <v>2.06</v>
      </c>
      <c r="J255" s="3">
        <v>0</v>
      </c>
      <c r="K255" s="3">
        <f>ROUND(2*1.03,9)</f>
        <v>2.06</v>
      </c>
      <c r="O255" s="3">
        <f t="shared" si="264"/>
        <v>236.05</v>
      </c>
      <c r="P255" s="3">
        <f t="shared" si="265"/>
        <v>236.05</v>
      </c>
      <c r="Q255" s="3">
        <f>(ROUND((ROUND(((ET255)*AV255*I255),2)*BB255),2)+ROUND((ROUND(((AE255-(EU255))*AV255*I255),2)*BS255),2))</f>
        <v>0</v>
      </c>
      <c r="R255" s="3">
        <f>(ROUND((ROUND(((EU255)*AV255*I255),2)*BS255),2)+ROUND((ROUND(((AE255-(EU255))*AV255*I255),2)*BS255),2))</f>
        <v>0</v>
      </c>
      <c r="S255" s="3">
        <f t="shared" si="268"/>
        <v>0</v>
      </c>
      <c r="T255" s="3">
        <f t="shared" si="269"/>
        <v>0</v>
      </c>
      <c r="U255" s="3">
        <f t="shared" si="270"/>
        <v>0</v>
      </c>
      <c r="V255" s="3">
        <f t="shared" si="271"/>
        <v>0</v>
      </c>
      <c r="W255" s="3">
        <f t="shared" si="272"/>
        <v>0</v>
      </c>
      <c r="X255" s="3">
        <f>(ROUND((((S255+ROUND((ROUND(((EU255)*AV255*I255),2)*BS255),2))*AT255)/100),2)+ROUND(((ROUND((ROUND(((AE255-(EU255))*AV255*I255),2)*BS255),2)*AT255)/100),2))</f>
        <v>0</v>
      </c>
      <c r="Y255" s="3">
        <f>(ROUND((((S255+ROUND((ROUND(((EU255)*AV255*I255),2)*BS255),2))*AU255)/100),2)+ROUND(((ROUND((ROUND(((AE255-(EU255))*AV255*I255),2)*BS255),2)*AU255)/100),2))</f>
        <v>0</v>
      </c>
      <c r="AA255" s="3">
        <v>55937298</v>
      </c>
      <c r="AB255" s="3">
        <f t="shared" si="275"/>
        <v>11.62</v>
      </c>
      <c r="AC255" s="3">
        <f>ROUND((ES255),6)</f>
        <v>11.62</v>
      </c>
      <c r="AD255" s="3">
        <f>ROUND((((ET255)-(EU255))+AE255),6)</f>
        <v>0</v>
      </c>
      <c r="AE255" s="3">
        <f>ROUND((EU255),6)</f>
        <v>0</v>
      </c>
      <c r="AF255" s="3">
        <f>ROUND((EV255),6)</f>
        <v>0</v>
      </c>
      <c r="AG255" s="3">
        <f t="shared" si="279"/>
        <v>0</v>
      </c>
      <c r="AH255" s="3">
        <f>(EW255)</f>
        <v>0</v>
      </c>
      <c r="AI255" s="3">
        <f>(EX255)</f>
        <v>0</v>
      </c>
      <c r="AJ255" s="3">
        <f t="shared" si="281"/>
        <v>0</v>
      </c>
      <c r="AK255" s="3">
        <v>11.620000000000001</v>
      </c>
      <c r="AL255" s="3">
        <v>11.620000000000001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9.86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2</v>
      </c>
      <c r="BJ255" s="3" t="s">
        <v>401</v>
      </c>
      <c r="BM255" s="3">
        <v>400005</v>
      </c>
      <c r="BN255" s="3">
        <v>0</v>
      </c>
      <c r="BO255" s="3" t="s">
        <v>3</v>
      </c>
      <c r="BP255" s="3">
        <v>0</v>
      </c>
      <c r="BQ255" s="3">
        <v>213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0</v>
      </c>
      <c r="CA255" s="3">
        <v>0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3</v>
      </c>
      <c r="CO255" s="3">
        <v>0</v>
      </c>
      <c r="CP255" s="3">
        <f t="shared" si="282"/>
        <v>236.05</v>
      </c>
      <c r="CQ255" s="3">
        <f t="shared" si="283"/>
        <v>114.57</v>
      </c>
      <c r="CR255" s="3">
        <f>(ROUND((ROUND(((ET255)*AV255*1),2)*BB255),2)+ROUND((ROUND(((AE255-(EU255))*AV255*1),2)*BS255),2))</f>
        <v>0</v>
      </c>
      <c r="CS255" s="3">
        <f>(ROUND((ROUND(((EU255)*AV255*1),2)*BS255),2)+ROUND((ROUND(((AE255-(EU255))*AV255*1),2)*BS255),2))</f>
        <v>0</v>
      </c>
      <c r="CT255" s="3">
        <f t="shared" si="286"/>
        <v>0</v>
      </c>
      <c r="CU255" s="3">
        <f t="shared" si="287"/>
        <v>0</v>
      </c>
      <c r="CV255" s="3">
        <f t="shared" si="288"/>
        <v>0</v>
      </c>
      <c r="CW255" s="3">
        <f t="shared" si="289"/>
        <v>0</v>
      </c>
      <c r="CX255" s="3">
        <f t="shared" si="290"/>
        <v>0</v>
      </c>
      <c r="CY255" s="3">
        <f>(ROUND((((S255+ROUND((ROUND(((EU255)*AV255*1),2)*BS255),2))*AT255)/100),2)+ROUND(((ROUND((ROUND(((AE255-(EU255))*AV255*1),2)*BS255),2)*AT255)/100),2))</f>
        <v>0</v>
      </c>
      <c r="CZ255" s="3">
        <f>(ROUND((((S255+ROUND((ROUND(((EU255)*AV255*1),2)*BS255),2))*AU255)/100),2)+ROUND(((ROUND((ROUND(((AE255-(EU255))*AV255*1),2)*BS255),2)*AU255)/100),2))</f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1003</v>
      </c>
      <c r="DV255" s="3" t="s">
        <v>332</v>
      </c>
      <c r="DW255" s="3" t="s">
        <v>332</v>
      </c>
      <c r="DX255" s="3">
        <v>1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55393628</v>
      </c>
      <c r="EF255" s="3">
        <v>213</v>
      </c>
      <c r="EG255" s="3" t="s">
        <v>322</v>
      </c>
      <c r="EH255" s="3">
        <v>0</v>
      </c>
      <c r="EI255" s="3" t="s">
        <v>3</v>
      </c>
      <c r="EJ255" s="3">
        <v>1</v>
      </c>
      <c r="EK255" s="3">
        <v>400005</v>
      </c>
      <c r="EL255" s="3" t="s">
        <v>322</v>
      </c>
      <c r="EM255" s="3" t="s">
        <v>323</v>
      </c>
      <c r="EO255" s="3" t="s">
        <v>3</v>
      </c>
      <c r="EQ255" s="3">
        <v>16</v>
      </c>
      <c r="ER255" s="3">
        <v>0</v>
      </c>
      <c r="ES255" s="3">
        <v>11.620000000000001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5</v>
      </c>
      <c r="FC255" s="3">
        <v>1</v>
      </c>
      <c r="FD255" s="3">
        <v>18</v>
      </c>
      <c r="FF255" s="3">
        <v>136.97</v>
      </c>
      <c r="FQ255" s="3">
        <v>0</v>
      </c>
      <c r="FR255" s="3">
        <v>0</v>
      </c>
      <c r="FS255" s="3">
        <v>0</v>
      </c>
      <c r="FX255" s="3">
        <v>0</v>
      </c>
      <c r="FY255" s="3">
        <v>0</v>
      </c>
      <c r="GA255" s="3" t="s">
        <v>403</v>
      </c>
      <c r="GD255" s="3">
        <v>1</v>
      </c>
      <c r="GF255" s="3">
        <v>1773367642</v>
      </c>
      <c r="GG255" s="3">
        <v>2</v>
      </c>
      <c r="GH255" s="3">
        <v>3</v>
      </c>
      <c r="GI255" s="3">
        <v>5</v>
      </c>
      <c r="GJ255" s="3">
        <v>0</v>
      </c>
      <c r="GK255" s="3">
        <v>0</v>
      </c>
      <c r="GL255" s="3">
        <f t="shared" si="293"/>
        <v>0</v>
      </c>
      <c r="GM255" s="3">
        <f t="shared" si="294"/>
        <v>236.05</v>
      </c>
      <c r="GN255" s="3">
        <f t="shared" si="295"/>
        <v>0</v>
      </c>
      <c r="GO255" s="3">
        <f t="shared" si="296"/>
        <v>236.05</v>
      </c>
      <c r="GP255" s="3">
        <f t="shared" si="297"/>
        <v>0</v>
      </c>
      <c r="GR255" s="3">
        <v>1</v>
      </c>
      <c r="GS255" s="3">
        <v>1</v>
      </c>
      <c r="GT255" s="3">
        <v>0</v>
      </c>
      <c r="GU255" s="3" t="s">
        <v>3</v>
      </c>
      <c r="GV255" s="3">
        <f t="shared" si="298"/>
        <v>0</v>
      </c>
      <c r="GW255" s="3">
        <v>1</v>
      </c>
      <c r="GX255" s="3">
        <f t="shared" si="299"/>
        <v>0</v>
      </c>
      <c r="HA255" s="3">
        <v>0</v>
      </c>
      <c r="HB255" s="3">
        <v>0</v>
      </c>
      <c r="HC255" s="3">
        <f t="shared" si="300"/>
        <v>0</v>
      </c>
      <c r="HE255" s="3" t="s">
        <v>325</v>
      </c>
      <c r="HF255" s="3" t="s">
        <v>30</v>
      </c>
      <c r="HM255" s="3" t="s">
        <v>3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">
      <c r="A256" s="2">
        <v>17</v>
      </c>
      <c r="B256" s="2">
        <v>1</v>
      </c>
      <c r="C256" s="2">
        <f>ROW(SmtRes!A346)</f>
        <v>346</v>
      </c>
      <c r="D256" s="2">
        <f>ROW(EtalonRes!A418)</f>
        <v>418</v>
      </c>
      <c r="E256" s="2" t="s">
        <v>409</v>
      </c>
      <c r="F256" s="2" t="s">
        <v>410</v>
      </c>
      <c r="G256" s="2" t="s">
        <v>411</v>
      </c>
      <c r="H256" s="2" t="s">
        <v>111</v>
      </c>
      <c r="I256" s="2">
        <f>ROUND(90/100,9)</f>
        <v>0.9</v>
      </c>
      <c r="J256" s="2">
        <v>0</v>
      </c>
      <c r="K256" s="2">
        <f>ROUND(90/100,9)</f>
        <v>0.9</v>
      </c>
      <c r="L256" s="2"/>
      <c r="M256" s="2"/>
      <c r="N256" s="2"/>
      <c r="O256" s="2">
        <f t="shared" si="264"/>
        <v>1729.5</v>
      </c>
      <c r="P256" s="2">
        <f t="shared" si="265"/>
        <v>1145.77</v>
      </c>
      <c r="Q256" s="2">
        <f>(ROUND((ROUND((((ET256*1.2))*AV256*I256),2)*BB256),2)+ROUND((ROUND(((AE256-((EU256*1.2)))*AV256*I256),2)*BS256),2))</f>
        <v>13.01</v>
      </c>
      <c r="R256" s="2">
        <f>(ROUND((ROUND((((EU256*1.2))*AV256*I256),2)*BS256),2)+ROUND((ROUND(((AE256-((EU256*1.2)))*AV256*I256),2)*BS256),2))</f>
        <v>0.44</v>
      </c>
      <c r="S256" s="2">
        <f t="shared" si="268"/>
        <v>570.72</v>
      </c>
      <c r="T256" s="2">
        <f t="shared" si="269"/>
        <v>0</v>
      </c>
      <c r="U256" s="2">
        <f t="shared" si="270"/>
        <v>46.324871999999999</v>
      </c>
      <c r="V256" s="2">
        <f t="shared" si="271"/>
        <v>0</v>
      </c>
      <c r="W256" s="2">
        <f t="shared" si="272"/>
        <v>0</v>
      </c>
      <c r="X256" s="2">
        <f>(ROUND((((S256+ROUND((ROUND((((EU256*1.2))*AV256*I256),2)*BS256),2))*AT256)/100),2)+ROUND(((ROUND((ROUND(((AE256-((EU256*1.2)))*AV256*I256),2)*BS256),2)*AT256)/100),2))</f>
        <v>554.03</v>
      </c>
      <c r="Y256" s="2">
        <f>(ROUND((((S256+ROUND((ROUND((((EU256*1.2))*AV256*I256),2)*BS256),2))*AU256)/100),2)+ROUND(((ROUND((ROUND(((AE256-((EU256*1.2)))*AV256*I256),2)*BS256),2)*AU256)/100),2))</f>
        <v>291.29000000000002</v>
      </c>
      <c r="Z256" s="2"/>
      <c r="AA256" s="2">
        <v>55937296</v>
      </c>
      <c r="AB256" s="2">
        <f t="shared" si="275"/>
        <v>1785.55</v>
      </c>
      <c r="AC256" s="2">
        <f>ROUND(((ES256*1)),6)</f>
        <v>1177.69</v>
      </c>
      <c r="AD256" s="2">
        <f>ROUND(((((ET256*1.2))-((EU256*1.2)))+AE256),6)</f>
        <v>13.548</v>
      </c>
      <c r="AE256" s="2">
        <f>ROUND(((EU256*1.2)),6)</f>
        <v>0.45600000000000002</v>
      </c>
      <c r="AF256" s="2">
        <f>ROUND(((EV256*1.2)),6)</f>
        <v>594.31200000000001</v>
      </c>
      <c r="AG256" s="2">
        <f t="shared" si="279"/>
        <v>0</v>
      </c>
      <c r="AH256" s="2">
        <f>((EW256*1.2))</f>
        <v>48.24</v>
      </c>
      <c r="AI256" s="2">
        <f>((EX256*1.2))</f>
        <v>0</v>
      </c>
      <c r="AJ256" s="2">
        <f t="shared" si="281"/>
        <v>0</v>
      </c>
      <c r="AK256" s="2">
        <v>1684.24</v>
      </c>
      <c r="AL256" s="2">
        <v>1177.69</v>
      </c>
      <c r="AM256" s="2">
        <v>11.29</v>
      </c>
      <c r="AN256" s="2">
        <v>0.38</v>
      </c>
      <c r="AO256" s="2">
        <v>495.26</v>
      </c>
      <c r="AP256" s="2">
        <v>0</v>
      </c>
      <c r="AQ256" s="2">
        <v>40.200000000000003</v>
      </c>
      <c r="AR256" s="2">
        <v>0</v>
      </c>
      <c r="AS256" s="2">
        <v>0</v>
      </c>
      <c r="AT256" s="2">
        <v>97</v>
      </c>
      <c r="AU256" s="2">
        <v>51</v>
      </c>
      <c r="AV256" s="2">
        <v>1.0669999999999999</v>
      </c>
      <c r="AW256" s="2">
        <v>1.081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0</v>
      </c>
      <c r="BI256" s="2">
        <v>2</v>
      </c>
      <c r="BJ256" s="2" t="s">
        <v>412</v>
      </c>
      <c r="BK256" s="2"/>
      <c r="BL256" s="2"/>
      <c r="BM256" s="2">
        <v>67</v>
      </c>
      <c r="BN256" s="2">
        <v>0</v>
      </c>
      <c r="BO256" s="2" t="s">
        <v>410</v>
      </c>
      <c r="BP256" s="2">
        <v>1</v>
      </c>
      <c r="BQ256" s="2">
        <v>40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97</v>
      </c>
      <c r="CA256" s="2">
        <v>51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797</v>
      </c>
      <c r="CO256" s="2">
        <v>0</v>
      </c>
      <c r="CP256" s="2">
        <f t="shared" si="282"/>
        <v>1729.5</v>
      </c>
      <c r="CQ256" s="2">
        <f t="shared" si="283"/>
        <v>1273.08</v>
      </c>
      <c r="CR256" s="2">
        <f>(ROUND((ROUND((((ET256*1.2))*AV256*1),2)*BB256),2)+ROUND((ROUND(((AE256-((EU256*1.2)))*AV256*1),2)*BS256),2))</f>
        <v>14.46</v>
      </c>
      <c r="CS256" s="2">
        <f>(ROUND((ROUND((((EU256*1.2))*AV256*1),2)*BS256),2)+ROUND((ROUND(((AE256-((EU256*1.2)))*AV256*1),2)*BS256),2))</f>
        <v>0.49</v>
      </c>
      <c r="CT256" s="2">
        <f t="shared" si="286"/>
        <v>634.13</v>
      </c>
      <c r="CU256" s="2">
        <f t="shared" si="287"/>
        <v>0</v>
      </c>
      <c r="CV256" s="2">
        <f t="shared" si="288"/>
        <v>51.472079999999998</v>
      </c>
      <c r="CW256" s="2">
        <f t="shared" si="289"/>
        <v>0</v>
      </c>
      <c r="CX256" s="2">
        <f t="shared" si="290"/>
        <v>0</v>
      </c>
      <c r="CY256" s="2">
        <f>(ROUND((((S256+ROUND((ROUND((((EU256*1.2))*AV256*1),2)*BS256),2))*AT256)/100),2)+ROUND(((ROUND((ROUND(((AE256-((EU256*1.2)))*AV256*1),2)*BS256),2)*AT256)/100),2))</f>
        <v>554.07000000000005</v>
      </c>
      <c r="CZ256" s="2">
        <f>(ROUND((((S256+ROUND((ROUND((((EU256*1.2))*AV256*1),2)*BS256),2))*AU256)/100),2)+ROUND(((ROUND((ROUND(((AE256-((EU256*1.2)))*AV256*1),2)*BS256),2)*AU256)/100),2))</f>
        <v>291.32</v>
      </c>
      <c r="DA256" s="2"/>
      <c r="DB256" s="2">
        <v>123</v>
      </c>
      <c r="DC256" s="2" t="s">
        <v>3</v>
      </c>
      <c r="DD256" s="2" t="s">
        <v>113</v>
      </c>
      <c r="DE256" s="2" t="s">
        <v>114</v>
      </c>
      <c r="DF256" s="2" t="s">
        <v>114</v>
      </c>
      <c r="DG256" s="2" t="s">
        <v>114</v>
      </c>
      <c r="DH256" s="2" t="s">
        <v>3</v>
      </c>
      <c r="DI256" s="2" t="s">
        <v>114</v>
      </c>
      <c r="DJ256" s="2" t="s">
        <v>114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1003</v>
      </c>
      <c r="DV256" s="2" t="s">
        <v>111</v>
      </c>
      <c r="DW256" s="2" t="s">
        <v>111</v>
      </c>
      <c r="DX256" s="2">
        <v>100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55393699</v>
      </c>
      <c r="EF256" s="2">
        <v>40</v>
      </c>
      <c r="EG256" s="2" t="s">
        <v>26</v>
      </c>
      <c r="EH256" s="2">
        <v>0</v>
      </c>
      <c r="EI256" s="2" t="s">
        <v>3</v>
      </c>
      <c r="EJ256" s="2">
        <v>2</v>
      </c>
      <c r="EK256" s="2">
        <v>67</v>
      </c>
      <c r="EL256" s="2" t="s">
        <v>62</v>
      </c>
      <c r="EM256" s="2" t="s">
        <v>63</v>
      </c>
      <c r="EN256" s="2"/>
      <c r="EO256" s="2" t="s">
        <v>118</v>
      </c>
      <c r="EP256" s="2"/>
      <c r="EQ256" s="2">
        <v>0</v>
      </c>
      <c r="ER256" s="2">
        <v>1684.24</v>
      </c>
      <c r="ES256" s="2">
        <v>1177.69</v>
      </c>
      <c r="ET256" s="2">
        <v>11.29</v>
      </c>
      <c r="EU256" s="2">
        <v>0.38</v>
      </c>
      <c r="EV256" s="2">
        <v>495.26</v>
      </c>
      <c r="EW256" s="2">
        <v>40.200000000000003</v>
      </c>
      <c r="EX256" s="2">
        <v>0</v>
      </c>
      <c r="EY256" s="2">
        <v>0</v>
      </c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2</v>
      </c>
      <c r="FT256" s="2"/>
      <c r="FU256" s="2"/>
      <c r="FV256" s="2"/>
      <c r="FW256" s="2"/>
      <c r="FX256" s="2">
        <v>97</v>
      </c>
      <c r="FY256" s="2">
        <v>51</v>
      </c>
      <c r="FZ256" s="2"/>
      <c r="GA256" s="2" t="s">
        <v>3</v>
      </c>
      <c r="GB256" s="2"/>
      <c r="GC256" s="2"/>
      <c r="GD256" s="2">
        <v>1</v>
      </c>
      <c r="GE256" s="2"/>
      <c r="GF256" s="2">
        <v>-411004998</v>
      </c>
      <c r="GG256" s="2">
        <v>2</v>
      </c>
      <c r="GH256" s="2">
        <v>1</v>
      </c>
      <c r="GI256" s="2">
        <v>2</v>
      </c>
      <c r="GJ256" s="2">
        <v>0</v>
      </c>
      <c r="GK256" s="2">
        <v>0</v>
      </c>
      <c r="GL256" s="2">
        <f t="shared" si="293"/>
        <v>0</v>
      </c>
      <c r="GM256" s="2">
        <f t="shared" si="294"/>
        <v>2574.8200000000002</v>
      </c>
      <c r="GN256" s="2">
        <f t="shared" si="295"/>
        <v>0</v>
      </c>
      <c r="GO256" s="2">
        <f t="shared" si="296"/>
        <v>2574.8200000000002</v>
      </c>
      <c r="GP256" s="2">
        <f t="shared" si="297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298"/>
        <v>0</v>
      </c>
      <c r="GW256" s="2">
        <v>1</v>
      </c>
      <c r="GX256" s="2">
        <f t="shared" si="299"/>
        <v>0</v>
      </c>
      <c r="GY256" s="2"/>
      <c r="GZ256" s="2"/>
      <c r="HA256" s="2">
        <v>0</v>
      </c>
      <c r="HB256" s="2">
        <v>0</v>
      </c>
      <c r="HC256" s="2">
        <f t="shared" si="300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">
      <c r="A257" s="3">
        <v>17</v>
      </c>
      <c r="B257" s="3">
        <v>1</v>
      </c>
      <c r="C257" s="3">
        <f>ROW(SmtRes!A354)</f>
        <v>354</v>
      </c>
      <c r="D257" s="3">
        <f>ROW(EtalonRes!A426)</f>
        <v>426</v>
      </c>
      <c r="E257" s="3" t="s">
        <v>409</v>
      </c>
      <c r="F257" s="3" t="s">
        <v>410</v>
      </c>
      <c r="G257" s="3" t="s">
        <v>411</v>
      </c>
      <c r="H257" s="3" t="s">
        <v>111</v>
      </c>
      <c r="I257" s="3">
        <f>ROUND(90/100,9)</f>
        <v>0.9</v>
      </c>
      <c r="J257" s="3">
        <v>0</v>
      </c>
      <c r="K257" s="3">
        <f>ROUND(90/100,9)</f>
        <v>0.9</v>
      </c>
      <c r="O257" s="3">
        <f t="shared" si="264"/>
        <v>39053.72</v>
      </c>
      <c r="P257" s="3">
        <f t="shared" si="265"/>
        <v>6748.59</v>
      </c>
      <c r="Q257" s="3">
        <f>(ROUND((ROUND((((ET257*1.2))*AV257*I257),2)*BB257),2)+ROUND((ROUND(((AE257-((EU257*1.2)))*AV257*I257),2)*BS257),2))</f>
        <v>145.06</v>
      </c>
      <c r="R257" s="3">
        <f>(ROUND((ROUND((((EU257*1.2))*AV257*I257),2)*BS257),2)+ROUND((ROUND(((AE257-((EU257*1.2)))*AV257*I257),2)*BS257),2))</f>
        <v>24.79</v>
      </c>
      <c r="S257" s="3">
        <f t="shared" si="268"/>
        <v>32160.07</v>
      </c>
      <c r="T257" s="3">
        <f t="shared" si="269"/>
        <v>0</v>
      </c>
      <c r="U257" s="3">
        <f t="shared" si="270"/>
        <v>46.324871999999999</v>
      </c>
      <c r="V257" s="3">
        <f t="shared" si="271"/>
        <v>0</v>
      </c>
      <c r="W257" s="3">
        <f t="shared" si="272"/>
        <v>0</v>
      </c>
      <c r="X257" s="3">
        <f>(ROUND((((S257+ROUND((ROUND((((EU257*1.2))*AV257*I257),2)*BS257),2))*AT257)/100),2)+ROUND(((ROUND((ROUND(((AE257-((EU257*1.2)))*AV257*I257),2)*BS257),2)*AT257)/100),2))</f>
        <v>31219.31</v>
      </c>
      <c r="Y257" s="3">
        <f>(ROUND((((S257+ROUND((ROUND((((EU257*1.2))*AV257*I257),2)*BS257),2))*AU257)/100),2)+ROUND(((ROUND((ROUND(((AE257-((EU257*1.2)))*AV257*I257),2)*BS257),2)*AU257)/100),2))</f>
        <v>16414.28</v>
      </c>
      <c r="AA257" s="3">
        <v>55937298</v>
      </c>
      <c r="AB257" s="3">
        <f t="shared" si="275"/>
        <v>1785.55</v>
      </c>
      <c r="AC257" s="3">
        <f>ROUND(((ES257*1)),6)</f>
        <v>1177.69</v>
      </c>
      <c r="AD257" s="3">
        <f>ROUND(((((ET257*1.2))-((EU257*1.2)))+AE257),6)</f>
        <v>13.548</v>
      </c>
      <c r="AE257" s="3">
        <f>ROUND(((EU257*1.2)),6)</f>
        <v>0.45600000000000002</v>
      </c>
      <c r="AF257" s="3">
        <f>ROUND(((EV257*1.2)),6)</f>
        <v>594.31200000000001</v>
      </c>
      <c r="AG257" s="3">
        <f t="shared" si="279"/>
        <v>0</v>
      </c>
      <c r="AH257" s="3">
        <f>((EW257*1.2))</f>
        <v>48.24</v>
      </c>
      <c r="AI257" s="3">
        <f>((EX257*1.2))</f>
        <v>0</v>
      </c>
      <c r="AJ257" s="3">
        <f t="shared" si="281"/>
        <v>0</v>
      </c>
      <c r="AK257" s="3">
        <v>1684.24</v>
      </c>
      <c r="AL257" s="3">
        <v>1177.69</v>
      </c>
      <c r="AM257" s="3">
        <v>11.29</v>
      </c>
      <c r="AN257" s="3">
        <v>0.38</v>
      </c>
      <c r="AO257" s="3">
        <v>495.26</v>
      </c>
      <c r="AP257" s="3">
        <v>0</v>
      </c>
      <c r="AQ257" s="3">
        <v>40.200000000000003</v>
      </c>
      <c r="AR257" s="3">
        <v>0</v>
      </c>
      <c r="AS257" s="3">
        <v>0</v>
      </c>
      <c r="AT257" s="3">
        <v>97</v>
      </c>
      <c r="AU257" s="3">
        <v>51</v>
      </c>
      <c r="AV257" s="3">
        <v>1.0669999999999999</v>
      </c>
      <c r="AW257" s="3">
        <v>1.081</v>
      </c>
      <c r="AZ257" s="3">
        <v>1</v>
      </c>
      <c r="BA257" s="3">
        <v>56.35</v>
      </c>
      <c r="BB257" s="3">
        <v>11.15</v>
      </c>
      <c r="BC257" s="3">
        <v>5.89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0</v>
      </c>
      <c r="BI257" s="3">
        <v>2</v>
      </c>
      <c r="BJ257" s="3" t="s">
        <v>412</v>
      </c>
      <c r="BM257" s="3">
        <v>67</v>
      </c>
      <c r="BN257" s="3">
        <v>0</v>
      </c>
      <c r="BO257" s="3" t="s">
        <v>410</v>
      </c>
      <c r="BP257" s="3">
        <v>1</v>
      </c>
      <c r="BQ257" s="3">
        <v>40</v>
      </c>
      <c r="BR257" s="3">
        <v>0</v>
      </c>
      <c r="BS257" s="3">
        <v>56.35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97</v>
      </c>
      <c r="CA257" s="3">
        <v>51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797</v>
      </c>
      <c r="CO257" s="3">
        <v>0</v>
      </c>
      <c r="CP257" s="3">
        <f t="shared" si="282"/>
        <v>39053.72</v>
      </c>
      <c r="CQ257" s="3">
        <f t="shared" si="283"/>
        <v>7498.44</v>
      </c>
      <c r="CR257" s="3">
        <f>(ROUND((ROUND((((ET257*1.2))*AV257*1),2)*BB257),2)+ROUND((ROUND(((AE257-((EU257*1.2)))*AV257*1),2)*BS257),2))</f>
        <v>161.22999999999999</v>
      </c>
      <c r="CS257" s="3">
        <f>(ROUND((ROUND((((EU257*1.2))*AV257*1),2)*BS257),2)+ROUND((ROUND(((AE257-((EU257*1.2)))*AV257*1),2)*BS257),2))</f>
        <v>27.61</v>
      </c>
      <c r="CT257" s="3">
        <f t="shared" si="286"/>
        <v>35733.230000000003</v>
      </c>
      <c r="CU257" s="3">
        <f t="shared" si="287"/>
        <v>0</v>
      </c>
      <c r="CV257" s="3">
        <f t="shared" si="288"/>
        <v>51.472079999999998</v>
      </c>
      <c r="CW257" s="3">
        <f t="shared" si="289"/>
        <v>0</v>
      </c>
      <c r="CX257" s="3">
        <f t="shared" si="290"/>
        <v>0</v>
      </c>
      <c r="CY257" s="3">
        <f>(ROUND((((S257+ROUND((ROUND((((EU257*1.2))*AV257*1),2)*BS257),2))*AT257)/100),2)+ROUND(((ROUND((ROUND(((AE257-((EU257*1.2)))*AV257*1),2)*BS257),2)*AT257)/100),2))</f>
        <v>31222.05</v>
      </c>
      <c r="CZ257" s="3">
        <f>(ROUND((((S257+ROUND((ROUND((((EU257*1.2))*AV257*1),2)*BS257),2))*AU257)/100),2)+ROUND(((ROUND((ROUND(((AE257-((EU257*1.2)))*AV257*1),2)*BS257),2)*AU257)/100),2))</f>
        <v>16415.72</v>
      </c>
      <c r="DB257" s="3">
        <v>124</v>
      </c>
      <c r="DC257" s="3" t="s">
        <v>3</v>
      </c>
      <c r="DD257" s="3" t="s">
        <v>113</v>
      </c>
      <c r="DE257" s="3" t="s">
        <v>114</v>
      </c>
      <c r="DF257" s="3" t="s">
        <v>114</v>
      </c>
      <c r="DG257" s="3" t="s">
        <v>114</v>
      </c>
      <c r="DH257" s="3" t="s">
        <v>3</v>
      </c>
      <c r="DI257" s="3" t="s">
        <v>114</v>
      </c>
      <c r="DJ257" s="3" t="s">
        <v>114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1003</v>
      </c>
      <c r="DV257" s="3" t="s">
        <v>111</v>
      </c>
      <c r="DW257" s="3" t="s">
        <v>111</v>
      </c>
      <c r="DX257" s="3">
        <v>100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55393699</v>
      </c>
      <c r="EF257" s="3">
        <v>40</v>
      </c>
      <c r="EG257" s="3" t="s">
        <v>26</v>
      </c>
      <c r="EH257" s="3">
        <v>0</v>
      </c>
      <c r="EI257" s="3" t="s">
        <v>3</v>
      </c>
      <c r="EJ257" s="3">
        <v>2</v>
      </c>
      <c r="EK257" s="3">
        <v>67</v>
      </c>
      <c r="EL257" s="3" t="s">
        <v>62</v>
      </c>
      <c r="EM257" s="3" t="s">
        <v>63</v>
      </c>
      <c r="EO257" s="3" t="s">
        <v>118</v>
      </c>
      <c r="EQ257" s="3">
        <v>0</v>
      </c>
      <c r="ER257" s="3">
        <v>1684.24</v>
      </c>
      <c r="ES257" s="3">
        <v>1177.69</v>
      </c>
      <c r="ET257" s="3">
        <v>11.29</v>
      </c>
      <c r="EU257" s="3">
        <v>0.38</v>
      </c>
      <c r="EV257" s="3">
        <v>495.26</v>
      </c>
      <c r="EW257" s="3">
        <v>40.200000000000003</v>
      </c>
      <c r="EX257" s="3">
        <v>0</v>
      </c>
      <c r="EY257" s="3">
        <v>0</v>
      </c>
      <c r="FQ257" s="3">
        <v>0</v>
      </c>
      <c r="FR257" s="3">
        <v>0</v>
      </c>
      <c r="FS257" s="3">
        <v>2</v>
      </c>
      <c r="FX257" s="3">
        <v>97</v>
      </c>
      <c r="FY257" s="3">
        <v>51</v>
      </c>
      <c r="GA257" s="3" t="s">
        <v>3</v>
      </c>
      <c r="GD257" s="3">
        <v>1</v>
      </c>
      <c r="GF257" s="3">
        <v>-411004998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293"/>
        <v>0</v>
      </c>
      <c r="GM257" s="3">
        <f t="shared" si="294"/>
        <v>86687.31</v>
      </c>
      <c r="GN257" s="3">
        <f t="shared" si="295"/>
        <v>0</v>
      </c>
      <c r="GO257" s="3">
        <f t="shared" si="296"/>
        <v>86687.31</v>
      </c>
      <c r="GP257" s="3">
        <f t="shared" si="297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298"/>
        <v>0</v>
      </c>
      <c r="GW257" s="3">
        <v>1</v>
      </c>
      <c r="GX257" s="3">
        <f t="shared" si="299"/>
        <v>0</v>
      </c>
      <c r="HA257" s="3">
        <v>0</v>
      </c>
      <c r="HB257" s="3">
        <v>0</v>
      </c>
      <c r="HC257" s="3">
        <f t="shared" si="300"/>
        <v>0</v>
      </c>
      <c r="HE257" s="3" t="s">
        <v>3</v>
      </c>
      <c r="HF257" s="3" t="s">
        <v>3</v>
      </c>
      <c r="HM257" s="3" t="s">
        <v>3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">
      <c r="A258" s="2">
        <v>18</v>
      </c>
      <c r="B258" s="2">
        <v>1</v>
      </c>
      <c r="C258" s="2">
        <v>346</v>
      </c>
      <c r="D258" s="2"/>
      <c r="E258" s="2" t="s">
        <v>413</v>
      </c>
      <c r="F258" s="2" t="s">
        <v>414</v>
      </c>
      <c r="G258" s="2" t="s">
        <v>804</v>
      </c>
      <c r="H258" s="2" t="s">
        <v>337</v>
      </c>
      <c r="I258" s="2">
        <f>I256*J258</f>
        <v>9.1800000000000007E-2</v>
      </c>
      <c r="J258" s="2">
        <v>0.10200000000000001</v>
      </c>
      <c r="K258" s="2">
        <v>0.10199999999999999</v>
      </c>
      <c r="L258" s="2"/>
      <c r="M258" s="2"/>
      <c r="N258" s="2"/>
      <c r="O258" s="2">
        <f t="shared" si="264"/>
        <v>483.98</v>
      </c>
      <c r="P258" s="2">
        <f t="shared" si="265"/>
        <v>483.98</v>
      </c>
      <c r="Q258" s="2">
        <f>(ROUND((ROUND(((ET258)*AV258*I258),2)*BB258),2)+ROUND((ROUND(((AE258-(EU258))*AV258*I258),2)*BS258),2))</f>
        <v>0</v>
      </c>
      <c r="R258" s="2">
        <f>(ROUND((ROUND(((EU258)*AV258*I258),2)*BS258),2)+ROUND((ROUND(((AE258-(EU258))*AV258*I258),2)*BS258),2))</f>
        <v>0</v>
      </c>
      <c r="S258" s="2">
        <f t="shared" si="268"/>
        <v>0</v>
      </c>
      <c r="T258" s="2">
        <f t="shared" si="269"/>
        <v>0</v>
      </c>
      <c r="U258" s="2">
        <f t="shared" si="270"/>
        <v>0</v>
      </c>
      <c r="V258" s="2">
        <f t="shared" si="271"/>
        <v>0</v>
      </c>
      <c r="W258" s="2">
        <f t="shared" si="272"/>
        <v>0</v>
      </c>
      <c r="X258" s="2">
        <f>(ROUND((((S258+ROUND((ROUND(((EU258)*AV258*I258),2)*BS258),2))*AT258)/100),2)+ROUND(((ROUND((ROUND(((AE258-(EU258))*AV258*I258),2)*BS258),2)*AT258)/100),2))</f>
        <v>0</v>
      </c>
      <c r="Y258" s="2">
        <f>(ROUND((((S258+ROUND((ROUND(((EU258)*AV258*I258),2)*BS258),2))*AU258)/100),2)+ROUND(((ROUND((ROUND(((AE258-(EU258))*AV258*I258),2)*BS258),2)*AU258)/100),2))</f>
        <v>0</v>
      </c>
      <c r="Z258" s="2"/>
      <c r="AA258" s="2">
        <v>55937296</v>
      </c>
      <c r="AB258" s="2">
        <f t="shared" si="275"/>
        <v>5272.11</v>
      </c>
      <c r="AC258" s="2">
        <f>ROUND((ES258),6)</f>
        <v>5272.11</v>
      </c>
      <c r="AD258" s="2">
        <f>ROUND((((ET258)-(EU258))+AE258),6)</f>
        <v>0</v>
      </c>
      <c r="AE258" s="2">
        <f>ROUND((EU258),6)</f>
        <v>0</v>
      </c>
      <c r="AF258" s="2">
        <f>ROUND((EV258),6)</f>
        <v>0</v>
      </c>
      <c r="AG258" s="2">
        <f t="shared" si="279"/>
        <v>0</v>
      </c>
      <c r="AH258" s="2">
        <f>(EW258)</f>
        <v>0</v>
      </c>
      <c r="AI258" s="2">
        <f>(EX258)</f>
        <v>0</v>
      </c>
      <c r="AJ258" s="2">
        <f t="shared" si="281"/>
        <v>0</v>
      </c>
      <c r="AK258" s="2">
        <v>5272.11</v>
      </c>
      <c r="AL258" s="2">
        <v>5272.11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97</v>
      </c>
      <c r="AU258" s="2">
        <v>51</v>
      </c>
      <c r="AV258" s="2">
        <v>1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3</v>
      </c>
      <c r="BI258" s="2">
        <v>2</v>
      </c>
      <c r="BJ258" s="2" t="s">
        <v>415</v>
      </c>
      <c r="BK258" s="2"/>
      <c r="BL258" s="2"/>
      <c r="BM258" s="2">
        <v>67</v>
      </c>
      <c r="BN258" s="2">
        <v>0</v>
      </c>
      <c r="BO258" s="2" t="s">
        <v>3</v>
      </c>
      <c r="BP258" s="2">
        <v>0</v>
      </c>
      <c r="BQ258" s="2">
        <v>40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97</v>
      </c>
      <c r="CA258" s="2">
        <v>51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798</v>
      </c>
      <c r="CO258" s="2">
        <v>0</v>
      </c>
      <c r="CP258" s="2">
        <f t="shared" si="282"/>
        <v>483.98</v>
      </c>
      <c r="CQ258" s="2">
        <f t="shared" si="283"/>
        <v>5272.11</v>
      </c>
      <c r="CR258" s="2">
        <f>(ROUND((ROUND(((ET258)*AV258*1),2)*BB258),2)+ROUND((ROUND(((AE258-(EU258))*AV258*1),2)*BS258),2))</f>
        <v>0</v>
      </c>
      <c r="CS258" s="2">
        <f>(ROUND((ROUND(((EU258)*AV258*1),2)*BS258),2)+ROUND((ROUND(((AE258-(EU258))*AV258*1),2)*BS258),2))</f>
        <v>0</v>
      </c>
      <c r="CT258" s="2">
        <f t="shared" si="286"/>
        <v>0</v>
      </c>
      <c r="CU258" s="2">
        <f t="shared" si="287"/>
        <v>0</v>
      </c>
      <c r="CV258" s="2">
        <f t="shared" si="288"/>
        <v>0</v>
      </c>
      <c r="CW258" s="2">
        <f t="shared" si="289"/>
        <v>0</v>
      </c>
      <c r="CX258" s="2">
        <f t="shared" si="290"/>
        <v>0</v>
      </c>
      <c r="CY258" s="2">
        <f>(ROUND((((S258+ROUND((ROUND(((EU258)*AV258*1),2)*BS258),2))*AT258)/100),2)+ROUND(((ROUND((ROUND(((AE258-(EU258))*AV258*1),2)*BS258),2)*AT258)/100),2))</f>
        <v>0</v>
      </c>
      <c r="CZ258" s="2">
        <f>(ROUND((((S258+ROUND((ROUND(((EU258)*AV258*1),2)*BS258),2))*AU258)/100),2)+ROUND(((ROUND((ROUND(((AE258-(EU258))*AV258*1),2)*BS258),2)*AU258)/100),2))</f>
        <v>0</v>
      </c>
      <c r="DA258" s="2"/>
      <c r="DB258" s="2"/>
      <c r="DC258" s="2" t="s">
        <v>3</v>
      </c>
      <c r="DD258" s="2" t="s">
        <v>3</v>
      </c>
      <c r="DE258" s="2" t="s">
        <v>3</v>
      </c>
      <c r="DF258" s="2" t="s">
        <v>3</v>
      </c>
      <c r="DG258" s="2" t="s">
        <v>3</v>
      </c>
      <c r="DH258" s="2" t="s">
        <v>3</v>
      </c>
      <c r="DI258" s="2" t="s">
        <v>3</v>
      </c>
      <c r="DJ258" s="2" t="s">
        <v>3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1003</v>
      </c>
      <c r="DV258" s="2" t="s">
        <v>337</v>
      </c>
      <c r="DW258" s="2" t="s">
        <v>337</v>
      </c>
      <c r="DX258" s="2">
        <v>1000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55393699</v>
      </c>
      <c r="EF258" s="2">
        <v>40</v>
      </c>
      <c r="EG258" s="2" t="s">
        <v>26</v>
      </c>
      <c r="EH258" s="2">
        <v>0</v>
      </c>
      <c r="EI258" s="2" t="s">
        <v>3</v>
      </c>
      <c r="EJ258" s="2">
        <v>2</v>
      </c>
      <c r="EK258" s="2">
        <v>67</v>
      </c>
      <c r="EL258" s="2" t="s">
        <v>62</v>
      </c>
      <c r="EM258" s="2" t="s">
        <v>63</v>
      </c>
      <c r="EN258" s="2"/>
      <c r="EO258" s="2" t="s">
        <v>118</v>
      </c>
      <c r="EP258" s="2"/>
      <c r="EQ258" s="2">
        <v>0</v>
      </c>
      <c r="ER258" s="2">
        <v>5272.11</v>
      </c>
      <c r="ES258" s="2">
        <v>5272.11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97</v>
      </c>
      <c r="FY258" s="2">
        <v>51</v>
      </c>
      <c r="FZ258" s="2"/>
      <c r="GA258" s="2" t="s">
        <v>3</v>
      </c>
      <c r="GB258" s="2"/>
      <c r="GC258" s="2"/>
      <c r="GD258" s="2">
        <v>1</v>
      </c>
      <c r="GE258" s="2"/>
      <c r="GF258" s="2">
        <v>-1847978610</v>
      </c>
      <c r="GG258" s="2">
        <v>2</v>
      </c>
      <c r="GH258" s="2">
        <v>1</v>
      </c>
      <c r="GI258" s="2">
        <v>-2</v>
      </c>
      <c r="GJ258" s="2">
        <v>0</v>
      </c>
      <c r="GK258" s="2">
        <v>0</v>
      </c>
      <c r="GL258" s="2">
        <f t="shared" si="293"/>
        <v>0</v>
      </c>
      <c r="GM258" s="2">
        <f t="shared" si="294"/>
        <v>483.98</v>
      </c>
      <c r="GN258" s="2">
        <f t="shared" si="295"/>
        <v>0</v>
      </c>
      <c r="GO258" s="2">
        <f t="shared" si="296"/>
        <v>483.98</v>
      </c>
      <c r="GP258" s="2">
        <f t="shared" si="297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298"/>
        <v>0</v>
      </c>
      <c r="GW258" s="2">
        <v>1</v>
      </c>
      <c r="GX258" s="2">
        <f t="shared" si="299"/>
        <v>0</v>
      </c>
      <c r="GY258" s="2"/>
      <c r="GZ258" s="2"/>
      <c r="HA258" s="2">
        <v>0</v>
      </c>
      <c r="HB258" s="2">
        <v>0</v>
      </c>
      <c r="HC258" s="2">
        <f t="shared" si="300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">
      <c r="A259" s="3">
        <v>18</v>
      </c>
      <c r="B259" s="3">
        <v>1</v>
      </c>
      <c r="C259" s="3">
        <v>354</v>
      </c>
      <c r="E259" s="3" t="s">
        <v>413</v>
      </c>
      <c r="F259" s="3" t="s">
        <v>414</v>
      </c>
      <c r="G259" s="3" t="s">
        <v>804</v>
      </c>
      <c r="H259" s="3" t="s">
        <v>337</v>
      </c>
      <c r="I259" s="3">
        <f>I257*J259</f>
        <v>9.1800000000000007E-2</v>
      </c>
      <c r="J259" s="3">
        <v>0.10200000000000001</v>
      </c>
      <c r="K259" s="3">
        <v>0.10199999999999999</v>
      </c>
      <c r="O259" s="3">
        <f t="shared" si="264"/>
        <v>5430.26</v>
      </c>
      <c r="P259" s="3">
        <f t="shared" si="265"/>
        <v>5430.26</v>
      </c>
      <c r="Q259" s="3">
        <f>(ROUND((ROUND(((ET259)*AV259*I259),2)*BB259),2)+ROUND((ROUND(((AE259-(EU259))*AV259*I259),2)*BS259),2))</f>
        <v>0</v>
      </c>
      <c r="R259" s="3">
        <f>(ROUND((ROUND(((EU259)*AV259*I259),2)*BS259),2)+ROUND((ROUND(((AE259-(EU259))*AV259*I259),2)*BS259),2))</f>
        <v>0</v>
      </c>
      <c r="S259" s="3">
        <f t="shared" si="268"/>
        <v>0</v>
      </c>
      <c r="T259" s="3">
        <f t="shared" si="269"/>
        <v>0</v>
      </c>
      <c r="U259" s="3">
        <f t="shared" si="270"/>
        <v>0</v>
      </c>
      <c r="V259" s="3">
        <f t="shared" si="271"/>
        <v>0</v>
      </c>
      <c r="W259" s="3">
        <f t="shared" si="272"/>
        <v>0</v>
      </c>
      <c r="X259" s="3">
        <f>(ROUND((((S259+ROUND((ROUND(((EU259)*AV259*I259),2)*BS259),2))*AT259)/100),2)+ROUND(((ROUND((ROUND(((AE259-(EU259))*AV259*I259),2)*BS259),2)*AT259)/100),2))</f>
        <v>0</v>
      </c>
      <c r="Y259" s="3">
        <f>(ROUND((((S259+ROUND((ROUND(((EU259)*AV259*I259),2)*BS259),2))*AU259)/100),2)+ROUND(((ROUND((ROUND(((AE259-(EU259))*AV259*I259),2)*BS259),2)*AU259)/100),2))</f>
        <v>0</v>
      </c>
      <c r="AA259" s="3">
        <v>55937298</v>
      </c>
      <c r="AB259" s="3">
        <f t="shared" si="275"/>
        <v>5272.11</v>
      </c>
      <c r="AC259" s="3">
        <f>ROUND((ES259),6)</f>
        <v>5272.11</v>
      </c>
      <c r="AD259" s="3">
        <f>ROUND((((ET259)-(EU259))+AE259),6)</f>
        <v>0</v>
      </c>
      <c r="AE259" s="3">
        <f>ROUND((EU259),6)</f>
        <v>0</v>
      </c>
      <c r="AF259" s="3">
        <f>ROUND((EV259),6)</f>
        <v>0</v>
      </c>
      <c r="AG259" s="3">
        <f t="shared" si="279"/>
        <v>0</v>
      </c>
      <c r="AH259" s="3">
        <f>(EW259)</f>
        <v>0</v>
      </c>
      <c r="AI259" s="3">
        <f>(EX259)</f>
        <v>0</v>
      </c>
      <c r="AJ259" s="3">
        <f t="shared" si="281"/>
        <v>0</v>
      </c>
      <c r="AK259" s="3">
        <v>5272.11</v>
      </c>
      <c r="AL259" s="3">
        <v>5272.11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97</v>
      </c>
      <c r="AU259" s="3">
        <v>51</v>
      </c>
      <c r="AV259" s="3">
        <v>1</v>
      </c>
      <c r="AW259" s="3">
        <v>1</v>
      </c>
      <c r="AZ259" s="3">
        <v>1</v>
      </c>
      <c r="BA259" s="3">
        <v>1</v>
      </c>
      <c r="BB259" s="3">
        <v>1</v>
      </c>
      <c r="BC259" s="3">
        <v>11.22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3</v>
      </c>
      <c r="BI259" s="3">
        <v>2</v>
      </c>
      <c r="BJ259" s="3" t="s">
        <v>415</v>
      </c>
      <c r="BM259" s="3">
        <v>67</v>
      </c>
      <c r="BN259" s="3">
        <v>0</v>
      </c>
      <c r="BO259" s="3" t="s">
        <v>414</v>
      </c>
      <c r="BP259" s="3">
        <v>1</v>
      </c>
      <c r="BQ259" s="3">
        <v>40</v>
      </c>
      <c r="BR259" s="3">
        <v>0</v>
      </c>
      <c r="BS259" s="3">
        <v>1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97</v>
      </c>
      <c r="CA259" s="3">
        <v>51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798</v>
      </c>
      <c r="CO259" s="3">
        <v>0</v>
      </c>
      <c r="CP259" s="3">
        <f t="shared" si="282"/>
        <v>5430.26</v>
      </c>
      <c r="CQ259" s="3">
        <f t="shared" si="283"/>
        <v>59153.07</v>
      </c>
      <c r="CR259" s="3">
        <f>(ROUND((ROUND(((ET259)*AV259*1),2)*BB259),2)+ROUND((ROUND(((AE259-(EU259))*AV259*1),2)*BS259),2))</f>
        <v>0</v>
      </c>
      <c r="CS259" s="3">
        <f>(ROUND((ROUND(((EU259)*AV259*1),2)*BS259),2)+ROUND((ROUND(((AE259-(EU259))*AV259*1),2)*BS259),2))</f>
        <v>0</v>
      </c>
      <c r="CT259" s="3">
        <f t="shared" si="286"/>
        <v>0</v>
      </c>
      <c r="CU259" s="3">
        <f t="shared" si="287"/>
        <v>0</v>
      </c>
      <c r="CV259" s="3">
        <f t="shared" si="288"/>
        <v>0</v>
      </c>
      <c r="CW259" s="3">
        <f t="shared" si="289"/>
        <v>0</v>
      </c>
      <c r="CX259" s="3">
        <f t="shared" si="290"/>
        <v>0</v>
      </c>
      <c r="CY259" s="3">
        <f>(ROUND((((S259+ROUND((ROUND(((EU259)*AV259*1),2)*BS259),2))*AT259)/100),2)+ROUND(((ROUND((ROUND(((AE259-(EU259))*AV259*1),2)*BS259),2)*AT259)/100),2))</f>
        <v>0</v>
      </c>
      <c r="CZ259" s="3">
        <f>(ROUND((((S259+ROUND((ROUND(((EU259)*AV259*1),2)*BS259),2))*AU259)/100),2)+ROUND(((ROUND((ROUND(((AE259-(EU259))*AV259*1),2)*BS259),2)*AU259)/100),2))</f>
        <v>0</v>
      </c>
      <c r="DC259" s="3" t="s">
        <v>3</v>
      </c>
      <c r="DD259" s="3" t="s">
        <v>3</v>
      </c>
      <c r="DE259" s="3" t="s">
        <v>3</v>
      </c>
      <c r="DF259" s="3" t="s">
        <v>3</v>
      </c>
      <c r="DG259" s="3" t="s">
        <v>3</v>
      </c>
      <c r="DH259" s="3" t="s">
        <v>3</v>
      </c>
      <c r="DI259" s="3" t="s">
        <v>3</v>
      </c>
      <c r="DJ259" s="3" t="s">
        <v>3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1003</v>
      </c>
      <c r="DV259" s="3" t="s">
        <v>337</v>
      </c>
      <c r="DW259" s="3" t="s">
        <v>337</v>
      </c>
      <c r="DX259" s="3">
        <v>1000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55393699</v>
      </c>
      <c r="EF259" s="3">
        <v>40</v>
      </c>
      <c r="EG259" s="3" t="s">
        <v>26</v>
      </c>
      <c r="EH259" s="3">
        <v>0</v>
      </c>
      <c r="EI259" s="3" t="s">
        <v>3</v>
      </c>
      <c r="EJ259" s="3">
        <v>2</v>
      </c>
      <c r="EK259" s="3">
        <v>67</v>
      </c>
      <c r="EL259" s="3" t="s">
        <v>62</v>
      </c>
      <c r="EM259" s="3" t="s">
        <v>63</v>
      </c>
      <c r="EO259" s="3" t="s">
        <v>118</v>
      </c>
      <c r="EQ259" s="3">
        <v>0</v>
      </c>
      <c r="ER259" s="3">
        <v>5272.11</v>
      </c>
      <c r="ES259" s="3">
        <v>5272.11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FQ259" s="3">
        <v>0</v>
      </c>
      <c r="FR259" s="3">
        <v>0</v>
      </c>
      <c r="FS259" s="3">
        <v>0</v>
      </c>
      <c r="FX259" s="3">
        <v>97</v>
      </c>
      <c r="FY259" s="3">
        <v>51</v>
      </c>
      <c r="GA259" s="3" t="s">
        <v>3</v>
      </c>
      <c r="GD259" s="3">
        <v>1</v>
      </c>
      <c r="GF259" s="3">
        <v>-1847978610</v>
      </c>
      <c r="GG259" s="3">
        <v>2</v>
      </c>
      <c r="GH259" s="3">
        <v>1</v>
      </c>
      <c r="GI259" s="3">
        <v>2</v>
      </c>
      <c r="GJ259" s="3">
        <v>0</v>
      </c>
      <c r="GK259" s="3">
        <v>0</v>
      </c>
      <c r="GL259" s="3">
        <f t="shared" si="293"/>
        <v>0</v>
      </c>
      <c r="GM259" s="3">
        <f t="shared" si="294"/>
        <v>5430.26</v>
      </c>
      <c r="GN259" s="3">
        <f t="shared" si="295"/>
        <v>0</v>
      </c>
      <c r="GO259" s="3">
        <f t="shared" si="296"/>
        <v>5430.26</v>
      </c>
      <c r="GP259" s="3">
        <f t="shared" si="297"/>
        <v>0</v>
      </c>
      <c r="GR259" s="3">
        <v>0</v>
      </c>
      <c r="GS259" s="3">
        <v>3</v>
      </c>
      <c r="GT259" s="3">
        <v>0</v>
      </c>
      <c r="GU259" s="3" t="s">
        <v>3</v>
      </c>
      <c r="GV259" s="3">
        <f t="shared" si="298"/>
        <v>0</v>
      </c>
      <c r="GW259" s="3">
        <v>1</v>
      </c>
      <c r="GX259" s="3">
        <f t="shared" si="299"/>
        <v>0</v>
      </c>
      <c r="HA259" s="3">
        <v>0</v>
      </c>
      <c r="HB259" s="3">
        <v>0</v>
      </c>
      <c r="HC259" s="3">
        <f t="shared" si="300"/>
        <v>0</v>
      </c>
      <c r="HE259" s="3" t="s">
        <v>3</v>
      </c>
      <c r="HF259" s="3" t="s">
        <v>3</v>
      </c>
      <c r="HM259" s="3" t="s">
        <v>3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0" spans="1:255" x14ac:dyDescent="0.2">
      <c r="A260" s="2">
        <v>17</v>
      </c>
      <c r="B260" s="2">
        <v>1</v>
      </c>
      <c r="C260" s="2">
        <f>ROW(SmtRes!A355)</f>
        <v>355</v>
      </c>
      <c r="D260" s="2">
        <f>ROW(EtalonRes!A428)</f>
        <v>428</v>
      </c>
      <c r="E260" s="2" t="s">
        <v>416</v>
      </c>
      <c r="F260" s="2" t="s">
        <v>417</v>
      </c>
      <c r="G260" s="2" t="s">
        <v>418</v>
      </c>
      <c r="H260" s="2" t="s">
        <v>419</v>
      </c>
      <c r="I260" s="2">
        <f>ROUND((642+4+150)/100,9)</f>
        <v>7.96</v>
      </c>
      <c r="J260" s="2">
        <v>0</v>
      </c>
      <c r="K260" s="2">
        <f>ROUND((642+4+150)/100,9)</f>
        <v>7.96</v>
      </c>
      <c r="L260" s="2"/>
      <c r="M260" s="2"/>
      <c r="N260" s="2"/>
      <c r="O260" s="2">
        <f t="shared" si="264"/>
        <v>159.75</v>
      </c>
      <c r="P260" s="2">
        <f t="shared" si="265"/>
        <v>4.54</v>
      </c>
      <c r="Q260" s="2">
        <f>(ROUND((ROUND((((ET260*1.2))*AV260*I260),2)*BB260),2)+ROUND((ROUND(((AE260-((EU260*1.2)))*AV260*I260),2)*BS260),2))</f>
        <v>0</v>
      </c>
      <c r="R260" s="2">
        <f>(ROUND((ROUND((((EU260*1.2))*AV260*I260),2)*BS260),2)+ROUND((ROUND(((AE260-((EU260*1.2)))*AV260*I260),2)*BS260),2))</f>
        <v>0</v>
      </c>
      <c r="S260" s="2">
        <f t="shared" si="268"/>
        <v>155.21</v>
      </c>
      <c r="T260" s="2">
        <f t="shared" si="269"/>
        <v>0</v>
      </c>
      <c r="U260" s="2">
        <f t="shared" si="270"/>
        <v>12.601189439999999</v>
      </c>
      <c r="V260" s="2">
        <f t="shared" si="271"/>
        <v>0</v>
      </c>
      <c r="W260" s="2">
        <f t="shared" si="272"/>
        <v>0</v>
      </c>
      <c r="X260" s="2">
        <f>(ROUND((((S260+ROUND((ROUND((((EU260*1.2))*AV260*I260),2)*BS260),2))*AT260)/100),2)+ROUND(((ROUND((ROUND(((AE260-((EU260*1.2)))*AV260*I260),2)*BS260),2)*AT260)/100),2))</f>
        <v>150.55000000000001</v>
      </c>
      <c r="Y260" s="2">
        <f>(ROUND((((S260+ROUND((ROUND((((EU260*1.2))*AV260*I260),2)*BS260),2))*AU260)/100),2)+ROUND(((ROUND((ROUND(((AE260-((EU260*1.2)))*AV260*I260),2)*BS260),2)*AU260)/100),2))</f>
        <v>79.16</v>
      </c>
      <c r="Z260" s="2"/>
      <c r="AA260" s="2">
        <v>55937296</v>
      </c>
      <c r="AB260" s="2">
        <f t="shared" si="275"/>
        <v>19.193999999999999</v>
      </c>
      <c r="AC260" s="2">
        <f>ROUND(((ES260*1)),6)</f>
        <v>0.56999999999999995</v>
      </c>
      <c r="AD260" s="2">
        <f>ROUND(((((ET260*1.2))-((EU260*1.2)))+AE260),6)</f>
        <v>0</v>
      </c>
      <c r="AE260" s="2">
        <f>ROUND(((EU260*1.2)),6)</f>
        <v>0</v>
      </c>
      <c r="AF260" s="2">
        <f>ROUND(((EV260*1.2)),6)</f>
        <v>18.623999999999999</v>
      </c>
      <c r="AG260" s="2">
        <f t="shared" si="279"/>
        <v>0</v>
      </c>
      <c r="AH260" s="2">
        <f>((EW260*1.2))</f>
        <v>1.512</v>
      </c>
      <c r="AI260" s="2">
        <f>((EX260*1.2))</f>
        <v>0</v>
      </c>
      <c r="AJ260" s="2">
        <f t="shared" si="281"/>
        <v>0</v>
      </c>
      <c r="AK260" s="2">
        <v>16.09</v>
      </c>
      <c r="AL260" s="2">
        <v>0.56999999999999995</v>
      </c>
      <c r="AM260" s="2">
        <v>0</v>
      </c>
      <c r="AN260" s="2">
        <v>0</v>
      </c>
      <c r="AO260" s="2">
        <v>15.52</v>
      </c>
      <c r="AP260" s="2">
        <v>0</v>
      </c>
      <c r="AQ260" s="2">
        <v>1.26</v>
      </c>
      <c r="AR260" s="2">
        <v>0</v>
      </c>
      <c r="AS260" s="2">
        <v>0</v>
      </c>
      <c r="AT260" s="2">
        <v>97</v>
      </c>
      <c r="AU260" s="2">
        <v>51</v>
      </c>
      <c r="AV260" s="2">
        <v>1.0469999999999999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0</v>
      </c>
      <c r="BI260" s="2">
        <v>2</v>
      </c>
      <c r="BJ260" s="2" t="s">
        <v>420</v>
      </c>
      <c r="BK260" s="2"/>
      <c r="BL260" s="2"/>
      <c r="BM260" s="2">
        <v>67</v>
      </c>
      <c r="BN260" s="2">
        <v>0</v>
      </c>
      <c r="BO260" s="2" t="s">
        <v>417</v>
      </c>
      <c r="BP260" s="2">
        <v>1</v>
      </c>
      <c r="BQ260" s="2">
        <v>40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97</v>
      </c>
      <c r="CA260" s="2">
        <v>51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797</v>
      </c>
      <c r="CO260" s="2">
        <v>0</v>
      </c>
      <c r="CP260" s="2">
        <f t="shared" si="282"/>
        <v>159.75</v>
      </c>
      <c r="CQ260" s="2">
        <f t="shared" si="283"/>
        <v>0.56999999999999995</v>
      </c>
      <c r="CR260" s="2">
        <f>(ROUND((ROUND((((ET260*1.2))*AV260*1),2)*BB260),2)+ROUND((ROUND(((AE260-((EU260*1.2)))*AV260*1),2)*BS260),2))</f>
        <v>0</v>
      </c>
      <c r="CS260" s="2">
        <f>(ROUND((ROUND((((EU260*1.2))*AV260*1),2)*BS260),2)+ROUND((ROUND(((AE260-((EU260*1.2)))*AV260*1),2)*BS260),2))</f>
        <v>0</v>
      </c>
      <c r="CT260" s="2">
        <f t="shared" si="286"/>
        <v>19.5</v>
      </c>
      <c r="CU260" s="2">
        <f t="shared" si="287"/>
        <v>0</v>
      </c>
      <c r="CV260" s="2">
        <f t="shared" si="288"/>
        <v>1.5830639999999998</v>
      </c>
      <c r="CW260" s="2">
        <f t="shared" si="289"/>
        <v>0</v>
      </c>
      <c r="CX260" s="2">
        <f t="shared" si="290"/>
        <v>0</v>
      </c>
      <c r="CY260" s="2">
        <f>(ROUND((((S260+ROUND((ROUND((((EU260*1.2))*AV260*1),2)*BS260),2))*AT260)/100),2)+ROUND(((ROUND((ROUND(((AE260-((EU260*1.2)))*AV260*1),2)*BS260),2)*AT260)/100),2))</f>
        <v>150.55000000000001</v>
      </c>
      <c r="CZ260" s="2">
        <f>(ROUND((((S260+ROUND((ROUND((((EU260*1.2))*AV260*1),2)*BS260),2))*AU260)/100),2)+ROUND(((ROUND((ROUND(((AE260-((EU260*1.2)))*AV260*1),2)*BS260),2)*AU260)/100),2))</f>
        <v>79.16</v>
      </c>
      <c r="DA260" s="2"/>
      <c r="DB260" s="2">
        <v>125</v>
      </c>
      <c r="DC260" s="2" t="s">
        <v>3</v>
      </c>
      <c r="DD260" s="2" t="s">
        <v>113</v>
      </c>
      <c r="DE260" s="2" t="s">
        <v>114</v>
      </c>
      <c r="DF260" s="2" t="s">
        <v>114</v>
      </c>
      <c r="DG260" s="2" t="s">
        <v>114</v>
      </c>
      <c r="DH260" s="2" t="s">
        <v>3</v>
      </c>
      <c r="DI260" s="2" t="s">
        <v>114</v>
      </c>
      <c r="DJ260" s="2" t="s">
        <v>114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1013</v>
      </c>
      <c r="DV260" s="2" t="s">
        <v>419</v>
      </c>
      <c r="DW260" s="2" t="s">
        <v>419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55393699</v>
      </c>
      <c r="EF260" s="2">
        <v>40</v>
      </c>
      <c r="EG260" s="2" t="s">
        <v>26</v>
      </c>
      <c r="EH260" s="2">
        <v>0</v>
      </c>
      <c r="EI260" s="2" t="s">
        <v>3</v>
      </c>
      <c r="EJ260" s="2">
        <v>2</v>
      </c>
      <c r="EK260" s="2">
        <v>67</v>
      </c>
      <c r="EL260" s="2" t="s">
        <v>62</v>
      </c>
      <c r="EM260" s="2" t="s">
        <v>63</v>
      </c>
      <c r="EN260" s="2"/>
      <c r="EO260" s="2" t="s">
        <v>118</v>
      </c>
      <c r="EP260" s="2"/>
      <c r="EQ260" s="2">
        <v>0</v>
      </c>
      <c r="ER260" s="2">
        <v>16.09</v>
      </c>
      <c r="ES260" s="2">
        <v>0.56999999999999995</v>
      </c>
      <c r="ET260" s="2">
        <v>0</v>
      </c>
      <c r="EU260" s="2">
        <v>0</v>
      </c>
      <c r="EV260" s="2">
        <v>15.52</v>
      </c>
      <c r="EW260" s="2">
        <v>1.26</v>
      </c>
      <c r="EX260" s="2">
        <v>0</v>
      </c>
      <c r="EY260" s="2">
        <v>0</v>
      </c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97</v>
      </c>
      <c r="FY260" s="2">
        <v>51</v>
      </c>
      <c r="FZ260" s="2"/>
      <c r="GA260" s="2" t="s">
        <v>3</v>
      </c>
      <c r="GB260" s="2"/>
      <c r="GC260" s="2"/>
      <c r="GD260" s="2">
        <v>1</v>
      </c>
      <c r="GE260" s="2"/>
      <c r="GF260" s="2">
        <v>2037938139</v>
      </c>
      <c r="GG260" s="2">
        <v>2</v>
      </c>
      <c r="GH260" s="2">
        <v>1</v>
      </c>
      <c r="GI260" s="2">
        <v>2</v>
      </c>
      <c r="GJ260" s="2">
        <v>0</v>
      </c>
      <c r="GK260" s="2">
        <v>0</v>
      </c>
      <c r="GL260" s="2">
        <f t="shared" si="293"/>
        <v>0</v>
      </c>
      <c r="GM260" s="2">
        <f t="shared" si="294"/>
        <v>389.46</v>
      </c>
      <c r="GN260" s="2">
        <f t="shared" si="295"/>
        <v>0</v>
      </c>
      <c r="GO260" s="2">
        <f t="shared" si="296"/>
        <v>389.46</v>
      </c>
      <c r="GP260" s="2">
        <f t="shared" si="297"/>
        <v>0</v>
      </c>
      <c r="GQ260" s="2"/>
      <c r="GR260" s="2">
        <v>0</v>
      </c>
      <c r="GS260" s="2">
        <v>3</v>
      </c>
      <c r="GT260" s="2">
        <v>0</v>
      </c>
      <c r="GU260" s="2" t="s">
        <v>3</v>
      </c>
      <c r="GV260" s="2">
        <f t="shared" si="298"/>
        <v>0</v>
      </c>
      <c r="GW260" s="2">
        <v>1</v>
      </c>
      <c r="GX260" s="2">
        <f t="shared" si="299"/>
        <v>0</v>
      </c>
      <c r="GY260" s="2"/>
      <c r="GZ260" s="2"/>
      <c r="HA260" s="2">
        <v>0</v>
      </c>
      <c r="HB260" s="2">
        <v>0</v>
      </c>
      <c r="HC260" s="2">
        <f t="shared" si="300"/>
        <v>0</v>
      </c>
      <c r="HD260" s="2"/>
      <c r="HE260" s="2" t="s">
        <v>3</v>
      </c>
      <c r="HF260" s="2" t="s">
        <v>3</v>
      </c>
      <c r="HG260" s="2"/>
      <c r="HH260" s="2"/>
      <c r="HI260" s="2"/>
      <c r="HJ260" s="2"/>
      <c r="HK260" s="2"/>
      <c r="HL260" s="2"/>
      <c r="HM260" s="2" t="s">
        <v>3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">
      <c r="A261" s="3">
        <v>17</v>
      </c>
      <c r="B261" s="3">
        <v>1</v>
      </c>
      <c r="C261" s="3">
        <f>ROW(SmtRes!A356)</f>
        <v>356</v>
      </c>
      <c r="D261" s="3">
        <f>ROW(EtalonRes!A430)</f>
        <v>430</v>
      </c>
      <c r="E261" s="3" t="s">
        <v>416</v>
      </c>
      <c r="F261" s="3" t="s">
        <v>417</v>
      </c>
      <c r="G261" s="3" t="s">
        <v>418</v>
      </c>
      <c r="H261" s="3" t="s">
        <v>419</v>
      </c>
      <c r="I261" s="3">
        <f>ROUND((642+4+150)/100,9)</f>
        <v>7.96</v>
      </c>
      <c r="J261" s="3">
        <v>0</v>
      </c>
      <c r="K261" s="3">
        <f>ROUND((642+4+150)/100,9)</f>
        <v>7.96</v>
      </c>
      <c r="O261" s="3">
        <f t="shared" si="264"/>
        <v>8828.66</v>
      </c>
      <c r="P261" s="3">
        <f t="shared" si="265"/>
        <v>82.58</v>
      </c>
      <c r="Q261" s="3">
        <f>(ROUND((ROUND((((ET261*1.2))*AV261*I261),2)*BB261),2)+ROUND((ROUND(((AE261-((EU261*1.2)))*AV261*I261),2)*BS261),2))</f>
        <v>0</v>
      </c>
      <c r="R261" s="3">
        <f>(ROUND((ROUND((((EU261*1.2))*AV261*I261),2)*BS261),2)+ROUND((ROUND(((AE261-((EU261*1.2)))*AV261*I261),2)*BS261),2))</f>
        <v>0</v>
      </c>
      <c r="S261" s="3">
        <f t="shared" si="268"/>
        <v>8746.08</v>
      </c>
      <c r="T261" s="3">
        <f t="shared" si="269"/>
        <v>0</v>
      </c>
      <c r="U261" s="3">
        <f t="shared" si="270"/>
        <v>12.601189439999999</v>
      </c>
      <c r="V261" s="3">
        <f t="shared" si="271"/>
        <v>0</v>
      </c>
      <c r="W261" s="3">
        <f t="shared" si="272"/>
        <v>0</v>
      </c>
      <c r="X261" s="3">
        <f>(ROUND((((S261+ROUND((ROUND((((EU261*1.2))*AV261*I261),2)*BS261),2))*AT261)/100),2)+ROUND(((ROUND((ROUND(((AE261-((EU261*1.2)))*AV261*I261),2)*BS261),2)*AT261)/100),2))</f>
        <v>8483.7000000000007</v>
      </c>
      <c r="Y261" s="3">
        <f>(ROUND((((S261+ROUND((ROUND((((EU261*1.2))*AV261*I261),2)*BS261),2))*AU261)/100),2)+ROUND(((ROUND((ROUND(((AE261-((EU261*1.2)))*AV261*I261),2)*BS261),2)*AU261)/100),2))</f>
        <v>4460.5</v>
      </c>
      <c r="AA261" s="3">
        <v>55937298</v>
      </c>
      <c r="AB261" s="3">
        <f t="shared" si="275"/>
        <v>19.193999999999999</v>
      </c>
      <c r="AC261" s="3">
        <f>ROUND(((ES261*1)),6)</f>
        <v>0.56999999999999995</v>
      </c>
      <c r="AD261" s="3">
        <f>ROUND(((((ET261*1.2))-((EU261*1.2)))+AE261),6)</f>
        <v>0</v>
      </c>
      <c r="AE261" s="3">
        <f>ROUND(((EU261*1.2)),6)</f>
        <v>0</v>
      </c>
      <c r="AF261" s="3">
        <f>ROUND(((EV261*1.2)),6)</f>
        <v>18.623999999999999</v>
      </c>
      <c r="AG261" s="3">
        <f t="shared" si="279"/>
        <v>0</v>
      </c>
      <c r="AH261" s="3">
        <f>((EW261*1.2))</f>
        <v>1.512</v>
      </c>
      <c r="AI261" s="3">
        <f>((EX261*1.2))</f>
        <v>0</v>
      </c>
      <c r="AJ261" s="3">
        <f t="shared" si="281"/>
        <v>0</v>
      </c>
      <c r="AK261" s="3">
        <v>16.09</v>
      </c>
      <c r="AL261" s="3">
        <v>0.56999999999999995</v>
      </c>
      <c r="AM261" s="3">
        <v>0</v>
      </c>
      <c r="AN261" s="3">
        <v>0</v>
      </c>
      <c r="AO261" s="3">
        <v>15.52</v>
      </c>
      <c r="AP261" s="3">
        <v>0</v>
      </c>
      <c r="AQ261" s="3">
        <v>1.26</v>
      </c>
      <c r="AR261" s="3">
        <v>0</v>
      </c>
      <c r="AS261" s="3">
        <v>0</v>
      </c>
      <c r="AT261" s="3">
        <v>97</v>
      </c>
      <c r="AU261" s="3">
        <v>51</v>
      </c>
      <c r="AV261" s="3">
        <v>1.0469999999999999</v>
      </c>
      <c r="AW261" s="3">
        <v>1</v>
      </c>
      <c r="AZ261" s="3">
        <v>1</v>
      </c>
      <c r="BA261" s="3">
        <v>56.35</v>
      </c>
      <c r="BB261" s="3">
        <v>1</v>
      </c>
      <c r="BC261" s="3">
        <v>18.190000000000001</v>
      </c>
      <c r="BD261" s="3" t="s">
        <v>3</v>
      </c>
      <c r="BE261" s="3" t="s">
        <v>3</v>
      </c>
      <c r="BF261" s="3" t="s">
        <v>3</v>
      </c>
      <c r="BG261" s="3" t="s">
        <v>3</v>
      </c>
      <c r="BH261" s="3">
        <v>0</v>
      </c>
      <c r="BI261" s="3">
        <v>2</v>
      </c>
      <c r="BJ261" s="3" t="s">
        <v>420</v>
      </c>
      <c r="BM261" s="3">
        <v>67</v>
      </c>
      <c r="BN261" s="3">
        <v>0</v>
      </c>
      <c r="BO261" s="3" t="s">
        <v>417</v>
      </c>
      <c r="BP261" s="3">
        <v>1</v>
      </c>
      <c r="BQ261" s="3">
        <v>40</v>
      </c>
      <c r="BR261" s="3">
        <v>0</v>
      </c>
      <c r="BS261" s="3">
        <v>56.35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 t="s">
        <v>3</v>
      </c>
      <c r="BZ261" s="3">
        <v>97</v>
      </c>
      <c r="CA261" s="3">
        <v>51</v>
      </c>
      <c r="CB261" s="3" t="s">
        <v>3</v>
      </c>
      <c r="CE261" s="3">
        <v>1566</v>
      </c>
      <c r="CF261" s="3">
        <v>0</v>
      </c>
      <c r="CG261" s="3">
        <v>0</v>
      </c>
      <c r="CM261" s="3">
        <v>0</v>
      </c>
      <c r="CN261" s="3" t="s">
        <v>797</v>
      </c>
      <c r="CO261" s="3">
        <v>0</v>
      </c>
      <c r="CP261" s="3">
        <f t="shared" si="282"/>
        <v>8828.66</v>
      </c>
      <c r="CQ261" s="3">
        <f t="shared" si="283"/>
        <v>10.37</v>
      </c>
      <c r="CR261" s="3">
        <f>(ROUND((ROUND((((ET261*1.2))*AV261*1),2)*BB261),2)+ROUND((ROUND(((AE261-((EU261*1.2)))*AV261*1),2)*BS261),2))</f>
        <v>0</v>
      </c>
      <c r="CS261" s="3">
        <f>(ROUND((ROUND((((EU261*1.2))*AV261*1),2)*BS261),2)+ROUND((ROUND(((AE261-((EU261*1.2)))*AV261*1),2)*BS261),2))</f>
        <v>0</v>
      </c>
      <c r="CT261" s="3">
        <f t="shared" si="286"/>
        <v>1098.83</v>
      </c>
      <c r="CU261" s="3">
        <f t="shared" si="287"/>
        <v>0</v>
      </c>
      <c r="CV261" s="3">
        <f t="shared" si="288"/>
        <v>1.5830639999999998</v>
      </c>
      <c r="CW261" s="3">
        <f t="shared" si="289"/>
        <v>0</v>
      </c>
      <c r="CX261" s="3">
        <f t="shared" si="290"/>
        <v>0</v>
      </c>
      <c r="CY261" s="3">
        <f>(ROUND((((S261+ROUND((ROUND((((EU261*1.2))*AV261*1),2)*BS261),2))*AT261)/100),2)+ROUND(((ROUND((ROUND(((AE261-((EU261*1.2)))*AV261*1),2)*BS261),2)*AT261)/100),2))</f>
        <v>8483.7000000000007</v>
      </c>
      <c r="CZ261" s="3">
        <f>(ROUND((((S261+ROUND((ROUND((((EU261*1.2))*AV261*1),2)*BS261),2))*AU261)/100),2)+ROUND(((ROUND((ROUND(((AE261-((EU261*1.2)))*AV261*1),2)*BS261),2)*AU261)/100),2))</f>
        <v>4460.5</v>
      </c>
      <c r="DB261" s="3">
        <v>126</v>
      </c>
      <c r="DC261" s="3" t="s">
        <v>3</v>
      </c>
      <c r="DD261" s="3" t="s">
        <v>113</v>
      </c>
      <c r="DE261" s="3" t="s">
        <v>114</v>
      </c>
      <c r="DF261" s="3" t="s">
        <v>114</v>
      </c>
      <c r="DG261" s="3" t="s">
        <v>114</v>
      </c>
      <c r="DH261" s="3" t="s">
        <v>3</v>
      </c>
      <c r="DI261" s="3" t="s">
        <v>114</v>
      </c>
      <c r="DJ261" s="3" t="s">
        <v>114</v>
      </c>
      <c r="DK261" s="3" t="s">
        <v>3</v>
      </c>
      <c r="DL261" s="3" t="s">
        <v>3</v>
      </c>
      <c r="DM261" s="3" t="s">
        <v>3</v>
      </c>
      <c r="DN261" s="3">
        <v>0</v>
      </c>
      <c r="DO261" s="3">
        <v>0</v>
      </c>
      <c r="DP261" s="3">
        <v>1</v>
      </c>
      <c r="DQ261" s="3">
        <v>1</v>
      </c>
      <c r="DU261" s="3">
        <v>1013</v>
      </c>
      <c r="DV261" s="3" t="s">
        <v>419</v>
      </c>
      <c r="DW261" s="3" t="s">
        <v>419</v>
      </c>
      <c r="DX261" s="3">
        <v>1</v>
      </c>
      <c r="DZ261" s="3" t="s">
        <v>3</v>
      </c>
      <c r="EA261" s="3" t="s">
        <v>3</v>
      </c>
      <c r="EB261" s="3" t="s">
        <v>3</v>
      </c>
      <c r="EC261" s="3" t="s">
        <v>3</v>
      </c>
      <c r="EE261" s="3">
        <v>55393699</v>
      </c>
      <c r="EF261" s="3">
        <v>40</v>
      </c>
      <c r="EG261" s="3" t="s">
        <v>26</v>
      </c>
      <c r="EH261" s="3">
        <v>0</v>
      </c>
      <c r="EI261" s="3" t="s">
        <v>3</v>
      </c>
      <c r="EJ261" s="3">
        <v>2</v>
      </c>
      <c r="EK261" s="3">
        <v>67</v>
      </c>
      <c r="EL261" s="3" t="s">
        <v>62</v>
      </c>
      <c r="EM261" s="3" t="s">
        <v>63</v>
      </c>
      <c r="EO261" s="3" t="s">
        <v>118</v>
      </c>
      <c r="EQ261" s="3">
        <v>0</v>
      </c>
      <c r="ER261" s="3">
        <v>16.09</v>
      </c>
      <c r="ES261" s="3">
        <v>0.56999999999999995</v>
      </c>
      <c r="ET261" s="3">
        <v>0</v>
      </c>
      <c r="EU261" s="3">
        <v>0</v>
      </c>
      <c r="EV261" s="3">
        <v>15.52</v>
      </c>
      <c r="EW261" s="3">
        <v>1.26</v>
      </c>
      <c r="EX261" s="3">
        <v>0</v>
      </c>
      <c r="EY261" s="3">
        <v>0</v>
      </c>
      <c r="FQ261" s="3">
        <v>0</v>
      </c>
      <c r="FR261" s="3">
        <v>0</v>
      </c>
      <c r="FS261" s="3">
        <v>0</v>
      </c>
      <c r="FX261" s="3">
        <v>97</v>
      </c>
      <c r="FY261" s="3">
        <v>51</v>
      </c>
      <c r="GA261" s="3" t="s">
        <v>3</v>
      </c>
      <c r="GD261" s="3">
        <v>1</v>
      </c>
      <c r="GF261" s="3">
        <v>2037938139</v>
      </c>
      <c r="GG261" s="3">
        <v>2</v>
      </c>
      <c r="GH261" s="3">
        <v>1</v>
      </c>
      <c r="GI261" s="3">
        <v>2</v>
      </c>
      <c r="GJ261" s="3">
        <v>0</v>
      </c>
      <c r="GK261" s="3">
        <v>0</v>
      </c>
      <c r="GL261" s="3">
        <f t="shared" si="293"/>
        <v>0</v>
      </c>
      <c r="GM261" s="3">
        <f t="shared" si="294"/>
        <v>21772.86</v>
      </c>
      <c r="GN261" s="3">
        <f t="shared" si="295"/>
        <v>0</v>
      </c>
      <c r="GO261" s="3">
        <f t="shared" si="296"/>
        <v>21772.86</v>
      </c>
      <c r="GP261" s="3">
        <f t="shared" si="297"/>
        <v>0</v>
      </c>
      <c r="GR261" s="3">
        <v>0</v>
      </c>
      <c r="GS261" s="3">
        <v>3</v>
      </c>
      <c r="GT261" s="3">
        <v>0</v>
      </c>
      <c r="GU261" s="3" t="s">
        <v>3</v>
      </c>
      <c r="GV261" s="3">
        <f t="shared" si="298"/>
        <v>0</v>
      </c>
      <c r="GW261" s="3">
        <v>1</v>
      </c>
      <c r="GX261" s="3">
        <f t="shared" si="299"/>
        <v>0</v>
      </c>
      <c r="HA261" s="3">
        <v>0</v>
      </c>
      <c r="HB261" s="3">
        <v>0</v>
      </c>
      <c r="HC261" s="3">
        <f t="shared" si="300"/>
        <v>0</v>
      </c>
      <c r="HE261" s="3" t="s">
        <v>3</v>
      </c>
      <c r="HF261" s="3" t="s">
        <v>3</v>
      </c>
      <c r="HM261" s="3" t="s">
        <v>3</v>
      </c>
      <c r="HN261" s="3" t="s">
        <v>3</v>
      </c>
      <c r="HO261" s="3" t="s">
        <v>3</v>
      </c>
      <c r="HP261" s="3" t="s">
        <v>3</v>
      </c>
      <c r="HQ261" s="3" t="s">
        <v>3</v>
      </c>
      <c r="HS261" s="3">
        <v>0</v>
      </c>
      <c r="IK261" s="3">
        <v>0</v>
      </c>
    </row>
    <row r="262" spans="1:255" x14ac:dyDescent="0.2">
      <c r="A262" s="2">
        <v>17</v>
      </c>
      <c r="B262" s="2">
        <v>1</v>
      </c>
      <c r="C262" s="2"/>
      <c r="D262" s="2"/>
      <c r="E262" s="2" t="s">
        <v>421</v>
      </c>
      <c r="F262" s="2" t="s">
        <v>422</v>
      </c>
      <c r="G262" s="2" t="s">
        <v>423</v>
      </c>
      <c r="H262" s="2" t="s">
        <v>287</v>
      </c>
      <c r="I262" s="2">
        <f>ROUND(I260*-0.00003,9)</f>
        <v>-2.388E-4</v>
      </c>
      <c r="J262" s="2">
        <v>0</v>
      </c>
      <c r="K262" s="2">
        <f>ROUND(I260*-0.00003,9)</f>
        <v>-2.388E-4</v>
      </c>
      <c r="L262" s="2"/>
      <c r="M262" s="2"/>
      <c r="N262" s="2"/>
      <c r="O262" s="2">
        <f t="shared" si="264"/>
        <v>-4.54</v>
      </c>
      <c r="P262" s="2">
        <f t="shared" si="265"/>
        <v>-4.54</v>
      </c>
      <c r="Q262" s="2">
        <f>(ROUND((ROUND(((ET262)*AV262*I262),2)*BB262),2)+ROUND((ROUND(((AE262-(EU262))*AV262*I262),2)*BS262),2))</f>
        <v>0</v>
      </c>
      <c r="R262" s="2">
        <f>(ROUND((ROUND(((EU262)*AV262*I262),2)*BS262),2)+ROUND((ROUND(((AE262-(EU262))*AV262*I262),2)*BS262),2))</f>
        <v>0</v>
      </c>
      <c r="S262" s="2">
        <f t="shared" si="268"/>
        <v>0</v>
      </c>
      <c r="T262" s="2">
        <f t="shared" si="269"/>
        <v>0</v>
      </c>
      <c r="U262" s="2">
        <f t="shared" si="270"/>
        <v>0</v>
      </c>
      <c r="V262" s="2">
        <f t="shared" si="271"/>
        <v>0</v>
      </c>
      <c r="W262" s="2">
        <f t="shared" si="272"/>
        <v>0</v>
      </c>
      <c r="X262" s="2">
        <f>(ROUND((((S262+ROUND((ROUND(((EU262)*AV262*I262),2)*BS262),2))*AT262)/100),2)+ROUND(((ROUND((ROUND(((AE262-(EU262))*AV262*I262),2)*BS262),2)*AT262)/100),2))</f>
        <v>0</v>
      </c>
      <c r="Y262" s="2">
        <f>(ROUND((((S262+ROUND((ROUND(((EU262)*AV262*I262),2)*BS262),2))*AU262)/100),2)+ROUND(((ROUND((ROUND(((AE262-(EU262))*AV262*I262),2)*BS262),2)*AU262)/100),2))</f>
        <v>0</v>
      </c>
      <c r="Z262" s="2"/>
      <c r="AA262" s="2">
        <v>55937296</v>
      </c>
      <c r="AB262" s="2">
        <f t="shared" si="275"/>
        <v>18995.22</v>
      </c>
      <c r="AC262" s="2">
        <f>ROUND((ES262),6)</f>
        <v>18995.22</v>
      </c>
      <c r="AD262" s="2">
        <f>ROUND((((ET262)-(EU262))+AE262),6)</f>
        <v>0</v>
      </c>
      <c r="AE262" s="2">
        <f t="shared" ref="AE262:AF265" si="301">ROUND((EU262),6)</f>
        <v>0</v>
      </c>
      <c r="AF262" s="2">
        <f t="shared" si="301"/>
        <v>0</v>
      </c>
      <c r="AG262" s="2">
        <f t="shared" si="279"/>
        <v>0</v>
      </c>
      <c r="AH262" s="2">
        <f t="shared" ref="AH262:AI265" si="302">(EW262)</f>
        <v>0</v>
      </c>
      <c r="AI262" s="2">
        <f t="shared" si="302"/>
        <v>0</v>
      </c>
      <c r="AJ262" s="2">
        <f t="shared" si="281"/>
        <v>0</v>
      </c>
      <c r="AK262" s="2">
        <v>18995.22</v>
      </c>
      <c r="AL262" s="2">
        <v>18995.22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1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3</v>
      </c>
      <c r="BI262" s="2">
        <v>2</v>
      </c>
      <c r="BJ262" s="2" t="s">
        <v>424</v>
      </c>
      <c r="BK262" s="2"/>
      <c r="BL262" s="2"/>
      <c r="BM262" s="2">
        <v>1617</v>
      </c>
      <c r="BN262" s="2">
        <v>0</v>
      </c>
      <c r="BO262" s="2" t="s">
        <v>3</v>
      </c>
      <c r="BP262" s="2">
        <v>0</v>
      </c>
      <c r="BQ262" s="2">
        <v>200</v>
      </c>
      <c r="BR262" s="2">
        <v>1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0</v>
      </c>
      <c r="CA262" s="2">
        <v>0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797</v>
      </c>
      <c r="CO262" s="2">
        <v>0</v>
      </c>
      <c r="CP262" s="2">
        <f t="shared" si="282"/>
        <v>-4.54</v>
      </c>
      <c r="CQ262" s="2">
        <f t="shared" si="283"/>
        <v>18995.22</v>
      </c>
      <c r="CR262" s="2">
        <f>(ROUND((ROUND(((ET262)*AV262*1),2)*BB262),2)+ROUND((ROUND(((AE262-(EU262))*AV262*1),2)*BS262),2))</f>
        <v>0</v>
      </c>
      <c r="CS262" s="2">
        <f>(ROUND((ROUND(((EU262)*AV262*1),2)*BS262),2)+ROUND((ROUND(((AE262-(EU262))*AV262*1),2)*BS262),2))</f>
        <v>0</v>
      </c>
      <c r="CT262" s="2">
        <f t="shared" si="286"/>
        <v>0</v>
      </c>
      <c r="CU262" s="2">
        <f t="shared" si="287"/>
        <v>0</v>
      </c>
      <c r="CV262" s="2">
        <f t="shared" si="288"/>
        <v>0</v>
      </c>
      <c r="CW262" s="2">
        <f t="shared" si="289"/>
        <v>0</v>
      </c>
      <c r="CX262" s="2">
        <f t="shared" si="290"/>
        <v>0</v>
      </c>
      <c r="CY262" s="2">
        <f>(ROUND((((S262+ROUND((ROUND(((EU262)*AV262*1),2)*BS262),2))*AT262)/100),2)+ROUND(((ROUND((ROUND(((AE262-(EU262))*AV262*1),2)*BS262),2)*AT262)/100),2))</f>
        <v>0</v>
      </c>
      <c r="CZ262" s="2">
        <f>(ROUND((((S262+ROUND((ROUND(((EU262)*AV262*1),2)*BS262),2))*AU262)/100),2)+ROUND(((ROUND((ROUND(((AE262-(EU262))*AV262*1),2)*BS262),2)*AU262)/100),2))</f>
        <v>0</v>
      </c>
      <c r="DA262" s="2"/>
      <c r="DB262" s="2"/>
      <c r="DC262" s="2" t="s">
        <v>3</v>
      </c>
      <c r="DD262" s="2" t="s">
        <v>3</v>
      </c>
      <c r="DE262" s="2" t="s">
        <v>3</v>
      </c>
      <c r="DF262" s="2" t="s">
        <v>3</v>
      </c>
      <c r="DG262" s="2" t="s">
        <v>3</v>
      </c>
      <c r="DH262" s="2" t="s">
        <v>3</v>
      </c>
      <c r="DI262" s="2" t="s">
        <v>3</v>
      </c>
      <c r="DJ262" s="2" t="s">
        <v>3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1009</v>
      </c>
      <c r="DV262" s="2" t="s">
        <v>287</v>
      </c>
      <c r="DW262" s="2" t="s">
        <v>287</v>
      </c>
      <c r="DX262" s="2">
        <v>1000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55393728</v>
      </c>
      <c r="EF262" s="2">
        <v>200</v>
      </c>
      <c r="EG262" s="2" t="s">
        <v>359</v>
      </c>
      <c r="EH262" s="2">
        <v>0</v>
      </c>
      <c r="EI262" s="2" t="s">
        <v>3</v>
      </c>
      <c r="EJ262" s="2">
        <v>1</v>
      </c>
      <c r="EK262" s="2">
        <v>1617</v>
      </c>
      <c r="EL262" s="2" t="s">
        <v>360</v>
      </c>
      <c r="EM262" s="2" t="s">
        <v>361</v>
      </c>
      <c r="EN262" s="2"/>
      <c r="EO262" s="2" t="s">
        <v>118</v>
      </c>
      <c r="EP262" s="2"/>
      <c r="EQ262" s="2">
        <v>32768</v>
      </c>
      <c r="ER262" s="2">
        <v>18995.22</v>
      </c>
      <c r="ES262" s="2">
        <v>18995.22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0</v>
      </c>
      <c r="FY262" s="2">
        <v>0</v>
      </c>
      <c r="FZ262" s="2"/>
      <c r="GA262" s="2" t="s">
        <v>3</v>
      </c>
      <c r="GB262" s="2"/>
      <c r="GC262" s="2"/>
      <c r="GD262" s="2">
        <v>1</v>
      </c>
      <c r="GE262" s="2"/>
      <c r="GF262" s="2">
        <v>1438006865</v>
      </c>
      <c r="GG262" s="2">
        <v>2</v>
      </c>
      <c r="GH262" s="2">
        <v>1</v>
      </c>
      <c r="GI262" s="2">
        <v>-2</v>
      </c>
      <c r="GJ262" s="2">
        <v>0</v>
      </c>
      <c r="GK262" s="2">
        <v>0</v>
      </c>
      <c r="GL262" s="2">
        <f t="shared" si="293"/>
        <v>0</v>
      </c>
      <c r="GM262" s="2">
        <f t="shared" si="294"/>
        <v>-4.54</v>
      </c>
      <c r="GN262" s="2">
        <f t="shared" si="295"/>
        <v>0</v>
      </c>
      <c r="GO262" s="2">
        <f t="shared" si="296"/>
        <v>-4.54</v>
      </c>
      <c r="GP262" s="2">
        <f t="shared" si="297"/>
        <v>0</v>
      </c>
      <c r="GQ262" s="2"/>
      <c r="GR262" s="2">
        <v>0</v>
      </c>
      <c r="GS262" s="2">
        <v>3</v>
      </c>
      <c r="GT262" s="2">
        <v>0</v>
      </c>
      <c r="GU262" s="2" t="s">
        <v>3</v>
      </c>
      <c r="GV262" s="2">
        <f t="shared" si="298"/>
        <v>0</v>
      </c>
      <c r="GW262" s="2">
        <v>1</v>
      </c>
      <c r="GX262" s="2">
        <f t="shared" si="299"/>
        <v>0</v>
      </c>
      <c r="GY262" s="2"/>
      <c r="GZ262" s="2"/>
      <c r="HA262" s="2">
        <v>0</v>
      </c>
      <c r="HB262" s="2">
        <v>0</v>
      </c>
      <c r="HC262" s="2">
        <f t="shared" si="300"/>
        <v>0</v>
      </c>
      <c r="HD262" s="2"/>
      <c r="HE262" s="2" t="s">
        <v>3</v>
      </c>
      <c r="HF262" s="2" t="s">
        <v>3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">
      <c r="A263" s="3">
        <v>17</v>
      </c>
      <c r="B263" s="3">
        <v>1</v>
      </c>
      <c r="E263" s="3" t="s">
        <v>421</v>
      </c>
      <c r="F263" s="3" t="s">
        <v>422</v>
      </c>
      <c r="G263" s="3" t="s">
        <v>423</v>
      </c>
      <c r="H263" s="3" t="s">
        <v>287</v>
      </c>
      <c r="I263" s="3">
        <f>ROUND(I261*-0.00003,9)</f>
        <v>-2.388E-4</v>
      </c>
      <c r="J263" s="3">
        <v>0</v>
      </c>
      <c r="K263" s="3">
        <f>ROUND(I261*-0.00003,9)</f>
        <v>-2.388E-4</v>
      </c>
      <c r="O263" s="3">
        <f t="shared" si="264"/>
        <v>-82.58</v>
      </c>
      <c r="P263" s="3">
        <f t="shared" si="265"/>
        <v>-82.58</v>
      </c>
      <c r="Q263" s="3">
        <f>(ROUND((ROUND(((ET263)*AV263*I263),2)*BB263),2)+ROUND((ROUND(((AE263-(EU263))*AV263*I263),2)*BS263),2))</f>
        <v>0</v>
      </c>
      <c r="R263" s="3">
        <f>(ROUND((ROUND(((EU263)*AV263*I263),2)*BS263),2)+ROUND((ROUND(((AE263-(EU263))*AV263*I263),2)*BS263),2))</f>
        <v>0</v>
      </c>
      <c r="S263" s="3">
        <f t="shared" si="268"/>
        <v>0</v>
      </c>
      <c r="T263" s="3">
        <f t="shared" si="269"/>
        <v>0</v>
      </c>
      <c r="U263" s="3">
        <f t="shared" si="270"/>
        <v>0</v>
      </c>
      <c r="V263" s="3">
        <f t="shared" si="271"/>
        <v>0</v>
      </c>
      <c r="W263" s="3">
        <f t="shared" si="272"/>
        <v>0</v>
      </c>
      <c r="X263" s="3">
        <f>(ROUND((((S263+ROUND((ROUND(((EU263)*AV263*I263),2)*BS263),2))*AT263)/100),2)+ROUND(((ROUND((ROUND(((AE263-(EU263))*AV263*I263),2)*BS263),2)*AT263)/100),2))</f>
        <v>0</v>
      </c>
      <c r="Y263" s="3">
        <f>(ROUND((((S263+ROUND((ROUND(((EU263)*AV263*I263),2)*BS263),2))*AU263)/100),2)+ROUND(((ROUND((ROUND(((AE263-(EU263))*AV263*I263),2)*BS263),2)*AU263)/100),2))</f>
        <v>0</v>
      </c>
      <c r="AA263" s="3">
        <v>55937298</v>
      </c>
      <c r="AB263" s="3">
        <f t="shared" si="275"/>
        <v>18995.22</v>
      </c>
      <c r="AC263" s="3">
        <f>ROUND((ES263),6)</f>
        <v>18995.22</v>
      </c>
      <c r="AD263" s="3">
        <f>ROUND((((ET263)-(EU263))+AE263),6)</f>
        <v>0</v>
      </c>
      <c r="AE263" s="3">
        <f t="shared" si="301"/>
        <v>0</v>
      </c>
      <c r="AF263" s="3">
        <f t="shared" si="301"/>
        <v>0</v>
      </c>
      <c r="AG263" s="3">
        <f t="shared" si="279"/>
        <v>0</v>
      </c>
      <c r="AH263" s="3">
        <f t="shared" si="302"/>
        <v>0</v>
      </c>
      <c r="AI263" s="3">
        <f t="shared" si="302"/>
        <v>0</v>
      </c>
      <c r="AJ263" s="3">
        <f t="shared" si="281"/>
        <v>0</v>
      </c>
      <c r="AK263" s="3">
        <v>18995.22</v>
      </c>
      <c r="AL263" s="3">
        <v>18995.22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1</v>
      </c>
      <c r="AW263" s="3">
        <v>1</v>
      </c>
      <c r="AZ263" s="3">
        <v>1</v>
      </c>
      <c r="BA263" s="3">
        <v>1</v>
      </c>
      <c r="BB263" s="3">
        <v>1</v>
      </c>
      <c r="BC263" s="3">
        <v>18.190000000000001</v>
      </c>
      <c r="BD263" s="3" t="s">
        <v>3</v>
      </c>
      <c r="BE263" s="3" t="s">
        <v>3</v>
      </c>
      <c r="BF263" s="3" t="s">
        <v>3</v>
      </c>
      <c r="BG263" s="3" t="s">
        <v>3</v>
      </c>
      <c r="BH263" s="3">
        <v>3</v>
      </c>
      <c r="BI263" s="3">
        <v>2</v>
      </c>
      <c r="BJ263" s="3" t="s">
        <v>424</v>
      </c>
      <c r="BM263" s="3">
        <v>1617</v>
      </c>
      <c r="BN263" s="3">
        <v>0</v>
      </c>
      <c r="BO263" s="3" t="s">
        <v>422</v>
      </c>
      <c r="BP263" s="3">
        <v>1</v>
      </c>
      <c r="BQ263" s="3">
        <v>200</v>
      </c>
      <c r="BR263" s="3">
        <v>1</v>
      </c>
      <c r="BS263" s="3">
        <v>1</v>
      </c>
      <c r="BT263" s="3">
        <v>1</v>
      </c>
      <c r="BU263" s="3">
        <v>1</v>
      </c>
      <c r="BV263" s="3">
        <v>1</v>
      </c>
      <c r="BW263" s="3">
        <v>1</v>
      </c>
      <c r="BX263" s="3">
        <v>1</v>
      </c>
      <c r="BY263" s="3" t="s">
        <v>3</v>
      </c>
      <c r="BZ263" s="3">
        <v>0</v>
      </c>
      <c r="CA263" s="3">
        <v>0</v>
      </c>
      <c r="CB263" s="3" t="s">
        <v>3</v>
      </c>
      <c r="CE263" s="3">
        <v>1566</v>
      </c>
      <c r="CF263" s="3">
        <v>0</v>
      </c>
      <c r="CG263" s="3">
        <v>0</v>
      </c>
      <c r="CM263" s="3">
        <v>0</v>
      </c>
      <c r="CN263" s="3" t="s">
        <v>797</v>
      </c>
      <c r="CO263" s="3">
        <v>0</v>
      </c>
      <c r="CP263" s="3">
        <f t="shared" si="282"/>
        <v>-82.58</v>
      </c>
      <c r="CQ263" s="3">
        <f t="shared" si="283"/>
        <v>345523.05</v>
      </c>
      <c r="CR263" s="3">
        <f>(ROUND((ROUND(((ET263)*AV263*1),2)*BB263),2)+ROUND((ROUND(((AE263-(EU263))*AV263*1),2)*BS263),2))</f>
        <v>0</v>
      </c>
      <c r="CS263" s="3">
        <f>(ROUND((ROUND(((EU263)*AV263*1),2)*BS263),2)+ROUND((ROUND(((AE263-(EU263))*AV263*1),2)*BS263),2))</f>
        <v>0</v>
      </c>
      <c r="CT263" s="3">
        <f t="shared" si="286"/>
        <v>0</v>
      </c>
      <c r="CU263" s="3">
        <f t="shared" si="287"/>
        <v>0</v>
      </c>
      <c r="CV263" s="3">
        <f t="shared" si="288"/>
        <v>0</v>
      </c>
      <c r="CW263" s="3">
        <f t="shared" si="289"/>
        <v>0</v>
      </c>
      <c r="CX263" s="3">
        <f t="shared" si="290"/>
        <v>0</v>
      </c>
      <c r="CY263" s="3">
        <f>(ROUND((((S263+ROUND((ROUND(((EU263)*AV263*1),2)*BS263),2))*AT263)/100),2)+ROUND(((ROUND((ROUND(((AE263-(EU263))*AV263*1),2)*BS263),2)*AT263)/100),2))</f>
        <v>0</v>
      </c>
      <c r="CZ263" s="3">
        <f>(ROUND((((S263+ROUND((ROUND(((EU263)*AV263*1),2)*BS263),2))*AU263)/100),2)+ROUND(((ROUND((ROUND(((AE263-(EU263))*AV263*1),2)*BS263),2)*AU263)/100),2))</f>
        <v>0</v>
      </c>
      <c r="DC263" s="3" t="s">
        <v>3</v>
      </c>
      <c r="DD263" s="3" t="s">
        <v>3</v>
      </c>
      <c r="DE263" s="3" t="s">
        <v>3</v>
      </c>
      <c r="DF263" s="3" t="s">
        <v>3</v>
      </c>
      <c r="DG263" s="3" t="s">
        <v>3</v>
      </c>
      <c r="DH263" s="3" t="s">
        <v>3</v>
      </c>
      <c r="DI263" s="3" t="s">
        <v>3</v>
      </c>
      <c r="DJ263" s="3" t="s">
        <v>3</v>
      </c>
      <c r="DK263" s="3" t="s">
        <v>3</v>
      </c>
      <c r="DL263" s="3" t="s">
        <v>3</v>
      </c>
      <c r="DM263" s="3" t="s">
        <v>3</v>
      </c>
      <c r="DN263" s="3">
        <v>0</v>
      </c>
      <c r="DO263" s="3">
        <v>0</v>
      </c>
      <c r="DP263" s="3">
        <v>1</v>
      </c>
      <c r="DQ263" s="3">
        <v>1</v>
      </c>
      <c r="DU263" s="3">
        <v>1009</v>
      </c>
      <c r="DV263" s="3" t="s">
        <v>287</v>
      </c>
      <c r="DW263" s="3" t="s">
        <v>287</v>
      </c>
      <c r="DX263" s="3">
        <v>1000</v>
      </c>
      <c r="DZ263" s="3" t="s">
        <v>3</v>
      </c>
      <c r="EA263" s="3" t="s">
        <v>3</v>
      </c>
      <c r="EB263" s="3" t="s">
        <v>3</v>
      </c>
      <c r="EC263" s="3" t="s">
        <v>3</v>
      </c>
      <c r="EE263" s="3">
        <v>55393728</v>
      </c>
      <c r="EF263" s="3">
        <v>200</v>
      </c>
      <c r="EG263" s="3" t="s">
        <v>359</v>
      </c>
      <c r="EH263" s="3">
        <v>0</v>
      </c>
      <c r="EI263" s="3" t="s">
        <v>3</v>
      </c>
      <c r="EJ263" s="3">
        <v>1</v>
      </c>
      <c r="EK263" s="3">
        <v>1617</v>
      </c>
      <c r="EL263" s="3" t="s">
        <v>360</v>
      </c>
      <c r="EM263" s="3" t="s">
        <v>361</v>
      </c>
      <c r="EO263" s="3" t="s">
        <v>118</v>
      </c>
      <c r="EQ263" s="3">
        <v>32768</v>
      </c>
      <c r="ER263" s="3">
        <v>18995.22</v>
      </c>
      <c r="ES263" s="3">
        <v>18995.22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FQ263" s="3">
        <v>0</v>
      </c>
      <c r="FR263" s="3">
        <v>0</v>
      </c>
      <c r="FS263" s="3">
        <v>0</v>
      </c>
      <c r="FX263" s="3">
        <v>0</v>
      </c>
      <c r="FY263" s="3">
        <v>0</v>
      </c>
      <c r="GA263" s="3" t="s">
        <v>3</v>
      </c>
      <c r="GD263" s="3">
        <v>1</v>
      </c>
      <c r="GF263" s="3">
        <v>1438006865</v>
      </c>
      <c r="GG263" s="3">
        <v>2</v>
      </c>
      <c r="GH263" s="3">
        <v>1</v>
      </c>
      <c r="GI263" s="3">
        <v>2</v>
      </c>
      <c r="GJ263" s="3">
        <v>0</v>
      </c>
      <c r="GK263" s="3">
        <v>0</v>
      </c>
      <c r="GL263" s="3">
        <f t="shared" si="293"/>
        <v>0</v>
      </c>
      <c r="GM263" s="3">
        <f t="shared" si="294"/>
        <v>-82.58</v>
      </c>
      <c r="GN263" s="3">
        <f t="shared" si="295"/>
        <v>0</v>
      </c>
      <c r="GO263" s="3">
        <f t="shared" si="296"/>
        <v>-82.58</v>
      </c>
      <c r="GP263" s="3">
        <f t="shared" si="297"/>
        <v>0</v>
      </c>
      <c r="GR263" s="3">
        <v>0</v>
      </c>
      <c r="GS263" s="3">
        <v>3</v>
      </c>
      <c r="GT263" s="3">
        <v>0</v>
      </c>
      <c r="GU263" s="3" t="s">
        <v>3</v>
      </c>
      <c r="GV263" s="3">
        <f t="shared" si="298"/>
        <v>0</v>
      </c>
      <c r="GW263" s="3">
        <v>1</v>
      </c>
      <c r="GX263" s="3">
        <f t="shared" si="299"/>
        <v>0</v>
      </c>
      <c r="HA263" s="3">
        <v>0</v>
      </c>
      <c r="HB263" s="3">
        <v>0</v>
      </c>
      <c r="HC263" s="3">
        <f t="shared" si="300"/>
        <v>0</v>
      </c>
      <c r="HE263" s="3" t="s">
        <v>3</v>
      </c>
      <c r="HF263" s="3" t="s">
        <v>3</v>
      </c>
      <c r="HM263" s="3" t="s">
        <v>3</v>
      </c>
      <c r="HN263" s="3" t="s">
        <v>3</v>
      </c>
      <c r="HO263" s="3" t="s">
        <v>3</v>
      </c>
      <c r="HP263" s="3" t="s">
        <v>3</v>
      </c>
      <c r="HQ263" s="3" t="s">
        <v>3</v>
      </c>
      <c r="HS263" s="3">
        <v>0</v>
      </c>
      <c r="IK263" s="3">
        <v>0</v>
      </c>
    </row>
    <row r="264" spans="1:255" x14ac:dyDescent="0.2">
      <c r="A264" s="2">
        <v>17</v>
      </c>
      <c r="B264" s="2">
        <v>1</v>
      </c>
      <c r="C264" s="2"/>
      <c r="D264" s="2"/>
      <c r="E264" s="2" t="s">
        <v>425</v>
      </c>
      <c r="F264" s="2" t="s">
        <v>426</v>
      </c>
      <c r="G264" s="2" t="s">
        <v>427</v>
      </c>
      <c r="H264" s="2" t="s">
        <v>183</v>
      </c>
      <c r="I264" s="2">
        <v>1</v>
      </c>
      <c r="J264" s="2">
        <v>0</v>
      </c>
      <c r="K264" s="2">
        <v>1</v>
      </c>
      <c r="L264" s="2"/>
      <c r="M264" s="2"/>
      <c r="N264" s="2"/>
      <c r="O264" s="2">
        <f t="shared" si="264"/>
        <v>105.13</v>
      </c>
      <c r="P264" s="2">
        <f t="shared" si="265"/>
        <v>105.13</v>
      </c>
      <c r="Q264" s="2">
        <f>(ROUND((ROUND(((ET264)*AV264*I264),2)*BB264),2)+ROUND((ROUND(((AE264-(EU264))*AV264*I264),2)*BS264),2))</f>
        <v>0</v>
      </c>
      <c r="R264" s="2">
        <f>(ROUND((ROUND(((EU264)*AV264*I264),2)*BS264),2)+ROUND((ROUND(((AE264-(EU264))*AV264*I264),2)*BS264),2))</f>
        <v>0</v>
      </c>
      <c r="S264" s="2">
        <f t="shared" si="268"/>
        <v>0</v>
      </c>
      <c r="T264" s="2">
        <f t="shared" si="269"/>
        <v>0</v>
      </c>
      <c r="U264" s="2">
        <f t="shared" si="270"/>
        <v>0</v>
      </c>
      <c r="V264" s="2">
        <f t="shared" si="271"/>
        <v>0</v>
      </c>
      <c r="W264" s="2">
        <f t="shared" si="272"/>
        <v>0</v>
      </c>
      <c r="X264" s="2">
        <f>(ROUND((((S264+ROUND((ROUND(((EU264)*AV264*I264),2)*BS264),2))*AT264)/100),2)+ROUND(((ROUND((ROUND(((AE264-(EU264))*AV264*I264),2)*BS264),2)*AT264)/100),2))</f>
        <v>0</v>
      </c>
      <c r="Y264" s="2">
        <f>(ROUND((((S264+ROUND((ROUND(((EU264)*AV264*I264),2)*BS264),2))*AU264)/100),2)+ROUND(((ROUND((ROUND(((AE264-(EU264))*AV264*I264),2)*BS264),2)*AU264)/100),2))</f>
        <v>0</v>
      </c>
      <c r="Z264" s="2"/>
      <c r="AA264" s="2">
        <v>55937296</v>
      </c>
      <c r="AB264" s="2">
        <f t="shared" si="275"/>
        <v>105.13</v>
      </c>
      <c r="AC264" s="2">
        <f>ROUND((ES264),6)</f>
        <v>105.13</v>
      </c>
      <c r="AD264" s="2">
        <f>ROUND((((ET264)-(EU264))+AE264),6)</f>
        <v>0</v>
      </c>
      <c r="AE264" s="2">
        <f t="shared" si="301"/>
        <v>0</v>
      </c>
      <c r="AF264" s="2">
        <f t="shared" si="301"/>
        <v>0</v>
      </c>
      <c r="AG264" s="2">
        <f t="shared" si="279"/>
        <v>0</v>
      </c>
      <c r="AH264" s="2">
        <f t="shared" si="302"/>
        <v>0</v>
      </c>
      <c r="AI264" s="2">
        <f t="shared" si="302"/>
        <v>0</v>
      </c>
      <c r="AJ264" s="2">
        <f t="shared" si="281"/>
        <v>0</v>
      </c>
      <c r="AK264" s="2">
        <v>105.13</v>
      </c>
      <c r="AL264" s="2">
        <v>105.13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1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3</v>
      </c>
      <c r="BI264" s="2">
        <v>2</v>
      </c>
      <c r="BJ264" s="2" t="s">
        <v>426</v>
      </c>
      <c r="BK264" s="2"/>
      <c r="BL264" s="2"/>
      <c r="BM264" s="2">
        <v>400005</v>
      </c>
      <c r="BN264" s="2">
        <v>0</v>
      </c>
      <c r="BO264" s="2" t="s">
        <v>3</v>
      </c>
      <c r="BP264" s="2">
        <v>0</v>
      </c>
      <c r="BQ264" s="2">
        <v>213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0</v>
      </c>
      <c r="CA264" s="2">
        <v>0</v>
      </c>
      <c r="CB264" s="2" t="s">
        <v>3</v>
      </c>
      <c r="CC264" s="2"/>
      <c r="CD264" s="2"/>
      <c r="CE264" s="2">
        <v>1566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3</v>
      </c>
      <c r="CO264" s="2">
        <v>0</v>
      </c>
      <c r="CP264" s="2">
        <f t="shared" si="282"/>
        <v>105.13</v>
      </c>
      <c r="CQ264" s="2">
        <f t="shared" si="283"/>
        <v>105.13</v>
      </c>
      <c r="CR264" s="2">
        <f>(ROUND((ROUND(((ET264)*AV264*1),2)*BB264),2)+ROUND((ROUND(((AE264-(EU264))*AV264*1),2)*BS264),2))</f>
        <v>0</v>
      </c>
      <c r="CS264" s="2">
        <f>(ROUND((ROUND(((EU264)*AV264*1),2)*BS264),2)+ROUND((ROUND(((AE264-(EU264))*AV264*1),2)*BS264),2))</f>
        <v>0</v>
      </c>
      <c r="CT264" s="2">
        <f t="shared" si="286"/>
        <v>0</v>
      </c>
      <c r="CU264" s="2">
        <f t="shared" si="287"/>
        <v>0</v>
      </c>
      <c r="CV264" s="2">
        <f t="shared" si="288"/>
        <v>0</v>
      </c>
      <c r="CW264" s="2">
        <f t="shared" si="289"/>
        <v>0</v>
      </c>
      <c r="CX264" s="2">
        <f t="shared" si="290"/>
        <v>0</v>
      </c>
      <c r="CY264" s="2">
        <f>(ROUND((((S264+ROUND((ROUND(((EU264)*AV264*1),2)*BS264),2))*AT264)/100),2)+ROUND(((ROUND((ROUND(((AE264-(EU264))*AV264*1),2)*BS264),2)*AT264)/100),2))</f>
        <v>0</v>
      </c>
      <c r="CZ264" s="2">
        <f>(ROUND((((S264+ROUND((ROUND(((EU264)*AV264*1),2)*BS264),2))*AU264)/100),2)+ROUND(((ROUND((ROUND(((AE264-(EU264))*AV264*1),2)*BS264),2)*AU264)/100),2))</f>
        <v>0</v>
      </c>
      <c r="DA264" s="2"/>
      <c r="DB264" s="2"/>
      <c r="DC264" s="2" t="s">
        <v>3</v>
      </c>
      <c r="DD264" s="2" t="s">
        <v>3</v>
      </c>
      <c r="DE264" s="2" t="s">
        <v>3</v>
      </c>
      <c r="DF264" s="2" t="s">
        <v>3</v>
      </c>
      <c r="DG264" s="2" t="s">
        <v>3</v>
      </c>
      <c r="DH264" s="2" t="s">
        <v>3</v>
      </c>
      <c r="DI264" s="2" t="s">
        <v>3</v>
      </c>
      <c r="DJ264" s="2" t="s">
        <v>3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1013</v>
      </c>
      <c r="DV264" s="2" t="s">
        <v>183</v>
      </c>
      <c r="DW264" s="2" t="s">
        <v>183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55393628</v>
      </c>
      <c r="EF264" s="2">
        <v>213</v>
      </c>
      <c r="EG264" s="2" t="s">
        <v>322</v>
      </c>
      <c r="EH264" s="2">
        <v>0</v>
      </c>
      <c r="EI264" s="2" t="s">
        <v>3</v>
      </c>
      <c r="EJ264" s="2">
        <v>1</v>
      </c>
      <c r="EK264" s="2">
        <v>400005</v>
      </c>
      <c r="EL264" s="2" t="s">
        <v>322</v>
      </c>
      <c r="EM264" s="2" t="s">
        <v>323</v>
      </c>
      <c r="EN264" s="2"/>
      <c r="EO264" s="2" t="s">
        <v>3</v>
      </c>
      <c r="EP264" s="2"/>
      <c r="EQ264" s="2">
        <v>16</v>
      </c>
      <c r="ER264" s="2">
        <v>0</v>
      </c>
      <c r="ES264" s="2">
        <v>105.13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0</v>
      </c>
      <c r="FY264" s="2">
        <v>0</v>
      </c>
      <c r="FZ264" s="2"/>
      <c r="GA264" s="2" t="s">
        <v>428</v>
      </c>
      <c r="GB264" s="2"/>
      <c r="GC264" s="2"/>
      <c r="GD264" s="2">
        <v>1</v>
      </c>
      <c r="GE264" s="2"/>
      <c r="GF264" s="2">
        <v>1431786813</v>
      </c>
      <c r="GG264" s="2">
        <v>2</v>
      </c>
      <c r="GH264" s="2">
        <v>4</v>
      </c>
      <c r="GI264" s="2">
        <v>-2</v>
      </c>
      <c r="GJ264" s="2">
        <v>0</v>
      </c>
      <c r="GK264" s="2">
        <v>0</v>
      </c>
      <c r="GL264" s="2">
        <f t="shared" si="293"/>
        <v>0</v>
      </c>
      <c r="GM264" s="2">
        <f t="shared" si="294"/>
        <v>105.13</v>
      </c>
      <c r="GN264" s="2">
        <f t="shared" si="295"/>
        <v>0</v>
      </c>
      <c r="GO264" s="2">
        <f t="shared" si="296"/>
        <v>105.13</v>
      </c>
      <c r="GP264" s="2">
        <f t="shared" si="297"/>
        <v>0</v>
      </c>
      <c r="GQ264" s="2"/>
      <c r="GR264" s="2">
        <v>1</v>
      </c>
      <c r="GS264" s="2">
        <v>2</v>
      </c>
      <c r="GT264" s="2">
        <v>0</v>
      </c>
      <c r="GU264" s="2" t="s">
        <v>3</v>
      </c>
      <c r="GV264" s="2">
        <f t="shared" si="298"/>
        <v>0</v>
      </c>
      <c r="GW264" s="2">
        <v>1</v>
      </c>
      <c r="GX264" s="2">
        <f t="shared" si="299"/>
        <v>0</v>
      </c>
      <c r="GY264" s="2"/>
      <c r="GZ264" s="2"/>
      <c r="HA264" s="2">
        <v>0</v>
      </c>
      <c r="HB264" s="2">
        <v>0</v>
      </c>
      <c r="HC264" s="2">
        <f t="shared" si="300"/>
        <v>0</v>
      </c>
      <c r="HD264" s="2"/>
      <c r="HE264" s="2" t="s">
        <v>325</v>
      </c>
      <c r="HF264" s="2" t="s">
        <v>30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">
      <c r="A265" s="3">
        <v>17</v>
      </c>
      <c r="B265" s="3">
        <v>1</v>
      </c>
      <c r="E265" s="3" t="s">
        <v>425</v>
      </c>
      <c r="F265" s="3" t="s">
        <v>426</v>
      </c>
      <c r="G265" s="3" t="s">
        <v>427</v>
      </c>
      <c r="H265" s="3" t="s">
        <v>183</v>
      </c>
      <c r="I265" s="3">
        <v>1</v>
      </c>
      <c r="J265" s="3">
        <v>0</v>
      </c>
      <c r="K265" s="3">
        <v>1</v>
      </c>
      <c r="O265" s="3">
        <f t="shared" si="264"/>
        <v>1036.58</v>
      </c>
      <c r="P265" s="3">
        <f t="shared" si="265"/>
        <v>1036.58</v>
      </c>
      <c r="Q265" s="3">
        <f>(ROUND((ROUND(((ET265)*AV265*I265),2)*BB265),2)+ROUND((ROUND(((AE265-(EU265))*AV265*I265),2)*BS265),2))</f>
        <v>0</v>
      </c>
      <c r="R265" s="3">
        <f>(ROUND((ROUND(((EU265)*AV265*I265),2)*BS265),2)+ROUND((ROUND(((AE265-(EU265))*AV265*I265),2)*BS265),2))</f>
        <v>0</v>
      </c>
      <c r="S265" s="3">
        <f t="shared" si="268"/>
        <v>0</v>
      </c>
      <c r="T265" s="3">
        <f t="shared" si="269"/>
        <v>0</v>
      </c>
      <c r="U265" s="3">
        <f t="shared" si="270"/>
        <v>0</v>
      </c>
      <c r="V265" s="3">
        <f t="shared" si="271"/>
        <v>0</v>
      </c>
      <c r="W265" s="3">
        <f t="shared" si="272"/>
        <v>0</v>
      </c>
      <c r="X265" s="3">
        <f>(ROUND((((S265+ROUND((ROUND(((EU265)*AV265*I265),2)*BS265),2))*AT265)/100),2)+ROUND(((ROUND((ROUND(((AE265-(EU265))*AV265*I265),2)*BS265),2)*AT265)/100),2))</f>
        <v>0</v>
      </c>
      <c r="Y265" s="3">
        <f>(ROUND((((S265+ROUND((ROUND(((EU265)*AV265*I265),2)*BS265),2))*AU265)/100),2)+ROUND(((ROUND((ROUND(((AE265-(EU265))*AV265*I265),2)*BS265),2)*AU265)/100),2))</f>
        <v>0</v>
      </c>
      <c r="AA265" s="3">
        <v>55937298</v>
      </c>
      <c r="AB265" s="3">
        <f t="shared" si="275"/>
        <v>105.13</v>
      </c>
      <c r="AC265" s="3">
        <f>ROUND((ES265),6)</f>
        <v>105.13</v>
      </c>
      <c r="AD265" s="3">
        <f>ROUND((((ET265)-(EU265))+AE265),6)</f>
        <v>0</v>
      </c>
      <c r="AE265" s="3">
        <f t="shared" si="301"/>
        <v>0</v>
      </c>
      <c r="AF265" s="3">
        <f t="shared" si="301"/>
        <v>0</v>
      </c>
      <c r="AG265" s="3">
        <f t="shared" si="279"/>
        <v>0</v>
      </c>
      <c r="AH265" s="3">
        <f t="shared" si="302"/>
        <v>0</v>
      </c>
      <c r="AI265" s="3">
        <f t="shared" si="302"/>
        <v>0</v>
      </c>
      <c r="AJ265" s="3">
        <f t="shared" si="281"/>
        <v>0</v>
      </c>
      <c r="AK265" s="3">
        <v>105.13</v>
      </c>
      <c r="AL265" s="3">
        <v>105.13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1</v>
      </c>
      <c r="AW265" s="3">
        <v>1</v>
      </c>
      <c r="AZ265" s="3">
        <v>1</v>
      </c>
      <c r="BA265" s="3">
        <v>1</v>
      </c>
      <c r="BB265" s="3">
        <v>1</v>
      </c>
      <c r="BC265" s="3">
        <v>9.86</v>
      </c>
      <c r="BD265" s="3" t="s">
        <v>3</v>
      </c>
      <c r="BE265" s="3" t="s">
        <v>3</v>
      </c>
      <c r="BF265" s="3" t="s">
        <v>3</v>
      </c>
      <c r="BG265" s="3" t="s">
        <v>3</v>
      </c>
      <c r="BH265" s="3">
        <v>3</v>
      </c>
      <c r="BI265" s="3">
        <v>2</v>
      </c>
      <c r="BJ265" s="3" t="s">
        <v>426</v>
      </c>
      <c r="BM265" s="3">
        <v>400005</v>
      </c>
      <c r="BN265" s="3">
        <v>0</v>
      </c>
      <c r="BO265" s="3" t="s">
        <v>3</v>
      </c>
      <c r="BP265" s="3">
        <v>0</v>
      </c>
      <c r="BQ265" s="3">
        <v>213</v>
      </c>
      <c r="BR265" s="3">
        <v>0</v>
      </c>
      <c r="BS265" s="3">
        <v>1</v>
      </c>
      <c r="BT265" s="3">
        <v>1</v>
      </c>
      <c r="BU265" s="3">
        <v>1</v>
      </c>
      <c r="BV265" s="3">
        <v>1</v>
      </c>
      <c r="BW265" s="3">
        <v>1</v>
      </c>
      <c r="BX265" s="3">
        <v>1</v>
      </c>
      <c r="BY265" s="3" t="s">
        <v>3</v>
      </c>
      <c r="BZ265" s="3">
        <v>0</v>
      </c>
      <c r="CA265" s="3">
        <v>0</v>
      </c>
      <c r="CB265" s="3" t="s">
        <v>3</v>
      </c>
      <c r="CE265" s="3">
        <v>1566</v>
      </c>
      <c r="CF265" s="3">
        <v>0</v>
      </c>
      <c r="CG265" s="3">
        <v>0</v>
      </c>
      <c r="CM265" s="3">
        <v>0</v>
      </c>
      <c r="CN265" s="3" t="s">
        <v>3</v>
      </c>
      <c r="CO265" s="3">
        <v>0</v>
      </c>
      <c r="CP265" s="3">
        <f t="shared" si="282"/>
        <v>1036.58</v>
      </c>
      <c r="CQ265" s="3">
        <f t="shared" si="283"/>
        <v>1036.58</v>
      </c>
      <c r="CR265" s="3">
        <f>(ROUND((ROUND(((ET265)*AV265*1),2)*BB265),2)+ROUND((ROUND(((AE265-(EU265))*AV265*1),2)*BS265),2))</f>
        <v>0</v>
      </c>
      <c r="CS265" s="3">
        <f>(ROUND((ROUND(((EU265)*AV265*1),2)*BS265),2)+ROUND((ROUND(((AE265-(EU265))*AV265*1),2)*BS265),2))</f>
        <v>0</v>
      </c>
      <c r="CT265" s="3">
        <f t="shared" si="286"/>
        <v>0</v>
      </c>
      <c r="CU265" s="3">
        <f t="shared" si="287"/>
        <v>0</v>
      </c>
      <c r="CV265" s="3">
        <f t="shared" si="288"/>
        <v>0</v>
      </c>
      <c r="CW265" s="3">
        <f t="shared" si="289"/>
        <v>0</v>
      </c>
      <c r="CX265" s="3">
        <f t="shared" si="290"/>
        <v>0</v>
      </c>
      <c r="CY265" s="3">
        <f>(ROUND((((S265+ROUND((ROUND(((EU265)*AV265*1),2)*BS265),2))*AT265)/100),2)+ROUND(((ROUND((ROUND(((AE265-(EU265))*AV265*1),2)*BS265),2)*AT265)/100),2))</f>
        <v>0</v>
      </c>
      <c r="CZ265" s="3">
        <f>(ROUND((((S265+ROUND((ROUND(((EU265)*AV265*1),2)*BS265),2))*AU265)/100),2)+ROUND(((ROUND((ROUND(((AE265-(EU265))*AV265*1),2)*BS265),2)*AU265)/100),2))</f>
        <v>0</v>
      </c>
      <c r="DC265" s="3" t="s">
        <v>3</v>
      </c>
      <c r="DD265" s="3" t="s">
        <v>3</v>
      </c>
      <c r="DE265" s="3" t="s">
        <v>3</v>
      </c>
      <c r="DF265" s="3" t="s">
        <v>3</v>
      </c>
      <c r="DG265" s="3" t="s">
        <v>3</v>
      </c>
      <c r="DH265" s="3" t="s">
        <v>3</v>
      </c>
      <c r="DI265" s="3" t="s">
        <v>3</v>
      </c>
      <c r="DJ265" s="3" t="s">
        <v>3</v>
      </c>
      <c r="DK265" s="3" t="s">
        <v>3</v>
      </c>
      <c r="DL265" s="3" t="s">
        <v>3</v>
      </c>
      <c r="DM265" s="3" t="s">
        <v>3</v>
      </c>
      <c r="DN265" s="3">
        <v>0</v>
      </c>
      <c r="DO265" s="3">
        <v>0</v>
      </c>
      <c r="DP265" s="3">
        <v>1</v>
      </c>
      <c r="DQ265" s="3">
        <v>1</v>
      </c>
      <c r="DU265" s="3">
        <v>1013</v>
      </c>
      <c r="DV265" s="3" t="s">
        <v>183</v>
      </c>
      <c r="DW265" s="3" t="s">
        <v>183</v>
      </c>
      <c r="DX265" s="3">
        <v>1</v>
      </c>
      <c r="DZ265" s="3" t="s">
        <v>3</v>
      </c>
      <c r="EA265" s="3" t="s">
        <v>3</v>
      </c>
      <c r="EB265" s="3" t="s">
        <v>3</v>
      </c>
      <c r="EC265" s="3" t="s">
        <v>3</v>
      </c>
      <c r="EE265" s="3">
        <v>55393628</v>
      </c>
      <c r="EF265" s="3">
        <v>213</v>
      </c>
      <c r="EG265" s="3" t="s">
        <v>322</v>
      </c>
      <c r="EH265" s="3">
        <v>0</v>
      </c>
      <c r="EI265" s="3" t="s">
        <v>3</v>
      </c>
      <c r="EJ265" s="3">
        <v>1</v>
      </c>
      <c r="EK265" s="3">
        <v>400005</v>
      </c>
      <c r="EL265" s="3" t="s">
        <v>322</v>
      </c>
      <c r="EM265" s="3" t="s">
        <v>323</v>
      </c>
      <c r="EO265" s="3" t="s">
        <v>3</v>
      </c>
      <c r="EQ265" s="3">
        <v>16</v>
      </c>
      <c r="ER265" s="3">
        <v>0</v>
      </c>
      <c r="ES265" s="3">
        <v>105.13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5</v>
      </c>
      <c r="FC265" s="3">
        <v>1</v>
      </c>
      <c r="FD265" s="3">
        <v>18</v>
      </c>
      <c r="FF265" s="3">
        <v>1239.8399999999999</v>
      </c>
      <c r="FQ265" s="3">
        <v>0</v>
      </c>
      <c r="FR265" s="3">
        <v>0</v>
      </c>
      <c r="FS265" s="3">
        <v>0</v>
      </c>
      <c r="FX265" s="3">
        <v>0</v>
      </c>
      <c r="FY265" s="3">
        <v>0</v>
      </c>
      <c r="GA265" s="3" t="s">
        <v>428</v>
      </c>
      <c r="GD265" s="3">
        <v>1</v>
      </c>
      <c r="GF265" s="3">
        <v>1431786813</v>
      </c>
      <c r="GG265" s="3">
        <v>2</v>
      </c>
      <c r="GH265" s="3">
        <v>3</v>
      </c>
      <c r="GI265" s="3">
        <v>5</v>
      </c>
      <c r="GJ265" s="3">
        <v>0</v>
      </c>
      <c r="GK265" s="3">
        <v>0</v>
      </c>
      <c r="GL265" s="3">
        <f t="shared" si="293"/>
        <v>0</v>
      </c>
      <c r="GM265" s="3">
        <f t="shared" si="294"/>
        <v>1036.58</v>
      </c>
      <c r="GN265" s="3">
        <f t="shared" si="295"/>
        <v>0</v>
      </c>
      <c r="GO265" s="3">
        <f t="shared" si="296"/>
        <v>1036.58</v>
      </c>
      <c r="GP265" s="3">
        <f t="shared" si="297"/>
        <v>0</v>
      </c>
      <c r="GR265" s="3">
        <v>1</v>
      </c>
      <c r="GS265" s="3">
        <v>1</v>
      </c>
      <c r="GT265" s="3">
        <v>0</v>
      </c>
      <c r="GU265" s="3" t="s">
        <v>3</v>
      </c>
      <c r="GV265" s="3">
        <f t="shared" si="298"/>
        <v>0</v>
      </c>
      <c r="GW265" s="3">
        <v>1</v>
      </c>
      <c r="GX265" s="3">
        <f t="shared" si="299"/>
        <v>0</v>
      </c>
      <c r="HA265" s="3">
        <v>0</v>
      </c>
      <c r="HB265" s="3">
        <v>0</v>
      </c>
      <c r="HC265" s="3">
        <f t="shared" si="300"/>
        <v>0</v>
      </c>
      <c r="HE265" s="3" t="s">
        <v>325</v>
      </c>
      <c r="HF265" s="3" t="s">
        <v>30</v>
      </c>
      <c r="HM265" s="3" t="s">
        <v>3</v>
      </c>
      <c r="HN265" s="3" t="s">
        <v>3</v>
      </c>
      <c r="HO265" s="3" t="s">
        <v>3</v>
      </c>
      <c r="HP265" s="3" t="s">
        <v>3</v>
      </c>
      <c r="HQ265" s="3" t="s">
        <v>3</v>
      </c>
      <c r="HS265" s="3">
        <v>0</v>
      </c>
      <c r="IK265" s="3">
        <v>0</v>
      </c>
    </row>
    <row r="267" spans="1:255" x14ac:dyDescent="0.2">
      <c r="A267" s="11">
        <v>51</v>
      </c>
      <c r="B267" s="11">
        <f>B210</f>
        <v>1</v>
      </c>
      <c r="C267" s="11">
        <f>A210</f>
        <v>4</v>
      </c>
      <c r="D267" s="11">
        <f>ROW(A210)</f>
        <v>210</v>
      </c>
      <c r="E267" s="11"/>
      <c r="F267" s="11" t="str">
        <f>IF(F210&lt;&gt;"",F210,"")</f>
        <v>2</v>
      </c>
      <c r="G267" s="11" t="str">
        <f>IF(G210&lt;&gt;"",G210,"")</f>
        <v>Кабельные изделия</v>
      </c>
      <c r="H267" s="11">
        <v>0</v>
      </c>
      <c r="I267" s="11"/>
      <c r="J267" s="11"/>
      <c r="K267" s="11"/>
      <c r="L267" s="11"/>
      <c r="M267" s="11"/>
      <c r="N267" s="11"/>
      <c r="O267" s="11">
        <f t="shared" ref="O267:T267" si="303">ROUND(AB267,2)</f>
        <v>27849.07</v>
      </c>
      <c r="P267" s="11">
        <f t="shared" si="303"/>
        <v>24245.67</v>
      </c>
      <c r="Q267" s="11">
        <f t="shared" si="303"/>
        <v>387.3</v>
      </c>
      <c r="R267" s="11">
        <f t="shared" si="303"/>
        <v>65.239999999999995</v>
      </c>
      <c r="S267" s="11">
        <f t="shared" si="303"/>
        <v>3216.1</v>
      </c>
      <c r="T267" s="11">
        <f t="shared" si="303"/>
        <v>0</v>
      </c>
      <c r="U267" s="11">
        <f>AH267</f>
        <v>255.19106951999999</v>
      </c>
      <c r="V267" s="11">
        <f>AI267</f>
        <v>0</v>
      </c>
      <c r="W267" s="11">
        <f>ROUND(AJ267,2)</f>
        <v>0</v>
      </c>
      <c r="X267" s="11">
        <f>ROUND(AK267,2)</f>
        <v>3182.89</v>
      </c>
      <c r="Y267" s="11">
        <f>ROUND(AL267,2)</f>
        <v>1673.48</v>
      </c>
      <c r="Z267" s="11"/>
      <c r="AA267" s="11"/>
      <c r="AB267" s="11">
        <f>ROUND(SUMIF(AA214:AA265,"=55937296",O214:O265),2)</f>
        <v>27849.07</v>
      </c>
      <c r="AC267" s="11">
        <f>ROUND(SUMIF(AA214:AA265,"=55937296",P214:P265),2)</f>
        <v>24245.67</v>
      </c>
      <c r="AD267" s="11">
        <f>ROUND(SUMIF(AA214:AA265,"=55937296",Q214:Q265),2)</f>
        <v>387.3</v>
      </c>
      <c r="AE267" s="11">
        <f>ROUND(SUMIF(AA214:AA265,"=55937296",R214:R265),2)</f>
        <v>65.239999999999995</v>
      </c>
      <c r="AF267" s="11">
        <f>ROUND(SUMIF(AA214:AA265,"=55937296",S214:S265),2)</f>
        <v>3216.1</v>
      </c>
      <c r="AG267" s="11">
        <f>ROUND(SUMIF(AA214:AA265,"=55937296",T214:T265),2)</f>
        <v>0</v>
      </c>
      <c r="AH267" s="11">
        <f>SUMIF(AA214:AA265,"=55937296",U214:U265)</f>
        <v>255.19106951999999</v>
      </c>
      <c r="AI267" s="11">
        <f>SUMIF(AA214:AA265,"=55937296",V214:V265)</f>
        <v>0</v>
      </c>
      <c r="AJ267" s="11">
        <f>ROUND(SUMIF(AA214:AA265,"=55937296",W214:W265),2)</f>
        <v>0</v>
      </c>
      <c r="AK267" s="11">
        <f>ROUND(SUMIF(AA214:AA265,"=55937296",X214:X265),2)</f>
        <v>3182.89</v>
      </c>
      <c r="AL267" s="11">
        <f>ROUND(SUMIF(AA214:AA265,"=55937296",Y214:Y265),2)</f>
        <v>1673.48</v>
      </c>
      <c r="AM267" s="11"/>
      <c r="AN267" s="11"/>
      <c r="AO267" s="11">
        <f t="shared" ref="AO267:BD267" si="304">ROUND(BX267,2)</f>
        <v>0</v>
      </c>
      <c r="AP267" s="11">
        <f t="shared" si="304"/>
        <v>0</v>
      </c>
      <c r="AQ267" s="11">
        <f t="shared" si="304"/>
        <v>0</v>
      </c>
      <c r="AR267" s="11">
        <f t="shared" si="304"/>
        <v>32705.439999999999</v>
      </c>
      <c r="AS267" s="11">
        <f t="shared" si="304"/>
        <v>0</v>
      </c>
      <c r="AT267" s="11">
        <f t="shared" si="304"/>
        <v>32705.439999999999</v>
      </c>
      <c r="AU267" s="11">
        <f t="shared" si="304"/>
        <v>0</v>
      </c>
      <c r="AV267" s="11">
        <f t="shared" si="304"/>
        <v>24245.67</v>
      </c>
      <c r="AW267" s="11">
        <f t="shared" si="304"/>
        <v>24245.67</v>
      </c>
      <c r="AX267" s="11">
        <f t="shared" si="304"/>
        <v>0</v>
      </c>
      <c r="AY267" s="11">
        <f t="shared" si="304"/>
        <v>24245.67</v>
      </c>
      <c r="AZ267" s="11">
        <f t="shared" si="304"/>
        <v>0</v>
      </c>
      <c r="BA267" s="11">
        <f t="shared" si="304"/>
        <v>0</v>
      </c>
      <c r="BB267" s="11">
        <f t="shared" si="304"/>
        <v>0</v>
      </c>
      <c r="BC267" s="11">
        <f t="shared" si="304"/>
        <v>0</v>
      </c>
      <c r="BD267" s="11">
        <f t="shared" si="304"/>
        <v>0</v>
      </c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>
        <f>ROUND(SUMIF(AA214:AA265,"=55937296",FQ214:FQ265),2)</f>
        <v>0</v>
      </c>
      <c r="BY267" s="11">
        <f>ROUND(SUMIF(AA214:AA265,"=55937296",FR214:FR265),2)</f>
        <v>0</v>
      </c>
      <c r="BZ267" s="11">
        <f>ROUND(SUMIF(AA214:AA265,"=55937296",GL214:GL265),2)</f>
        <v>0</v>
      </c>
      <c r="CA267" s="11">
        <f>ROUND(SUMIF(AA214:AA265,"=55937296",GM214:GM265),2)</f>
        <v>32705.439999999999</v>
      </c>
      <c r="CB267" s="11">
        <f>ROUND(SUMIF(AA214:AA265,"=55937296",GN214:GN265),2)</f>
        <v>0</v>
      </c>
      <c r="CC267" s="11">
        <f>ROUND(SUMIF(AA214:AA265,"=55937296",GO214:GO265),2)</f>
        <v>32705.439999999999</v>
      </c>
      <c r="CD267" s="11">
        <f>ROUND(SUMIF(AA214:AA265,"=55937296",GP214:GP265),2)</f>
        <v>0</v>
      </c>
      <c r="CE267" s="11">
        <f>AC267-BX267</f>
        <v>24245.67</v>
      </c>
      <c r="CF267" s="11">
        <f>AC267-BY267</f>
        <v>24245.67</v>
      </c>
      <c r="CG267" s="11">
        <f>BX267-BZ267</f>
        <v>0</v>
      </c>
      <c r="CH267" s="11">
        <f>AC267-BX267-BY267+BZ267</f>
        <v>24245.67</v>
      </c>
      <c r="CI267" s="11">
        <f>BY267-BZ267</f>
        <v>0</v>
      </c>
      <c r="CJ267" s="11">
        <f>ROUND(SUMIF(AA214:AA265,"=55937296",GX214:GX265),2)</f>
        <v>0</v>
      </c>
      <c r="CK267" s="11">
        <f>ROUND(SUMIF(AA214:AA265,"=55937296",GY214:GY265),2)</f>
        <v>0</v>
      </c>
      <c r="CL267" s="11">
        <f>ROUND(SUMIF(AA214:AA265,"=55937296",GZ214:GZ265),2)</f>
        <v>0</v>
      </c>
      <c r="CM267" s="11">
        <f>ROUND(SUMIF(AA214:AA265,"=55937296",HD214:HD265),2)</f>
        <v>0</v>
      </c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2">
        <f t="shared" ref="DG267:DL267" si="305">ROUND(DT267,2)</f>
        <v>357425.32</v>
      </c>
      <c r="DH267" s="12">
        <f t="shared" si="305"/>
        <v>169033.06</v>
      </c>
      <c r="DI267" s="12">
        <f t="shared" si="305"/>
        <v>7165.02</v>
      </c>
      <c r="DJ267" s="12">
        <f t="shared" si="305"/>
        <v>3676.27</v>
      </c>
      <c r="DK267" s="12">
        <f t="shared" si="305"/>
        <v>181227.24</v>
      </c>
      <c r="DL267" s="12">
        <f t="shared" si="305"/>
        <v>0</v>
      </c>
      <c r="DM267" s="12">
        <f>DZ267</f>
        <v>255.19106951999999</v>
      </c>
      <c r="DN267" s="12">
        <f>EA267</f>
        <v>0</v>
      </c>
      <c r="DO267" s="12">
        <f>ROUND(EB267,2)</f>
        <v>0</v>
      </c>
      <c r="DP267" s="12">
        <f>ROUND(EC267,2)</f>
        <v>179356.41</v>
      </c>
      <c r="DQ267" s="12">
        <f>ROUND(ED267,2)</f>
        <v>94300.800000000003</v>
      </c>
      <c r="DR267" s="12"/>
      <c r="DS267" s="12"/>
      <c r="DT267" s="12">
        <f>ROUND(SUMIF(AA214:AA265,"=55937298",O214:O265),2)</f>
        <v>357425.32</v>
      </c>
      <c r="DU267" s="12">
        <f>ROUND(SUMIF(AA214:AA265,"=55937298",P214:P265),2)</f>
        <v>169033.06</v>
      </c>
      <c r="DV267" s="12">
        <f>ROUND(SUMIF(AA214:AA265,"=55937298",Q214:Q265),2)</f>
        <v>7165.02</v>
      </c>
      <c r="DW267" s="12">
        <f>ROUND(SUMIF(AA214:AA265,"=55937298",R214:R265),2)</f>
        <v>3676.27</v>
      </c>
      <c r="DX267" s="12">
        <f>ROUND(SUMIF(AA214:AA265,"=55937298",S214:S265),2)</f>
        <v>181227.24</v>
      </c>
      <c r="DY267" s="12">
        <f>ROUND(SUMIF(AA214:AA265,"=55937298",T214:T265),2)</f>
        <v>0</v>
      </c>
      <c r="DZ267" s="12">
        <f>SUMIF(AA214:AA265,"=55937298",U214:U265)</f>
        <v>255.19106951999999</v>
      </c>
      <c r="EA267" s="12">
        <f>SUMIF(AA214:AA265,"=55937298",V214:V265)</f>
        <v>0</v>
      </c>
      <c r="EB267" s="12">
        <f>ROUND(SUMIF(AA214:AA265,"=55937298",W214:W265),2)</f>
        <v>0</v>
      </c>
      <c r="EC267" s="12">
        <f>ROUND(SUMIF(AA214:AA265,"=55937298",X214:X265),2)</f>
        <v>179356.41</v>
      </c>
      <c r="ED267" s="12">
        <f>ROUND(SUMIF(AA214:AA265,"=55937298",Y214:Y265),2)</f>
        <v>94300.800000000003</v>
      </c>
      <c r="EE267" s="12"/>
      <c r="EF267" s="12"/>
      <c r="EG267" s="12">
        <f t="shared" ref="EG267:EV267" si="306">ROUND(FP267,2)</f>
        <v>0</v>
      </c>
      <c r="EH267" s="12">
        <f t="shared" si="306"/>
        <v>0</v>
      </c>
      <c r="EI267" s="12">
        <f t="shared" si="306"/>
        <v>0</v>
      </c>
      <c r="EJ267" s="12">
        <f t="shared" si="306"/>
        <v>631082.53</v>
      </c>
      <c r="EK267" s="12">
        <f t="shared" si="306"/>
        <v>0</v>
      </c>
      <c r="EL267" s="12">
        <f t="shared" si="306"/>
        <v>631082.53</v>
      </c>
      <c r="EM267" s="12">
        <f t="shared" si="306"/>
        <v>0</v>
      </c>
      <c r="EN267" s="12">
        <f t="shared" si="306"/>
        <v>169033.06</v>
      </c>
      <c r="EO267" s="12">
        <f t="shared" si="306"/>
        <v>169033.06</v>
      </c>
      <c r="EP267" s="12">
        <f t="shared" si="306"/>
        <v>0</v>
      </c>
      <c r="EQ267" s="12">
        <f t="shared" si="306"/>
        <v>169033.06</v>
      </c>
      <c r="ER267" s="12">
        <f t="shared" si="306"/>
        <v>0</v>
      </c>
      <c r="ES267" s="12">
        <f t="shared" si="306"/>
        <v>0</v>
      </c>
      <c r="ET267" s="12">
        <f t="shared" si="306"/>
        <v>0</v>
      </c>
      <c r="EU267" s="12">
        <f t="shared" si="306"/>
        <v>0</v>
      </c>
      <c r="EV267" s="12">
        <f t="shared" si="306"/>
        <v>0</v>
      </c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>
        <f>ROUND(SUMIF(AA214:AA265,"=55937298",FQ214:FQ265),2)</f>
        <v>0</v>
      </c>
      <c r="FQ267" s="12">
        <f>ROUND(SUMIF(AA214:AA265,"=55937298",FR214:FR265),2)</f>
        <v>0</v>
      </c>
      <c r="FR267" s="12">
        <f>ROUND(SUMIF(AA214:AA265,"=55937298",GL214:GL265),2)</f>
        <v>0</v>
      </c>
      <c r="FS267" s="12">
        <f>ROUND(SUMIF(AA214:AA265,"=55937298",GM214:GM265),2)</f>
        <v>631082.53</v>
      </c>
      <c r="FT267" s="12">
        <f>ROUND(SUMIF(AA214:AA265,"=55937298",GN214:GN265),2)</f>
        <v>0</v>
      </c>
      <c r="FU267" s="12">
        <f>ROUND(SUMIF(AA214:AA265,"=55937298",GO214:GO265),2)</f>
        <v>631082.53</v>
      </c>
      <c r="FV267" s="12">
        <f>ROUND(SUMIF(AA214:AA265,"=55937298",GP214:GP265),2)</f>
        <v>0</v>
      </c>
      <c r="FW267" s="12">
        <f>DU267-FP267</f>
        <v>169033.06</v>
      </c>
      <c r="FX267" s="12">
        <f>DU267-FQ267</f>
        <v>169033.06</v>
      </c>
      <c r="FY267" s="12">
        <f>FP267-FR267</f>
        <v>0</v>
      </c>
      <c r="FZ267" s="12">
        <f>DU267-FP267-FQ267+FR267</f>
        <v>169033.06</v>
      </c>
      <c r="GA267" s="12">
        <f>FQ267-FR267</f>
        <v>0</v>
      </c>
      <c r="GB267" s="12">
        <f>ROUND(SUMIF(AA214:AA265,"=55937298",GX214:GX265),2)</f>
        <v>0</v>
      </c>
      <c r="GC267" s="12">
        <f>ROUND(SUMIF(AA214:AA265,"=55937298",GY214:GY265),2)</f>
        <v>0</v>
      </c>
      <c r="GD267" s="12">
        <f>ROUND(SUMIF(AA214:AA265,"=55937298",GZ214:GZ265),2)</f>
        <v>0</v>
      </c>
      <c r="GE267" s="12">
        <f>ROUND(SUMIF(AA214:AA265,"=55937298",HD214:HD265),2)</f>
        <v>0</v>
      </c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>
        <v>0</v>
      </c>
    </row>
    <row r="269" spans="1:255" x14ac:dyDescent="0.2">
      <c r="A269" s="13">
        <v>50</v>
      </c>
      <c r="B269" s="13">
        <v>0</v>
      </c>
      <c r="C269" s="13">
        <v>0</v>
      </c>
      <c r="D269" s="13">
        <v>1</v>
      </c>
      <c r="E269" s="13">
        <v>201</v>
      </c>
      <c r="F269" s="13">
        <f>ROUND(Source!O267,O269)</f>
        <v>27849.07</v>
      </c>
      <c r="G269" s="13" t="s">
        <v>123</v>
      </c>
      <c r="H269" s="13" t="s">
        <v>124</v>
      </c>
      <c r="I269" s="13"/>
      <c r="J269" s="13"/>
      <c r="K269" s="13">
        <v>201</v>
      </c>
      <c r="L269" s="13">
        <v>1</v>
      </c>
      <c r="M269" s="13">
        <v>3</v>
      </c>
      <c r="N269" s="13" t="s">
        <v>3</v>
      </c>
      <c r="O269" s="13">
        <v>2</v>
      </c>
      <c r="P269" s="13">
        <f>ROUND(Source!DG267,O269)</f>
        <v>357425.32</v>
      </c>
      <c r="Q269" s="13"/>
      <c r="R269" s="13"/>
      <c r="S269" s="13"/>
      <c r="T269" s="13"/>
      <c r="U269" s="13"/>
      <c r="V269" s="13"/>
      <c r="W269" s="13">
        <v>27849.07</v>
      </c>
      <c r="X269" s="13">
        <v>1</v>
      </c>
      <c r="Y269" s="13">
        <v>27849.07</v>
      </c>
      <c r="Z269" s="13">
        <v>357425.32</v>
      </c>
      <c r="AA269" s="13">
        <v>1</v>
      </c>
      <c r="AB269" s="13">
        <v>357425.32</v>
      </c>
    </row>
    <row r="270" spans="1:255" x14ac:dyDescent="0.2">
      <c r="A270" s="13">
        <v>50</v>
      </c>
      <c r="B270" s="13">
        <v>0</v>
      </c>
      <c r="C270" s="13">
        <v>0</v>
      </c>
      <c r="D270" s="13">
        <v>1</v>
      </c>
      <c r="E270" s="13">
        <v>202</v>
      </c>
      <c r="F270" s="13">
        <f>ROUND(Source!P267,O270)</f>
        <v>24245.67</v>
      </c>
      <c r="G270" s="13" t="s">
        <v>125</v>
      </c>
      <c r="H270" s="13" t="s">
        <v>126</v>
      </c>
      <c r="I270" s="13"/>
      <c r="J270" s="13"/>
      <c r="K270" s="13">
        <v>202</v>
      </c>
      <c r="L270" s="13">
        <v>2</v>
      </c>
      <c r="M270" s="13">
        <v>3</v>
      </c>
      <c r="N270" s="13" t="s">
        <v>3</v>
      </c>
      <c r="O270" s="13">
        <v>2</v>
      </c>
      <c r="P270" s="13">
        <f>ROUND(Source!DH267,O270)</f>
        <v>169033.06</v>
      </c>
      <c r="Q270" s="13"/>
      <c r="R270" s="13"/>
      <c r="S270" s="13"/>
      <c r="T270" s="13"/>
      <c r="U270" s="13"/>
      <c r="V270" s="13"/>
      <c r="W270" s="13">
        <v>24245.67</v>
      </c>
      <c r="X270" s="13">
        <v>1</v>
      </c>
      <c r="Y270" s="13">
        <v>24245.67</v>
      </c>
      <c r="Z270" s="13">
        <v>169033.06</v>
      </c>
      <c r="AA270" s="13">
        <v>1</v>
      </c>
      <c r="AB270" s="13">
        <v>169033.06</v>
      </c>
    </row>
    <row r="271" spans="1:255" x14ac:dyDescent="0.2">
      <c r="A271" s="13">
        <v>50</v>
      </c>
      <c r="B271" s="13">
        <v>0</v>
      </c>
      <c r="C271" s="13">
        <v>0</v>
      </c>
      <c r="D271" s="13">
        <v>1</v>
      </c>
      <c r="E271" s="13">
        <v>222</v>
      </c>
      <c r="F271" s="13">
        <f>ROUND(Source!AO267,O271)</f>
        <v>0</v>
      </c>
      <c r="G271" s="13" t="s">
        <v>127</v>
      </c>
      <c r="H271" s="13" t="s">
        <v>128</v>
      </c>
      <c r="I271" s="13"/>
      <c r="J271" s="13"/>
      <c r="K271" s="13">
        <v>222</v>
      </c>
      <c r="L271" s="13">
        <v>3</v>
      </c>
      <c r="M271" s="13">
        <v>3</v>
      </c>
      <c r="N271" s="13" t="s">
        <v>3</v>
      </c>
      <c r="O271" s="13">
        <v>2</v>
      </c>
      <c r="P271" s="13">
        <f>ROUND(Source!EG267,O271)</f>
        <v>0</v>
      </c>
      <c r="Q271" s="13"/>
      <c r="R271" s="13"/>
      <c r="S271" s="13"/>
      <c r="T271" s="13"/>
      <c r="U271" s="13"/>
      <c r="V271" s="13"/>
      <c r="W271" s="13">
        <v>0</v>
      </c>
      <c r="X271" s="13">
        <v>1</v>
      </c>
      <c r="Y271" s="13">
        <v>0</v>
      </c>
      <c r="Z271" s="13">
        <v>0</v>
      </c>
      <c r="AA271" s="13">
        <v>1</v>
      </c>
      <c r="AB271" s="13">
        <v>0</v>
      </c>
    </row>
    <row r="272" spans="1:255" x14ac:dyDescent="0.2">
      <c r="A272" s="13">
        <v>50</v>
      </c>
      <c r="B272" s="13">
        <v>0</v>
      </c>
      <c r="C272" s="13">
        <v>0</v>
      </c>
      <c r="D272" s="13">
        <v>1</v>
      </c>
      <c r="E272" s="13">
        <v>225</v>
      </c>
      <c r="F272" s="13">
        <f>ROUND(Source!AV267,O272)</f>
        <v>24245.67</v>
      </c>
      <c r="G272" s="13" t="s">
        <v>129</v>
      </c>
      <c r="H272" s="13" t="s">
        <v>130</v>
      </c>
      <c r="I272" s="13"/>
      <c r="J272" s="13"/>
      <c r="K272" s="13">
        <v>225</v>
      </c>
      <c r="L272" s="13">
        <v>4</v>
      </c>
      <c r="M272" s="13">
        <v>3</v>
      </c>
      <c r="N272" s="13" t="s">
        <v>3</v>
      </c>
      <c r="O272" s="13">
        <v>2</v>
      </c>
      <c r="P272" s="13">
        <f>ROUND(Source!EN267,O272)</f>
        <v>169033.06</v>
      </c>
      <c r="Q272" s="13"/>
      <c r="R272" s="13"/>
      <c r="S272" s="13"/>
      <c r="T272" s="13"/>
      <c r="U272" s="13"/>
      <c r="V272" s="13"/>
      <c r="W272" s="13">
        <v>24245.67</v>
      </c>
      <c r="X272" s="13">
        <v>1</v>
      </c>
      <c r="Y272" s="13">
        <v>24245.67</v>
      </c>
      <c r="Z272" s="13">
        <v>169033.06</v>
      </c>
      <c r="AA272" s="13">
        <v>1</v>
      </c>
      <c r="AB272" s="13">
        <v>169033.06</v>
      </c>
    </row>
    <row r="273" spans="1:28" x14ac:dyDescent="0.2">
      <c r="A273" s="13">
        <v>50</v>
      </c>
      <c r="B273" s="13">
        <v>0</v>
      </c>
      <c r="C273" s="13">
        <v>0</v>
      </c>
      <c r="D273" s="13">
        <v>1</v>
      </c>
      <c r="E273" s="13">
        <v>226</v>
      </c>
      <c r="F273" s="13">
        <f>ROUND(Source!AW267,O273)</f>
        <v>24245.67</v>
      </c>
      <c r="G273" s="13" t="s">
        <v>131</v>
      </c>
      <c r="H273" s="13" t="s">
        <v>132</v>
      </c>
      <c r="I273" s="13"/>
      <c r="J273" s="13"/>
      <c r="K273" s="13">
        <v>226</v>
      </c>
      <c r="L273" s="13">
        <v>5</v>
      </c>
      <c r="M273" s="13">
        <v>3</v>
      </c>
      <c r="N273" s="13" t="s">
        <v>3</v>
      </c>
      <c r="O273" s="13">
        <v>2</v>
      </c>
      <c r="P273" s="13">
        <f>ROUND(Source!EO267,O273)</f>
        <v>169033.06</v>
      </c>
      <c r="Q273" s="13"/>
      <c r="R273" s="13"/>
      <c r="S273" s="13"/>
      <c r="T273" s="13"/>
      <c r="U273" s="13"/>
      <c r="V273" s="13"/>
      <c r="W273" s="13">
        <v>24245.67</v>
      </c>
      <c r="X273" s="13">
        <v>1</v>
      </c>
      <c r="Y273" s="13">
        <v>24245.67</v>
      </c>
      <c r="Z273" s="13">
        <v>169033.06</v>
      </c>
      <c r="AA273" s="13">
        <v>1</v>
      </c>
      <c r="AB273" s="13">
        <v>169033.06</v>
      </c>
    </row>
    <row r="274" spans="1:28" x14ac:dyDescent="0.2">
      <c r="A274" s="13">
        <v>50</v>
      </c>
      <c r="B274" s="13">
        <v>0</v>
      </c>
      <c r="C274" s="13">
        <v>0</v>
      </c>
      <c r="D274" s="13">
        <v>1</v>
      </c>
      <c r="E274" s="13">
        <v>227</v>
      </c>
      <c r="F274" s="13">
        <f>ROUND(Source!AX267,O274)</f>
        <v>0</v>
      </c>
      <c r="G274" s="13" t="s">
        <v>133</v>
      </c>
      <c r="H274" s="13" t="s">
        <v>134</v>
      </c>
      <c r="I274" s="13"/>
      <c r="J274" s="13"/>
      <c r="K274" s="13">
        <v>227</v>
      </c>
      <c r="L274" s="13">
        <v>6</v>
      </c>
      <c r="M274" s="13">
        <v>3</v>
      </c>
      <c r="N274" s="13" t="s">
        <v>3</v>
      </c>
      <c r="O274" s="13">
        <v>2</v>
      </c>
      <c r="P274" s="13">
        <f>ROUND(Source!EP267,O274)</f>
        <v>0</v>
      </c>
      <c r="Q274" s="13"/>
      <c r="R274" s="13"/>
      <c r="S274" s="13"/>
      <c r="T274" s="13"/>
      <c r="U274" s="13"/>
      <c r="V274" s="13"/>
      <c r="W274" s="13">
        <v>0</v>
      </c>
      <c r="X274" s="13">
        <v>1</v>
      </c>
      <c r="Y274" s="13">
        <v>0</v>
      </c>
      <c r="Z274" s="13">
        <v>0</v>
      </c>
      <c r="AA274" s="13">
        <v>1</v>
      </c>
      <c r="AB274" s="13">
        <v>0</v>
      </c>
    </row>
    <row r="275" spans="1:28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228</v>
      </c>
      <c r="F275" s="13">
        <f>ROUND(Source!AY267,O275)</f>
        <v>24245.67</v>
      </c>
      <c r="G275" s="13" t="s">
        <v>135</v>
      </c>
      <c r="H275" s="13" t="s">
        <v>136</v>
      </c>
      <c r="I275" s="13"/>
      <c r="J275" s="13"/>
      <c r="K275" s="13">
        <v>228</v>
      </c>
      <c r="L275" s="13">
        <v>7</v>
      </c>
      <c r="M275" s="13">
        <v>3</v>
      </c>
      <c r="N275" s="13" t="s">
        <v>3</v>
      </c>
      <c r="O275" s="13">
        <v>2</v>
      </c>
      <c r="P275" s="13">
        <f>ROUND(Source!EQ267,O275)</f>
        <v>169033.06</v>
      </c>
      <c r="Q275" s="13"/>
      <c r="R275" s="13"/>
      <c r="S275" s="13"/>
      <c r="T275" s="13"/>
      <c r="U275" s="13"/>
      <c r="V275" s="13"/>
      <c r="W275" s="13">
        <v>24245.67</v>
      </c>
      <c r="X275" s="13">
        <v>1</v>
      </c>
      <c r="Y275" s="13">
        <v>24245.67</v>
      </c>
      <c r="Z275" s="13">
        <v>169033.06</v>
      </c>
      <c r="AA275" s="13">
        <v>1</v>
      </c>
      <c r="AB275" s="13">
        <v>169033.06</v>
      </c>
    </row>
    <row r="276" spans="1:28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216</v>
      </c>
      <c r="F276" s="13">
        <f>ROUND(Source!AP267,O276)</f>
        <v>0</v>
      </c>
      <c r="G276" s="13" t="s">
        <v>137</v>
      </c>
      <c r="H276" s="13" t="s">
        <v>138</v>
      </c>
      <c r="I276" s="13"/>
      <c r="J276" s="13"/>
      <c r="K276" s="13">
        <v>216</v>
      </c>
      <c r="L276" s="13">
        <v>8</v>
      </c>
      <c r="M276" s="13">
        <v>3</v>
      </c>
      <c r="N276" s="13" t="s">
        <v>3</v>
      </c>
      <c r="O276" s="13">
        <v>2</v>
      </c>
      <c r="P276" s="13">
        <f>ROUND(Source!EH267,O276)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8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223</v>
      </c>
      <c r="F277" s="13">
        <f>ROUND(Source!AQ267,O277)</f>
        <v>0</v>
      </c>
      <c r="G277" s="13" t="s">
        <v>139</v>
      </c>
      <c r="H277" s="13" t="s">
        <v>140</v>
      </c>
      <c r="I277" s="13"/>
      <c r="J277" s="13"/>
      <c r="K277" s="13">
        <v>223</v>
      </c>
      <c r="L277" s="13">
        <v>9</v>
      </c>
      <c r="M277" s="13">
        <v>3</v>
      </c>
      <c r="N277" s="13" t="s">
        <v>3</v>
      </c>
      <c r="O277" s="13">
        <v>2</v>
      </c>
      <c r="P277" s="13">
        <f>ROUND(Source!EI267,O277)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8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229</v>
      </c>
      <c r="F278" s="13">
        <f>ROUND(Source!AZ267,O278)</f>
        <v>0</v>
      </c>
      <c r="G278" s="13" t="s">
        <v>141</v>
      </c>
      <c r="H278" s="13" t="s">
        <v>142</v>
      </c>
      <c r="I278" s="13"/>
      <c r="J278" s="13"/>
      <c r="K278" s="13">
        <v>229</v>
      </c>
      <c r="L278" s="13">
        <v>10</v>
      </c>
      <c r="M278" s="13">
        <v>3</v>
      </c>
      <c r="N278" s="13" t="s">
        <v>3</v>
      </c>
      <c r="O278" s="13">
        <v>2</v>
      </c>
      <c r="P278" s="13">
        <f>ROUND(Source!ER267,O278)</f>
        <v>0</v>
      </c>
      <c r="Q278" s="13"/>
      <c r="R278" s="13"/>
      <c r="S278" s="13"/>
      <c r="T278" s="13"/>
      <c r="U278" s="13"/>
      <c r="V278" s="13"/>
      <c r="W278" s="13">
        <v>0</v>
      </c>
      <c r="X278" s="13">
        <v>1</v>
      </c>
      <c r="Y278" s="13">
        <v>0</v>
      </c>
      <c r="Z278" s="13">
        <v>0</v>
      </c>
      <c r="AA278" s="13">
        <v>1</v>
      </c>
      <c r="AB278" s="13">
        <v>0</v>
      </c>
    </row>
    <row r="279" spans="1:28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203</v>
      </c>
      <c r="F279" s="13">
        <f>ROUND(Source!Q267,O279)</f>
        <v>387.3</v>
      </c>
      <c r="G279" s="13" t="s">
        <v>143</v>
      </c>
      <c r="H279" s="13" t="s">
        <v>144</v>
      </c>
      <c r="I279" s="13"/>
      <c r="J279" s="13"/>
      <c r="K279" s="13">
        <v>203</v>
      </c>
      <c r="L279" s="13">
        <v>11</v>
      </c>
      <c r="M279" s="13">
        <v>3</v>
      </c>
      <c r="N279" s="13" t="s">
        <v>3</v>
      </c>
      <c r="O279" s="13">
        <v>2</v>
      </c>
      <c r="P279" s="13">
        <f>ROUND(Source!DI267,O279)</f>
        <v>7165.02</v>
      </c>
      <c r="Q279" s="13"/>
      <c r="R279" s="13"/>
      <c r="S279" s="13"/>
      <c r="T279" s="13"/>
      <c r="U279" s="13"/>
      <c r="V279" s="13"/>
      <c r="W279" s="13">
        <v>387.3</v>
      </c>
      <c r="X279" s="13">
        <v>1</v>
      </c>
      <c r="Y279" s="13">
        <v>387.3</v>
      </c>
      <c r="Z279" s="13">
        <v>7165.02</v>
      </c>
      <c r="AA279" s="13">
        <v>1</v>
      </c>
      <c r="AB279" s="13">
        <v>7165.02</v>
      </c>
    </row>
    <row r="280" spans="1:28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231</v>
      </c>
      <c r="F280" s="13">
        <f>ROUND(Source!BB267,O280)</f>
        <v>0</v>
      </c>
      <c r="G280" s="13" t="s">
        <v>145</v>
      </c>
      <c r="H280" s="13" t="s">
        <v>146</v>
      </c>
      <c r="I280" s="13"/>
      <c r="J280" s="13"/>
      <c r="K280" s="13">
        <v>231</v>
      </c>
      <c r="L280" s="13">
        <v>12</v>
      </c>
      <c r="M280" s="13">
        <v>3</v>
      </c>
      <c r="N280" s="13" t="s">
        <v>3</v>
      </c>
      <c r="O280" s="13">
        <v>2</v>
      </c>
      <c r="P280" s="13">
        <f>ROUND(Source!ET267,O280)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8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204</v>
      </c>
      <c r="F281" s="13">
        <f>ROUND(Source!R267,O281)</f>
        <v>65.239999999999995</v>
      </c>
      <c r="G281" s="13" t="s">
        <v>147</v>
      </c>
      <c r="H281" s="13" t="s">
        <v>148</v>
      </c>
      <c r="I281" s="13"/>
      <c r="J281" s="13"/>
      <c r="K281" s="13">
        <v>204</v>
      </c>
      <c r="L281" s="13">
        <v>13</v>
      </c>
      <c r="M281" s="13">
        <v>3</v>
      </c>
      <c r="N281" s="13" t="s">
        <v>3</v>
      </c>
      <c r="O281" s="13">
        <v>2</v>
      </c>
      <c r="P281" s="13">
        <f>ROUND(Source!DJ267,O281)</f>
        <v>3676.27</v>
      </c>
      <c r="Q281" s="13"/>
      <c r="R281" s="13"/>
      <c r="S281" s="13"/>
      <c r="T281" s="13"/>
      <c r="U281" s="13"/>
      <c r="V281" s="13"/>
      <c r="W281" s="13">
        <v>65.239999999999995</v>
      </c>
      <c r="X281" s="13">
        <v>1</v>
      </c>
      <c r="Y281" s="13">
        <v>65.239999999999995</v>
      </c>
      <c r="Z281" s="13">
        <v>3676.27</v>
      </c>
      <c r="AA281" s="13">
        <v>1</v>
      </c>
      <c r="AB281" s="13">
        <v>3676.27</v>
      </c>
    </row>
    <row r="282" spans="1:28" x14ac:dyDescent="0.2">
      <c r="A282" s="13">
        <v>50</v>
      </c>
      <c r="B282" s="13">
        <v>0</v>
      </c>
      <c r="C282" s="13">
        <v>0</v>
      </c>
      <c r="D282" s="13">
        <v>1</v>
      </c>
      <c r="E282" s="13">
        <v>205</v>
      </c>
      <c r="F282" s="13">
        <f>ROUND(Source!S267,O282)</f>
        <v>3216.1</v>
      </c>
      <c r="G282" s="13" t="s">
        <v>149</v>
      </c>
      <c r="H282" s="13" t="s">
        <v>150</v>
      </c>
      <c r="I282" s="13"/>
      <c r="J282" s="13"/>
      <c r="K282" s="13">
        <v>205</v>
      </c>
      <c r="L282" s="13">
        <v>14</v>
      </c>
      <c r="M282" s="13">
        <v>3</v>
      </c>
      <c r="N282" s="13" t="s">
        <v>3</v>
      </c>
      <c r="O282" s="13">
        <v>2</v>
      </c>
      <c r="P282" s="13">
        <f>ROUND(Source!DK267,O282)</f>
        <v>181227.24</v>
      </c>
      <c r="Q282" s="13"/>
      <c r="R282" s="13"/>
      <c r="S282" s="13"/>
      <c r="T282" s="13"/>
      <c r="U282" s="13"/>
      <c r="V282" s="13"/>
      <c r="W282" s="13">
        <v>3216.1</v>
      </c>
      <c r="X282" s="13">
        <v>1</v>
      </c>
      <c r="Y282" s="13">
        <v>3216.1</v>
      </c>
      <c r="Z282" s="13">
        <v>181227.24</v>
      </c>
      <c r="AA282" s="13">
        <v>1</v>
      </c>
      <c r="AB282" s="13">
        <v>181227.24</v>
      </c>
    </row>
    <row r="283" spans="1:28" x14ac:dyDescent="0.2">
      <c r="A283" s="13">
        <v>50</v>
      </c>
      <c r="B283" s="13">
        <v>0</v>
      </c>
      <c r="C283" s="13">
        <v>0</v>
      </c>
      <c r="D283" s="13">
        <v>1</v>
      </c>
      <c r="E283" s="13">
        <v>232</v>
      </c>
      <c r="F283" s="13">
        <f>ROUND(Source!BC267,O283)</f>
        <v>0</v>
      </c>
      <c r="G283" s="13" t="s">
        <v>151</v>
      </c>
      <c r="H283" s="13" t="s">
        <v>152</v>
      </c>
      <c r="I283" s="13"/>
      <c r="J283" s="13"/>
      <c r="K283" s="13">
        <v>232</v>
      </c>
      <c r="L283" s="13">
        <v>15</v>
      </c>
      <c r="M283" s="13">
        <v>3</v>
      </c>
      <c r="N283" s="13" t="s">
        <v>3</v>
      </c>
      <c r="O283" s="13">
        <v>2</v>
      </c>
      <c r="P283" s="13">
        <f>ROUND(Source!EU267,O283)</f>
        <v>0</v>
      </c>
      <c r="Q283" s="13"/>
      <c r="R283" s="13"/>
      <c r="S283" s="13"/>
      <c r="T283" s="13"/>
      <c r="U283" s="13"/>
      <c r="V283" s="13"/>
      <c r="W283" s="13">
        <v>0</v>
      </c>
      <c r="X283" s="13">
        <v>1</v>
      </c>
      <c r="Y283" s="13">
        <v>0</v>
      </c>
      <c r="Z283" s="13">
        <v>0</v>
      </c>
      <c r="AA283" s="13">
        <v>1</v>
      </c>
      <c r="AB283" s="13">
        <v>0</v>
      </c>
    </row>
    <row r="284" spans="1:28" x14ac:dyDescent="0.2">
      <c r="A284" s="13">
        <v>50</v>
      </c>
      <c r="B284" s="13">
        <v>0</v>
      </c>
      <c r="C284" s="13">
        <v>0</v>
      </c>
      <c r="D284" s="13">
        <v>1</v>
      </c>
      <c r="E284" s="13">
        <v>214</v>
      </c>
      <c r="F284" s="13">
        <f>ROUND(Source!AS267,O284)</f>
        <v>0</v>
      </c>
      <c r="G284" s="13" t="s">
        <v>153</v>
      </c>
      <c r="H284" s="13" t="s">
        <v>154</v>
      </c>
      <c r="I284" s="13"/>
      <c r="J284" s="13"/>
      <c r="K284" s="13">
        <v>214</v>
      </c>
      <c r="L284" s="13">
        <v>16</v>
      </c>
      <c r="M284" s="13">
        <v>3</v>
      </c>
      <c r="N284" s="13" t="s">
        <v>3</v>
      </c>
      <c r="O284" s="13">
        <v>2</v>
      </c>
      <c r="P284" s="13">
        <f>ROUND(Source!EK267,O284)</f>
        <v>0</v>
      </c>
      <c r="Q284" s="13"/>
      <c r="R284" s="13"/>
      <c r="S284" s="13"/>
      <c r="T284" s="13"/>
      <c r="U284" s="13"/>
      <c r="V284" s="13"/>
      <c r="W284" s="13">
        <v>0</v>
      </c>
      <c r="X284" s="13">
        <v>1</v>
      </c>
      <c r="Y284" s="13">
        <v>0</v>
      </c>
      <c r="Z284" s="13">
        <v>0</v>
      </c>
      <c r="AA284" s="13">
        <v>1</v>
      </c>
      <c r="AB284" s="13">
        <v>0</v>
      </c>
    </row>
    <row r="285" spans="1:28" x14ac:dyDescent="0.2">
      <c r="A285" s="13">
        <v>50</v>
      </c>
      <c r="B285" s="13">
        <v>0</v>
      </c>
      <c r="C285" s="13">
        <v>0</v>
      </c>
      <c r="D285" s="13">
        <v>1</v>
      </c>
      <c r="E285" s="13">
        <v>215</v>
      </c>
      <c r="F285" s="13">
        <f>ROUND(Source!AT267,O285)</f>
        <v>32705.439999999999</v>
      </c>
      <c r="G285" s="13" t="s">
        <v>155</v>
      </c>
      <c r="H285" s="13" t="s">
        <v>156</v>
      </c>
      <c r="I285" s="13"/>
      <c r="J285" s="13"/>
      <c r="K285" s="13">
        <v>215</v>
      </c>
      <c r="L285" s="13">
        <v>17</v>
      </c>
      <c r="M285" s="13">
        <v>3</v>
      </c>
      <c r="N285" s="13" t="s">
        <v>3</v>
      </c>
      <c r="O285" s="13">
        <v>2</v>
      </c>
      <c r="P285" s="13">
        <f>ROUND(Source!EL267,O285)</f>
        <v>631082.53</v>
      </c>
      <c r="Q285" s="13"/>
      <c r="R285" s="13"/>
      <c r="S285" s="13"/>
      <c r="T285" s="13"/>
      <c r="U285" s="13"/>
      <c r="V285" s="13"/>
      <c r="W285" s="13">
        <v>32705.439999999999</v>
      </c>
      <c r="X285" s="13">
        <v>1</v>
      </c>
      <c r="Y285" s="13">
        <v>32705.439999999999</v>
      </c>
      <c r="Z285" s="13">
        <v>631082.53</v>
      </c>
      <c r="AA285" s="13">
        <v>1</v>
      </c>
      <c r="AB285" s="13">
        <v>631082.53</v>
      </c>
    </row>
    <row r="286" spans="1:28" x14ac:dyDescent="0.2">
      <c r="A286" s="13">
        <v>50</v>
      </c>
      <c r="B286" s="13">
        <v>0</v>
      </c>
      <c r="C286" s="13">
        <v>0</v>
      </c>
      <c r="D286" s="13">
        <v>1</v>
      </c>
      <c r="E286" s="13">
        <v>217</v>
      </c>
      <c r="F286" s="13">
        <f>ROUND(Source!AU267,O286)</f>
        <v>0</v>
      </c>
      <c r="G286" s="13" t="s">
        <v>157</v>
      </c>
      <c r="H286" s="13" t="s">
        <v>158</v>
      </c>
      <c r="I286" s="13"/>
      <c r="J286" s="13"/>
      <c r="K286" s="13">
        <v>217</v>
      </c>
      <c r="L286" s="13">
        <v>18</v>
      </c>
      <c r="M286" s="13">
        <v>3</v>
      </c>
      <c r="N286" s="13" t="s">
        <v>3</v>
      </c>
      <c r="O286" s="13">
        <v>2</v>
      </c>
      <c r="P286" s="13">
        <f>ROUND(Source!EM267,O286)</f>
        <v>0</v>
      </c>
      <c r="Q286" s="13"/>
      <c r="R286" s="13"/>
      <c r="S286" s="13"/>
      <c r="T286" s="13"/>
      <c r="U286" s="13"/>
      <c r="V286" s="13"/>
      <c r="W286" s="13">
        <v>0</v>
      </c>
      <c r="X286" s="13">
        <v>1</v>
      </c>
      <c r="Y286" s="13">
        <v>0</v>
      </c>
      <c r="Z286" s="13">
        <v>0</v>
      </c>
      <c r="AA286" s="13">
        <v>1</v>
      </c>
      <c r="AB286" s="13">
        <v>0</v>
      </c>
    </row>
    <row r="287" spans="1:28" x14ac:dyDescent="0.2">
      <c r="A287" s="13">
        <v>50</v>
      </c>
      <c r="B287" s="13">
        <v>0</v>
      </c>
      <c r="C287" s="13">
        <v>0</v>
      </c>
      <c r="D287" s="13">
        <v>1</v>
      </c>
      <c r="E287" s="13">
        <v>230</v>
      </c>
      <c r="F287" s="13">
        <f>ROUND(Source!BA267,O287)</f>
        <v>0</v>
      </c>
      <c r="G287" s="13" t="s">
        <v>159</v>
      </c>
      <c r="H287" s="13" t="s">
        <v>160</v>
      </c>
      <c r="I287" s="13"/>
      <c r="J287" s="13"/>
      <c r="K287" s="13">
        <v>230</v>
      </c>
      <c r="L287" s="13">
        <v>19</v>
      </c>
      <c r="M287" s="13">
        <v>3</v>
      </c>
      <c r="N287" s="13" t="s">
        <v>3</v>
      </c>
      <c r="O287" s="13">
        <v>2</v>
      </c>
      <c r="P287" s="13">
        <f>ROUND(Source!ES267,O287)</f>
        <v>0</v>
      </c>
      <c r="Q287" s="13"/>
      <c r="R287" s="13"/>
      <c r="S287" s="13"/>
      <c r="T287" s="13"/>
      <c r="U287" s="13"/>
      <c r="V287" s="13"/>
      <c r="W287" s="13">
        <v>0</v>
      </c>
      <c r="X287" s="13">
        <v>1</v>
      </c>
      <c r="Y287" s="13">
        <v>0</v>
      </c>
      <c r="Z287" s="13">
        <v>0</v>
      </c>
      <c r="AA287" s="13">
        <v>1</v>
      </c>
      <c r="AB287" s="13">
        <v>0</v>
      </c>
    </row>
    <row r="288" spans="1:28" x14ac:dyDescent="0.2">
      <c r="A288" s="13">
        <v>50</v>
      </c>
      <c r="B288" s="13">
        <v>0</v>
      </c>
      <c r="C288" s="13">
        <v>0</v>
      </c>
      <c r="D288" s="13">
        <v>1</v>
      </c>
      <c r="E288" s="13">
        <v>206</v>
      </c>
      <c r="F288" s="13">
        <f>ROUND(Source!T267,O288)</f>
        <v>0</v>
      </c>
      <c r="G288" s="13" t="s">
        <v>161</v>
      </c>
      <c r="H288" s="13" t="s">
        <v>162</v>
      </c>
      <c r="I288" s="13"/>
      <c r="J288" s="13"/>
      <c r="K288" s="13">
        <v>206</v>
      </c>
      <c r="L288" s="13">
        <v>20</v>
      </c>
      <c r="M288" s="13">
        <v>3</v>
      </c>
      <c r="N288" s="13" t="s">
        <v>3</v>
      </c>
      <c r="O288" s="13">
        <v>2</v>
      </c>
      <c r="P288" s="13">
        <f>ROUND(Source!DL267,O288)</f>
        <v>0</v>
      </c>
      <c r="Q288" s="13"/>
      <c r="R288" s="13"/>
      <c r="S288" s="13"/>
      <c r="T288" s="13"/>
      <c r="U288" s="13"/>
      <c r="V288" s="13"/>
      <c r="W288" s="13">
        <v>0</v>
      </c>
      <c r="X288" s="13">
        <v>1</v>
      </c>
      <c r="Y288" s="13">
        <v>0</v>
      </c>
      <c r="Z288" s="13">
        <v>0</v>
      </c>
      <c r="AA288" s="13">
        <v>1</v>
      </c>
      <c r="AB288" s="13">
        <v>0</v>
      </c>
    </row>
    <row r="289" spans="1:255" x14ac:dyDescent="0.2">
      <c r="A289" s="13">
        <v>50</v>
      </c>
      <c r="B289" s="13">
        <v>0</v>
      </c>
      <c r="C289" s="13">
        <v>0</v>
      </c>
      <c r="D289" s="13">
        <v>1</v>
      </c>
      <c r="E289" s="13">
        <v>207</v>
      </c>
      <c r="F289" s="13">
        <f>Source!U267</f>
        <v>255.19106951999999</v>
      </c>
      <c r="G289" s="13" t="s">
        <v>163</v>
      </c>
      <c r="H289" s="13" t="s">
        <v>164</v>
      </c>
      <c r="I289" s="13"/>
      <c r="J289" s="13"/>
      <c r="K289" s="13">
        <v>207</v>
      </c>
      <c r="L289" s="13">
        <v>21</v>
      </c>
      <c r="M289" s="13">
        <v>3</v>
      </c>
      <c r="N289" s="13" t="s">
        <v>3</v>
      </c>
      <c r="O289" s="13">
        <v>-1</v>
      </c>
      <c r="P289" s="13">
        <f>Source!DM267</f>
        <v>255.19106951999999</v>
      </c>
      <c r="Q289" s="13"/>
      <c r="R289" s="13"/>
      <c r="S289" s="13"/>
      <c r="T289" s="13"/>
      <c r="U289" s="13"/>
      <c r="V289" s="13"/>
      <c r="W289" s="13">
        <v>255.19106952000001</v>
      </c>
      <c r="X289" s="13">
        <v>1</v>
      </c>
      <c r="Y289" s="13">
        <v>255.19106952000001</v>
      </c>
      <c r="Z289" s="13">
        <v>255.19106952000001</v>
      </c>
      <c r="AA289" s="13">
        <v>1</v>
      </c>
      <c r="AB289" s="13">
        <v>255.19106952000001</v>
      </c>
    </row>
    <row r="290" spans="1:255" x14ac:dyDescent="0.2">
      <c r="A290" s="13">
        <v>50</v>
      </c>
      <c r="B290" s="13">
        <v>0</v>
      </c>
      <c r="C290" s="13">
        <v>0</v>
      </c>
      <c r="D290" s="13">
        <v>1</v>
      </c>
      <c r="E290" s="13">
        <v>208</v>
      </c>
      <c r="F290" s="13">
        <f>Source!V267</f>
        <v>0</v>
      </c>
      <c r="G290" s="13" t="s">
        <v>165</v>
      </c>
      <c r="H290" s="13" t="s">
        <v>166</v>
      </c>
      <c r="I290" s="13"/>
      <c r="J290" s="13"/>
      <c r="K290" s="13">
        <v>208</v>
      </c>
      <c r="L290" s="13">
        <v>22</v>
      </c>
      <c r="M290" s="13">
        <v>3</v>
      </c>
      <c r="N290" s="13" t="s">
        <v>3</v>
      </c>
      <c r="O290" s="13">
        <v>-1</v>
      </c>
      <c r="P290" s="13">
        <f>Source!DN267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55" x14ac:dyDescent="0.2">
      <c r="A291" s="13">
        <v>50</v>
      </c>
      <c r="B291" s="13">
        <v>0</v>
      </c>
      <c r="C291" s="13">
        <v>0</v>
      </c>
      <c r="D291" s="13">
        <v>1</v>
      </c>
      <c r="E291" s="13">
        <v>209</v>
      </c>
      <c r="F291" s="13">
        <f>ROUND(Source!W267,O291)</f>
        <v>0</v>
      </c>
      <c r="G291" s="13" t="s">
        <v>167</v>
      </c>
      <c r="H291" s="13" t="s">
        <v>168</v>
      </c>
      <c r="I291" s="13"/>
      <c r="J291" s="13"/>
      <c r="K291" s="13">
        <v>209</v>
      </c>
      <c r="L291" s="13">
        <v>23</v>
      </c>
      <c r="M291" s="13">
        <v>3</v>
      </c>
      <c r="N291" s="13" t="s">
        <v>3</v>
      </c>
      <c r="O291" s="13">
        <v>2</v>
      </c>
      <c r="P291" s="13">
        <f>ROUND(Source!DO267,O291)</f>
        <v>0</v>
      </c>
      <c r="Q291" s="13"/>
      <c r="R291" s="13"/>
      <c r="S291" s="13"/>
      <c r="T291" s="13"/>
      <c r="U291" s="13"/>
      <c r="V291" s="13"/>
      <c r="W291" s="13">
        <v>0</v>
      </c>
      <c r="X291" s="13">
        <v>1</v>
      </c>
      <c r="Y291" s="13">
        <v>0</v>
      </c>
      <c r="Z291" s="13">
        <v>0</v>
      </c>
      <c r="AA291" s="13">
        <v>1</v>
      </c>
      <c r="AB291" s="13">
        <v>0</v>
      </c>
    </row>
    <row r="292" spans="1:255" x14ac:dyDescent="0.2">
      <c r="A292" s="13">
        <v>50</v>
      </c>
      <c r="B292" s="13">
        <v>0</v>
      </c>
      <c r="C292" s="13">
        <v>0</v>
      </c>
      <c r="D292" s="13">
        <v>1</v>
      </c>
      <c r="E292" s="13">
        <v>233</v>
      </c>
      <c r="F292" s="13">
        <f>ROUND(Source!BD267,O292)</f>
        <v>0</v>
      </c>
      <c r="G292" s="13" t="s">
        <v>169</v>
      </c>
      <c r="H292" s="13" t="s">
        <v>170</v>
      </c>
      <c r="I292" s="13"/>
      <c r="J292" s="13"/>
      <c r="K292" s="13">
        <v>233</v>
      </c>
      <c r="L292" s="13">
        <v>24</v>
      </c>
      <c r="M292" s="13">
        <v>3</v>
      </c>
      <c r="N292" s="13" t="s">
        <v>3</v>
      </c>
      <c r="O292" s="13">
        <v>2</v>
      </c>
      <c r="P292" s="13">
        <f>ROUND(Source!EV267,O292)</f>
        <v>0</v>
      </c>
      <c r="Q292" s="13"/>
      <c r="R292" s="13"/>
      <c r="S292" s="13"/>
      <c r="T292" s="13"/>
      <c r="U292" s="13"/>
      <c r="V292" s="13"/>
      <c r="W292" s="13">
        <v>0</v>
      </c>
      <c r="X292" s="13">
        <v>1</v>
      </c>
      <c r="Y292" s="13">
        <v>0</v>
      </c>
      <c r="Z292" s="13">
        <v>0</v>
      </c>
      <c r="AA292" s="13">
        <v>1</v>
      </c>
      <c r="AB292" s="13">
        <v>0</v>
      </c>
    </row>
    <row r="293" spans="1:255" x14ac:dyDescent="0.2">
      <c r="A293" s="13">
        <v>50</v>
      </c>
      <c r="B293" s="13">
        <v>0</v>
      </c>
      <c r="C293" s="13">
        <v>0</v>
      </c>
      <c r="D293" s="13">
        <v>1</v>
      </c>
      <c r="E293" s="13">
        <v>210</v>
      </c>
      <c r="F293" s="13">
        <f>ROUND(Source!X267,O293)</f>
        <v>3182.89</v>
      </c>
      <c r="G293" s="13" t="s">
        <v>171</v>
      </c>
      <c r="H293" s="13" t="s">
        <v>172</v>
      </c>
      <c r="I293" s="13"/>
      <c r="J293" s="13"/>
      <c r="K293" s="13">
        <v>210</v>
      </c>
      <c r="L293" s="13">
        <v>25</v>
      </c>
      <c r="M293" s="13">
        <v>3</v>
      </c>
      <c r="N293" s="13" t="s">
        <v>3</v>
      </c>
      <c r="O293" s="13">
        <v>2</v>
      </c>
      <c r="P293" s="13">
        <f>ROUND(Source!DP267,O293)</f>
        <v>179356.41</v>
      </c>
      <c r="Q293" s="13"/>
      <c r="R293" s="13"/>
      <c r="S293" s="13"/>
      <c r="T293" s="13"/>
      <c r="U293" s="13"/>
      <c r="V293" s="13"/>
      <c r="W293" s="13">
        <v>3182.89</v>
      </c>
      <c r="X293" s="13">
        <v>1</v>
      </c>
      <c r="Y293" s="13">
        <v>3182.89</v>
      </c>
      <c r="Z293" s="13">
        <v>179356.41</v>
      </c>
      <c r="AA293" s="13">
        <v>1</v>
      </c>
      <c r="AB293" s="13">
        <v>179356.41</v>
      </c>
    </row>
    <row r="294" spans="1:255" x14ac:dyDescent="0.2">
      <c r="A294" s="13">
        <v>50</v>
      </c>
      <c r="B294" s="13">
        <v>0</v>
      </c>
      <c r="C294" s="13">
        <v>0</v>
      </c>
      <c r="D294" s="13">
        <v>1</v>
      </c>
      <c r="E294" s="13">
        <v>211</v>
      </c>
      <c r="F294" s="13">
        <f>ROUND(Source!Y267,O294)</f>
        <v>1673.48</v>
      </c>
      <c r="G294" s="13" t="s">
        <v>173</v>
      </c>
      <c r="H294" s="13" t="s">
        <v>174</v>
      </c>
      <c r="I294" s="13"/>
      <c r="J294" s="13"/>
      <c r="K294" s="13">
        <v>211</v>
      </c>
      <c r="L294" s="13">
        <v>26</v>
      </c>
      <c r="M294" s="13">
        <v>3</v>
      </c>
      <c r="N294" s="13" t="s">
        <v>3</v>
      </c>
      <c r="O294" s="13">
        <v>2</v>
      </c>
      <c r="P294" s="13">
        <f>ROUND(Source!DQ267,O294)</f>
        <v>94300.800000000003</v>
      </c>
      <c r="Q294" s="13"/>
      <c r="R294" s="13"/>
      <c r="S294" s="13"/>
      <c r="T294" s="13"/>
      <c r="U294" s="13"/>
      <c r="V294" s="13"/>
      <c r="W294" s="13">
        <v>1673.48</v>
      </c>
      <c r="X294" s="13">
        <v>1</v>
      </c>
      <c r="Y294" s="13">
        <v>1673.48</v>
      </c>
      <c r="Z294" s="13">
        <v>94300.800000000003</v>
      </c>
      <c r="AA294" s="13">
        <v>1</v>
      </c>
      <c r="AB294" s="13">
        <v>94300.800000000003</v>
      </c>
    </row>
    <row r="295" spans="1:255" x14ac:dyDescent="0.2">
      <c r="A295" s="13">
        <v>50</v>
      </c>
      <c r="B295" s="13">
        <v>0</v>
      </c>
      <c r="C295" s="13">
        <v>0</v>
      </c>
      <c r="D295" s="13">
        <v>1</v>
      </c>
      <c r="E295" s="13">
        <v>224</v>
      </c>
      <c r="F295" s="13">
        <f>ROUND(Source!AR267,O295)</f>
        <v>32705.439999999999</v>
      </c>
      <c r="G295" s="13" t="s">
        <v>175</v>
      </c>
      <c r="H295" s="13" t="s">
        <v>176</v>
      </c>
      <c r="I295" s="13"/>
      <c r="J295" s="13"/>
      <c r="K295" s="13">
        <v>224</v>
      </c>
      <c r="L295" s="13">
        <v>27</v>
      </c>
      <c r="M295" s="13">
        <v>3</v>
      </c>
      <c r="N295" s="13" t="s">
        <v>3</v>
      </c>
      <c r="O295" s="13">
        <v>2</v>
      </c>
      <c r="P295" s="13">
        <f>ROUND(Source!EJ267,O295)</f>
        <v>631082.53</v>
      </c>
      <c r="Q295" s="13"/>
      <c r="R295" s="13"/>
      <c r="S295" s="13"/>
      <c r="T295" s="13"/>
      <c r="U295" s="13"/>
      <c r="V295" s="13"/>
      <c r="W295" s="13">
        <v>32705.439999999999</v>
      </c>
      <c r="X295" s="13">
        <v>1</v>
      </c>
      <c r="Y295" s="13">
        <v>32705.439999999999</v>
      </c>
      <c r="Z295" s="13">
        <v>631082.53</v>
      </c>
      <c r="AA295" s="13">
        <v>1</v>
      </c>
      <c r="AB295" s="13">
        <v>631082.53</v>
      </c>
    </row>
    <row r="297" spans="1:255" x14ac:dyDescent="0.2">
      <c r="A297" s="10">
        <v>4</v>
      </c>
      <c r="B297" s="10">
        <v>1</v>
      </c>
      <c r="C297" s="10"/>
      <c r="D297" s="10">
        <f>ROW(A304)</f>
        <v>304</v>
      </c>
      <c r="E297" s="10"/>
      <c r="F297" s="10" t="s">
        <v>34</v>
      </c>
      <c r="G297" s="10" t="s">
        <v>429</v>
      </c>
      <c r="H297" s="10" t="s">
        <v>3</v>
      </c>
      <c r="I297" s="10">
        <v>0</v>
      </c>
      <c r="J297" s="10"/>
      <c r="K297" s="10">
        <v>-1</v>
      </c>
      <c r="L297" s="10"/>
      <c r="M297" s="10" t="s">
        <v>3</v>
      </c>
      <c r="N297" s="10"/>
      <c r="O297" s="10"/>
      <c r="P297" s="10"/>
      <c r="Q297" s="10"/>
      <c r="R297" s="10"/>
      <c r="S297" s="10">
        <v>0</v>
      </c>
      <c r="T297" s="10">
        <v>0</v>
      </c>
      <c r="U297" s="10" t="s">
        <v>3</v>
      </c>
      <c r="V297" s="10">
        <v>0</v>
      </c>
      <c r="W297" s="10"/>
      <c r="X297" s="10"/>
      <c r="Y297" s="10"/>
      <c r="Z297" s="10"/>
      <c r="AA297" s="10"/>
      <c r="AB297" s="10" t="s">
        <v>3</v>
      </c>
      <c r="AC297" s="10" t="s">
        <v>3</v>
      </c>
      <c r="AD297" s="10" t="s">
        <v>3</v>
      </c>
      <c r="AE297" s="10" t="s">
        <v>3</v>
      </c>
      <c r="AF297" s="10" t="s">
        <v>3</v>
      </c>
      <c r="AG297" s="10" t="s">
        <v>3</v>
      </c>
      <c r="AH297" s="10"/>
      <c r="AI297" s="10"/>
      <c r="AJ297" s="10"/>
      <c r="AK297" s="10"/>
      <c r="AL297" s="10"/>
      <c r="AM297" s="10"/>
      <c r="AN297" s="10"/>
      <c r="AO297" s="10"/>
      <c r="AP297" s="10" t="s">
        <v>3</v>
      </c>
      <c r="AQ297" s="10" t="s">
        <v>3</v>
      </c>
      <c r="AR297" s="10" t="s">
        <v>3</v>
      </c>
      <c r="AS297" s="10"/>
      <c r="AT297" s="10"/>
      <c r="AU297" s="10"/>
      <c r="AV297" s="10"/>
      <c r="AW297" s="10"/>
      <c r="AX297" s="10"/>
      <c r="AY297" s="10"/>
      <c r="AZ297" s="10" t="s">
        <v>3</v>
      </c>
      <c r="BA297" s="10"/>
      <c r="BB297" s="10" t="s">
        <v>3</v>
      </c>
      <c r="BC297" s="10" t="s">
        <v>3</v>
      </c>
      <c r="BD297" s="10" t="s">
        <v>3</v>
      </c>
      <c r="BE297" s="10" t="s">
        <v>3</v>
      </c>
      <c r="BF297" s="10" t="s">
        <v>3</v>
      </c>
      <c r="BG297" s="10" t="s">
        <v>3</v>
      </c>
      <c r="BH297" s="10" t="s">
        <v>3</v>
      </c>
      <c r="BI297" s="10" t="s">
        <v>3</v>
      </c>
      <c r="BJ297" s="10" t="s">
        <v>3</v>
      </c>
      <c r="BK297" s="10" t="s">
        <v>3</v>
      </c>
      <c r="BL297" s="10" t="s">
        <v>3</v>
      </c>
      <c r="BM297" s="10" t="s">
        <v>3</v>
      </c>
      <c r="BN297" s="10" t="s">
        <v>3</v>
      </c>
      <c r="BO297" s="10" t="s">
        <v>3</v>
      </c>
      <c r="BP297" s="10" t="s">
        <v>3</v>
      </c>
      <c r="BQ297" s="10"/>
      <c r="BR297" s="10"/>
      <c r="BS297" s="10"/>
      <c r="BT297" s="10"/>
      <c r="BU297" s="10"/>
      <c r="BV297" s="10"/>
      <c r="BW297" s="10"/>
      <c r="BX297" s="10">
        <v>0</v>
      </c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>
        <v>0</v>
      </c>
    </row>
    <row r="299" spans="1:255" x14ac:dyDescent="0.2">
      <c r="A299" s="11">
        <v>52</v>
      </c>
      <c r="B299" s="11">
        <f t="shared" ref="B299:G299" si="307">B304</f>
        <v>1</v>
      </c>
      <c r="C299" s="11">
        <f t="shared" si="307"/>
        <v>4</v>
      </c>
      <c r="D299" s="11">
        <f t="shared" si="307"/>
        <v>297</v>
      </c>
      <c r="E299" s="11">
        <f t="shared" si="307"/>
        <v>0</v>
      </c>
      <c r="F299" s="11" t="str">
        <f t="shared" si="307"/>
        <v>3</v>
      </c>
      <c r="G299" s="11" t="str">
        <f t="shared" si="307"/>
        <v>Запас на складе</v>
      </c>
      <c r="H299" s="11"/>
      <c r="I299" s="11"/>
      <c r="J299" s="11"/>
      <c r="K299" s="11"/>
      <c r="L299" s="11"/>
      <c r="M299" s="11"/>
      <c r="N299" s="11"/>
      <c r="O299" s="11">
        <f t="shared" ref="O299:AT299" si="308">O304</f>
        <v>69886.02</v>
      </c>
      <c r="P299" s="11">
        <f t="shared" si="308"/>
        <v>69886.02</v>
      </c>
      <c r="Q299" s="11">
        <f t="shared" si="308"/>
        <v>0</v>
      </c>
      <c r="R299" s="11">
        <f t="shared" si="308"/>
        <v>0</v>
      </c>
      <c r="S299" s="11">
        <f t="shared" si="308"/>
        <v>0</v>
      </c>
      <c r="T299" s="11">
        <f t="shared" si="308"/>
        <v>0</v>
      </c>
      <c r="U299" s="11">
        <f t="shared" si="308"/>
        <v>0</v>
      </c>
      <c r="V299" s="11">
        <f t="shared" si="308"/>
        <v>0</v>
      </c>
      <c r="W299" s="11">
        <f t="shared" si="308"/>
        <v>0</v>
      </c>
      <c r="X299" s="11">
        <f t="shared" si="308"/>
        <v>0</v>
      </c>
      <c r="Y299" s="11">
        <f t="shared" si="308"/>
        <v>0</v>
      </c>
      <c r="Z299" s="11">
        <f t="shared" si="308"/>
        <v>0</v>
      </c>
      <c r="AA299" s="11">
        <f t="shared" si="308"/>
        <v>0</v>
      </c>
      <c r="AB299" s="11">
        <f t="shared" si="308"/>
        <v>69886.02</v>
      </c>
      <c r="AC299" s="11">
        <f t="shared" si="308"/>
        <v>69886.02</v>
      </c>
      <c r="AD299" s="11">
        <f t="shared" si="308"/>
        <v>0</v>
      </c>
      <c r="AE299" s="11">
        <f t="shared" si="308"/>
        <v>0</v>
      </c>
      <c r="AF299" s="11">
        <f t="shared" si="308"/>
        <v>0</v>
      </c>
      <c r="AG299" s="11">
        <f t="shared" si="308"/>
        <v>0</v>
      </c>
      <c r="AH299" s="11">
        <f t="shared" si="308"/>
        <v>0</v>
      </c>
      <c r="AI299" s="11">
        <f t="shared" si="308"/>
        <v>0</v>
      </c>
      <c r="AJ299" s="11">
        <f t="shared" si="308"/>
        <v>0</v>
      </c>
      <c r="AK299" s="11">
        <f t="shared" si="308"/>
        <v>0</v>
      </c>
      <c r="AL299" s="11">
        <f t="shared" si="308"/>
        <v>0</v>
      </c>
      <c r="AM299" s="11">
        <f t="shared" si="308"/>
        <v>0</v>
      </c>
      <c r="AN299" s="11">
        <f t="shared" si="308"/>
        <v>0</v>
      </c>
      <c r="AO299" s="11">
        <f t="shared" si="308"/>
        <v>0</v>
      </c>
      <c r="AP299" s="11">
        <f t="shared" si="308"/>
        <v>69886.02</v>
      </c>
      <c r="AQ299" s="11">
        <f t="shared" si="308"/>
        <v>0</v>
      </c>
      <c r="AR299" s="11">
        <f t="shared" si="308"/>
        <v>69886.02</v>
      </c>
      <c r="AS299" s="11">
        <f t="shared" si="308"/>
        <v>0</v>
      </c>
      <c r="AT299" s="11">
        <f t="shared" si="308"/>
        <v>0</v>
      </c>
      <c r="AU299" s="11">
        <f t="shared" ref="AU299:BZ299" si="309">AU304</f>
        <v>0</v>
      </c>
      <c r="AV299" s="11">
        <f t="shared" si="309"/>
        <v>69886.02</v>
      </c>
      <c r="AW299" s="11">
        <f t="shared" si="309"/>
        <v>0</v>
      </c>
      <c r="AX299" s="11">
        <f t="shared" si="309"/>
        <v>0</v>
      </c>
      <c r="AY299" s="11">
        <f t="shared" si="309"/>
        <v>0</v>
      </c>
      <c r="AZ299" s="11">
        <f t="shared" si="309"/>
        <v>69886.02</v>
      </c>
      <c r="BA299" s="11">
        <f t="shared" si="309"/>
        <v>0</v>
      </c>
      <c r="BB299" s="11">
        <f t="shared" si="309"/>
        <v>0</v>
      </c>
      <c r="BC299" s="11">
        <f t="shared" si="309"/>
        <v>0</v>
      </c>
      <c r="BD299" s="11">
        <f t="shared" si="309"/>
        <v>0</v>
      </c>
      <c r="BE299" s="11">
        <f t="shared" si="309"/>
        <v>0</v>
      </c>
      <c r="BF299" s="11">
        <f t="shared" si="309"/>
        <v>0</v>
      </c>
      <c r="BG299" s="11">
        <f t="shared" si="309"/>
        <v>0</v>
      </c>
      <c r="BH299" s="11">
        <f t="shared" si="309"/>
        <v>0</v>
      </c>
      <c r="BI299" s="11">
        <f t="shared" si="309"/>
        <v>0</v>
      </c>
      <c r="BJ299" s="11">
        <f t="shared" si="309"/>
        <v>0</v>
      </c>
      <c r="BK299" s="11">
        <f t="shared" si="309"/>
        <v>0</v>
      </c>
      <c r="BL299" s="11">
        <f t="shared" si="309"/>
        <v>0</v>
      </c>
      <c r="BM299" s="11">
        <f t="shared" si="309"/>
        <v>0</v>
      </c>
      <c r="BN299" s="11">
        <f t="shared" si="309"/>
        <v>0</v>
      </c>
      <c r="BO299" s="11">
        <f t="shared" si="309"/>
        <v>0</v>
      </c>
      <c r="BP299" s="11">
        <f t="shared" si="309"/>
        <v>0</v>
      </c>
      <c r="BQ299" s="11">
        <f t="shared" si="309"/>
        <v>0</v>
      </c>
      <c r="BR299" s="11">
        <f t="shared" si="309"/>
        <v>0</v>
      </c>
      <c r="BS299" s="11">
        <f t="shared" si="309"/>
        <v>0</v>
      </c>
      <c r="BT299" s="11">
        <f t="shared" si="309"/>
        <v>0</v>
      </c>
      <c r="BU299" s="11">
        <f t="shared" si="309"/>
        <v>0</v>
      </c>
      <c r="BV299" s="11">
        <f t="shared" si="309"/>
        <v>0</v>
      </c>
      <c r="BW299" s="11">
        <f t="shared" si="309"/>
        <v>0</v>
      </c>
      <c r="BX299" s="11">
        <f t="shared" si="309"/>
        <v>0</v>
      </c>
      <c r="BY299" s="11">
        <f t="shared" si="309"/>
        <v>69886.02</v>
      </c>
      <c r="BZ299" s="11">
        <f t="shared" si="309"/>
        <v>0</v>
      </c>
      <c r="CA299" s="11">
        <f t="shared" ref="CA299:DF299" si="310">CA304</f>
        <v>69886.02</v>
      </c>
      <c r="CB299" s="11">
        <f t="shared" si="310"/>
        <v>0</v>
      </c>
      <c r="CC299" s="11">
        <f t="shared" si="310"/>
        <v>0</v>
      </c>
      <c r="CD299" s="11">
        <f t="shared" si="310"/>
        <v>0</v>
      </c>
      <c r="CE299" s="11">
        <f t="shared" si="310"/>
        <v>69886.02</v>
      </c>
      <c r="CF299" s="11">
        <f t="shared" si="310"/>
        <v>0</v>
      </c>
      <c r="CG299" s="11">
        <f t="shared" si="310"/>
        <v>0</v>
      </c>
      <c r="CH299" s="11">
        <f t="shared" si="310"/>
        <v>0</v>
      </c>
      <c r="CI299" s="11">
        <f t="shared" si="310"/>
        <v>69886.02</v>
      </c>
      <c r="CJ299" s="11">
        <f t="shared" si="310"/>
        <v>0</v>
      </c>
      <c r="CK299" s="11">
        <f t="shared" si="310"/>
        <v>0</v>
      </c>
      <c r="CL299" s="11">
        <f t="shared" si="310"/>
        <v>0</v>
      </c>
      <c r="CM299" s="11">
        <f t="shared" si="310"/>
        <v>0</v>
      </c>
      <c r="CN299" s="11">
        <f t="shared" si="310"/>
        <v>0</v>
      </c>
      <c r="CO299" s="11">
        <f t="shared" si="310"/>
        <v>0</v>
      </c>
      <c r="CP299" s="11">
        <f t="shared" si="310"/>
        <v>0</v>
      </c>
      <c r="CQ299" s="11">
        <f t="shared" si="310"/>
        <v>0</v>
      </c>
      <c r="CR299" s="11">
        <f t="shared" si="310"/>
        <v>0</v>
      </c>
      <c r="CS299" s="11">
        <f t="shared" si="310"/>
        <v>0</v>
      </c>
      <c r="CT299" s="11">
        <f t="shared" si="310"/>
        <v>0</v>
      </c>
      <c r="CU299" s="11">
        <f t="shared" si="310"/>
        <v>0</v>
      </c>
      <c r="CV299" s="11">
        <f t="shared" si="310"/>
        <v>0</v>
      </c>
      <c r="CW299" s="11">
        <f t="shared" si="310"/>
        <v>0</v>
      </c>
      <c r="CX299" s="11">
        <f t="shared" si="310"/>
        <v>0</v>
      </c>
      <c r="CY299" s="11">
        <f t="shared" si="310"/>
        <v>0</v>
      </c>
      <c r="CZ299" s="11">
        <f t="shared" si="310"/>
        <v>0</v>
      </c>
      <c r="DA299" s="11">
        <f t="shared" si="310"/>
        <v>0</v>
      </c>
      <c r="DB299" s="11">
        <f t="shared" si="310"/>
        <v>0</v>
      </c>
      <c r="DC299" s="11">
        <f t="shared" si="310"/>
        <v>0</v>
      </c>
      <c r="DD299" s="11">
        <f t="shared" si="310"/>
        <v>0</v>
      </c>
      <c r="DE299" s="11">
        <f t="shared" si="310"/>
        <v>0</v>
      </c>
      <c r="DF299" s="11">
        <f t="shared" si="310"/>
        <v>0</v>
      </c>
      <c r="DG299" s="12">
        <f t="shared" ref="DG299:EL299" si="311">DG304</f>
        <v>535326.91</v>
      </c>
      <c r="DH299" s="12">
        <f t="shared" si="311"/>
        <v>535326.91</v>
      </c>
      <c r="DI299" s="12">
        <f t="shared" si="311"/>
        <v>0</v>
      </c>
      <c r="DJ299" s="12">
        <f t="shared" si="311"/>
        <v>0</v>
      </c>
      <c r="DK299" s="12">
        <f t="shared" si="311"/>
        <v>0</v>
      </c>
      <c r="DL299" s="12">
        <f t="shared" si="311"/>
        <v>0</v>
      </c>
      <c r="DM299" s="12">
        <f t="shared" si="311"/>
        <v>0</v>
      </c>
      <c r="DN299" s="12">
        <f t="shared" si="311"/>
        <v>0</v>
      </c>
      <c r="DO299" s="12">
        <f t="shared" si="311"/>
        <v>0</v>
      </c>
      <c r="DP299" s="12">
        <f t="shared" si="311"/>
        <v>0</v>
      </c>
      <c r="DQ299" s="12">
        <f t="shared" si="311"/>
        <v>0</v>
      </c>
      <c r="DR299" s="12">
        <f t="shared" si="311"/>
        <v>0</v>
      </c>
      <c r="DS299" s="12">
        <f t="shared" si="311"/>
        <v>0</v>
      </c>
      <c r="DT299" s="12">
        <f t="shared" si="311"/>
        <v>535326.91</v>
      </c>
      <c r="DU299" s="12">
        <f t="shared" si="311"/>
        <v>535326.91</v>
      </c>
      <c r="DV299" s="12">
        <f t="shared" si="311"/>
        <v>0</v>
      </c>
      <c r="DW299" s="12">
        <f t="shared" si="311"/>
        <v>0</v>
      </c>
      <c r="DX299" s="12">
        <f t="shared" si="311"/>
        <v>0</v>
      </c>
      <c r="DY299" s="12">
        <f t="shared" si="311"/>
        <v>0</v>
      </c>
      <c r="DZ299" s="12">
        <f t="shared" si="311"/>
        <v>0</v>
      </c>
      <c r="EA299" s="12">
        <f t="shared" si="311"/>
        <v>0</v>
      </c>
      <c r="EB299" s="12">
        <f t="shared" si="311"/>
        <v>0</v>
      </c>
      <c r="EC299" s="12">
        <f t="shared" si="311"/>
        <v>0</v>
      </c>
      <c r="ED299" s="12">
        <f t="shared" si="311"/>
        <v>0</v>
      </c>
      <c r="EE299" s="12">
        <f t="shared" si="311"/>
        <v>0</v>
      </c>
      <c r="EF299" s="12">
        <f t="shared" si="311"/>
        <v>0</v>
      </c>
      <c r="EG299" s="12">
        <f t="shared" si="311"/>
        <v>0</v>
      </c>
      <c r="EH299" s="12">
        <f t="shared" si="311"/>
        <v>535326.91</v>
      </c>
      <c r="EI299" s="12">
        <f t="shared" si="311"/>
        <v>0</v>
      </c>
      <c r="EJ299" s="12">
        <f t="shared" si="311"/>
        <v>535326.91</v>
      </c>
      <c r="EK299" s="12">
        <f t="shared" si="311"/>
        <v>0</v>
      </c>
      <c r="EL299" s="12">
        <f t="shared" si="311"/>
        <v>0</v>
      </c>
      <c r="EM299" s="12">
        <f t="shared" ref="EM299:FR299" si="312">EM304</f>
        <v>0</v>
      </c>
      <c r="EN299" s="12">
        <f t="shared" si="312"/>
        <v>535326.91</v>
      </c>
      <c r="EO299" s="12">
        <f t="shared" si="312"/>
        <v>0</v>
      </c>
      <c r="EP299" s="12">
        <f t="shared" si="312"/>
        <v>0</v>
      </c>
      <c r="EQ299" s="12">
        <f t="shared" si="312"/>
        <v>0</v>
      </c>
      <c r="ER299" s="12">
        <f t="shared" si="312"/>
        <v>535326.91</v>
      </c>
      <c r="ES299" s="12">
        <f t="shared" si="312"/>
        <v>0</v>
      </c>
      <c r="ET299" s="12">
        <f t="shared" si="312"/>
        <v>0</v>
      </c>
      <c r="EU299" s="12">
        <f t="shared" si="312"/>
        <v>0</v>
      </c>
      <c r="EV299" s="12">
        <f t="shared" si="312"/>
        <v>0</v>
      </c>
      <c r="EW299" s="12">
        <f t="shared" si="312"/>
        <v>0</v>
      </c>
      <c r="EX299" s="12">
        <f t="shared" si="312"/>
        <v>0</v>
      </c>
      <c r="EY299" s="12">
        <f t="shared" si="312"/>
        <v>0</v>
      </c>
      <c r="EZ299" s="12">
        <f t="shared" si="312"/>
        <v>0</v>
      </c>
      <c r="FA299" s="12">
        <f t="shared" si="312"/>
        <v>0</v>
      </c>
      <c r="FB299" s="12">
        <f t="shared" si="312"/>
        <v>0</v>
      </c>
      <c r="FC299" s="12">
        <f t="shared" si="312"/>
        <v>0</v>
      </c>
      <c r="FD299" s="12">
        <f t="shared" si="312"/>
        <v>0</v>
      </c>
      <c r="FE299" s="12">
        <f t="shared" si="312"/>
        <v>0</v>
      </c>
      <c r="FF299" s="12">
        <f t="shared" si="312"/>
        <v>0</v>
      </c>
      <c r="FG299" s="12">
        <f t="shared" si="312"/>
        <v>0</v>
      </c>
      <c r="FH299" s="12">
        <f t="shared" si="312"/>
        <v>0</v>
      </c>
      <c r="FI299" s="12">
        <f t="shared" si="312"/>
        <v>0</v>
      </c>
      <c r="FJ299" s="12">
        <f t="shared" si="312"/>
        <v>0</v>
      </c>
      <c r="FK299" s="12">
        <f t="shared" si="312"/>
        <v>0</v>
      </c>
      <c r="FL299" s="12">
        <f t="shared" si="312"/>
        <v>0</v>
      </c>
      <c r="FM299" s="12">
        <f t="shared" si="312"/>
        <v>0</v>
      </c>
      <c r="FN299" s="12">
        <f t="shared" si="312"/>
        <v>0</v>
      </c>
      <c r="FO299" s="12">
        <f t="shared" si="312"/>
        <v>0</v>
      </c>
      <c r="FP299" s="12">
        <f t="shared" si="312"/>
        <v>0</v>
      </c>
      <c r="FQ299" s="12">
        <f t="shared" si="312"/>
        <v>535326.91</v>
      </c>
      <c r="FR299" s="12">
        <f t="shared" si="312"/>
        <v>0</v>
      </c>
      <c r="FS299" s="12">
        <f t="shared" ref="FS299:GX299" si="313">FS304</f>
        <v>535326.91</v>
      </c>
      <c r="FT299" s="12">
        <f t="shared" si="313"/>
        <v>0</v>
      </c>
      <c r="FU299" s="12">
        <f t="shared" si="313"/>
        <v>0</v>
      </c>
      <c r="FV299" s="12">
        <f t="shared" si="313"/>
        <v>0</v>
      </c>
      <c r="FW299" s="12">
        <f t="shared" si="313"/>
        <v>535326.91</v>
      </c>
      <c r="FX299" s="12">
        <f t="shared" si="313"/>
        <v>0</v>
      </c>
      <c r="FY299" s="12">
        <f t="shared" si="313"/>
        <v>0</v>
      </c>
      <c r="FZ299" s="12">
        <f t="shared" si="313"/>
        <v>0</v>
      </c>
      <c r="GA299" s="12">
        <f t="shared" si="313"/>
        <v>535326.91</v>
      </c>
      <c r="GB299" s="12">
        <f t="shared" si="313"/>
        <v>0</v>
      </c>
      <c r="GC299" s="12">
        <f t="shared" si="313"/>
        <v>0</v>
      </c>
      <c r="GD299" s="12">
        <f t="shared" si="313"/>
        <v>0</v>
      </c>
      <c r="GE299" s="12">
        <f t="shared" si="313"/>
        <v>0</v>
      </c>
      <c r="GF299" s="12">
        <f t="shared" si="313"/>
        <v>0</v>
      </c>
      <c r="GG299" s="12">
        <f t="shared" si="313"/>
        <v>0</v>
      </c>
      <c r="GH299" s="12">
        <f t="shared" si="313"/>
        <v>0</v>
      </c>
      <c r="GI299" s="12">
        <f t="shared" si="313"/>
        <v>0</v>
      </c>
      <c r="GJ299" s="12">
        <f t="shared" si="313"/>
        <v>0</v>
      </c>
      <c r="GK299" s="12">
        <f t="shared" si="313"/>
        <v>0</v>
      </c>
      <c r="GL299" s="12">
        <f t="shared" si="313"/>
        <v>0</v>
      </c>
      <c r="GM299" s="12">
        <f t="shared" si="313"/>
        <v>0</v>
      </c>
      <c r="GN299" s="12">
        <f t="shared" si="313"/>
        <v>0</v>
      </c>
      <c r="GO299" s="12">
        <f t="shared" si="313"/>
        <v>0</v>
      </c>
      <c r="GP299" s="12">
        <f t="shared" si="313"/>
        <v>0</v>
      </c>
      <c r="GQ299" s="12">
        <f t="shared" si="313"/>
        <v>0</v>
      </c>
      <c r="GR299" s="12">
        <f t="shared" si="313"/>
        <v>0</v>
      </c>
      <c r="GS299" s="12">
        <f t="shared" si="313"/>
        <v>0</v>
      </c>
      <c r="GT299" s="12">
        <f t="shared" si="313"/>
        <v>0</v>
      </c>
      <c r="GU299" s="12">
        <f t="shared" si="313"/>
        <v>0</v>
      </c>
      <c r="GV299" s="12">
        <f t="shared" si="313"/>
        <v>0</v>
      </c>
      <c r="GW299" s="12">
        <f t="shared" si="313"/>
        <v>0</v>
      </c>
      <c r="GX299" s="12">
        <f t="shared" si="313"/>
        <v>0</v>
      </c>
    </row>
    <row r="301" spans="1:255" x14ac:dyDescent="0.2">
      <c r="A301" s="2">
        <v>17</v>
      </c>
      <c r="B301" s="2">
        <v>1</v>
      </c>
      <c r="C301" s="2"/>
      <c r="D301" s="2"/>
      <c r="E301" s="2" t="s">
        <v>430</v>
      </c>
      <c r="F301" s="2" t="s">
        <v>255</v>
      </c>
      <c r="G301" s="2" t="s">
        <v>256</v>
      </c>
      <c r="H301" s="2" t="s">
        <v>183</v>
      </c>
      <c r="I301" s="2">
        <v>3</v>
      </c>
      <c r="J301" s="2">
        <v>0</v>
      </c>
      <c r="K301" s="2">
        <v>3</v>
      </c>
      <c r="L301" s="2"/>
      <c r="M301" s="2"/>
      <c r="N301" s="2"/>
      <c r="O301" s="2">
        <f>ROUND(CP301,2)</f>
        <v>69886.02</v>
      </c>
      <c r="P301" s="2">
        <f>ROUND((ROUND((AC301*AW301*I301),2)*BC301),2)</f>
        <v>69886.02</v>
      </c>
      <c r="Q301" s="2">
        <f>(ROUND((ROUND(((ET301)*AV301*I301),2)*BB301),2)+ROUND((ROUND(((AE301-(EU301))*AV301*I301),2)*BS301),2))</f>
        <v>0</v>
      </c>
      <c r="R301" s="2">
        <f>(ROUND((ROUND(((EU301)*AV301*I301),2)*BS301),2)+ROUND((ROUND(((AE301-(EU301))*AV301*I301),2)*BS301),2))</f>
        <v>0</v>
      </c>
      <c r="S301" s="2">
        <f>ROUND((ROUND((AF301*AV301*I301),2)*BA301),2)</f>
        <v>0</v>
      </c>
      <c r="T301" s="2">
        <f>ROUND(CU301*I301,2)</f>
        <v>0</v>
      </c>
      <c r="U301" s="2">
        <f>CV301*I301</f>
        <v>0</v>
      </c>
      <c r="V301" s="2">
        <f>CW301*I301</f>
        <v>0</v>
      </c>
      <c r="W301" s="2">
        <f>ROUND(CX301*I301,2)</f>
        <v>0</v>
      </c>
      <c r="X301" s="2">
        <f>(ROUND((((S301+ROUND((ROUND(((EU301)*AV301*I301),2)*BS301),2))*AT301)/100),2)+ROUND(((ROUND((ROUND(((AE301-(EU301))*AV301*I301),2)*BS301),2)*AT301)/100),2))</f>
        <v>0</v>
      </c>
      <c r="Y301" s="2">
        <f>(ROUND((((S301+ROUND((ROUND(((EU301)*AV301*I301),2)*BS301),2))*AU301)/100),2)+ROUND(((ROUND((ROUND(((AE301-(EU301))*AV301*I301),2)*BS301),2)*AU301)/100),2))</f>
        <v>0</v>
      </c>
      <c r="Z301" s="2"/>
      <c r="AA301" s="2">
        <v>55937296</v>
      </c>
      <c r="AB301" s="2">
        <f>ROUND((AC301+AD301+AF301),6)</f>
        <v>23295.34</v>
      </c>
      <c r="AC301" s="2">
        <f>ROUND((ES301),6)</f>
        <v>23295.34</v>
      </c>
      <c r="AD301" s="2">
        <f>ROUND((((ET301)-(EU301))+AE301),6)</f>
        <v>0</v>
      </c>
      <c r="AE301" s="2">
        <f>ROUND((EU301),6)</f>
        <v>0</v>
      </c>
      <c r="AF301" s="2">
        <f>ROUND((EV301),6)</f>
        <v>0</v>
      </c>
      <c r="AG301" s="2">
        <f>ROUND((AP301),6)</f>
        <v>0</v>
      </c>
      <c r="AH301" s="2">
        <f>(EW301)</f>
        <v>0</v>
      </c>
      <c r="AI301" s="2">
        <f>(EX301)</f>
        <v>0</v>
      </c>
      <c r="AJ301" s="2">
        <f>(AS301)</f>
        <v>0</v>
      </c>
      <c r="AK301" s="2">
        <v>23295.34</v>
      </c>
      <c r="AL301" s="2">
        <v>23295.34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1</v>
      </c>
      <c r="AW301" s="2">
        <v>1</v>
      </c>
      <c r="AX301" s="2"/>
      <c r="AY301" s="2"/>
      <c r="AZ301" s="2">
        <v>1</v>
      </c>
      <c r="BA301" s="2">
        <v>1</v>
      </c>
      <c r="BB301" s="2">
        <v>1</v>
      </c>
      <c r="BC301" s="2">
        <v>1</v>
      </c>
      <c r="BD301" s="2" t="s">
        <v>3</v>
      </c>
      <c r="BE301" s="2" t="s">
        <v>3</v>
      </c>
      <c r="BF301" s="2" t="s">
        <v>3</v>
      </c>
      <c r="BG301" s="2" t="s">
        <v>3</v>
      </c>
      <c r="BH301" s="2">
        <v>3</v>
      </c>
      <c r="BI301" s="2">
        <v>3</v>
      </c>
      <c r="BJ301" s="2" t="s">
        <v>255</v>
      </c>
      <c r="BK301" s="2"/>
      <c r="BL301" s="2"/>
      <c r="BM301" s="2">
        <v>400007</v>
      </c>
      <c r="BN301" s="2">
        <v>0</v>
      </c>
      <c r="BO301" s="2" t="s">
        <v>3</v>
      </c>
      <c r="BP301" s="2">
        <v>0</v>
      </c>
      <c r="BQ301" s="2">
        <v>214</v>
      </c>
      <c r="BR301" s="2">
        <v>0</v>
      </c>
      <c r="BS301" s="2">
        <v>1</v>
      </c>
      <c r="BT301" s="2">
        <v>1</v>
      </c>
      <c r="BU301" s="2">
        <v>1</v>
      </c>
      <c r="BV301" s="2">
        <v>1</v>
      </c>
      <c r="BW301" s="2">
        <v>1</v>
      </c>
      <c r="BX301" s="2">
        <v>1</v>
      </c>
      <c r="BY301" s="2" t="s">
        <v>3</v>
      </c>
      <c r="BZ301" s="2">
        <v>0</v>
      </c>
      <c r="CA301" s="2">
        <v>0</v>
      </c>
      <c r="CB301" s="2" t="s">
        <v>3</v>
      </c>
      <c r="CC301" s="2"/>
      <c r="CD301" s="2"/>
      <c r="CE301" s="2">
        <v>1566</v>
      </c>
      <c r="CF301" s="2">
        <v>0</v>
      </c>
      <c r="CG301" s="2">
        <v>0</v>
      </c>
      <c r="CH301" s="2"/>
      <c r="CI301" s="2"/>
      <c r="CJ301" s="2"/>
      <c r="CK301" s="2"/>
      <c r="CL301" s="2"/>
      <c r="CM301" s="2">
        <v>0</v>
      </c>
      <c r="CN301" s="2" t="s">
        <v>3</v>
      </c>
      <c r="CO301" s="2">
        <v>0</v>
      </c>
      <c r="CP301" s="2">
        <f>(P301+Q301+S301)</f>
        <v>69886.02</v>
      </c>
      <c r="CQ301" s="2">
        <f>ROUND((ROUND((AC301*AW301*1),2)*BC301),2)</f>
        <v>23295.34</v>
      </c>
      <c r="CR301" s="2">
        <f>(ROUND((ROUND(((ET301)*AV301*1),2)*BB301),2)+ROUND((ROUND(((AE301-(EU301))*AV301*1),2)*BS301),2))</f>
        <v>0</v>
      </c>
      <c r="CS301" s="2">
        <f>(ROUND((ROUND(((EU301)*AV301*1),2)*BS301),2)+ROUND((ROUND(((AE301-(EU301))*AV301*1),2)*BS301),2))</f>
        <v>0</v>
      </c>
      <c r="CT301" s="2">
        <f>ROUND((ROUND((AF301*AV301*1),2)*BA301),2)</f>
        <v>0</v>
      </c>
      <c r="CU301" s="2">
        <f>AG301</f>
        <v>0</v>
      </c>
      <c r="CV301" s="2">
        <f>(AH301*AV301)</f>
        <v>0</v>
      </c>
      <c r="CW301" s="2">
        <f>AI301</f>
        <v>0</v>
      </c>
      <c r="CX301" s="2">
        <f>AJ301</f>
        <v>0</v>
      </c>
      <c r="CY301" s="2">
        <f>(ROUND((((S301+ROUND((ROUND(((EU301)*AV301*1),2)*BS301),2))*AT301)/100),2)+ROUND(((ROUND((ROUND(((AE301-(EU301))*AV301*1),2)*BS301),2)*AT301)/100),2))</f>
        <v>0</v>
      </c>
      <c r="CZ301" s="2">
        <f>(ROUND((((S301+ROUND((ROUND(((EU301)*AV301*1),2)*BS301),2))*AU301)/100),2)+ROUND(((ROUND((ROUND(((AE301-(EU301))*AV301*1),2)*BS301),2)*AU301)/100),2))</f>
        <v>0</v>
      </c>
      <c r="DA301" s="2"/>
      <c r="DB301" s="2"/>
      <c r="DC301" s="2" t="s">
        <v>3</v>
      </c>
      <c r="DD301" s="2" t="s">
        <v>3</v>
      </c>
      <c r="DE301" s="2" t="s">
        <v>3</v>
      </c>
      <c r="DF301" s="2" t="s">
        <v>3</v>
      </c>
      <c r="DG301" s="2" t="s">
        <v>3</v>
      </c>
      <c r="DH301" s="2" t="s">
        <v>3</v>
      </c>
      <c r="DI301" s="2" t="s">
        <v>3</v>
      </c>
      <c r="DJ301" s="2" t="s">
        <v>3</v>
      </c>
      <c r="DK301" s="2" t="s">
        <v>3</v>
      </c>
      <c r="DL301" s="2" t="s">
        <v>3</v>
      </c>
      <c r="DM301" s="2" t="s">
        <v>3</v>
      </c>
      <c r="DN301" s="2">
        <v>0</v>
      </c>
      <c r="DO301" s="2">
        <v>0</v>
      </c>
      <c r="DP301" s="2">
        <v>1</v>
      </c>
      <c r="DQ301" s="2">
        <v>1</v>
      </c>
      <c r="DR301" s="2"/>
      <c r="DS301" s="2"/>
      <c r="DT301" s="2"/>
      <c r="DU301" s="2">
        <v>1013</v>
      </c>
      <c r="DV301" s="2" t="s">
        <v>183</v>
      </c>
      <c r="DW301" s="2" t="s">
        <v>183</v>
      </c>
      <c r="DX301" s="2">
        <v>1</v>
      </c>
      <c r="DY301" s="2"/>
      <c r="DZ301" s="2" t="s">
        <v>3</v>
      </c>
      <c r="EA301" s="2" t="s">
        <v>3</v>
      </c>
      <c r="EB301" s="2" t="s">
        <v>3</v>
      </c>
      <c r="EC301" s="2" t="s">
        <v>3</v>
      </c>
      <c r="ED301" s="2"/>
      <c r="EE301" s="2">
        <v>55393630</v>
      </c>
      <c r="EF301" s="2">
        <v>214</v>
      </c>
      <c r="EG301" s="2" t="s">
        <v>184</v>
      </c>
      <c r="EH301" s="2">
        <v>0</v>
      </c>
      <c r="EI301" s="2" t="s">
        <v>3</v>
      </c>
      <c r="EJ301" s="2">
        <v>3</v>
      </c>
      <c r="EK301" s="2">
        <v>400007</v>
      </c>
      <c r="EL301" s="2" t="s">
        <v>184</v>
      </c>
      <c r="EM301" s="2" t="s">
        <v>185</v>
      </c>
      <c r="EN301" s="2"/>
      <c r="EO301" s="2" t="s">
        <v>3</v>
      </c>
      <c r="EP301" s="2"/>
      <c r="EQ301" s="2">
        <v>16</v>
      </c>
      <c r="ER301" s="2">
        <v>0</v>
      </c>
      <c r="ES301" s="2">
        <v>23295.34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>
        <v>0</v>
      </c>
      <c r="FR301" s="2">
        <f>P301</f>
        <v>69886.02</v>
      </c>
      <c r="FS301" s="2">
        <v>0</v>
      </c>
      <c r="FT301" s="2"/>
      <c r="FU301" s="2"/>
      <c r="FV301" s="2"/>
      <c r="FW301" s="2"/>
      <c r="FX301" s="2">
        <v>0</v>
      </c>
      <c r="FY301" s="2">
        <v>0</v>
      </c>
      <c r="FZ301" s="2"/>
      <c r="GA301" s="2" t="s">
        <v>257</v>
      </c>
      <c r="GB301" s="2"/>
      <c r="GC301" s="2"/>
      <c r="GD301" s="2">
        <v>1</v>
      </c>
      <c r="GE301" s="2"/>
      <c r="GF301" s="2">
        <v>-846992528</v>
      </c>
      <c r="GG301" s="2">
        <v>2</v>
      </c>
      <c r="GH301" s="2">
        <v>4</v>
      </c>
      <c r="GI301" s="2">
        <v>-2</v>
      </c>
      <c r="GJ301" s="2">
        <v>0</v>
      </c>
      <c r="GK301" s="2">
        <v>0</v>
      </c>
      <c r="GL301" s="2">
        <f>ROUND(IF(AND(BH301=3,BI301=3,FS301&lt;&gt;0),P301,0),2)</f>
        <v>0</v>
      </c>
      <c r="GM301" s="2">
        <f>ROUND(O301+X301+Y301,2)+GX301</f>
        <v>69886.02</v>
      </c>
      <c r="GN301" s="2">
        <f>IF(OR(BI301=0,BI301=1),GM301-GX301,0)</f>
        <v>0</v>
      </c>
      <c r="GO301" s="2">
        <f>IF(BI301=2,GM301-GX301,0)</f>
        <v>0</v>
      </c>
      <c r="GP301" s="2">
        <f>IF(BI301=4,GM301-GX301,0)</f>
        <v>0</v>
      </c>
      <c r="GQ301" s="2"/>
      <c r="GR301" s="2">
        <v>1</v>
      </c>
      <c r="GS301" s="2">
        <v>2</v>
      </c>
      <c r="GT301" s="2">
        <v>0</v>
      </c>
      <c r="GU301" s="2" t="s">
        <v>3</v>
      </c>
      <c r="GV301" s="2">
        <f>ROUND((GT301),6)</f>
        <v>0</v>
      </c>
      <c r="GW301" s="2">
        <v>1</v>
      </c>
      <c r="GX301" s="2">
        <f>ROUND(HC301*I301,2)</f>
        <v>0</v>
      </c>
      <c r="GY301" s="2"/>
      <c r="GZ301" s="2"/>
      <c r="HA301" s="2">
        <v>0</v>
      </c>
      <c r="HB301" s="2">
        <v>0</v>
      </c>
      <c r="HC301" s="2">
        <f>GV301*GW301</f>
        <v>0</v>
      </c>
      <c r="HD301" s="2"/>
      <c r="HE301" s="2" t="s">
        <v>34</v>
      </c>
      <c r="HF301" s="2" t="s">
        <v>187</v>
      </c>
      <c r="HG301" s="2"/>
      <c r="HH301" s="2"/>
      <c r="HI301" s="2"/>
      <c r="HJ301" s="2"/>
      <c r="HK301" s="2"/>
      <c r="HL301" s="2"/>
      <c r="HM301" s="2" t="s">
        <v>3</v>
      </c>
      <c r="HN301" s="2" t="s">
        <v>3</v>
      </c>
      <c r="HO301" s="2" t="s">
        <v>3</v>
      </c>
      <c r="HP301" s="2" t="s">
        <v>3</v>
      </c>
      <c r="HQ301" s="2" t="s">
        <v>3</v>
      </c>
      <c r="HR301" s="2"/>
      <c r="HS301" s="2">
        <v>0</v>
      </c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>
        <v>0</v>
      </c>
      <c r="IL301" s="2"/>
      <c r="IM301" s="2"/>
      <c r="IN301" s="2"/>
      <c r="IO301" s="2"/>
      <c r="IP301" s="2"/>
      <c r="IQ301" s="2"/>
      <c r="IR301" s="2"/>
      <c r="IS301" s="2"/>
      <c r="IT301" s="2"/>
      <c r="IU301" s="2"/>
    </row>
    <row r="302" spans="1:255" x14ac:dyDescent="0.2">
      <c r="A302" s="3">
        <v>17</v>
      </c>
      <c r="B302" s="3">
        <v>1</v>
      </c>
      <c r="E302" s="3" t="s">
        <v>430</v>
      </c>
      <c r="F302" s="3" t="s">
        <v>255</v>
      </c>
      <c r="G302" s="3" t="s">
        <v>256</v>
      </c>
      <c r="H302" s="3" t="s">
        <v>183</v>
      </c>
      <c r="I302" s="3">
        <v>3</v>
      </c>
      <c r="J302" s="3">
        <v>0</v>
      </c>
      <c r="K302" s="3">
        <v>3</v>
      </c>
      <c r="O302" s="3">
        <f>ROUND(CP302,2)</f>
        <v>535326.91</v>
      </c>
      <c r="P302" s="3">
        <f>ROUND((ROUND((AC302*AW302*I302),2)*BC302),2)</f>
        <v>535326.91</v>
      </c>
      <c r="Q302" s="3">
        <f>(ROUND((ROUND(((ET302)*AV302*I302),2)*BB302),2)+ROUND((ROUND(((AE302-(EU302))*AV302*I302),2)*BS302),2))</f>
        <v>0</v>
      </c>
      <c r="R302" s="3">
        <f>(ROUND((ROUND(((EU302)*AV302*I302),2)*BS302),2)+ROUND((ROUND(((AE302-(EU302))*AV302*I302),2)*BS302),2))</f>
        <v>0</v>
      </c>
      <c r="S302" s="3">
        <f>ROUND((ROUND((AF302*AV302*I302),2)*BA302),2)</f>
        <v>0</v>
      </c>
      <c r="T302" s="3">
        <f>ROUND(CU302*I302,2)</f>
        <v>0</v>
      </c>
      <c r="U302" s="3">
        <f>CV302*I302</f>
        <v>0</v>
      </c>
      <c r="V302" s="3">
        <f>CW302*I302</f>
        <v>0</v>
      </c>
      <c r="W302" s="3">
        <f>ROUND(CX302*I302,2)</f>
        <v>0</v>
      </c>
      <c r="X302" s="3">
        <f>(ROUND((((S302+ROUND((ROUND(((EU302)*AV302*I302),2)*BS302),2))*AT302)/100),2)+ROUND(((ROUND((ROUND(((AE302-(EU302))*AV302*I302),2)*BS302),2)*AT302)/100),2))</f>
        <v>0</v>
      </c>
      <c r="Y302" s="3">
        <f>(ROUND((((S302+ROUND((ROUND(((EU302)*AV302*I302),2)*BS302),2))*AU302)/100),2)+ROUND(((ROUND((ROUND(((AE302-(EU302))*AV302*I302),2)*BS302),2)*AU302)/100),2))</f>
        <v>0</v>
      </c>
      <c r="AA302" s="3">
        <v>55937298</v>
      </c>
      <c r="AB302" s="3">
        <f>ROUND((AC302+AD302+AF302),6)</f>
        <v>23295.34</v>
      </c>
      <c r="AC302" s="3">
        <f>ROUND((ES302),6)</f>
        <v>23295.34</v>
      </c>
      <c r="AD302" s="3">
        <f>ROUND((((ET302)-(EU302))+AE302),6)</f>
        <v>0</v>
      </c>
      <c r="AE302" s="3">
        <f>ROUND((EU302),6)</f>
        <v>0</v>
      </c>
      <c r="AF302" s="3">
        <f>ROUND((EV302),6)</f>
        <v>0</v>
      </c>
      <c r="AG302" s="3">
        <f>ROUND((AP302),6)</f>
        <v>0</v>
      </c>
      <c r="AH302" s="3">
        <f>(EW302)</f>
        <v>0</v>
      </c>
      <c r="AI302" s="3">
        <f>(EX302)</f>
        <v>0</v>
      </c>
      <c r="AJ302" s="3">
        <f>(AS302)</f>
        <v>0</v>
      </c>
      <c r="AK302" s="3">
        <v>23295.34</v>
      </c>
      <c r="AL302" s="3">
        <v>23295.34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1</v>
      </c>
      <c r="AW302" s="3">
        <v>1</v>
      </c>
      <c r="AZ302" s="3">
        <v>1</v>
      </c>
      <c r="BA302" s="3">
        <v>1</v>
      </c>
      <c r="BB302" s="3">
        <v>1</v>
      </c>
      <c r="BC302" s="3">
        <v>7.66</v>
      </c>
      <c r="BD302" s="3" t="s">
        <v>3</v>
      </c>
      <c r="BE302" s="3" t="s">
        <v>3</v>
      </c>
      <c r="BF302" s="3" t="s">
        <v>3</v>
      </c>
      <c r="BG302" s="3" t="s">
        <v>3</v>
      </c>
      <c r="BH302" s="3">
        <v>3</v>
      </c>
      <c r="BI302" s="3">
        <v>3</v>
      </c>
      <c r="BJ302" s="3" t="s">
        <v>255</v>
      </c>
      <c r="BM302" s="3">
        <v>400007</v>
      </c>
      <c r="BN302" s="3">
        <v>0</v>
      </c>
      <c r="BO302" s="3" t="s">
        <v>3</v>
      </c>
      <c r="BP302" s="3">
        <v>0</v>
      </c>
      <c r="BQ302" s="3">
        <v>214</v>
      </c>
      <c r="BR302" s="3">
        <v>0</v>
      </c>
      <c r="BS302" s="3">
        <v>1</v>
      </c>
      <c r="BT302" s="3">
        <v>1</v>
      </c>
      <c r="BU302" s="3">
        <v>1</v>
      </c>
      <c r="BV302" s="3">
        <v>1</v>
      </c>
      <c r="BW302" s="3">
        <v>1</v>
      </c>
      <c r="BX302" s="3">
        <v>1</v>
      </c>
      <c r="BY302" s="3" t="s">
        <v>3</v>
      </c>
      <c r="BZ302" s="3">
        <v>0</v>
      </c>
      <c r="CA302" s="3">
        <v>0</v>
      </c>
      <c r="CB302" s="3" t="s">
        <v>3</v>
      </c>
      <c r="CE302" s="3">
        <v>1566</v>
      </c>
      <c r="CF302" s="3">
        <v>0</v>
      </c>
      <c r="CG302" s="3">
        <v>0</v>
      </c>
      <c r="CM302" s="3">
        <v>0</v>
      </c>
      <c r="CN302" s="3" t="s">
        <v>3</v>
      </c>
      <c r="CO302" s="3">
        <v>0</v>
      </c>
      <c r="CP302" s="3">
        <f>(P302+Q302+S302)</f>
        <v>535326.91</v>
      </c>
      <c r="CQ302" s="3">
        <f>ROUND((ROUND((AC302*AW302*1),2)*BC302),2)</f>
        <v>178442.3</v>
      </c>
      <c r="CR302" s="3">
        <f>(ROUND((ROUND(((ET302)*AV302*1),2)*BB302),2)+ROUND((ROUND(((AE302-(EU302))*AV302*1),2)*BS302),2))</f>
        <v>0</v>
      </c>
      <c r="CS302" s="3">
        <f>(ROUND((ROUND(((EU302)*AV302*1),2)*BS302),2)+ROUND((ROUND(((AE302-(EU302))*AV302*1),2)*BS302),2))</f>
        <v>0</v>
      </c>
      <c r="CT302" s="3">
        <f>ROUND((ROUND((AF302*AV302*1),2)*BA302),2)</f>
        <v>0</v>
      </c>
      <c r="CU302" s="3">
        <f>AG302</f>
        <v>0</v>
      </c>
      <c r="CV302" s="3">
        <f>(AH302*AV302)</f>
        <v>0</v>
      </c>
      <c r="CW302" s="3">
        <f>AI302</f>
        <v>0</v>
      </c>
      <c r="CX302" s="3">
        <f>AJ302</f>
        <v>0</v>
      </c>
      <c r="CY302" s="3">
        <f>(ROUND((((S302+ROUND((ROUND(((EU302)*AV302*1),2)*BS302),2))*AT302)/100),2)+ROUND(((ROUND((ROUND(((AE302-(EU302))*AV302*1),2)*BS302),2)*AT302)/100),2))</f>
        <v>0</v>
      </c>
      <c r="CZ302" s="3">
        <f>(ROUND((((S302+ROUND((ROUND(((EU302)*AV302*1),2)*BS302),2))*AU302)/100),2)+ROUND(((ROUND((ROUND(((AE302-(EU302))*AV302*1),2)*BS302),2)*AU302)/100),2))</f>
        <v>0</v>
      </c>
      <c r="DC302" s="3" t="s">
        <v>3</v>
      </c>
      <c r="DD302" s="3" t="s">
        <v>3</v>
      </c>
      <c r="DE302" s="3" t="s">
        <v>3</v>
      </c>
      <c r="DF302" s="3" t="s">
        <v>3</v>
      </c>
      <c r="DG302" s="3" t="s">
        <v>3</v>
      </c>
      <c r="DH302" s="3" t="s">
        <v>3</v>
      </c>
      <c r="DI302" s="3" t="s">
        <v>3</v>
      </c>
      <c r="DJ302" s="3" t="s">
        <v>3</v>
      </c>
      <c r="DK302" s="3" t="s">
        <v>3</v>
      </c>
      <c r="DL302" s="3" t="s">
        <v>3</v>
      </c>
      <c r="DM302" s="3" t="s">
        <v>3</v>
      </c>
      <c r="DN302" s="3">
        <v>0</v>
      </c>
      <c r="DO302" s="3">
        <v>0</v>
      </c>
      <c r="DP302" s="3">
        <v>1</v>
      </c>
      <c r="DQ302" s="3">
        <v>1</v>
      </c>
      <c r="DU302" s="3">
        <v>1013</v>
      </c>
      <c r="DV302" s="3" t="s">
        <v>183</v>
      </c>
      <c r="DW302" s="3" t="s">
        <v>183</v>
      </c>
      <c r="DX302" s="3">
        <v>1</v>
      </c>
      <c r="DZ302" s="3" t="s">
        <v>3</v>
      </c>
      <c r="EA302" s="3" t="s">
        <v>3</v>
      </c>
      <c r="EB302" s="3" t="s">
        <v>3</v>
      </c>
      <c r="EC302" s="3" t="s">
        <v>3</v>
      </c>
      <c r="EE302" s="3">
        <v>55393630</v>
      </c>
      <c r="EF302" s="3">
        <v>214</v>
      </c>
      <c r="EG302" s="3" t="s">
        <v>184</v>
      </c>
      <c r="EH302" s="3">
        <v>0</v>
      </c>
      <c r="EI302" s="3" t="s">
        <v>3</v>
      </c>
      <c r="EJ302" s="3">
        <v>3</v>
      </c>
      <c r="EK302" s="3">
        <v>400007</v>
      </c>
      <c r="EL302" s="3" t="s">
        <v>184</v>
      </c>
      <c r="EM302" s="3" t="s">
        <v>185</v>
      </c>
      <c r="EO302" s="3" t="s">
        <v>3</v>
      </c>
      <c r="EQ302" s="3">
        <v>16</v>
      </c>
      <c r="ER302" s="3">
        <v>0</v>
      </c>
      <c r="ES302" s="3">
        <v>23295.34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5</v>
      </c>
      <c r="FC302" s="3">
        <v>1</v>
      </c>
      <c r="FD302" s="3">
        <v>18</v>
      </c>
      <c r="FF302" s="3">
        <v>208852.58</v>
      </c>
      <c r="FQ302" s="3">
        <v>0</v>
      </c>
      <c r="FR302" s="3">
        <f>P302</f>
        <v>535326.91</v>
      </c>
      <c r="FS302" s="3">
        <v>0</v>
      </c>
      <c r="FX302" s="3">
        <v>0</v>
      </c>
      <c r="FY302" s="3">
        <v>0</v>
      </c>
      <c r="GA302" s="3" t="s">
        <v>257</v>
      </c>
      <c r="GD302" s="3">
        <v>1</v>
      </c>
      <c r="GF302" s="3">
        <v>-846992528</v>
      </c>
      <c r="GG302" s="3">
        <v>2</v>
      </c>
      <c r="GH302" s="3">
        <v>3</v>
      </c>
      <c r="GI302" s="3">
        <v>5</v>
      </c>
      <c r="GJ302" s="3">
        <v>0</v>
      </c>
      <c r="GK302" s="3">
        <v>0</v>
      </c>
      <c r="GL302" s="3">
        <f>ROUND(IF(AND(BH302=3,BI302=3,FS302&lt;&gt;0),P302,0),2)</f>
        <v>0</v>
      </c>
      <c r="GM302" s="3">
        <f>ROUND(O302+X302+Y302,2)+GX302</f>
        <v>535326.91</v>
      </c>
      <c r="GN302" s="3">
        <f>IF(OR(BI302=0,BI302=1),GM302-GX302,0)</f>
        <v>0</v>
      </c>
      <c r="GO302" s="3">
        <f>IF(BI302=2,GM302-GX302,0)</f>
        <v>0</v>
      </c>
      <c r="GP302" s="3">
        <f>IF(BI302=4,GM302-GX302,0)</f>
        <v>0</v>
      </c>
      <c r="GR302" s="3">
        <v>1</v>
      </c>
      <c r="GS302" s="3">
        <v>1</v>
      </c>
      <c r="GT302" s="3">
        <v>0</v>
      </c>
      <c r="GU302" s="3" t="s">
        <v>3</v>
      </c>
      <c r="GV302" s="3">
        <f>ROUND((GT302),6)</f>
        <v>0</v>
      </c>
      <c r="GW302" s="3">
        <v>1</v>
      </c>
      <c r="GX302" s="3">
        <f>ROUND(HC302*I302,2)</f>
        <v>0</v>
      </c>
      <c r="HA302" s="3">
        <v>0</v>
      </c>
      <c r="HB302" s="3">
        <v>0</v>
      </c>
      <c r="HC302" s="3">
        <f>GV302*GW302</f>
        <v>0</v>
      </c>
      <c r="HE302" s="3" t="s">
        <v>34</v>
      </c>
      <c r="HF302" s="3" t="s">
        <v>187</v>
      </c>
      <c r="HM302" s="3" t="s">
        <v>3</v>
      </c>
      <c r="HN302" s="3" t="s">
        <v>3</v>
      </c>
      <c r="HO302" s="3" t="s">
        <v>3</v>
      </c>
      <c r="HP302" s="3" t="s">
        <v>3</v>
      </c>
      <c r="HQ302" s="3" t="s">
        <v>3</v>
      </c>
      <c r="HS302" s="3">
        <v>0</v>
      </c>
      <c r="IK302" s="3">
        <v>0</v>
      </c>
    </row>
    <row r="304" spans="1:255" x14ac:dyDescent="0.2">
      <c r="A304" s="11">
        <v>51</v>
      </c>
      <c r="B304" s="11">
        <f>B297</f>
        <v>1</v>
      </c>
      <c r="C304" s="11">
        <f>A297</f>
        <v>4</v>
      </c>
      <c r="D304" s="11">
        <f>ROW(A297)</f>
        <v>297</v>
      </c>
      <c r="E304" s="11"/>
      <c r="F304" s="11" t="str">
        <f>IF(F297&lt;&gt;"",F297,"")</f>
        <v>3</v>
      </c>
      <c r="G304" s="11" t="str">
        <f>IF(G297&lt;&gt;"",G297,"")</f>
        <v>Запас на складе</v>
      </c>
      <c r="H304" s="11">
        <v>0</v>
      </c>
      <c r="I304" s="11"/>
      <c r="J304" s="11"/>
      <c r="K304" s="11"/>
      <c r="L304" s="11"/>
      <c r="M304" s="11"/>
      <c r="N304" s="11"/>
      <c r="O304" s="11">
        <f t="shared" ref="O304:T304" si="314">ROUND(AB304,2)</f>
        <v>69886.02</v>
      </c>
      <c r="P304" s="11">
        <f t="shared" si="314"/>
        <v>69886.02</v>
      </c>
      <c r="Q304" s="11">
        <f t="shared" si="314"/>
        <v>0</v>
      </c>
      <c r="R304" s="11">
        <f t="shared" si="314"/>
        <v>0</v>
      </c>
      <c r="S304" s="11">
        <f t="shared" si="314"/>
        <v>0</v>
      </c>
      <c r="T304" s="11">
        <f t="shared" si="314"/>
        <v>0</v>
      </c>
      <c r="U304" s="11">
        <f>AH304</f>
        <v>0</v>
      </c>
      <c r="V304" s="11">
        <f>AI304</f>
        <v>0</v>
      </c>
      <c r="W304" s="11">
        <f>ROUND(AJ304,2)</f>
        <v>0</v>
      </c>
      <c r="X304" s="11">
        <f>ROUND(AK304,2)</f>
        <v>0</v>
      </c>
      <c r="Y304" s="11">
        <f>ROUND(AL304,2)</f>
        <v>0</v>
      </c>
      <c r="Z304" s="11"/>
      <c r="AA304" s="11"/>
      <c r="AB304" s="11">
        <f>ROUND(SUMIF(AA301:AA302,"=55937296",O301:O302),2)</f>
        <v>69886.02</v>
      </c>
      <c r="AC304" s="11">
        <f>ROUND(SUMIF(AA301:AA302,"=55937296",P301:P302),2)</f>
        <v>69886.02</v>
      </c>
      <c r="AD304" s="11">
        <f>ROUND(SUMIF(AA301:AA302,"=55937296",Q301:Q302),2)</f>
        <v>0</v>
      </c>
      <c r="AE304" s="11">
        <f>ROUND(SUMIF(AA301:AA302,"=55937296",R301:R302),2)</f>
        <v>0</v>
      </c>
      <c r="AF304" s="11">
        <f>ROUND(SUMIF(AA301:AA302,"=55937296",S301:S302),2)</f>
        <v>0</v>
      </c>
      <c r="AG304" s="11">
        <f>ROUND(SUMIF(AA301:AA302,"=55937296",T301:T302),2)</f>
        <v>0</v>
      </c>
      <c r="AH304" s="11">
        <f>SUMIF(AA301:AA302,"=55937296",U301:U302)</f>
        <v>0</v>
      </c>
      <c r="AI304" s="11">
        <f>SUMIF(AA301:AA302,"=55937296",V301:V302)</f>
        <v>0</v>
      </c>
      <c r="AJ304" s="11">
        <f>ROUND(SUMIF(AA301:AA302,"=55937296",W301:W302),2)</f>
        <v>0</v>
      </c>
      <c r="AK304" s="11">
        <f>ROUND(SUMIF(AA301:AA302,"=55937296",X301:X302),2)</f>
        <v>0</v>
      </c>
      <c r="AL304" s="11">
        <f>ROUND(SUMIF(AA301:AA302,"=55937296",Y301:Y302),2)</f>
        <v>0</v>
      </c>
      <c r="AM304" s="11"/>
      <c r="AN304" s="11"/>
      <c r="AO304" s="11">
        <f t="shared" ref="AO304:BD304" si="315">ROUND(BX304,2)</f>
        <v>0</v>
      </c>
      <c r="AP304" s="11">
        <f t="shared" si="315"/>
        <v>69886.02</v>
      </c>
      <c r="AQ304" s="11">
        <f t="shared" si="315"/>
        <v>0</v>
      </c>
      <c r="AR304" s="11">
        <f t="shared" si="315"/>
        <v>69886.02</v>
      </c>
      <c r="AS304" s="11">
        <f t="shared" si="315"/>
        <v>0</v>
      </c>
      <c r="AT304" s="11">
        <f t="shared" si="315"/>
        <v>0</v>
      </c>
      <c r="AU304" s="11">
        <f t="shared" si="315"/>
        <v>0</v>
      </c>
      <c r="AV304" s="11">
        <f t="shared" si="315"/>
        <v>69886.02</v>
      </c>
      <c r="AW304" s="11">
        <f t="shared" si="315"/>
        <v>0</v>
      </c>
      <c r="AX304" s="11">
        <f t="shared" si="315"/>
        <v>0</v>
      </c>
      <c r="AY304" s="11">
        <f t="shared" si="315"/>
        <v>0</v>
      </c>
      <c r="AZ304" s="11">
        <f t="shared" si="315"/>
        <v>69886.02</v>
      </c>
      <c r="BA304" s="11">
        <f t="shared" si="315"/>
        <v>0</v>
      </c>
      <c r="BB304" s="11">
        <f t="shared" si="315"/>
        <v>0</v>
      </c>
      <c r="BC304" s="11">
        <f t="shared" si="315"/>
        <v>0</v>
      </c>
      <c r="BD304" s="11">
        <f t="shared" si="315"/>
        <v>0</v>
      </c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>
        <f>ROUND(SUMIF(AA301:AA302,"=55937296",FQ301:FQ302),2)</f>
        <v>0</v>
      </c>
      <c r="BY304" s="11">
        <f>ROUND(SUMIF(AA301:AA302,"=55937296",FR301:FR302),2)</f>
        <v>69886.02</v>
      </c>
      <c r="BZ304" s="11">
        <f>ROUND(SUMIF(AA301:AA302,"=55937296",GL301:GL302),2)</f>
        <v>0</v>
      </c>
      <c r="CA304" s="11">
        <f>ROUND(SUMIF(AA301:AA302,"=55937296",GM301:GM302),2)</f>
        <v>69886.02</v>
      </c>
      <c r="CB304" s="11">
        <f>ROUND(SUMIF(AA301:AA302,"=55937296",GN301:GN302),2)</f>
        <v>0</v>
      </c>
      <c r="CC304" s="11">
        <f>ROUND(SUMIF(AA301:AA302,"=55937296",GO301:GO302),2)</f>
        <v>0</v>
      </c>
      <c r="CD304" s="11">
        <f>ROUND(SUMIF(AA301:AA302,"=55937296",GP301:GP302),2)</f>
        <v>0</v>
      </c>
      <c r="CE304" s="11">
        <f>AC304-BX304</f>
        <v>69886.02</v>
      </c>
      <c r="CF304" s="11">
        <f>AC304-BY304</f>
        <v>0</v>
      </c>
      <c r="CG304" s="11">
        <f>BX304-BZ304</f>
        <v>0</v>
      </c>
      <c r="CH304" s="11">
        <f>AC304-BX304-BY304+BZ304</f>
        <v>0</v>
      </c>
      <c r="CI304" s="11">
        <f>BY304-BZ304</f>
        <v>69886.02</v>
      </c>
      <c r="CJ304" s="11">
        <f>ROUND(SUMIF(AA301:AA302,"=55937296",GX301:GX302),2)</f>
        <v>0</v>
      </c>
      <c r="CK304" s="11">
        <f>ROUND(SUMIF(AA301:AA302,"=55937296",GY301:GY302),2)</f>
        <v>0</v>
      </c>
      <c r="CL304" s="11">
        <f>ROUND(SUMIF(AA301:AA302,"=55937296",GZ301:GZ302),2)</f>
        <v>0</v>
      </c>
      <c r="CM304" s="11">
        <f>ROUND(SUMIF(AA301:AA302,"=55937296",HD301:HD302),2)</f>
        <v>0</v>
      </c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2">
        <f t="shared" ref="DG304:DL304" si="316">ROUND(DT304,2)</f>
        <v>535326.91</v>
      </c>
      <c r="DH304" s="12">
        <f t="shared" si="316"/>
        <v>535326.91</v>
      </c>
      <c r="DI304" s="12">
        <f t="shared" si="316"/>
        <v>0</v>
      </c>
      <c r="DJ304" s="12">
        <f t="shared" si="316"/>
        <v>0</v>
      </c>
      <c r="DK304" s="12">
        <f t="shared" si="316"/>
        <v>0</v>
      </c>
      <c r="DL304" s="12">
        <f t="shared" si="316"/>
        <v>0</v>
      </c>
      <c r="DM304" s="12">
        <f>DZ304</f>
        <v>0</v>
      </c>
      <c r="DN304" s="12">
        <f>EA304</f>
        <v>0</v>
      </c>
      <c r="DO304" s="12">
        <f>ROUND(EB304,2)</f>
        <v>0</v>
      </c>
      <c r="DP304" s="12">
        <f>ROUND(EC304,2)</f>
        <v>0</v>
      </c>
      <c r="DQ304" s="12">
        <f>ROUND(ED304,2)</f>
        <v>0</v>
      </c>
      <c r="DR304" s="12"/>
      <c r="DS304" s="12"/>
      <c r="DT304" s="12">
        <f>ROUND(SUMIF(AA301:AA302,"=55937298",O301:O302),2)</f>
        <v>535326.91</v>
      </c>
      <c r="DU304" s="12">
        <f>ROUND(SUMIF(AA301:AA302,"=55937298",P301:P302),2)</f>
        <v>535326.91</v>
      </c>
      <c r="DV304" s="12">
        <f>ROUND(SUMIF(AA301:AA302,"=55937298",Q301:Q302),2)</f>
        <v>0</v>
      </c>
      <c r="DW304" s="12">
        <f>ROUND(SUMIF(AA301:AA302,"=55937298",R301:R302),2)</f>
        <v>0</v>
      </c>
      <c r="DX304" s="12">
        <f>ROUND(SUMIF(AA301:AA302,"=55937298",S301:S302),2)</f>
        <v>0</v>
      </c>
      <c r="DY304" s="12">
        <f>ROUND(SUMIF(AA301:AA302,"=55937298",T301:T302),2)</f>
        <v>0</v>
      </c>
      <c r="DZ304" s="12">
        <f>SUMIF(AA301:AA302,"=55937298",U301:U302)</f>
        <v>0</v>
      </c>
      <c r="EA304" s="12">
        <f>SUMIF(AA301:AA302,"=55937298",V301:V302)</f>
        <v>0</v>
      </c>
      <c r="EB304" s="12">
        <f>ROUND(SUMIF(AA301:AA302,"=55937298",W301:W302),2)</f>
        <v>0</v>
      </c>
      <c r="EC304" s="12">
        <f>ROUND(SUMIF(AA301:AA302,"=55937298",X301:X302),2)</f>
        <v>0</v>
      </c>
      <c r="ED304" s="12">
        <f>ROUND(SUMIF(AA301:AA302,"=55937298",Y301:Y302),2)</f>
        <v>0</v>
      </c>
      <c r="EE304" s="12"/>
      <c r="EF304" s="12"/>
      <c r="EG304" s="12">
        <f t="shared" ref="EG304:EV304" si="317">ROUND(FP304,2)</f>
        <v>0</v>
      </c>
      <c r="EH304" s="12">
        <f t="shared" si="317"/>
        <v>535326.91</v>
      </c>
      <c r="EI304" s="12">
        <f t="shared" si="317"/>
        <v>0</v>
      </c>
      <c r="EJ304" s="12">
        <f t="shared" si="317"/>
        <v>535326.91</v>
      </c>
      <c r="EK304" s="12">
        <f t="shared" si="317"/>
        <v>0</v>
      </c>
      <c r="EL304" s="12">
        <f t="shared" si="317"/>
        <v>0</v>
      </c>
      <c r="EM304" s="12">
        <f t="shared" si="317"/>
        <v>0</v>
      </c>
      <c r="EN304" s="12">
        <f t="shared" si="317"/>
        <v>535326.91</v>
      </c>
      <c r="EO304" s="12">
        <f t="shared" si="317"/>
        <v>0</v>
      </c>
      <c r="EP304" s="12">
        <f t="shared" si="317"/>
        <v>0</v>
      </c>
      <c r="EQ304" s="12">
        <f t="shared" si="317"/>
        <v>0</v>
      </c>
      <c r="ER304" s="12">
        <f t="shared" si="317"/>
        <v>535326.91</v>
      </c>
      <c r="ES304" s="12">
        <f t="shared" si="317"/>
        <v>0</v>
      </c>
      <c r="ET304" s="12">
        <f t="shared" si="317"/>
        <v>0</v>
      </c>
      <c r="EU304" s="12">
        <f t="shared" si="317"/>
        <v>0</v>
      </c>
      <c r="EV304" s="12">
        <f t="shared" si="317"/>
        <v>0</v>
      </c>
      <c r="EW304" s="12"/>
      <c r="EX304" s="12"/>
      <c r="EY304" s="12"/>
      <c r="EZ304" s="12"/>
      <c r="FA304" s="12"/>
      <c r="FB304" s="12"/>
      <c r="FC304" s="12"/>
      <c r="FD304" s="12"/>
      <c r="FE304" s="12"/>
      <c r="FF304" s="12"/>
      <c r="FG304" s="12"/>
      <c r="FH304" s="12"/>
      <c r="FI304" s="12"/>
      <c r="FJ304" s="12"/>
      <c r="FK304" s="12"/>
      <c r="FL304" s="12"/>
      <c r="FM304" s="12"/>
      <c r="FN304" s="12"/>
      <c r="FO304" s="12"/>
      <c r="FP304" s="12">
        <f>ROUND(SUMIF(AA301:AA302,"=55937298",FQ301:FQ302),2)</f>
        <v>0</v>
      </c>
      <c r="FQ304" s="12">
        <f>ROUND(SUMIF(AA301:AA302,"=55937298",FR301:FR302),2)</f>
        <v>535326.91</v>
      </c>
      <c r="FR304" s="12">
        <f>ROUND(SUMIF(AA301:AA302,"=55937298",GL301:GL302),2)</f>
        <v>0</v>
      </c>
      <c r="FS304" s="12">
        <f>ROUND(SUMIF(AA301:AA302,"=55937298",GM301:GM302),2)</f>
        <v>535326.91</v>
      </c>
      <c r="FT304" s="12">
        <f>ROUND(SUMIF(AA301:AA302,"=55937298",GN301:GN302),2)</f>
        <v>0</v>
      </c>
      <c r="FU304" s="12">
        <f>ROUND(SUMIF(AA301:AA302,"=55937298",GO301:GO302),2)</f>
        <v>0</v>
      </c>
      <c r="FV304" s="12">
        <f>ROUND(SUMIF(AA301:AA302,"=55937298",GP301:GP302),2)</f>
        <v>0</v>
      </c>
      <c r="FW304" s="12">
        <f>DU304-FP304</f>
        <v>535326.91</v>
      </c>
      <c r="FX304" s="12">
        <f>DU304-FQ304</f>
        <v>0</v>
      </c>
      <c r="FY304" s="12">
        <f>FP304-FR304</f>
        <v>0</v>
      </c>
      <c r="FZ304" s="12">
        <f>DU304-FP304-FQ304+FR304</f>
        <v>0</v>
      </c>
      <c r="GA304" s="12">
        <f>FQ304-FR304</f>
        <v>535326.91</v>
      </c>
      <c r="GB304" s="12">
        <f>ROUND(SUMIF(AA301:AA302,"=55937298",GX301:GX302),2)</f>
        <v>0</v>
      </c>
      <c r="GC304" s="12">
        <f>ROUND(SUMIF(AA301:AA302,"=55937298",GY301:GY302),2)</f>
        <v>0</v>
      </c>
      <c r="GD304" s="12">
        <f>ROUND(SUMIF(AA301:AA302,"=55937298",GZ301:GZ302),2)</f>
        <v>0</v>
      </c>
      <c r="GE304" s="12">
        <f>ROUND(SUMIF(AA301:AA302,"=55937298",HD301:HD302),2)</f>
        <v>0</v>
      </c>
      <c r="GF304" s="12"/>
      <c r="GG304" s="12"/>
      <c r="GH304" s="12"/>
      <c r="GI304" s="12"/>
      <c r="GJ304" s="12"/>
      <c r="GK304" s="12"/>
      <c r="GL304" s="12"/>
      <c r="GM304" s="12"/>
      <c r="GN304" s="12"/>
      <c r="GO304" s="12"/>
      <c r="GP304" s="12"/>
      <c r="GQ304" s="12"/>
      <c r="GR304" s="12"/>
      <c r="GS304" s="12"/>
      <c r="GT304" s="12"/>
      <c r="GU304" s="12"/>
      <c r="GV304" s="12"/>
      <c r="GW304" s="12"/>
      <c r="GX304" s="12">
        <v>0</v>
      </c>
    </row>
    <row r="306" spans="1:28" x14ac:dyDescent="0.2">
      <c r="A306" s="13">
        <v>50</v>
      </c>
      <c r="B306" s="13">
        <v>0</v>
      </c>
      <c r="C306" s="13">
        <v>0</v>
      </c>
      <c r="D306" s="13">
        <v>1</v>
      </c>
      <c r="E306" s="13">
        <v>201</v>
      </c>
      <c r="F306" s="13">
        <f>ROUND(Source!O304,O306)</f>
        <v>69886.02</v>
      </c>
      <c r="G306" s="13" t="s">
        <v>123</v>
      </c>
      <c r="H306" s="13" t="s">
        <v>124</v>
      </c>
      <c r="I306" s="13"/>
      <c r="J306" s="13"/>
      <c r="K306" s="13">
        <v>201</v>
      </c>
      <c r="L306" s="13">
        <v>1</v>
      </c>
      <c r="M306" s="13">
        <v>3</v>
      </c>
      <c r="N306" s="13" t="s">
        <v>3</v>
      </c>
      <c r="O306" s="13">
        <v>2</v>
      </c>
      <c r="P306" s="13">
        <f>ROUND(Source!DG304,O306)</f>
        <v>535326.91</v>
      </c>
      <c r="Q306" s="13"/>
      <c r="R306" s="13"/>
      <c r="S306" s="13"/>
      <c r="T306" s="13"/>
      <c r="U306" s="13"/>
      <c r="V306" s="13"/>
      <c r="W306" s="13">
        <v>69886.02</v>
      </c>
      <c r="X306" s="13">
        <v>1</v>
      </c>
      <c r="Y306" s="13">
        <v>69886.02</v>
      </c>
      <c r="Z306" s="13">
        <v>535326.91</v>
      </c>
      <c r="AA306" s="13">
        <v>1</v>
      </c>
      <c r="AB306" s="13">
        <v>535326.91</v>
      </c>
    </row>
    <row r="307" spans="1:28" x14ac:dyDescent="0.2">
      <c r="A307" s="13">
        <v>50</v>
      </c>
      <c r="B307" s="13">
        <v>0</v>
      </c>
      <c r="C307" s="13">
        <v>0</v>
      </c>
      <c r="D307" s="13">
        <v>1</v>
      </c>
      <c r="E307" s="13">
        <v>202</v>
      </c>
      <c r="F307" s="13">
        <f>ROUND(Source!P304,O307)</f>
        <v>69886.02</v>
      </c>
      <c r="G307" s="13" t="s">
        <v>125</v>
      </c>
      <c r="H307" s="13" t="s">
        <v>126</v>
      </c>
      <c r="I307" s="13"/>
      <c r="J307" s="13"/>
      <c r="K307" s="13">
        <v>202</v>
      </c>
      <c r="L307" s="13">
        <v>2</v>
      </c>
      <c r="M307" s="13">
        <v>3</v>
      </c>
      <c r="N307" s="13" t="s">
        <v>3</v>
      </c>
      <c r="O307" s="13">
        <v>2</v>
      </c>
      <c r="P307" s="13">
        <f>ROUND(Source!DH304,O307)</f>
        <v>535326.91</v>
      </c>
      <c r="Q307" s="13"/>
      <c r="R307" s="13"/>
      <c r="S307" s="13"/>
      <c r="T307" s="13"/>
      <c r="U307" s="13"/>
      <c r="V307" s="13"/>
      <c r="W307" s="13">
        <v>69886.02</v>
      </c>
      <c r="X307" s="13">
        <v>1</v>
      </c>
      <c r="Y307" s="13">
        <v>69886.02</v>
      </c>
      <c r="Z307" s="13">
        <v>535326.91</v>
      </c>
      <c r="AA307" s="13">
        <v>1</v>
      </c>
      <c r="AB307" s="13">
        <v>535326.91</v>
      </c>
    </row>
    <row r="308" spans="1:28" x14ac:dyDescent="0.2">
      <c r="A308" s="13">
        <v>50</v>
      </c>
      <c r="B308" s="13">
        <v>0</v>
      </c>
      <c r="C308" s="13">
        <v>0</v>
      </c>
      <c r="D308" s="13">
        <v>1</v>
      </c>
      <c r="E308" s="13">
        <v>222</v>
      </c>
      <c r="F308" s="13">
        <f>ROUND(Source!AO304,O308)</f>
        <v>0</v>
      </c>
      <c r="G308" s="13" t="s">
        <v>127</v>
      </c>
      <c r="H308" s="13" t="s">
        <v>128</v>
      </c>
      <c r="I308" s="13"/>
      <c r="J308" s="13"/>
      <c r="K308" s="13">
        <v>222</v>
      </c>
      <c r="L308" s="13">
        <v>3</v>
      </c>
      <c r="M308" s="13">
        <v>3</v>
      </c>
      <c r="N308" s="13" t="s">
        <v>3</v>
      </c>
      <c r="O308" s="13">
        <v>2</v>
      </c>
      <c r="P308" s="13">
        <f>ROUND(Source!EG304,O308)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28" x14ac:dyDescent="0.2">
      <c r="A309" s="13">
        <v>50</v>
      </c>
      <c r="B309" s="13">
        <v>0</v>
      </c>
      <c r="C309" s="13">
        <v>0</v>
      </c>
      <c r="D309" s="13">
        <v>1</v>
      </c>
      <c r="E309" s="13">
        <v>225</v>
      </c>
      <c r="F309" s="13">
        <f>ROUND(Source!AV304,O309)</f>
        <v>69886.02</v>
      </c>
      <c r="G309" s="13" t="s">
        <v>129</v>
      </c>
      <c r="H309" s="13" t="s">
        <v>130</v>
      </c>
      <c r="I309" s="13"/>
      <c r="J309" s="13"/>
      <c r="K309" s="13">
        <v>225</v>
      </c>
      <c r="L309" s="13">
        <v>4</v>
      </c>
      <c r="M309" s="13">
        <v>3</v>
      </c>
      <c r="N309" s="13" t="s">
        <v>3</v>
      </c>
      <c r="O309" s="13">
        <v>2</v>
      </c>
      <c r="P309" s="13">
        <f>ROUND(Source!EN304,O309)</f>
        <v>535326.91</v>
      </c>
      <c r="Q309" s="13"/>
      <c r="R309" s="13"/>
      <c r="S309" s="13"/>
      <c r="T309" s="13"/>
      <c r="U309" s="13"/>
      <c r="V309" s="13"/>
      <c r="W309" s="13">
        <v>69886.02</v>
      </c>
      <c r="X309" s="13">
        <v>1</v>
      </c>
      <c r="Y309" s="13">
        <v>69886.02</v>
      </c>
      <c r="Z309" s="13">
        <v>535326.91</v>
      </c>
      <c r="AA309" s="13">
        <v>1</v>
      </c>
      <c r="AB309" s="13">
        <v>535326.91</v>
      </c>
    </row>
    <row r="310" spans="1:28" x14ac:dyDescent="0.2">
      <c r="A310" s="13">
        <v>50</v>
      </c>
      <c r="B310" s="13">
        <v>0</v>
      </c>
      <c r="C310" s="13">
        <v>0</v>
      </c>
      <c r="D310" s="13">
        <v>1</v>
      </c>
      <c r="E310" s="13">
        <v>226</v>
      </c>
      <c r="F310" s="13">
        <f>ROUND(Source!AW304,O310)</f>
        <v>0</v>
      </c>
      <c r="G310" s="13" t="s">
        <v>131</v>
      </c>
      <c r="H310" s="13" t="s">
        <v>132</v>
      </c>
      <c r="I310" s="13"/>
      <c r="J310" s="13"/>
      <c r="K310" s="13">
        <v>226</v>
      </c>
      <c r="L310" s="13">
        <v>5</v>
      </c>
      <c r="M310" s="13">
        <v>3</v>
      </c>
      <c r="N310" s="13" t="s">
        <v>3</v>
      </c>
      <c r="O310" s="13">
        <v>2</v>
      </c>
      <c r="P310" s="13">
        <f>ROUND(Source!EO304,O310)</f>
        <v>0</v>
      </c>
      <c r="Q310" s="13"/>
      <c r="R310" s="13"/>
      <c r="S310" s="13"/>
      <c r="T310" s="13"/>
      <c r="U310" s="13"/>
      <c r="V310" s="13"/>
      <c r="W310" s="13">
        <v>0</v>
      </c>
      <c r="X310" s="13">
        <v>1</v>
      </c>
      <c r="Y310" s="13">
        <v>0</v>
      </c>
      <c r="Z310" s="13">
        <v>0</v>
      </c>
      <c r="AA310" s="13">
        <v>1</v>
      </c>
      <c r="AB310" s="13">
        <v>0</v>
      </c>
    </row>
    <row r="311" spans="1:28" x14ac:dyDescent="0.2">
      <c r="A311" s="13">
        <v>50</v>
      </c>
      <c r="B311" s="13">
        <v>0</v>
      </c>
      <c r="C311" s="13">
        <v>0</v>
      </c>
      <c r="D311" s="13">
        <v>1</v>
      </c>
      <c r="E311" s="13">
        <v>227</v>
      </c>
      <c r="F311" s="13">
        <f>ROUND(Source!AX304,O311)</f>
        <v>0</v>
      </c>
      <c r="G311" s="13" t="s">
        <v>133</v>
      </c>
      <c r="H311" s="13" t="s">
        <v>134</v>
      </c>
      <c r="I311" s="13"/>
      <c r="J311" s="13"/>
      <c r="K311" s="13">
        <v>227</v>
      </c>
      <c r="L311" s="13">
        <v>6</v>
      </c>
      <c r="M311" s="13">
        <v>3</v>
      </c>
      <c r="N311" s="13" t="s">
        <v>3</v>
      </c>
      <c r="O311" s="13">
        <v>2</v>
      </c>
      <c r="P311" s="13">
        <f>ROUND(Source!EP304,O311)</f>
        <v>0</v>
      </c>
      <c r="Q311" s="13"/>
      <c r="R311" s="13"/>
      <c r="S311" s="13"/>
      <c r="T311" s="13"/>
      <c r="U311" s="13"/>
      <c r="V311" s="13"/>
      <c r="W311" s="13">
        <v>0</v>
      </c>
      <c r="X311" s="13">
        <v>1</v>
      </c>
      <c r="Y311" s="13">
        <v>0</v>
      </c>
      <c r="Z311" s="13">
        <v>0</v>
      </c>
      <c r="AA311" s="13">
        <v>1</v>
      </c>
      <c r="AB311" s="13">
        <v>0</v>
      </c>
    </row>
    <row r="312" spans="1:28" x14ac:dyDescent="0.2">
      <c r="A312" s="13">
        <v>50</v>
      </c>
      <c r="B312" s="13">
        <v>0</v>
      </c>
      <c r="C312" s="13">
        <v>0</v>
      </c>
      <c r="D312" s="13">
        <v>1</v>
      </c>
      <c r="E312" s="13">
        <v>228</v>
      </c>
      <c r="F312" s="13">
        <f>ROUND(Source!AY304,O312)</f>
        <v>0</v>
      </c>
      <c r="G312" s="13" t="s">
        <v>135</v>
      </c>
      <c r="H312" s="13" t="s">
        <v>136</v>
      </c>
      <c r="I312" s="13"/>
      <c r="J312" s="13"/>
      <c r="K312" s="13">
        <v>228</v>
      </c>
      <c r="L312" s="13">
        <v>7</v>
      </c>
      <c r="M312" s="13">
        <v>3</v>
      </c>
      <c r="N312" s="13" t="s">
        <v>3</v>
      </c>
      <c r="O312" s="13">
        <v>2</v>
      </c>
      <c r="P312" s="13">
        <f>ROUND(Source!EQ304,O312)</f>
        <v>0</v>
      </c>
      <c r="Q312" s="13"/>
      <c r="R312" s="13"/>
      <c r="S312" s="13"/>
      <c r="T312" s="13"/>
      <c r="U312" s="13"/>
      <c r="V312" s="13"/>
      <c r="W312" s="13">
        <v>0</v>
      </c>
      <c r="X312" s="13">
        <v>1</v>
      </c>
      <c r="Y312" s="13">
        <v>0</v>
      </c>
      <c r="Z312" s="13">
        <v>0</v>
      </c>
      <c r="AA312" s="13">
        <v>1</v>
      </c>
      <c r="AB312" s="13">
        <v>0</v>
      </c>
    </row>
    <row r="313" spans="1:28" x14ac:dyDescent="0.2">
      <c r="A313" s="13">
        <v>50</v>
      </c>
      <c r="B313" s="13">
        <v>0</v>
      </c>
      <c r="C313" s="13">
        <v>0</v>
      </c>
      <c r="D313" s="13">
        <v>1</v>
      </c>
      <c r="E313" s="13">
        <v>216</v>
      </c>
      <c r="F313" s="13">
        <f>ROUND(Source!AP304,O313)</f>
        <v>69886.02</v>
      </c>
      <c r="G313" s="13" t="s">
        <v>137</v>
      </c>
      <c r="H313" s="13" t="s">
        <v>138</v>
      </c>
      <c r="I313" s="13"/>
      <c r="J313" s="13"/>
      <c r="K313" s="13">
        <v>216</v>
      </c>
      <c r="L313" s="13">
        <v>8</v>
      </c>
      <c r="M313" s="13">
        <v>3</v>
      </c>
      <c r="N313" s="13" t="s">
        <v>3</v>
      </c>
      <c r="O313" s="13">
        <v>2</v>
      </c>
      <c r="P313" s="13">
        <f>ROUND(Source!EH304,O313)</f>
        <v>535326.91</v>
      </c>
      <c r="Q313" s="13"/>
      <c r="R313" s="13"/>
      <c r="S313" s="13"/>
      <c r="T313" s="13"/>
      <c r="U313" s="13"/>
      <c r="V313" s="13"/>
      <c r="W313" s="13">
        <v>69886.02</v>
      </c>
      <c r="X313" s="13">
        <v>1</v>
      </c>
      <c r="Y313" s="13">
        <v>69886.02</v>
      </c>
      <c r="Z313" s="13">
        <v>535326.91</v>
      </c>
      <c r="AA313" s="13">
        <v>1</v>
      </c>
      <c r="AB313" s="13">
        <v>535326.91</v>
      </c>
    </row>
    <row r="314" spans="1:28" x14ac:dyDescent="0.2">
      <c r="A314" s="13">
        <v>50</v>
      </c>
      <c r="B314" s="13">
        <v>0</v>
      </c>
      <c r="C314" s="13">
        <v>0</v>
      </c>
      <c r="D314" s="13">
        <v>1</v>
      </c>
      <c r="E314" s="13">
        <v>223</v>
      </c>
      <c r="F314" s="13">
        <f>ROUND(Source!AQ304,O314)</f>
        <v>0</v>
      </c>
      <c r="G314" s="13" t="s">
        <v>139</v>
      </c>
      <c r="H314" s="13" t="s">
        <v>140</v>
      </c>
      <c r="I314" s="13"/>
      <c r="J314" s="13"/>
      <c r="K314" s="13">
        <v>223</v>
      </c>
      <c r="L314" s="13">
        <v>9</v>
      </c>
      <c r="M314" s="13">
        <v>3</v>
      </c>
      <c r="N314" s="13" t="s">
        <v>3</v>
      </c>
      <c r="O314" s="13">
        <v>2</v>
      </c>
      <c r="P314" s="13">
        <f>ROUND(Source!EI304,O314)</f>
        <v>0</v>
      </c>
      <c r="Q314" s="13"/>
      <c r="R314" s="13"/>
      <c r="S314" s="13"/>
      <c r="T314" s="13"/>
      <c r="U314" s="13"/>
      <c r="V314" s="13"/>
      <c r="W314" s="13">
        <v>0</v>
      </c>
      <c r="X314" s="13">
        <v>1</v>
      </c>
      <c r="Y314" s="13">
        <v>0</v>
      </c>
      <c r="Z314" s="13">
        <v>0</v>
      </c>
      <c r="AA314" s="13">
        <v>1</v>
      </c>
      <c r="AB314" s="13">
        <v>0</v>
      </c>
    </row>
    <row r="315" spans="1:28" x14ac:dyDescent="0.2">
      <c r="A315" s="13">
        <v>50</v>
      </c>
      <c r="B315" s="13">
        <v>0</v>
      </c>
      <c r="C315" s="13">
        <v>0</v>
      </c>
      <c r="D315" s="13">
        <v>1</v>
      </c>
      <c r="E315" s="13">
        <v>229</v>
      </c>
      <c r="F315" s="13">
        <f>ROUND(Source!AZ304,O315)</f>
        <v>69886.02</v>
      </c>
      <c r="G315" s="13" t="s">
        <v>141</v>
      </c>
      <c r="H315" s="13" t="s">
        <v>142</v>
      </c>
      <c r="I315" s="13"/>
      <c r="J315" s="13"/>
      <c r="K315" s="13">
        <v>229</v>
      </c>
      <c r="L315" s="13">
        <v>10</v>
      </c>
      <c r="M315" s="13">
        <v>3</v>
      </c>
      <c r="N315" s="13" t="s">
        <v>3</v>
      </c>
      <c r="O315" s="13">
        <v>2</v>
      </c>
      <c r="P315" s="13">
        <f>ROUND(Source!ER304,O315)</f>
        <v>535326.91</v>
      </c>
      <c r="Q315" s="13"/>
      <c r="R315" s="13"/>
      <c r="S315" s="13"/>
      <c r="T315" s="13"/>
      <c r="U315" s="13"/>
      <c r="V315" s="13"/>
      <c r="W315" s="13">
        <v>69886.02</v>
      </c>
      <c r="X315" s="13">
        <v>1</v>
      </c>
      <c r="Y315" s="13">
        <v>69886.02</v>
      </c>
      <c r="Z315" s="13">
        <v>535326.91</v>
      </c>
      <c r="AA315" s="13">
        <v>1</v>
      </c>
      <c r="AB315" s="13">
        <v>535326.91</v>
      </c>
    </row>
    <row r="316" spans="1:28" x14ac:dyDescent="0.2">
      <c r="A316" s="13">
        <v>50</v>
      </c>
      <c r="B316" s="13">
        <v>0</v>
      </c>
      <c r="C316" s="13">
        <v>0</v>
      </c>
      <c r="D316" s="13">
        <v>1</v>
      </c>
      <c r="E316" s="13">
        <v>203</v>
      </c>
      <c r="F316" s="13">
        <f>ROUND(Source!Q304,O316)</f>
        <v>0</v>
      </c>
      <c r="G316" s="13" t="s">
        <v>143</v>
      </c>
      <c r="H316" s="13" t="s">
        <v>144</v>
      </c>
      <c r="I316" s="13"/>
      <c r="J316" s="13"/>
      <c r="K316" s="13">
        <v>203</v>
      </c>
      <c r="L316" s="13">
        <v>11</v>
      </c>
      <c r="M316" s="13">
        <v>3</v>
      </c>
      <c r="N316" s="13" t="s">
        <v>3</v>
      </c>
      <c r="O316" s="13">
        <v>2</v>
      </c>
      <c r="P316" s="13">
        <f>ROUND(Source!DI304,O316)</f>
        <v>0</v>
      </c>
      <c r="Q316" s="13"/>
      <c r="R316" s="13"/>
      <c r="S316" s="13"/>
      <c r="T316" s="13"/>
      <c r="U316" s="13"/>
      <c r="V316" s="13"/>
      <c r="W316" s="13">
        <v>0</v>
      </c>
      <c r="X316" s="13">
        <v>1</v>
      </c>
      <c r="Y316" s="13">
        <v>0</v>
      </c>
      <c r="Z316" s="13">
        <v>0</v>
      </c>
      <c r="AA316" s="13">
        <v>1</v>
      </c>
      <c r="AB316" s="13">
        <v>0</v>
      </c>
    </row>
    <row r="317" spans="1:28" x14ac:dyDescent="0.2">
      <c r="A317" s="13">
        <v>50</v>
      </c>
      <c r="B317" s="13">
        <v>0</v>
      </c>
      <c r="C317" s="13">
        <v>0</v>
      </c>
      <c r="D317" s="13">
        <v>1</v>
      </c>
      <c r="E317" s="13">
        <v>231</v>
      </c>
      <c r="F317" s="13">
        <f>ROUND(Source!BB304,O317)</f>
        <v>0</v>
      </c>
      <c r="G317" s="13" t="s">
        <v>145</v>
      </c>
      <c r="H317" s="13" t="s">
        <v>146</v>
      </c>
      <c r="I317" s="13"/>
      <c r="J317" s="13"/>
      <c r="K317" s="13">
        <v>231</v>
      </c>
      <c r="L317" s="13">
        <v>12</v>
      </c>
      <c r="M317" s="13">
        <v>3</v>
      </c>
      <c r="N317" s="13" t="s">
        <v>3</v>
      </c>
      <c r="O317" s="13">
        <v>2</v>
      </c>
      <c r="P317" s="13">
        <f>ROUND(Source!ET304,O317)</f>
        <v>0</v>
      </c>
      <c r="Q317" s="13"/>
      <c r="R317" s="13"/>
      <c r="S317" s="13"/>
      <c r="T317" s="13"/>
      <c r="U317" s="13"/>
      <c r="V317" s="13"/>
      <c r="W317" s="13">
        <v>0</v>
      </c>
      <c r="X317" s="13">
        <v>1</v>
      </c>
      <c r="Y317" s="13">
        <v>0</v>
      </c>
      <c r="Z317" s="13">
        <v>0</v>
      </c>
      <c r="AA317" s="13">
        <v>1</v>
      </c>
      <c r="AB317" s="13">
        <v>0</v>
      </c>
    </row>
    <row r="318" spans="1:28" x14ac:dyDescent="0.2">
      <c r="A318" s="13">
        <v>50</v>
      </c>
      <c r="B318" s="13">
        <v>0</v>
      </c>
      <c r="C318" s="13">
        <v>0</v>
      </c>
      <c r="D318" s="13">
        <v>1</v>
      </c>
      <c r="E318" s="13">
        <v>204</v>
      </c>
      <c r="F318" s="13">
        <f>ROUND(Source!R304,O318)</f>
        <v>0</v>
      </c>
      <c r="G318" s="13" t="s">
        <v>147</v>
      </c>
      <c r="H318" s="13" t="s">
        <v>148</v>
      </c>
      <c r="I318" s="13"/>
      <c r="J318" s="13"/>
      <c r="K318" s="13">
        <v>204</v>
      </c>
      <c r="L318" s="13">
        <v>13</v>
      </c>
      <c r="M318" s="13">
        <v>3</v>
      </c>
      <c r="N318" s="13" t="s">
        <v>3</v>
      </c>
      <c r="O318" s="13">
        <v>2</v>
      </c>
      <c r="P318" s="13">
        <f>ROUND(Source!DJ304,O318)</f>
        <v>0</v>
      </c>
      <c r="Q318" s="13"/>
      <c r="R318" s="13"/>
      <c r="S318" s="13"/>
      <c r="T318" s="13"/>
      <c r="U318" s="13"/>
      <c r="V318" s="13"/>
      <c r="W318" s="13">
        <v>0</v>
      </c>
      <c r="X318" s="13">
        <v>1</v>
      </c>
      <c r="Y318" s="13">
        <v>0</v>
      </c>
      <c r="Z318" s="13">
        <v>0</v>
      </c>
      <c r="AA318" s="13">
        <v>1</v>
      </c>
      <c r="AB318" s="13">
        <v>0</v>
      </c>
    </row>
    <row r="319" spans="1:28" x14ac:dyDescent="0.2">
      <c r="A319" s="13">
        <v>50</v>
      </c>
      <c r="B319" s="13">
        <v>0</v>
      </c>
      <c r="C319" s="13">
        <v>0</v>
      </c>
      <c r="D319" s="13">
        <v>1</v>
      </c>
      <c r="E319" s="13">
        <v>205</v>
      </c>
      <c r="F319" s="13">
        <f>ROUND(Source!S304,O319)</f>
        <v>0</v>
      </c>
      <c r="G319" s="13" t="s">
        <v>149</v>
      </c>
      <c r="H319" s="13" t="s">
        <v>150</v>
      </c>
      <c r="I319" s="13"/>
      <c r="J319" s="13"/>
      <c r="K319" s="13">
        <v>205</v>
      </c>
      <c r="L319" s="13">
        <v>14</v>
      </c>
      <c r="M319" s="13">
        <v>3</v>
      </c>
      <c r="N319" s="13" t="s">
        <v>3</v>
      </c>
      <c r="O319" s="13">
        <v>2</v>
      </c>
      <c r="P319" s="13">
        <f>ROUND(Source!DK304,O319)</f>
        <v>0</v>
      </c>
      <c r="Q319" s="13"/>
      <c r="R319" s="13"/>
      <c r="S319" s="13"/>
      <c r="T319" s="13"/>
      <c r="U319" s="13"/>
      <c r="V319" s="13"/>
      <c r="W319" s="13">
        <v>0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8" x14ac:dyDescent="0.2">
      <c r="A320" s="13">
        <v>50</v>
      </c>
      <c r="B320" s="13">
        <v>0</v>
      </c>
      <c r="C320" s="13">
        <v>0</v>
      </c>
      <c r="D320" s="13">
        <v>1</v>
      </c>
      <c r="E320" s="13">
        <v>232</v>
      </c>
      <c r="F320" s="13">
        <f>ROUND(Source!BC304,O320)</f>
        <v>0</v>
      </c>
      <c r="G320" s="13" t="s">
        <v>151</v>
      </c>
      <c r="H320" s="13" t="s">
        <v>152</v>
      </c>
      <c r="I320" s="13"/>
      <c r="J320" s="13"/>
      <c r="K320" s="13">
        <v>232</v>
      </c>
      <c r="L320" s="13">
        <v>15</v>
      </c>
      <c r="M320" s="13">
        <v>3</v>
      </c>
      <c r="N320" s="13" t="s">
        <v>3</v>
      </c>
      <c r="O320" s="13">
        <v>2</v>
      </c>
      <c r="P320" s="13">
        <f>ROUND(Source!EU304,O320)</f>
        <v>0</v>
      </c>
      <c r="Q320" s="13"/>
      <c r="R320" s="13"/>
      <c r="S320" s="13"/>
      <c r="T320" s="13"/>
      <c r="U320" s="13"/>
      <c r="V320" s="13"/>
      <c r="W320" s="13">
        <v>0</v>
      </c>
      <c r="X320" s="13">
        <v>1</v>
      </c>
      <c r="Y320" s="13">
        <v>0</v>
      </c>
      <c r="Z320" s="13">
        <v>0</v>
      </c>
      <c r="AA320" s="13">
        <v>1</v>
      </c>
      <c r="AB320" s="13">
        <v>0</v>
      </c>
    </row>
    <row r="321" spans="1:206" x14ac:dyDescent="0.2">
      <c r="A321" s="13">
        <v>50</v>
      </c>
      <c r="B321" s="13">
        <v>0</v>
      </c>
      <c r="C321" s="13">
        <v>0</v>
      </c>
      <c r="D321" s="13">
        <v>1</v>
      </c>
      <c r="E321" s="13">
        <v>214</v>
      </c>
      <c r="F321" s="13">
        <f>ROUND(Source!AS304,O321)</f>
        <v>0</v>
      </c>
      <c r="G321" s="13" t="s">
        <v>153</v>
      </c>
      <c r="H321" s="13" t="s">
        <v>154</v>
      </c>
      <c r="I321" s="13"/>
      <c r="J321" s="13"/>
      <c r="K321" s="13">
        <v>214</v>
      </c>
      <c r="L321" s="13">
        <v>16</v>
      </c>
      <c r="M321" s="13">
        <v>3</v>
      </c>
      <c r="N321" s="13" t="s">
        <v>3</v>
      </c>
      <c r="O321" s="13">
        <v>2</v>
      </c>
      <c r="P321" s="13">
        <f>ROUND(Source!EK304,O321)</f>
        <v>0</v>
      </c>
      <c r="Q321" s="13"/>
      <c r="R321" s="13"/>
      <c r="S321" s="13"/>
      <c r="T321" s="13"/>
      <c r="U321" s="13"/>
      <c r="V321" s="13"/>
      <c r="W321" s="13">
        <v>0</v>
      </c>
      <c r="X321" s="13">
        <v>1</v>
      </c>
      <c r="Y321" s="13">
        <v>0</v>
      </c>
      <c r="Z321" s="13">
        <v>0</v>
      </c>
      <c r="AA321" s="13">
        <v>1</v>
      </c>
      <c r="AB321" s="13">
        <v>0</v>
      </c>
    </row>
    <row r="322" spans="1:206" x14ac:dyDescent="0.2">
      <c r="A322" s="13">
        <v>50</v>
      </c>
      <c r="B322" s="13">
        <v>0</v>
      </c>
      <c r="C322" s="13">
        <v>0</v>
      </c>
      <c r="D322" s="13">
        <v>1</v>
      </c>
      <c r="E322" s="13">
        <v>215</v>
      </c>
      <c r="F322" s="13">
        <f>ROUND(Source!AT304,O322)</f>
        <v>0</v>
      </c>
      <c r="G322" s="13" t="s">
        <v>155</v>
      </c>
      <c r="H322" s="13" t="s">
        <v>156</v>
      </c>
      <c r="I322" s="13"/>
      <c r="J322" s="13"/>
      <c r="K322" s="13">
        <v>215</v>
      </c>
      <c r="L322" s="13">
        <v>17</v>
      </c>
      <c r="M322" s="13">
        <v>3</v>
      </c>
      <c r="N322" s="13" t="s">
        <v>3</v>
      </c>
      <c r="O322" s="13">
        <v>2</v>
      </c>
      <c r="P322" s="13">
        <f>ROUND(Source!EL304,O322)</f>
        <v>0</v>
      </c>
      <c r="Q322" s="13"/>
      <c r="R322" s="13"/>
      <c r="S322" s="13"/>
      <c r="T322" s="13"/>
      <c r="U322" s="13"/>
      <c r="V322" s="13"/>
      <c r="W322" s="13">
        <v>0</v>
      </c>
      <c r="X322" s="13">
        <v>1</v>
      </c>
      <c r="Y322" s="13">
        <v>0</v>
      </c>
      <c r="Z322" s="13">
        <v>0</v>
      </c>
      <c r="AA322" s="13">
        <v>1</v>
      </c>
      <c r="AB322" s="13">
        <v>0</v>
      </c>
    </row>
    <row r="323" spans="1:206" x14ac:dyDescent="0.2">
      <c r="A323" s="13">
        <v>50</v>
      </c>
      <c r="B323" s="13">
        <v>0</v>
      </c>
      <c r="C323" s="13">
        <v>0</v>
      </c>
      <c r="D323" s="13">
        <v>1</v>
      </c>
      <c r="E323" s="13">
        <v>217</v>
      </c>
      <c r="F323" s="13">
        <f>ROUND(Source!AU304,O323)</f>
        <v>0</v>
      </c>
      <c r="G323" s="13" t="s">
        <v>157</v>
      </c>
      <c r="H323" s="13" t="s">
        <v>158</v>
      </c>
      <c r="I323" s="13"/>
      <c r="J323" s="13"/>
      <c r="K323" s="13">
        <v>217</v>
      </c>
      <c r="L323" s="13">
        <v>18</v>
      </c>
      <c r="M323" s="13">
        <v>3</v>
      </c>
      <c r="N323" s="13" t="s">
        <v>3</v>
      </c>
      <c r="O323" s="13">
        <v>2</v>
      </c>
      <c r="P323" s="13">
        <f>ROUND(Source!EM304,O323)</f>
        <v>0</v>
      </c>
      <c r="Q323" s="13"/>
      <c r="R323" s="13"/>
      <c r="S323" s="13"/>
      <c r="T323" s="13"/>
      <c r="U323" s="13"/>
      <c r="V323" s="13"/>
      <c r="W323" s="13">
        <v>0</v>
      </c>
      <c r="X323" s="13">
        <v>1</v>
      </c>
      <c r="Y323" s="13">
        <v>0</v>
      </c>
      <c r="Z323" s="13">
        <v>0</v>
      </c>
      <c r="AA323" s="13">
        <v>1</v>
      </c>
      <c r="AB323" s="13">
        <v>0</v>
      </c>
    </row>
    <row r="324" spans="1:206" x14ac:dyDescent="0.2">
      <c r="A324" s="13">
        <v>50</v>
      </c>
      <c r="B324" s="13">
        <v>0</v>
      </c>
      <c r="C324" s="13">
        <v>0</v>
      </c>
      <c r="D324" s="13">
        <v>1</v>
      </c>
      <c r="E324" s="13">
        <v>230</v>
      </c>
      <c r="F324" s="13">
        <f>ROUND(Source!BA304,O324)</f>
        <v>0</v>
      </c>
      <c r="G324" s="13" t="s">
        <v>159</v>
      </c>
      <c r="H324" s="13" t="s">
        <v>160</v>
      </c>
      <c r="I324" s="13"/>
      <c r="J324" s="13"/>
      <c r="K324" s="13">
        <v>230</v>
      </c>
      <c r="L324" s="13">
        <v>19</v>
      </c>
      <c r="M324" s="13">
        <v>3</v>
      </c>
      <c r="N324" s="13" t="s">
        <v>3</v>
      </c>
      <c r="O324" s="13">
        <v>2</v>
      </c>
      <c r="P324" s="13">
        <f>ROUND(Source!ES304,O324)</f>
        <v>0</v>
      </c>
      <c r="Q324" s="13"/>
      <c r="R324" s="13"/>
      <c r="S324" s="13"/>
      <c r="T324" s="13"/>
      <c r="U324" s="13"/>
      <c r="V324" s="13"/>
      <c r="W324" s="13">
        <v>0</v>
      </c>
      <c r="X324" s="13">
        <v>1</v>
      </c>
      <c r="Y324" s="13">
        <v>0</v>
      </c>
      <c r="Z324" s="13">
        <v>0</v>
      </c>
      <c r="AA324" s="13">
        <v>1</v>
      </c>
      <c r="AB324" s="13">
        <v>0</v>
      </c>
    </row>
    <row r="325" spans="1:206" x14ac:dyDescent="0.2">
      <c r="A325" s="13">
        <v>50</v>
      </c>
      <c r="B325" s="13">
        <v>0</v>
      </c>
      <c r="C325" s="13">
        <v>0</v>
      </c>
      <c r="D325" s="13">
        <v>1</v>
      </c>
      <c r="E325" s="13">
        <v>206</v>
      </c>
      <c r="F325" s="13">
        <f>ROUND(Source!T304,O325)</f>
        <v>0</v>
      </c>
      <c r="G325" s="13" t="s">
        <v>161</v>
      </c>
      <c r="H325" s="13" t="s">
        <v>162</v>
      </c>
      <c r="I325" s="13"/>
      <c r="J325" s="13"/>
      <c r="K325" s="13">
        <v>206</v>
      </c>
      <c r="L325" s="13">
        <v>20</v>
      </c>
      <c r="M325" s="13">
        <v>3</v>
      </c>
      <c r="N325" s="13" t="s">
        <v>3</v>
      </c>
      <c r="O325" s="13">
        <v>2</v>
      </c>
      <c r="P325" s="13">
        <f>ROUND(Source!DL304,O325)</f>
        <v>0</v>
      </c>
      <c r="Q325" s="13"/>
      <c r="R325" s="13"/>
      <c r="S325" s="13"/>
      <c r="T325" s="13"/>
      <c r="U325" s="13"/>
      <c r="V325" s="13"/>
      <c r="W325" s="13">
        <v>0</v>
      </c>
      <c r="X325" s="13">
        <v>1</v>
      </c>
      <c r="Y325" s="13">
        <v>0</v>
      </c>
      <c r="Z325" s="13">
        <v>0</v>
      </c>
      <c r="AA325" s="13">
        <v>1</v>
      </c>
      <c r="AB325" s="13">
        <v>0</v>
      </c>
    </row>
    <row r="326" spans="1:206" x14ac:dyDescent="0.2">
      <c r="A326" s="13">
        <v>50</v>
      </c>
      <c r="B326" s="13">
        <v>0</v>
      </c>
      <c r="C326" s="13">
        <v>0</v>
      </c>
      <c r="D326" s="13">
        <v>1</v>
      </c>
      <c r="E326" s="13">
        <v>207</v>
      </c>
      <c r="F326" s="13">
        <f>Source!U304</f>
        <v>0</v>
      </c>
      <c r="G326" s="13" t="s">
        <v>163</v>
      </c>
      <c r="H326" s="13" t="s">
        <v>164</v>
      </c>
      <c r="I326" s="13"/>
      <c r="J326" s="13"/>
      <c r="K326" s="13">
        <v>207</v>
      </c>
      <c r="L326" s="13">
        <v>21</v>
      </c>
      <c r="M326" s="13">
        <v>3</v>
      </c>
      <c r="N326" s="13" t="s">
        <v>3</v>
      </c>
      <c r="O326" s="13">
        <v>-1</v>
      </c>
      <c r="P326" s="13">
        <f>Source!DM304</f>
        <v>0</v>
      </c>
      <c r="Q326" s="13"/>
      <c r="R326" s="13"/>
      <c r="S326" s="13"/>
      <c r="T326" s="13"/>
      <c r="U326" s="13"/>
      <c r="V326" s="13"/>
      <c r="W326" s="13">
        <v>0</v>
      </c>
      <c r="X326" s="13">
        <v>1</v>
      </c>
      <c r="Y326" s="13">
        <v>0</v>
      </c>
      <c r="Z326" s="13">
        <v>0</v>
      </c>
      <c r="AA326" s="13">
        <v>1</v>
      </c>
      <c r="AB326" s="13">
        <v>0</v>
      </c>
    </row>
    <row r="327" spans="1:206" x14ac:dyDescent="0.2">
      <c r="A327" s="13">
        <v>50</v>
      </c>
      <c r="B327" s="13">
        <v>0</v>
      </c>
      <c r="C327" s="13">
        <v>0</v>
      </c>
      <c r="D327" s="13">
        <v>1</v>
      </c>
      <c r="E327" s="13">
        <v>208</v>
      </c>
      <c r="F327" s="13">
        <f>Source!V304</f>
        <v>0</v>
      </c>
      <c r="G327" s="13" t="s">
        <v>165</v>
      </c>
      <c r="H327" s="13" t="s">
        <v>166</v>
      </c>
      <c r="I327" s="13"/>
      <c r="J327" s="13"/>
      <c r="K327" s="13">
        <v>208</v>
      </c>
      <c r="L327" s="13">
        <v>22</v>
      </c>
      <c r="M327" s="13">
        <v>3</v>
      </c>
      <c r="N327" s="13" t="s">
        <v>3</v>
      </c>
      <c r="O327" s="13">
        <v>-1</v>
      </c>
      <c r="P327" s="13">
        <f>Source!DN304</f>
        <v>0</v>
      </c>
      <c r="Q327" s="13"/>
      <c r="R327" s="13"/>
      <c r="S327" s="13"/>
      <c r="T327" s="13"/>
      <c r="U327" s="13"/>
      <c r="V327" s="13"/>
      <c r="W327" s="13">
        <v>0</v>
      </c>
      <c r="X327" s="13">
        <v>1</v>
      </c>
      <c r="Y327" s="13">
        <v>0</v>
      </c>
      <c r="Z327" s="13">
        <v>0</v>
      </c>
      <c r="AA327" s="13">
        <v>1</v>
      </c>
      <c r="AB327" s="13">
        <v>0</v>
      </c>
    </row>
    <row r="328" spans="1:206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209</v>
      </c>
      <c r="F328" s="13">
        <f>ROUND(Source!W304,O328)</f>
        <v>0</v>
      </c>
      <c r="G328" s="13" t="s">
        <v>167</v>
      </c>
      <c r="H328" s="13" t="s">
        <v>168</v>
      </c>
      <c r="I328" s="13"/>
      <c r="J328" s="13"/>
      <c r="K328" s="13">
        <v>209</v>
      </c>
      <c r="L328" s="13">
        <v>23</v>
      </c>
      <c r="M328" s="13">
        <v>3</v>
      </c>
      <c r="N328" s="13" t="s">
        <v>3</v>
      </c>
      <c r="O328" s="13">
        <v>2</v>
      </c>
      <c r="P328" s="13">
        <f>ROUND(Source!DO304,O328)</f>
        <v>0</v>
      </c>
      <c r="Q328" s="13"/>
      <c r="R328" s="13"/>
      <c r="S328" s="13"/>
      <c r="T328" s="13"/>
      <c r="U328" s="13"/>
      <c r="V328" s="13"/>
      <c r="W328" s="13">
        <v>0</v>
      </c>
      <c r="X328" s="13">
        <v>1</v>
      </c>
      <c r="Y328" s="13">
        <v>0</v>
      </c>
      <c r="Z328" s="13">
        <v>0</v>
      </c>
      <c r="AA328" s="13">
        <v>1</v>
      </c>
      <c r="AB328" s="13">
        <v>0</v>
      </c>
    </row>
    <row r="329" spans="1:206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233</v>
      </c>
      <c r="F329" s="13">
        <f>ROUND(Source!BD304,O329)</f>
        <v>0</v>
      </c>
      <c r="G329" s="13" t="s">
        <v>169</v>
      </c>
      <c r="H329" s="13" t="s">
        <v>170</v>
      </c>
      <c r="I329" s="13"/>
      <c r="J329" s="13"/>
      <c r="K329" s="13">
        <v>233</v>
      </c>
      <c r="L329" s="13">
        <v>24</v>
      </c>
      <c r="M329" s="13">
        <v>3</v>
      </c>
      <c r="N329" s="13" t="s">
        <v>3</v>
      </c>
      <c r="O329" s="13">
        <v>2</v>
      </c>
      <c r="P329" s="13">
        <f>ROUND(Source!EV304,O329)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06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210</v>
      </c>
      <c r="F330" s="13">
        <f>ROUND(Source!X304,O330)</f>
        <v>0</v>
      </c>
      <c r="G330" s="13" t="s">
        <v>171</v>
      </c>
      <c r="H330" s="13" t="s">
        <v>172</v>
      </c>
      <c r="I330" s="13"/>
      <c r="J330" s="13"/>
      <c r="K330" s="13">
        <v>210</v>
      </c>
      <c r="L330" s="13">
        <v>25</v>
      </c>
      <c r="M330" s="13">
        <v>3</v>
      </c>
      <c r="N330" s="13" t="s">
        <v>3</v>
      </c>
      <c r="O330" s="13">
        <v>2</v>
      </c>
      <c r="P330" s="13">
        <f>ROUND(Source!DP304,O330)</f>
        <v>0</v>
      </c>
      <c r="Q330" s="13"/>
      <c r="R330" s="13"/>
      <c r="S330" s="13"/>
      <c r="T330" s="13"/>
      <c r="U330" s="13"/>
      <c r="V330" s="13"/>
      <c r="W330" s="13">
        <v>0</v>
      </c>
      <c r="X330" s="13">
        <v>1</v>
      </c>
      <c r="Y330" s="13">
        <v>0</v>
      </c>
      <c r="Z330" s="13">
        <v>0</v>
      </c>
      <c r="AA330" s="13">
        <v>1</v>
      </c>
      <c r="AB330" s="13">
        <v>0</v>
      </c>
    </row>
    <row r="331" spans="1:206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211</v>
      </c>
      <c r="F331" s="13">
        <f>ROUND(Source!Y304,O331)</f>
        <v>0</v>
      </c>
      <c r="G331" s="13" t="s">
        <v>173</v>
      </c>
      <c r="H331" s="13" t="s">
        <v>174</v>
      </c>
      <c r="I331" s="13"/>
      <c r="J331" s="13"/>
      <c r="K331" s="13">
        <v>211</v>
      </c>
      <c r="L331" s="13">
        <v>26</v>
      </c>
      <c r="M331" s="13">
        <v>3</v>
      </c>
      <c r="N331" s="13" t="s">
        <v>3</v>
      </c>
      <c r="O331" s="13">
        <v>2</v>
      </c>
      <c r="P331" s="13">
        <f>ROUND(Source!DQ304,O331)</f>
        <v>0</v>
      </c>
      <c r="Q331" s="13"/>
      <c r="R331" s="13"/>
      <c r="S331" s="13"/>
      <c r="T331" s="13"/>
      <c r="U331" s="13"/>
      <c r="V331" s="13"/>
      <c r="W331" s="13">
        <v>0</v>
      </c>
      <c r="X331" s="13">
        <v>1</v>
      </c>
      <c r="Y331" s="13">
        <v>0</v>
      </c>
      <c r="Z331" s="13">
        <v>0</v>
      </c>
      <c r="AA331" s="13">
        <v>1</v>
      </c>
      <c r="AB331" s="13">
        <v>0</v>
      </c>
    </row>
    <row r="332" spans="1:206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224</v>
      </c>
      <c r="F332" s="13">
        <f>ROUND(Source!AR304,O332)</f>
        <v>69886.02</v>
      </c>
      <c r="G332" s="13" t="s">
        <v>175</v>
      </c>
      <c r="H332" s="13" t="s">
        <v>176</v>
      </c>
      <c r="I332" s="13"/>
      <c r="J332" s="13"/>
      <c r="K332" s="13">
        <v>224</v>
      </c>
      <c r="L332" s="13">
        <v>27</v>
      </c>
      <c r="M332" s="13">
        <v>3</v>
      </c>
      <c r="N332" s="13" t="s">
        <v>3</v>
      </c>
      <c r="O332" s="13">
        <v>2</v>
      </c>
      <c r="P332" s="13">
        <f>ROUND(Source!EJ304,O332)</f>
        <v>535326.91</v>
      </c>
      <c r="Q332" s="13"/>
      <c r="R332" s="13"/>
      <c r="S332" s="13"/>
      <c r="T332" s="13"/>
      <c r="U332" s="13"/>
      <c r="V332" s="13"/>
      <c r="W332" s="13">
        <v>69886.02</v>
      </c>
      <c r="X332" s="13">
        <v>1</v>
      </c>
      <c r="Y332" s="13">
        <v>69886.02</v>
      </c>
      <c r="Z332" s="13">
        <v>535326.91</v>
      </c>
      <c r="AA332" s="13">
        <v>1</v>
      </c>
      <c r="AB332" s="13">
        <v>535326.91</v>
      </c>
    </row>
    <row r="334" spans="1:206" x14ac:dyDescent="0.2">
      <c r="A334" s="11">
        <v>51</v>
      </c>
      <c r="B334" s="11">
        <f>B20</f>
        <v>1</v>
      </c>
      <c r="C334" s="11">
        <f>A20</f>
        <v>3</v>
      </c>
      <c r="D334" s="11">
        <f>ROW(A20)</f>
        <v>20</v>
      </c>
      <c r="E334" s="11"/>
      <c r="F334" s="11" t="str">
        <f>IF(F20&lt;&gt;"",F20,"")</f>
        <v>02-01-19</v>
      </c>
      <c r="G334" s="11" t="str">
        <f>IF(G20&lt;&gt;"",G20,"")</f>
        <v>Автоматическая установка газового пожаротушения</v>
      </c>
      <c r="H334" s="11">
        <v>0</v>
      </c>
      <c r="I334" s="11"/>
      <c r="J334" s="11"/>
      <c r="K334" s="11"/>
      <c r="L334" s="11"/>
      <c r="M334" s="11"/>
      <c r="N334" s="11"/>
      <c r="O334" s="11">
        <f t="shared" ref="O334:T334" si="318">ROUND(O63+O180+O267+O304+AB334,2)</f>
        <v>404036.74</v>
      </c>
      <c r="P334" s="11">
        <f t="shared" si="318"/>
        <v>393519.72</v>
      </c>
      <c r="Q334" s="11">
        <f t="shared" si="318"/>
        <v>540.87</v>
      </c>
      <c r="R334" s="11">
        <f t="shared" si="318"/>
        <v>87.64</v>
      </c>
      <c r="S334" s="11">
        <f t="shared" si="318"/>
        <v>9976.15</v>
      </c>
      <c r="T334" s="11">
        <f t="shared" si="318"/>
        <v>0</v>
      </c>
      <c r="U334" s="11">
        <f>U63+U180+U267+U304+AH334</f>
        <v>856.39851670079997</v>
      </c>
      <c r="V334" s="11">
        <f>V63+V180+V267+V304+AI334</f>
        <v>0</v>
      </c>
      <c r="W334" s="11">
        <f>ROUND(W63+W180+W267+W304+AJ334,2)</f>
        <v>0</v>
      </c>
      <c r="X334" s="11">
        <f>ROUND(X63+X180+X267+X304+AK334,2)</f>
        <v>9402.58</v>
      </c>
      <c r="Y334" s="11">
        <f>ROUND(Y63+Y180+Y267+Y304+AL334,2)</f>
        <v>4973.8900000000003</v>
      </c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>
        <f t="shared" ref="AO334:BD334" si="319">ROUND(AO63+AO180+AO267+AO304+BX334,2)</f>
        <v>0</v>
      </c>
      <c r="AP334" s="11">
        <f t="shared" si="319"/>
        <v>324219.95</v>
      </c>
      <c r="AQ334" s="11">
        <f t="shared" si="319"/>
        <v>0</v>
      </c>
      <c r="AR334" s="11">
        <f t="shared" si="319"/>
        <v>418413.21</v>
      </c>
      <c r="AS334" s="11">
        <f t="shared" si="319"/>
        <v>34366.339999999997</v>
      </c>
      <c r="AT334" s="11">
        <f t="shared" si="319"/>
        <v>59826.92</v>
      </c>
      <c r="AU334" s="11">
        <f t="shared" si="319"/>
        <v>0</v>
      </c>
      <c r="AV334" s="11">
        <f t="shared" si="319"/>
        <v>393519.72</v>
      </c>
      <c r="AW334" s="11">
        <f t="shared" si="319"/>
        <v>69299.77</v>
      </c>
      <c r="AX334" s="11">
        <f t="shared" si="319"/>
        <v>0</v>
      </c>
      <c r="AY334" s="11">
        <f t="shared" si="319"/>
        <v>69299.77</v>
      </c>
      <c r="AZ334" s="11">
        <f t="shared" si="319"/>
        <v>324219.95</v>
      </c>
      <c r="BA334" s="11">
        <f t="shared" si="319"/>
        <v>0</v>
      </c>
      <c r="BB334" s="11">
        <f t="shared" si="319"/>
        <v>0</v>
      </c>
      <c r="BC334" s="11">
        <f t="shared" si="319"/>
        <v>0</v>
      </c>
      <c r="BD334" s="11">
        <f t="shared" si="319"/>
        <v>0</v>
      </c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2">
        <f t="shared" ref="DG334:DL334" si="320">ROUND(DG63+DG180+DG267+DG304+DT334,2)</f>
        <v>3352492.52</v>
      </c>
      <c r="DH334" s="12">
        <f t="shared" si="320"/>
        <v>2780597.17</v>
      </c>
      <c r="DI334" s="12">
        <f t="shared" si="320"/>
        <v>9739.2900000000009</v>
      </c>
      <c r="DJ334" s="12">
        <f t="shared" si="320"/>
        <v>4938.53</v>
      </c>
      <c r="DK334" s="12">
        <f t="shared" si="320"/>
        <v>562156.06000000006</v>
      </c>
      <c r="DL334" s="12">
        <f t="shared" si="320"/>
        <v>0</v>
      </c>
      <c r="DM334" s="12">
        <f>DM63+DM180+DM267+DM304+DZ334</f>
        <v>856.39851670079997</v>
      </c>
      <c r="DN334" s="12">
        <f>DN63+DN180+DN267+DN304+EA334</f>
        <v>0</v>
      </c>
      <c r="DO334" s="12">
        <f>ROUND(DO63+DO180+DO267+DO304+EB334,2)</f>
        <v>0</v>
      </c>
      <c r="DP334" s="12">
        <f>ROUND(DP63+DP180+DP267+DP304+EC334,2)</f>
        <v>529835.63</v>
      </c>
      <c r="DQ334" s="12">
        <f>ROUND(DQ63+DQ180+DQ267+DQ304+ED334,2)</f>
        <v>280279.8</v>
      </c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>
        <f t="shared" ref="EG334:EV334" si="321">ROUND(EG63+EG180+EG267+EG304+FP334,2)</f>
        <v>0</v>
      </c>
      <c r="EH334" s="12">
        <f t="shared" si="321"/>
        <v>2405065.2000000002</v>
      </c>
      <c r="EI334" s="12">
        <f t="shared" si="321"/>
        <v>0</v>
      </c>
      <c r="EJ334" s="12">
        <f t="shared" si="321"/>
        <v>4162607.95</v>
      </c>
      <c r="EK334" s="12">
        <f t="shared" si="321"/>
        <v>710352.23</v>
      </c>
      <c r="EL334" s="12">
        <f t="shared" si="321"/>
        <v>1047190.52</v>
      </c>
      <c r="EM334" s="12">
        <f t="shared" si="321"/>
        <v>0</v>
      </c>
      <c r="EN334" s="12">
        <f t="shared" si="321"/>
        <v>2780597.17</v>
      </c>
      <c r="EO334" s="12">
        <f t="shared" si="321"/>
        <v>375531.97</v>
      </c>
      <c r="EP334" s="12">
        <f t="shared" si="321"/>
        <v>0</v>
      </c>
      <c r="EQ334" s="12">
        <f t="shared" si="321"/>
        <v>375531.97</v>
      </c>
      <c r="ER334" s="12">
        <f t="shared" si="321"/>
        <v>2405065.2000000002</v>
      </c>
      <c r="ES334" s="12">
        <f t="shared" si="321"/>
        <v>0</v>
      </c>
      <c r="ET334" s="12">
        <f t="shared" si="321"/>
        <v>0</v>
      </c>
      <c r="EU334" s="12">
        <f t="shared" si="321"/>
        <v>0</v>
      </c>
      <c r="EV334" s="12">
        <f t="shared" si="321"/>
        <v>0</v>
      </c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>
        <v>0</v>
      </c>
    </row>
    <row r="336" spans="1:206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201</v>
      </c>
      <c r="F336" s="13">
        <f>ROUND(Source!O334,O336)</f>
        <v>404036.74</v>
      </c>
      <c r="G336" s="13" t="s">
        <v>123</v>
      </c>
      <c r="H336" s="13" t="s">
        <v>124</v>
      </c>
      <c r="I336" s="13"/>
      <c r="J336" s="13"/>
      <c r="K336" s="13">
        <v>201</v>
      </c>
      <c r="L336" s="13">
        <v>1</v>
      </c>
      <c r="M336" s="13">
        <v>3</v>
      </c>
      <c r="N336" s="13" t="s">
        <v>3</v>
      </c>
      <c r="O336" s="13">
        <v>2</v>
      </c>
      <c r="P336" s="13">
        <f>ROUND(Source!DG334,O336)</f>
        <v>3352492.52</v>
      </c>
      <c r="Q336" s="13"/>
      <c r="R336" s="13"/>
      <c r="S336" s="13"/>
      <c r="T336" s="13"/>
      <c r="U336" s="13"/>
      <c r="V336" s="13"/>
      <c r="W336" s="13">
        <v>404036.74</v>
      </c>
      <c r="X336" s="13">
        <v>1</v>
      </c>
      <c r="Y336" s="13">
        <v>404036.74</v>
      </c>
      <c r="Z336" s="13">
        <v>3352492.52</v>
      </c>
      <c r="AA336" s="13">
        <v>1</v>
      </c>
      <c r="AB336" s="13">
        <v>3352492.52</v>
      </c>
    </row>
    <row r="337" spans="1:28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202</v>
      </c>
      <c r="F337" s="13">
        <f>ROUND(Source!P334,O337)</f>
        <v>393519.72</v>
      </c>
      <c r="G337" s="13" t="s">
        <v>125</v>
      </c>
      <c r="H337" s="13" t="s">
        <v>126</v>
      </c>
      <c r="I337" s="13"/>
      <c r="J337" s="13"/>
      <c r="K337" s="13">
        <v>202</v>
      </c>
      <c r="L337" s="13">
        <v>2</v>
      </c>
      <c r="M337" s="13">
        <v>3</v>
      </c>
      <c r="N337" s="13" t="s">
        <v>3</v>
      </c>
      <c r="O337" s="13">
        <v>2</v>
      </c>
      <c r="P337" s="13">
        <f>ROUND(Source!DH334,O337)</f>
        <v>2780597.17</v>
      </c>
      <c r="Q337" s="13"/>
      <c r="R337" s="13"/>
      <c r="S337" s="13"/>
      <c r="T337" s="13"/>
      <c r="U337" s="13"/>
      <c r="V337" s="13"/>
      <c r="W337" s="13">
        <v>393519.72</v>
      </c>
      <c r="X337" s="13">
        <v>1</v>
      </c>
      <c r="Y337" s="13">
        <v>393519.72</v>
      </c>
      <c r="Z337" s="13">
        <v>2780597.17</v>
      </c>
      <c r="AA337" s="13">
        <v>1</v>
      </c>
      <c r="AB337" s="13">
        <v>2780597.17</v>
      </c>
    </row>
    <row r="338" spans="1:28" x14ac:dyDescent="0.2">
      <c r="A338" s="13">
        <v>50</v>
      </c>
      <c r="B338" s="13">
        <v>0</v>
      </c>
      <c r="C338" s="13">
        <v>0</v>
      </c>
      <c r="D338" s="13">
        <v>1</v>
      </c>
      <c r="E338" s="13">
        <v>222</v>
      </c>
      <c r="F338" s="13">
        <f>ROUND(Source!AO334,O338)</f>
        <v>0</v>
      </c>
      <c r="G338" s="13" t="s">
        <v>127</v>
      </c>
      <c r="H338" s="13" t="s">
        <v>128</v>
      </c>
      <c r="I338" s="13"/>
      <c r="J338" s="13"/>
      <c r="K338" s="13">
        <v>222</v>
      </c>
      <c r="L338" s="13">
        <v>3</v>
      </c>
      <c r="M338" s="13">
        <v>3</v>
      </c>
      <c r="N338" s="13" t="s">
        <v>3</v>
      </c>
      <c r="O338" s="13">
        <v>2</v>
      </c>
      <c r="P338" s="13">
        <f>ROUND(Source!EG334,O338)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x14ac:dyDescent="0.2">
      <c r="A339" s="13">
        <v>50</v>
      </c>
      <c r="B339" s="13">
        <v>0</v>
      </c>
      <c r="C339" s="13">
        <v>0</v>
      </c>
      <c r="D339" s="13">
        <v>1</v>
      </c>
      <c r="E339" s="13">
        <v>225</v>
      </c>
      <c r="F339" s="13">
        <f>ROUND(Source!AV334,O339)</f>
        <v>393519.72</v>
      </c>
      <c r="G339" s="13" t="s">
        <v>129</v>
      </c>
      <c r="H339" s="13" t="s">
        <v>130</v>
      </c>
      <c r="I339" s="13"/>
      <c r="J339" s="13"/>
      <c r="K339" s="13">
        <v>225</v>
      </c>
      <c r="L339" s="13">
        <v>4</v>
      </c>
      <c r="M339" s="13">
        <v>3</v>
      </c>
      <c r="N339" s="13" t="s">
        <v>3</v>
      </c>
      <c r="O339" s="13">
        <v>2</v>
      </c>
      <c r="P339" s="13">
        <f>ROUND(Source!EN334,O339)</f>
        <v>2780597.17</v>
      </c>
      <c r="Q339" s="13"/>
      <c r="R339" s="13"/>
      <c r="S339" s="13"/>
      <c r="T339" s="13"/>
      <c r="U339" s="13"/>
      <c r="V339" s="13"/>
      <c r="W339" s="13">
        <v>393519.72</v>
      </c>
      <c r="X339" s="13">
        <v>1</v>
      </c>
      <c r="Y339" s="13">
        <v>393519.72</v>
      </c>
      <c r="Z339" s="13">
        <v>2780597.17</v>
      </c>
      <c r="AA339" s="13">
        <v>1</v>
      </c>
      <c r="AB339" s="13">
        <v>2780597.17</v>
      </c>
    </row>
    <row r="340" spans="1:28" x14ac:dyDescent="0.2">
      <c r="A340" s="13">
        <v>50</v>
      </c>
      <c r="B340" s="13">
        <v>0</v>
      </c>
      <c r="C340" s="13">
        <v>0</v>
      </c>
      <c r="D340" s="13">
        <v>1</v>
      </c>
      <c r="E340" s="13">
        <v>226</v>
      </c>
      <c r="F340" s="13">
        <f>ROUND(Source!AW334,O340)</f>
        <v>69299.77</v>
      </c>
      <c r="G340" s="13" t="s">
        <v>131</v>
      </c>
      <c r="H340" s="13" t="s">
        <v>132</v>
      </c>
      <c r="I340" s="13"/>
      <c r="J340" s="13"/>
      <c r="K340" s="13">
        <v>226</v>
      </c>
      <c r="L340" s="13">
        <v>5</v>
      </c>
      <c r="M340" s="13">
        <v>3</v>
      </c>
      <c r="N340" s="13" t="s">
        <v>3</v>
      </c>
      <c r="O340" s="13">
        <v>2</v>
      </c>
      <c r="P340" s="13">
        <f>ROUND(Source!EO334,O340)</f>
        <v>375531.97</v>
      </c>
      <c r="Q340" s="13"/>
      <c r="R340" s="13"/>
      <c r="S340" s="13"/>
      <c r="T340" s="13"/>
      <c r="U340" s="13"/>
      <c r="V340" s="13"/>
      <c r="W340" s="13">
        <v>69299.77</v>
      </c>
      <c r="X340" s="13">
        <v>1</v>
      </c>
      <c r="Y340" s="13">
        <v>69299.77</v>
      </c>
      <c r="Z340" s="13">
        <v>375531.97</v>
      </c>
      <c r="AA340" s="13">
        <v>1</v>
      </c>
      <c r="AB340" s="13">
        <v>375531.97</v>
      </c>
    </row>
    <row r="341" spans="1:28" x14ac:dyDescent="0.2">
      <c r="A341" s="13">
        <v>50</v>
      </c>
      <c r="B341" s="13">
        <v>0</v>
      </c>
      <c r="C341" s="13">
        <v>0</v>
      </c>
      <c r="D341" s="13">
        <v>1</v>
      </c>
      <c r="E341" s="13">
        <v>227</v>
      </c>
      <c r="F341" s="13">
        <f>ROUND(Source!AX334,O341)</f>
        <v>0</v>
      </c>
      <c r="G341" s="13" t="s">
        <v>133</v>
      </c>
      <c r="H341" s="13" t="s">
        <v>134</v>
      </c>
      <c r="I341" s="13"/>
      <c r="J341" s="13"/>
      <c r="K341" s="13">
        <v>227</v>
      </c>
      <c r="L341" s="13">
        <v>6</v>
      </c>
      <c r="M341" s="13">
        <v>3</v>
      </c>
      <c r="N341" s="13" t="s">
        <v>3</v>
      </c>
      <c r="O341" s="13">
        <v>2</v>
      </c>
      <c r="P341" s="13">
        <f>ROUND(Source!EP334,O341)</f>
        <v>0</v>
      </c>
      <c r="Q341" s="13"/>
      <c r="R341" s="13"/>
      <c r="S341" s="13"/>
      <c r="T341" s="13"/>
      <c r="U341" s="13"/>
      <c r="V341" s="13"/>
      <c r="W341" s="13">
        <v>0</v>
      </c>
      <c r="X341" s="13">
        <v>1</v>
      </c>
      <c r="Y341" s="13">
        <v>0</v>
      </c>
      <c r="Z341" s="13">
        <v>0</v>
      </c>
      <c r="AA341" s="13">
        <v>1</v>
      </c>
      <c r="AB341" s="13">
        <v>0</v>
      </c>
    </row>
    <row r="342" spans="1:28" x14ac:dyDescent="0.2">
      <c r="A342" s="13">
        <v>50</v>
      </c>
      <c r="B342" s="13">
        <v>0</v>
      </c>
      <c r="C342" s="13">
        <v>0</v>
      </c>
      <c r="D342" s="13">
        <v>1</v>
      </c>
      <c r="E342" s="13">
        <v>228</v>
      </c>
      <c r="F342" s="13">
        <f>ROUND(Source!AY334,O342)</f>
        <v>69299.77</v>
      </c>
      <c r="G342" s="13" t="s">
        <v>135</v>
      </c>
      <c r="H342" s="13" t="s">
        <v>136</v>
      </c>
      <c r="I342" s="13"/>
      <c r="J342" s="13"/>
      <c r="K342" s="13">
        <v>228</v>
      </c>
      <c r="L342" s="13">
        <v>7</v>
      </c>
      <c r="M342" s="13">
        <v>3</v>
      </c>
      <c r="N342" s="13" t="s">
        <v>3</v>
      </c>
      <c r="O342" s="13">
        <v>2</v>
      </c>
      <c r="P342" s="13">
        <f>ROUND(Source!EQ334,O342)</f>
        <v>375531.97</v>
      </c>
      <c r="Q342" s="13"/>
      <c r="R342" s="13"/>
      <c r="S342" s="13"/>
      <c r="T342" s="13"/>
      <c r="U342" s="13"/>
      <c r="V342" s="13"/>
      <c r="W342" s="13">
        <v>69299.77</v>
      </c>
      <c r="X342" s="13">
        <v>1</v>
      </c>
      <c r="Y342" s="13">
        <v>69299.77</v>
      </c>
      <c r="Z342" s="13">
        <v>375531.97</v>
      </c>
      <c r="AA342" s="13">
        <v>1</v>
      </c>
      <c r="AB342" s="13">
        <v>375531.97</v>
      </c>
    </row>
    <row r="343" spans="1:28" x14ac:dyDescent="0.2">
      <c r="A343" s="13">
        <v>50</v>
      </c>
      <c r="B343" s="13">
        <v>0</v>
      </c>
      <c r="C343" s="13">
        <v>0</v>
      </c>
      <c r="D343" s="13">
        <v>1</v>
      </c>
      <c r="E343" s="13">
        <v>216</v>
      </c>
      <c r="F343" s="13">
        <f>ROUND(Source!AP334,O343)</f>
        <v>324219.95</v>
      </c>
      <c r="G343" s="13" t="s">
        <v>137</v>
      </c>
      <c r="H343" s="13" t="s">
        <v>138</v>
      </c>
      <c r="I343" s="13"/>
      <c r="J343" s="13"/>
      <c r="K343" s="13">
        <v>216</v>
      </c>
      <c r="L343" s="13">
        <v>8</v>
      </c>
      <c r="M343" s="13">
        <v>3</v>
      </c>
      <c r="N343" s="13" t="s">
        <v>3</v>
      </c>
      <c r="O343" s="13">
        <v>2</v>
      </c>
      <c r="P343" s="13">
        <f>ROUND(Source!EH334,O343)</f>
        <v>2405065.2000000002</v>
      </c>
      <c r="Q343" s="13"/>
      <c r="R343" s="13"/>
      <c r="S343" s="13"/>
      <c r="T343" s="13"/>
      <c r="U343" s="13"/>
      <c r="V343" s="13"/>
      <c r="W343" s="13">
        <v>324219.95</v>
      </c>
      <c r="X343" s="13">
        <v>1</v>
      </c>
      <c r="Y343" s="13">
        <v>324219.95</v>
      </c>
      <c r="Z343" s="13">
        <v>2405065.2000000002</v>
      </c>
      <c r="AA343" s="13">
        <v>1</v>
      </c>
      <c r="AB343" s="13">
        <v>2405065.2000000002</v>
      </c>
    </row>
    <row r="344" spans="1:28" x14ac:dyDescent="0.2">
      <c r="A344" s="13">
        <v>50</v>
      </c>
      <c r="B344" s="13">
        <v>0</v>
      </c>
      <c r="C344" s="13">
        <v>0</v>
      </c>
      <c r="D344" s="13">
        <v>1</v>
      </c>
      <c r="E344" s="13">
        <v>223</v>
      </c>
      <c r="F344" s="13">
        <f>ROUND(Source!AQ334,O344)</f>
        <v>0</v>
      </c>
      <c r="G344" s="13" t="s">
        <v>139</v>
      </c>
      <c r="H344" s="13" t="s">
        <v>140</v>
      </c>
      <c r="I344" s="13"/>
      <c r="J344" s="13"/>
      <c r="K344" s="13">
        <v>223</v>
      </c>
      <c r="L344" s="13">
        <v>9</v>
      </c>
      <c r="M344" s="13">
        <v>3</v>
      </c>
      <c r="N344" s="13" t="s">
        <v>3</v>
      </c>
      <c r="O344" s="13">
        <v>2</v>
      </c>
      <c r="P344" s="13">
        <f>ROUND(Source!EI334,O344)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8" x14ac:dyDescent="0.2">
      <c r="A345" s="13">
        <v>50</v>
      </c>
      <c r="B345" s="13">
        <v>0</v>
      </c>
      <c r="C345" s="13">
        <v>0</v>
      </c>
      <c r="D345" s="13">
        <v>1</v>
      </c>
      <c r="E345" s="13">
        <v>229</v>
      </c>
      <c r="F345" s="13">
        <f>ROUND(Source!AZ334,O345)</f>
        <v>324219.95</v>
      </c>
      <c r="G345" s="13" t="s">
        <v>141</v>
      </c>
      <c r="H345" s="13" t="s">
        <v>142</v>
      </c>
      <c r="I345" s="13"/>
      <c r="J345" s="13"/>
      <c r="K345" s="13">
        <v>229</v>
      </c>
      <c r="L345" s="13">
        <v>10</v>
      </c>
      <c r="M345" s="13">
        <v>3</v>
      </c>
      <c r="N345" s="13" t="s">
        <v>3</v>
      </c>
      <c r="O345" s="13">
        <v>2</v>
      </c>
      <c r="P345" s="13">
        <f>ROUND(Source!ER334,O345)</f>
        <v>2405065.2000000002</v>
      </c>
      <c r="Q345" s="13"/>
      <c r="R345" s="13"/>
      <c r="S345" s="13"/>
      <c r="T345" s="13"/>
      <c r="U345" s="13"/>
      <c r="V345" s="13"/>
      <c r="W345" s="13">
        <v>324219.95</v>
      </c>
      <c r="X345" s="13">
        <v>1</v>
      </c>
      <c r="Y345" s="13">
        <v>324219.95</v>
      </c>
      <c r="Z345" s="13">
        <v>2405065.2000000002</v>
      </c>
      <c r="AA345" s="13">
        <v>1</v>
      </c>
      <c r="AB345" s="13">
        <v>2405065.2000000002</v>
      </c>
    </row>
    <row r="346" spans="1:28" x14ac:dyDescent="0.2">
      <c r="A346" s="13">
        <v>50</v>
      </c>
      <c r="B346" s="13">
        <v>0</v>
      </c>
      <c r="C346" s="13">
        <v>0</v>
      </c>
      <c r="D346" s="13">
        <v>1</v>
      </c>
      <c r="E346" s="13">
        <v>203</v>
      </c>
      <c r="F346" s="13">
        <f>ROUND(Source!Q334,O346)</f>
        <v>540.87</v>
      </c>
      <c r="G346" s="13" t="s">
        <v>143</v>
      </c>
      <c r="H346" s="13" t="s">
        <v>144</v>
      </c>
      <c r="I346" s="13"/>
      <c r="J346" s="13"/>
      <c r="K346" s="13">
        <v>203</v>
      </c>
      <c r="L346" s="13">
        <v>11</v>
      </c>
      <c r="M346" s="13">
        <v>3</v>
      </c>
      <c r="N346" s="13" t="s">
        <v>3</v>
      </c>
      <c r="O346" s="13">
        <v>2</v>
      </c>
      <c r="P346" s="13">
        <f>ROUND(Source!DI334,O346)</f>
        <v>9739.2900000000009</v>
      </c>
      <c r="Q346" s="13"/>
      <c r="R346" s="13"/>
      <c r="S346" s="13"/>
      <c r="T346" s="13"/>
      <c r="U346" s="13"/>
      <c r="V346" s="13"/>
      <c r="W346" s="13">
        <v>540.87</v>
      </c>
      <c r="X346" s="13">
        <v>1</v>
      </c>
      <c r="Y346" s="13">
        <v>540.87</v>
      </c>
      <c r="Z346" s="13">
        <v>9739.2900000000009</v>
      </c>
      <c r="AA346" s="13">
        <v>1</v>
      </c>
      <c r="AB346" s="13">
        <v>9739.2900000000009</v>
      </c>
    </row>
    <row r="347" spans="1:28" x14ac:dyDescent="0.2">
      <c r="A347" s="13">
        <v>50</v>
      </c>
      <c r="B347" s="13">
        <v>0</v>
      </c>
      <c r="C347" s="13">
        <v>0</v>
      </c>
      <c r="D347" s="13">
        <v>1</v>
      </c>
      <c r="E347" s="13">
        <v>231</v>
      </c>
      <c r="F347" s="13">
        <f>ROUND(Source!BB334,O347)</f>
        <v>0</v>
      </c>
      <c r="G347" s="13" t="s">
        <v>145</v>
      </c>
      <c r="H347" s="13" t="s">
        <v>146</v>
      </c>
      <c r="I347" s="13"/>
      <c r="J347" s="13"/>
      <c r="K347" s="13">
        <v>231</v>
      </c>
      <c r="L347" s="13">
        <v>12</v>
      </c>
      <c r="M347" s="13">
        <v>3</v>
      </c>
      <c r="N347" s="13" t="s">
        <v>3</v>
      </c>
      <c r="O347" s="13">
        <v>2</v>
      </c>
      <c r="P347" s="13">
        <f>ROUND(Source!ET334,O347)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8" x14ac:dyDescent="0.2">
      <c r="A348" s="13">
        <v>50</v>
      </c>
      <c r="B348" s="13">
        <v>0</v>
      </c>
      <c r="C348" s="13">
        <v>0</v>
      </c>
      <c r="D348" s="13">
        <v>1</v>
      </c>
      <c r="E348" s="13">
        <v>204</v>
      </c>
      <c r="F348" s="13">
        <f>ROUND(Source!R334,O348)</f>
        <v>87.64</v>
      </c>
      <c r="G348" s="13" t="s">
        <v>147</v>
      </c>
      <c r="H348" s="13" t="s">
        <v>148</v>
      </c>
      <c r="I348" s="13"/>
      <c r="J348" s="13"/>
      <c r="K348" s="13">
        <v>204</v>
      </c>
      <c r="L348" s="13">
        <v>13</v>
      </c>
      <c r="M348" s="13">
        <v>3</v>
      </c>
      <c r="N348" s="13" t="s">
        <v>3</v>
      </c>
      <c r="O348" s="13">
        <v>2</v>
      </c>
      <c r="P348" s="13">
        <f>ROUND(Source!DJ334,O348)</f>
        <v>4938.53</v>
      </c>
      <c r="Q348" s="13"/>
      <c r="R348" s="13"/>
      <c r="S348" s="13"/>
      <c r="T348" s="13"/>
      <c r="U348" s="13"/>
      <c r="V348" s="13"/>
      <c r="W348" s="13">
        <v>87.64</v>
      </c>
      <c r="X348" s="13">
        <v>1</v>
      </c>
      <c r="Y348" s="13">
        <v>87.64</v>
      </c>
      <c r="Z348" s="13">
        <v>4938.53</v>
      </c>
      <c r="AA348" s="13">
        <v>1</v>
      </c>
      <c r="AB348" s="13">
        <v>4938.53</v>
      </c>
    </row>
    <row r="349" spans="1:28" x14ac:dyDescent="0.2">
      <c r="A349" s="13">
        <v>50</v>
      </c>
      <c r="B349" s="13">
        <v>0</v>
      </c>
      <c r="C349" s="13">
        <v>0</v>
      </c>
      <c r="D349" s="13">
        <v>1</v>
      </c>
      <c r="E349" s="13">
        <v>205</v>
      </c>
      <c r="F349" s="13">
        <f>ROUND(Source!S334,O349)</f>
        <v>9976.15</v>
      </c>
      <c r="G349" s="13" t="s">
        <v>149</v>
      </c>
      <c r="H349" s="13" t="s">
        <v>150</v>
      </c>
      <c r="I349" s="13"/>
      <c r="J349" s="13"/>
      <c r="K349" s="13">
        <v>205</v>
      </c>
      <c r="L349" s="13">
        <v>14</v>
      </c>
      <c r="M349" s="13">
        <v>3</v>
      </c>
      <c r="N349" s="13" t="s">
        <v>3</v>
      </c>
      <c r="O349" s="13">
        <v>2</v>
      </c>
      <c r="P349" s="13">
        <f>ROUND(Source!DK334,O349)</f>
        <v>562156.06000000006</v>
      </c>
      <c r="Q349" s="13"/>
      <c r="R349" s="13"/>
      <c r="S349" s="13"/>
      <c r="T349" s="13"/>
      <c r="U349" s="13"/>
      <c r="V349" s="13"/>
      <c r="W349" s="13">
        <v>9976.15</v>
      </c>
      <c r="X349" s="13">
        <v>1</v>
      </c>
      <c r="Y349" s="13">
        <v>9976.15</v>
      </c>
      <c r="Z349" s="13">
        <v>562156.06000000006</v>
      </c>
      <c r="AA349" s="13">
        <v>1</v>
      </c>
      <c r="AB349" s="13">
        <v>562156.06000000006</v>
      </c>
    </row>
    <row r="350" spans="1:28" x14ac:dyDescent="0.2">
      <c r="A350" s="13">
        <v>50</v>
      </c>
      <c r="B350" s="13">
        <v>0</v>
      </c>
      <c r="C350" s="13">
        <v>0</v>
      </c>
      <c r="D350" s="13">
        <v>1</v>
      </c>
      <c r="E350" s="13">
        <v>232</v>
      </c>
      <c r="F350" s="13">
        <f>ROUND(Source!BC334,O350)</f>
        <v>0</v>
      </c>
      <c r="G350" s="13" t="s">
        <v>151</v>
      </c>
      <c r="H350" s="13" t="s">
        <v>152</v>
      </c>
      <c r="I350" s="13"/>
      <c r="J350" s="13"/>
      <c r="K350" s="13">
        <v>232</v>
      </c>
      <c r="L350" s="13">
        <v>15</v>
      </c>
      <c r="M350" s="13">
        <v>3</v>
      </c>
      <c r="N350" s="13" t="s">
        <v>3</v>
      </c>
      <c r="O350" s="13">
        <v>2</v>
      </c>
      <c r="P350" s="13">
        <f>ROUND(Source!EU334,O350)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8" x14ac:dyDescent="0.2">
      <c r="A351" s="13">
        <v>50</v>
      </c>
      <c r="B351" s="13">
        <v>0</v>
      </c>
      <c r="C351" s="13">
        <v>0</v>
      </c>
      <c r="D351" s="13">
        <v>1</v>
      </c>
      <c r="E351" s="13">
        <v>214</v>
      </c>
      <c r="F351" s="13">
        <f>ROUND(Source!AS334,O351)</f>
        <v>34366.339999999997</v>
      </c>
      <c r="G351" s="13" t="s">
        <v>153</v>
      </c>
      <c r="H351" s="13" t="s">
        <v>154</v>
      </c>
      <c r="I351" s="13"/>
      <c r="J351" s="13"/>
      <c r="K351" s="13">
        <v>214</v>
      </c>
      <c r="L351" s="13">
        <v>16</v>
      </c>
      <c r="M351" s="13">
        <v>3</v>
      </c>
      <c r="N351" s="13" t="s">
        <v>3</v>
      </c>
      <c r="O351" s="13">
        <v>2</v>
      </c>
      <c r="P351" s="13">
        <f>ROUND(Source!EK334,O351)</f>
        <v>710352.23</v>
      </c>
      <c r="Q351" s="13"/>
      <c r="R351" s="13"/>
      <c r="S351" s="13"/>
      <c r="T351" s="13"/>
      <c r="U351" s="13"/>
      <c r="V351" s="13"/>
      <c r="W351" s="13">
        <v>34366.339999999997</v>
      </c>
      <c r="X351" s="13">
        <v>1</v>
      </c>
      <c r="Y351" s="13">
        <v>34366.339999999997</v>
      </c>
      <c r="Z351" s="13">
        <v>710352.23</v>
      </c>
      <c r="AA351" s="13">
        <v>1</v>
      </c>
      <c r="AB351" s="13">
        <v>710352.23</v>
      </c>
    </row>
    <row r="352" spans="1:28" x14ac:dyDescent="0.2">
      <c r="A352" s="13">
        <v>50</v>
      </c>
      <c r="B352" s="13">
        <v>0</v>
      </c>
      <c r="C352" s="13">
        <v>0</v>
      </c>
      <c r="D352" s="13">
        <v>1</v>
      </c>
      <c r="E352" s="13">
        <v>215</v>
      </c>
      <c r="F352" s="13">
        <f>ROUND(Source!AT334,O352)</f>
        <v>59826.92</v>
      </c>
      <c r="G352" s="13" t="s">
        <v>155</v>
      </c>
      <c r="H352" s="13" t="s">
        <v>156</v>
      </c>
      <c r="I352" s="13"/>
      <c r="J352" s="13"/>
      <c r="K352" s="13">
        <v>215</v>
      </c>
      <c r="L352" s="13">
        <v>17</v>
      </c>
      <c r="M352" s="13">
        <v>3</v>
      </c>
      <c r="N352" s="13" t="s">
        <v>3</v>
      </c>
      <c r="O352" s="13">
        <v>2</v>
      </c>
      <c r="P352" s="13">
        <f>ROUND(Source!EL334,O352)</f>
        <v>1047190.52</v>
      </c>
      <c r="Q352" s="13"/>
      <c r="R352" s="13"/>
      <c r="S352" s="13"/>
      <c r="T352" s="13"/>
      <c r="U352" s="13"/>
      <c r="V352" s="13"/>
      <c r="W352" s="13">
        <v>59826.92</v>
      </c>
      <c r="X352" s="13">
        <v>1</v>
      </c>
      <c r="Y352" s="13">
        <v>59826.92</v>
      </c>
      <c r="Z352" s="13">
        <v>1047190.52</v>
      </c>
      <c r="AA352" s="13">
        <v>1</v>
      </c>
      <c r="AB352" s="13">
        <v>1047190.52</v>
      </c>
    </row>
    <row r="353" spans="1:206" x14ac:dyDescent="0.2">
      <c r="A353" s="13">
        <v>50</v>
      </c>
      <c r="B353" s="13">
        <v>0</v>
      </c>
      <c r="C353" s="13">
        <v>0</v>
      </c>
      <c r="D353" s="13">
        <v>1</v>
      </c>
      <c r="E353" s="13">
        <v>217</v>
      </c>
      <c r="F353" s="13">
        <f>ROUND(Source!AU334,O353)</f>
        <v>0</v>
      </c>
      <c r="G353" s="13" t="s">
        <v>157</v>
      </c>
      <c r="H353" s="13" t="s">
        <v>158</v>
      </c>
      <c r="I353" s="13"/>
      <c r="J353" s="13"/>
      <c r="K353" s="13">
        <v>217</v>
      </c>
      <c r="L353" s="13">
        <v>18</v>
      </c>
      <c r="M353" s="13">
        <v>3</v>
      </c>
      <c r="N353" s="13" t="s">
        <v>3</v>
      </c>
      <c r="O353" s="13">
        <v>2</v>
      </c>
      <c r="P353" s="13">
        <f>ROUND(Source!EM334,O353)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06" x14ac:dyDescent="0.2">
      <c r="A354" s="13">
        <v>50</v>
      </c>
      <c r="B354" s="13">
        <v>0</v>
      </c>
      <c r="C354" s="13">
        <v>0</v>
      </c>
      <c r="D354" s="13">
        <v>1</v>
      </c>
      <c r="E354" s="13">
        <v>230</v>
      </c>
      <c r="F354" s="13">
        <f>ROUND(Source!BA334,O354)</f>
        <v>0</v>
      </c>
      <c r="G354" s="13" t="s">
        <v>159</v>
      </c>
      <c r="H354" s="13" t="s">
        <v>160</v>
      </c>
      <c r="I354" s="13"/>
      <c r="J354" s="13"/>
      <c r="K354" s="13">
        <v>230</v>
      </c>
      <c r="L354" s="13">
        <v>19</v>
      </c>
      <c r="M354" s="13">
        <v>3</v>
      </c>
      <c r="N354" s="13" t="s">
        <v>3</v>
      </c>
      <c r="O354" s="13">
        <v>2</v>
      </c>
      <c r="P354" s="13">
        <f>ROUND(Source!ES334,O354)</f>
        <v>0</v>
      </c>
      <c r="Q354" s="13"/>
      <c r="R354" s="13"/>
      <c r="S354" s="13"/>
      <c r="T354" s="13"/>
      <c r="U354" s="13"/>
      <c r="V354" s="13"/>
      <c r="W354" s="13">
        <v>0</v>
      </c>
      <c r="X354" s="13">
        <v>1</v>
      </c>
      <c r="Y354" s="13">
        <v>0</v>
      </c>
      <c r="Z354" s="13">
        <v>0</v>
      </c>
      <c r="AA354" s="13">
        <v>1</v>
      </c>
      <c r="AB354" s="13">
        <v>0</v>
      </c>
    </row>
    <row r="355" spans="1:206" x14ac:dyDescent="0.2">
      <c r="A355" s="13">
        <v>50</v>
      </c>
      <c r="B355" s="13">
        <v>0</v>
      </c>
      <c r="C355" s="13">
        <v>0</v>
      </c>
      <c r="D355" s="13">
        <v>1</v>
      </c>
      <c r="E355" s="13">
        <v>206</v>
      </c>
      <c r="F355" s="13">
        <f>ROUND(Source!T334,O355)</f>
        <v>0</v>
      </c>
      <c r="G355" s="13" t="s">
        <v>161</v>
      </c>
      <c r="H355" s="13" t="s">
        <v>162</v>
      </c>
      <c r="I355" s="13"/>
      <c r="J355" s="13"/>
      <c r="K355" s="13">
        <v>206</v>
      </c>
      <c r="L355" s="13">
        <v>20</v>
      </c>
      <c r="M355" s="13">
        <v>3</v>
      </c>
      <c r="N355" s="13" t="s">
        <v>3</v>
      </c>
      <c r="O355" s="13">
        <v>2</v>
      </c>
      <c r="P355" s="13">
        <f>ROUND(Source!DL334,O355)</f>
        <v>0</v>
      </c>
      <c r="Q355" s="13"/>
      <c r="R355" s="13"/>
      <c r="S355" s="13"/>
      <c r="T355" s="13"/>
      <c r="U355" s="13"/>
      <c r="V355" s="13"/>
      <c r="W355" s="13">
        <v>0</v>
      </c>
      <c r="X355" s="13">
        <v>1</v>
      </c>
      <c r="Y355" s="13">
        <v>0</v>
      </c>
      <c r="Z355" s="13">
        <v>0</v>
      </c>
      <c r="AA355" s="13">
        <v>1</v>
      </c>
      <c r="AB355" s="13">
        <v>0</v>
      </c>
    </row>
    <row r="356" spans="1:206" x14ac:dyDescent="0.2">
      <c r="A356" s="13">
        <v>50</v>
      </c>
      <c r="B356" s="13">
        <v>0</v>
      </c>
      <c r="C356" s="13">
        <v>0</v>
      </c>
      <c r="D356" s="13">
        <v>1</v>
      </c>
      <c r="E356" s="13">
        <v>207</v>
      </c>
      <c r="F356" s="13">
        <f>Source!U334</f>
        <v>856.39851670079997</v>
      </c>
      <c r="G356" s="13" t="s">
        <v>163</v>
      </c>
      <c r="H356" s="13" t="s">
        <v>164</v>
      </c>
      <c r="I356" s="13"/>
      <c r="J356" s="13"/>
      <c r="K356" s="13">
        <v>207</v>
      </c>
      <c r="L356" s="13">
        <v>21</v>
      </c>
      <c r="M356" s="13">
        <v>3</v>
      </c>
      <c r="N356" s="13" t="s">
        <v>3</v>
      </c>
      <c r="O356" s="13">
        <v>-1</v>
      </c>
      <c r="P356" s="13">
        <f>Source!DM334</f>
        <v>856.39851670079997</v>
      </c>
      <c r="Q356" s="13"/>
      <c r="R356" s="13"/>
      <c r="S356" s="13"/>
      <c r="T356" s="13"/>
      <c r="U356" s="13"/>
      <c r="V356" s="13"/>
      <c r="W356" s="13">
        <v>856.39851670080009</v>
      </c>
      <c r="X356" s="13">
        <v>1</v>
      </c>
      <c r="Y356" s="13">
        <v>856.39851670080009</v>
      </c>
      <c r="Z356" s="13">
        <v>856.39851670080009</v>
      </c>
      <c r="AA356" s="13">
        <v>1</v>
      </c>
      <c r="AB356" s="13">
        <v>856.39851670080009</v>
      </c>
    </row>
    <row r="357" spans="1:206" x14ac:dyDescent="0.2">
      <c r="A357" s="13">
        <v>50</v>
      </c>
      <c r="B357" s="13">
        <v>0</v>
      </c>
      <c r="C357" s="13">
        <v>0</v>
      </c>
      <c r="D357" s="13">
        <v>1</v>
      </c>
      <c r="E357" s="13">
        <v>208</v>
      </c>
      <c r="F357" s="13">
        <f>Source!V334</f>
        <v>0</v>
      </c>
      <c r="G357" s="13" t="s">
        <v>165</v>
      </c>
      <c r="H357" s="13" t="s">
        <v>166</v>
      </c>
      <c r="I357" s="13"/>
      <c r="J357" s="13"/>
      <c r="K357" s="13">
        <v>208</v>
      </c>
      <c r="L357" s="13">
        <v>22</v>
      </c>
      <c r="M357" s="13">
        <v>3</v>
      </c>
      <c r="N357" s="13" t="s">
        <v>3</v>
      </c>
      <c r="O357" s="13">
        <v>-1</v>
      </c>
      <c r="P357" s="13">
        <f>Source!DN334</f>
        <v>0</v>
      </c>
      <c r="Q357" s="13"/>
      <c r="R357" s="13"/>
      <c r="S357" s="13"/>
      <c r="T357" s="13"/>
      <c r="U357" s="13"/>
      <c r="V357" s="13"/>
      <c r="W357" s="13">
        <v>0</v>
      </c>
      <c r="X357" s="13">
        <v>1</v>
      </c>
      <c r="Y357" s="13">
        <v>0</v>
      </c>
      <c r="Z357" s="13">
        <v>0</v>
      </c>
      <c r="AA357" s="13">
        <v>1</v>
      </c>
      <c r="AB357" s="13">
        <v>0</v>
      </c>
    </row>
    <row r="358" spans="1:206" x14ac:dyDescent="0.2">
      <c r="A358" s="13">
        <v>50</v>
      </c>
      <c r="B358" s="13">
        <v>0</v>
      </c>
      <c r="C358" s="13">
        <v>0</v>
      </c>
      <c r="D358" s="13">
        <v>1</v>
      </c>
      <c r="E358" s="13">
        <v>209</v>
      </c>
      <c r="F358" s="13">
        <f>ROUND(Source!W334,O358)</f>
        <v>0</v>
      </c>
      <c r="G358" s="13" t="s">
        <v>167</v>
      </c>
      <c r="H358" s="13" t="s">
        <v>168</v>
      </c>
      <c r="I358" s="13"/>
      <c r="J358" s="13"/>
      <c r="K358" s="13">
        <v>209</v>
      </c>
      <c r="L358" s="13">
        <v>23</v>
      </c>
      <c r="M358" s="13">
        <v>3</v>
      </c>
      <c r="N358" s="13" t="s">
        <v>3</v>
      </c>
      <c r="O358" s="13">
        <v>2</v>
      </c>
      <c r="P358" s="13">
        <f>ROUND(Source!DO334,O358)</f>
        <v>0</v>
      </c>
      <c r="Q358" s="13"/>
      <c r="R358" s="13"/>
      <c r="S358" s="13"/>
      <c r="T358" s="13"/>
      <c r="U358" s="13"/>
      <c r="V358" s="13"/>
      <c r="W358" s="13">
        <v>0</v>
      </c>
      <c r="X358" s="13">
        <v>1</v>
      </c>
      <c r="Y358" s="13">
        <v>0</v>
      </c>
      <c r="Z358" s="13">
        <v>0</v>
      </c>
      <c r="AA358" s="13">
        <v>1</v>
      </c>
      <c r="AB358" s="13">
        <v>0</v>
      </c>
    </row>
    <row r="359" spans="1:206" x14ac:dyDescent="0.2">
      <c r="A359" s="13">
        <v>50</v>
      </c>
      <c r="B359" s="13">
        <v>0</v>
      </c>
      <c r="C359" s="13">
        <v>0</v>
      </c>
      <c r="D359" s="13">
        <v>1</v>
      </c>
      <c r="E359" s="13">
        <v>233</v>
      </c>
      <c r="F359" s="13">
        <f>ROUND(Source!BD334,O359)</f>
        <v>0</v>
      </c>
      <c r="G359" s="13" t="s">
        <v>169</v>
      </c>
      <c r="H359" s="13" t="s">
        <v>170</v>
      </c>
      <c r="I359" s="13"/>
      <c r="J359" s="13"/>
      <c r="K359" s="13">
        <v>233</v>
      </c>
      <c r="L359" s="13">
        <v>24</v>
      </c>
      <c r="M359" s="13">
        <v>3</v>
      </c>
      <c r="N359" s="13" t="s">
        <v>3</v>
      </c>
      <c r="O359" s="13">
        <v>2</v>
      </c>
      <c r="P359" s="13">
        <f>ROUND(Source!EV334,O359)</f>
        <v>0</v>
      </c>
      <c r="Q359" s="13"/>
      <c r="R359" s="13"/>
      <c r="S359" s="13"/>
      <c r="T359" s="13"/>
      <c r="U359" s="13"/>
      <c r="V359" s="13"/>
      <c r="W359" s="13">
        <v>0</v>
      </c>
      <c r="X359" s="13">
        <v>1</v>
      </c>
      <c r="Y359" s="13">
        <v>0</v>
      </c>
      <c r="Z359" s="13">
        <v>0</v>
      </c>
      <c r="AA359" s="13">
        <v>1</v>
      </c>
      <c r="AB359" s="13">
        <v>0</v>
      </c>
    </row>
    <row r="360" spans="1:206" x14ac:dyDescent="0.2">
      <c r="A360" s="13">
        <v>50</v>
      </c>
      <c r="B360" s="13">
        <v>0</v>
      </c>
      <c r="C360" s="13">
        <v>0</v>
      </c>
      <c r="D360" s="13">
        <v>1</v>
      </c>
      <c r="E360" s="13">
        <v>210</v>
      </c>
      <c r="F360" s="13">
        <f>ROUND(Source!X334,O360)</f>
        <v>9402.58</v>
      </c>
      <c r="G360" s="13" t="s">
        <v>171</v>
      </c>
      <c r="H360" s="13" t="s">
        <v>172</v>
      </c>
      <c r="I360" s="13"/>
      <c r="J360" s="13"/>
      <c r="K360" s="13">
        <v>210</v>
      </c>
      <c r="L360" s="13">
        <v>25</v>
      </c>
      <c r="M360" s="13">
        <v>3</v>
      </c>
      <c r="N360" s="13" t="s">
        <v>3</v>
      </c>
      <c r="O360" s="13">
        <v>2</v>
      </c>
      <c r="P360" s="13">
        <f>ROUND(Source!DP334,O360)</f>
        <v>529835.63</v>
      </c>
      <c r="Q360" s="13"/>
      <c r="R360" s="13"/>
      <c r="S360" s="13"/>
      <c r="T360" s="13"/>
      <c r="U360" s="13"/>
      <c r="V360" s="13"/>
      <c r="W360" s="13">
        <v>9402.58</v>
      </c>
      <c r="X360" s="13">
        <v>1</v>
      </c>
      <c r="Y360" s="13">
        <v>9402.58</v>
      </c>
      <c r="Z360" s="13">
        <v>529835.63</v>
      </c>
      <c r="AA360" s="13">
        <v>1</v>
      </c>
      <c r="AB360" s="13">
        <v>529835.63</v>
      </c>
    </row>
    <row r="361" spans="1:206" x14ac:dyDescent="0.2">
      <c r="A361" s="13">
        <v>50</v>
      </c>
      <c r="B361" s="13">
        <v>0</v>
      </c>
      <c r="C361" s="13">
        <v>0</v>
      </c>
      <c r="D361" s="13">
        <v>1</v>
      </c>
      <c r="E361" s="13">
        <v>211</v>
      </c>
      <c r="F361" s="13">
        <f>ROUND(Source!Y334,O361)</f>
        <v>4973.8900000000003</v>
      </c>
      <c r="G361" s="13" t="s">
        <v>173</v>
      </c>
      <c r="H361" s="13" t="s">
        <v>174</v>
      </c>
      <c r="I361" s="13"/>
      <c r="J361" s="13"/>
      <c r="K361" s="13">
        <v>211</v>
      </c>
      <c r="L361" s="13">
        <v>26</v>
      </c>
      <c r="M361" s="13">
        <v>3</v>
      </c>
      <c r="N361" s="13" t="s">
        <v>3</v>
      </c>
      <c r="O361" s="13">
        <v>2</v>
      </c>
      <c r="P361" s="13">
        <f>ROUND(Source!DQ334,O361)</f>
        <v>280279.8</v>
      </c>
      <c r="Q361" s="13"/>
      <c r="R361" s="13"/>
      <c r="S361" s="13"/>
      <c r="T361" s="13"/>
      <c r="U361" s="13"/>
      <c r="V361" s="13"/>
      <c r="W361" s="13">
        <v>4973.8900000000003</v>
      </c>
      <c r="X361" s="13">
        <v>1</v>
      </c>
      <c r="Y361" s="13">
        <v>4973.8900000000003</v>
      </c>
      <c r="Z361" s="13">
        <v>280279.8</v>
      </c>
      <c r="AA361" s="13">
        <v>1</v>
      </c>
      <c r="AB361" s="13">
        <v>280279.8</v>
      </c>
    </row>
    <row r="362" spans="1:206" x14ac:dyDescent="0.2">
      <c r="A362" s="13">
        <v>50</v>
      </c>
      <c r="B362" s="13">
        <v>0</v>
      </c>
      <c r="C362" s="13">
        <v>0</v>
      </c>
      <c r="D362" s="13">
        <v>1</v>
      </c>
      <c r="E362" s="13">
        <v>224</v>
      </c>
      <c r="F362" s="13">
        <f>ROUND(Source!AR334,O362)</f>
        <v>418413.21</v>
      </c>
      <c r="G362" s="13" t="s">
        <v>175</v>
      </c>
      <c r="H362" s="13" t="s">
        <v>176</v>
      </c>
      <c r="I362" s="13"/>
      <c r="J362" s="13"/>
      <c r="K362" s="13">
        <v>224</v>
      </c>
      <c r="L362" s="13">
        <v>27</v>
      </c>
      <c r="M362" s="13">
        <v>3</v>
      </c>
      <c r="N362" s="13" t="s">
        <v>3</v>
      </c>
      <c r="O362" s="13">
        <v>2</v>
      </c>
      <c r="P362" s="13">
        <f>ROUND(Source!EJ334,O362)</f>
        <v>4162607.95</v>
      </c>
      <c r="Q362" s="13"/>
      <c r="R362" s="13"/>
      <c r="S362" s="13"/>
      <c r="T362" s="13"/>
      <c r="U362" s="13"/>
      <c r="V362" s="13"/>
      <c r="W362" s="13">
        <v>418413.21</v>
      </c>
      <c r="X362" s="13">
        <v>1</v>
      </c>
      <c r="Y362" s="13">
        <v>418413.21</v>
      </c>
      <c r="Z362" s="13">
        <v>4162607.95</v>
      </c>
      <c r="AA362" s="13">
        <v>1</v>
      </c>
      <c r="AB362" s="13">
        <v>4162607.95</v>
      </c>
    </row>
    <row r="364" spans="1:206" x14ac:dyDescent="0.2">
      <c r="A364" s="11">
        <v>51</v>
      </c>
      <c r="B364" s="11">
        <f>B12</f>
        <v>403</v>
      </c>
      <c r="C364" s="11">
        <f>A12</f>
        <v>1</v>
      </c>
      <c r="D364" s="11">
        <f>ROW(A12)</f>
        <v>12</v>
      </c>
      <c r="E364" s="11"/>
      <c r="F364" s="11" t="str">
        <f>IF(F12&lt;&gt;"",F12,"")</f>
        <v>02-01-19</v>
      </c>
      <c r="G364" s="11" t="str">
        <f>IF(G12&lt;&gt;"",G12,"")</f>
        <v>02-01-19 АУГП</v>
      </c>
      <c r="H364" s="11">
        <v>0</v>
      </c>
      <c r="I364" s="11"/>
      <c r="J364" s="11"/>
      <c r="K364" s="11"/>
      <c r="L364" s="11"/>
      <c r="M364" s="11"/>
      <c r="N364" s="11"/>
      <c r="O364" s="11">
        <f t="shared" ref="O364:T364" si="322">ROUND(O334,2)</f>
        <v>404036.74</v>
      </c>
      <c r="P364" s="11">
        <f t="shared" si="322"/>
        <v>393519.72</v>
      </c>
      <c r="Q364" s="11">
        <f t="shared" si="322"/>
        <v>540.87</v>
      </c>
      <c r="R364" s="11">
        <f t="shared" si="322"/>
        <v>87.64</v>
      </c>
      <c r="S364" s="11">
        <f t="shared" si="322"/>
        <v>9976.15</v>
      </c>
      <c r="T364" s="11">
        <f t="shared" si="322"/>
        <v>0</v>
      </c>
      <c r="U364" s="11">
        <f>U334</f>
        <v>856.39851670079997</v>
      </c>
      <c r="V364" s="11">
        <f>V334</f>
        <v>0</v>
      </c>
      <c r="W364" s="11">
        <f>ROUND(W334,2)</f>
        <v>0</v>
      </c>
      <c r="X364" s="11">
        <f>ROUND(X334,2)</f>
        <v>9402.58</v>
      </c>
      <c r="Y364" s="11">
        <f>ROUND(Y334,2)</f>
        <v>4973.8900000000003</v>
      </c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>
        <f t="shared" ref="AO364:BD364" si="323">ROUND(AO334,2)</f>
        <v>0</v>
      </c>
      <c r="AP364" s="11">
        <f t="shared" si="323"/>
        <v>324219.95</v>
      </c>
      <c r="AQ364" s="11">
        <f t="shared" si="323"/>
        <v>0</v>
      </c>
      <c r="AR364" s="11">
        <f t="shared" si="323"/>
        <v>418413.21</v>
      </c>
      <c r="AS364" s="11">
        <f t="shared" si="323"/>
        <v>34366.339999999997</v>
      </c>
      <c r="AT364" s="11">
        <f t="shared" si="323"/>
        <v>59826.92</v>
      </c>
      <c r="AU364" s="11">
        <f t="shared" si="323"/>
        <v>0</v>
      </c>
      <c r="AV364" s="11">
        <f t="shared" si="323"/>
        <v>393519.72</v>
      </c>
      <c r="AW364" s="11">
        <f t="shared" si="323"/>
        <v>69299.77</v>
      </c>
      <c r="AX364" s="11">
        <f t="shared" si="323"/>
        <v>0</v>
      </c>
      <c r="AY364" s="11">
        <f t="shared" si="323"/>
        <v>69299.77</v>
      </c>
      <c r="AZ364" s="11">
        <f t="shared" si="323"/>
        <v>324219.95</v>
      </c>
      <c r="BA364" s="11">
        <f t="shared" si="323"/>
        <v>0</v>
      </c>
      <c r="BB364" s="11">
        <f t="shared" si="323"/>
        <v>0</v>
      </c>
      <c r="BC364" s="11">
        <f t="shared" si="323"/>
        <v>0</v>
      </c>
      <c r="BD364" s="11">
        <f t="shared" si="323"/>
        <v>0</v>
      </c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2">
        <f t="shared" ref="DG364:DL364" si="324">ROUND(DG334,2)</f>
        <v>3352492.52</v>
      </c>
      <c r="DH364" s="12">
        <f t="shared" si="324"/>
        <v>2780597.17</v>
      </c>
      <c r="DI364" s="12">
        <f t="shared" si="324"/>
        <v>9739.2900000000009</v>
      </c>
      <c r="DJ364" s="12">
        <f t="shared" si="324"/>
        <v>4938.53</v>
      </c>
      <c r="DK364" s="12">
        <f t="shared" si="324"/>
        <v>562156.06000000006</v>
      </c>
      <c r="DL364" s="12">
        <f t="shared" si="324"/>
        <v>0</v>
      </c>
      <c r="DM364" s="12">
        <f>DM334</f>
        <v>856.39851670079997</v>
      </c>
      <c r="DN364" s="12">
        <f>DN334</f>
        <v>0</v>
      </c>
      <c r="DO364" s="12">
        <f>ROUND(DO334,2)</f>
        <v>0</v>
      </c>
      <c r="DP364" s="12">
        <f>ROUND(DP334,2)</f>
        <v>529835.63</v>
      </c>
      <c r="DQ364" s="12">
        <f>ROUND(DQ334,2)</f>
        <v>280279.8</v>
      </c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>
        <f t="shared" ref="EG364:EV364" si="325">ROUND(EG334,2)</f>
        <v>0</v>
      </c>
      <c r="EH364" s="12">
        <f t="shared" si="325"/>
        <v>2405065.2000000002</v>
      </c>
      <c r="EI364" s="12">
        <f t="shared" si="325"/>
        <v>0</v>
      </c>
      <c r="EJ364" s="12">
        <f t="shared" si="325"/>
        <v>4162607.95</v>
      </c>
      <c r="EK364" s="12">
        <f t="shared" si="325"/>
        <v>710352.23</v>
      </c>
      <c r="EL364" s="12">
        <f t="shared" si="325"/>
        <v>1047190.52</v>
      </c>
      <c r="EM364" s="12">
        <f t="shared" si="325"/>
        <v>0</v>
      </c>
      <c r="EN364" s="12">
        <f t="shared" si="325"/>
        <v>2780597.17</v>
      </c>
      <c r="EO364" s="12">
        <f t="shared" si="325"/>
        <v>375531.97</v>
      </c>
      <c r="EP364" s="12">
        <f t="shared" si="325"/>
        <v>0</v>
      </c>
      <c r="EQ364" s="12">
        <f t="shared" si="325"/>
        <v>375531.97</v>
      </c>
      <c r="ER364" s="12">
        <f t="shared" si="325"/>
        <v>2405065.2000000002</v>
      </c>
      <c r="ES364" s="12">
        <f t="shared" si="325"/>
        <v>0</v>
      </c>
      <c r="ET364" s="12">
        <f t="shared" si="325"/>
        <v>0</v>
      </c>
      <c r="EU364" s="12">
        <f t="shared" si="325"/>
        <v>0</v>
      </c>
      <c r="EV364" s="12">
        <f t="shared" si="325"/>
        <v>0</v>
      </c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>
        <v>0</v>
      </c>
    </row>
    <row r="366" spans="1:206" x14ac:dyDescent="0.2">
      <c r="A366" s="13">
        <v>50</v>
      </c>
      <c r="B366" s="13">
        <v>0</v>
      </c>
      <c r="C366" s="13">
        <v>0</v>
      </c>
      <c r="D366" s="13">
        <v>1</v>
      </c>
      <c r="E366" s="13">
        <v>201</v>
      </c>
      <c r="F366" s="13">
        <f>ROUND(Source!O364,O366)</f>
        <v>404036.74</v>
      </c>
      <c r="G366" s="13" t="s">
        <v>123</v>
      </c>
      <c r="H366" s="13" t="s">
        <v>124</v>
      </c>
      <c r="I366" s="13"/>
      <c r="J366" s="13"/>
      <c r="K366" s="13">
        <v>201</v>
      </c>
      <c r="L366" s="13">
        <v>1</v>
      </c>
      <c r="M366" s="13">
        <v>3</v>
      </c>
      <c r="N366" s="13" t="s">
        <v>3</v>
      </c>
      <c r="O366" s="13">
        <v>2</v>
      </c>
      <c r="P366" s="13">
        <f>ROUND(Source!DG364,O366)</f>
        <v>3352492.52</v>
      </c>
      <c r="Q366" s="13"/>
      <c r="R366" s="13"/>
      <c r="S366" s="13"/>
      <c r="T366" s="13"/>
      <c r="U366" s="13"/>
      <c r="V366" s="13"/>
      <c r="W366" s="13">
        <v>404036.74</v>
      </c>
      <c r="X366" s="13">
        <v>1</v>
      </c>
      <c r="Y366" s="13">
        <v>404036.74</v>
      </c>
      <c r="Z366" s="13">
        <v>3352492.52</v>
      </c>
      <c r="AA366" s="13">
        <v>1</v>
      </c>
      <c r="AB366" s="13">
        <v>3352492.52</v>
      </c>
    </row>
    <row r="367" spans="1:206" x14ac:dyDescent="0.2">
      <c r="A367" s="13">
        <v>50</v>
      </c>
      <c r="B367" s="13">
        <v>0</v>
      </c>
      <c r="C367" s="13">
        <v>0</v>
      </c>
      <c r="D367" s="13">
        <v>1</v>
      </c>
      <c r="E367" s="13">
        <v>202</v>
      </c>
      <c r="F367" s="13">
        <f>ROUND(Source!P364,O367)</f>
        <v>393519.72</v>
      </c>
      <c r="G367" s="13" t="s">
        <v>125</v>
      </c>
      <c r="H367" s="13" t="s">
        <v>126</v>
      </c>
      <c r="I367" s="13"/>
      <c r="J367" s="13"/>
      <c r="K367" s="13">
        <v>202</v>
      </c>
      <c r="L367" s="13">
        <v>2</v>
      </c>
      <c r="M367" s="13">
        <v>3</v>
      </c>
      <c r="N367" s="13" t="s">
        <v>3</v>
      </c>
      <c r="O367" s="13">
        <v>2</v>
      </c>
      <c r="P367" s="13">
        <f>ROUND(Source!DH364,O367)</f>
        <v>2780597.17</v>
      </c>
      <c r="Q367" s="13"/>
      <c r="R367" s="13"/>
      <c r="S367" s="13"/>
      <c r="T367" s="13"/>
      <c r="U367" s="13"/>
      <c r="V367" s="13"/>
      <c r="W367" s="13">
        <v>393519.72</v>
      </c>
      <c r="X367" s="13">
        <v>1</v>
      </c>
      <c r="Y367" s="13">
        <v>393519.72</v>
      </c>
      <c r="Z367" s="13">
        <v>2780597.17</v>
      </c>
      <c r="AA367" s="13">
        <v>1</v>
      </c>
      <c r="AB367" s="13">
        <v>2780597.17</v>
      </c>
    </row>
    <row r="368" spans="1:206" x14ac:dyDescent="0.2">
      <c r="A368" s="13">
        <v>50</v>
      </c>
      <c r="B368" s="13">
        <v>0</v>
      </c>
      <c r="C368" s="13">
        <v>0</v>
      </c>
      <c r="D368" s="13">
        <v>1</v>
      </c>
      <c r="E368" s="13">
        <v>222</v>
      </c>
      <c r="F368" s="13">
        <f>ROUND(Source!AO364,O368)</f>
        <v>0</v>
      </c>
      <c r="G368" s="13" t="s">
        <v>127</v>
      </c>
      <c r="H368" s="13" t="s">
        <v>128</v>
      </c>
      <c r="I368" s="13"/>
      <c r="J368" s="13"/>
      <c r="K368" s="13">
        <v>222</v>
      </c>
      <c r="L368" s="13">
        <v>3</v>
      </c>
      <c r="M368" s="13">
        <v>3</v>
      </c>
      <c r="N368" s="13" t="s">
        <v>3</v>
      </c>
      <c r="O368" s="13">
        <v>2</v>
      </c>
      <c r="P368" s="13">
        <f>ROUND(Source!EG364,O368)</f>
        <v>0</v>
      </c>
      <c r="Q368" s="13"/>
      <c r="R368" s="13"/>
      <c r="S368" s="13"/>
      <c r="T368" s="13"/>
      <c r="U368" s="13"/>
      <c r="V368" s="13"/>
      <c r="W368" s="13">
        <v>0</v>
      </c>
      <c r="X368" s="13">
        <v>1</v>
      </c>
      <c r="Y368" s="13">
        <v>0</v>
      </c>
      <c r="Z368" s="13">
        <v>0</v>
      </c>
      <c r="AA368" s="13">
        <v>1</v>
      </c>
      <c r="AB368" s="13">
        <v>0</v>
      </c>
    </row>
    <row r="369" spans="1:28" x14ac:dyDescent="0.2">
      <c r="A369" s="13">
        <v>50</v>
      </c>
      <c r="B369" s="13">
        <v>0</v>
      </c>
      <c r="C369" s="13">
        <v>0</v>
      </c>
      <c r="D369" s="13">
        <v>1</v>
      </c>
      <c r="E369" s="13">
        <v>225</v>
      </c>
      <c r="F369" s="13">
        <f>ROUND(Source!AV364,O369)</f>
        <v>393519.72</v>
      </c>
      <c r="G369" s="13" t="s">
        <v>129</v>
      </c>
      <c r="H369" s="13" t="s">
        <v>130</v>
      </c>
      <c r="I369" s="13"/>
      <c r="J369" s="13"/>
      <c r="K369" s="13">
        <v>225</v>
      </c>
      <c r="L369" s="13">
        <v>4</v>
      </c>
      <c r="M369" s="13">
        <v>3</v>
      </c>
      <c r="N369" s="13" t="s">
        <v>3</v>
      </c>
      <c r="O369" s="13">
        <v>2</v>
      </c>
      <c r="P369" s="13">
        <f>ROUND(Source!EN364,O369)</f>
        <v>2780597.17</v>
      </c>
      <c r="Q369" s="13"/>
      <c r="R369" s="13"/>
      <c r="S369" s="13"/>
      <c r="T369" s="13"/>
      <c r="U369" s="13"/>
      <c r="V369" s="13"/>
      <c r="W369" s="13">
        <v>393519.72</v>
      </c>
      <c r="X369" s="13">
        <v>1</v>
      </c>
      <c r="Y369" s="13">
        <v>393519.72</v>
      </c>
      <c r="Z369" s="13">
        <v>2780597.17</v>
      </c>
      <c r="AA369" s="13">
        <v>1</v>
      </c>
      <c r="AB369" s="13">
        <v>2780597.17</v>
      </c>
    </row>
    <row r="370" spans="1:28" x14ac:dyDescent="0.2">
      <c r="A370" s="13">
        <v>50</v>
      </c>
      <c r="B370" s="13">
        <v>0</v>
      </c>
      <c r="C370" s="13">
        <v>0</v>
      </c>
      <c r="D370" s="13">
        <v>1</v>
      </c>
      <c r="E370" s="13">
        <v>226</v>
      </c>
      <c r="F370" s="13">
        <f>ROUND(Source!AW364,O370)</f>
        <v>69299.77</v>
      </c>
      <c r="G370" s="13" t="s">
        <v>131</v>
      </c>
      <c r="H370" s="13" t="s">
        <v>132</v>
      </c>
      <c r="I370" s="13"/>
      <c r="J370" s="13"/>
      <c r="K370" s="13">
        <v>226</v>
      </c>
      <c r="L370" s="13">
        <v>5</v>
      </c>
      <c r="M370" s="13">
        <v>3</v>
      </c>
      <c r="N370" s="13" t="s">
        <v>3</v>
      </c>
      <c r="O370" s="13">
        <v>2</v>
      </c>
      <c r="P370" s="13">
        <f>ROUND(Source!EO364,O370)</f>
        <v>375531.97</v>
      </c>
      <c r="Q370" s="13"/>
      <c r="R370" s="13"/>
      <c r="S370" s="13"/>
      <c r="T370" s="13"/>
      <c r="U370" s="13"/>
      <c r="V370" s="13"/>
      <c r="W370" s="13">
        <v>69299.77</v>
      </c>
      <c r="X370" s="13">
        <v>1</v>
      </c>
      <c r="Y370" s="13">
        <v>69299.77</v>
      </c>
      <c r="Z370" s="13">
        <v>375531.97</v>
      </c>
      <c r="AA370" s="13">
        <v>1</v>
      </c>
      <c r="AB370" s="13">
        <v>375531.97</v>
      </c>
    </row>
    <row r="371" spans="1:28" x14ac:dyDescent="0.2">
      <c r="A371" s="13">
        <v>50</v>
      </c>
      <c r="B371" s="13">
        <v>0</v>
      </c>
      <c r="C371" s="13">
        <v>0</v>
      </c>
      <c r="D371" s="13">
        <v>1</v>
      </c>
      <c r="E371" s="13">
        <v>227</v>
      </c>
      <c r="F371" s="13">
        <f>ROUND(Source!AX364,O371)</f>
        <v>0</v>
      </c>
      <c r="G371" s="13" t="s">
        <v>133</v>
      </c>
      <c r="H371" s="13" t="s">
        <v>134</v>
      </c>
      <c r="I371" s="13"/>
      <c r="J371" s="13"/>
      <c r="K371" s="13">
        <v>227</v>
      </c>
      <c r="L371" s="13">
        <v>6</v>
      </c>
      <c r="M371" s="13">
        <v>3</v>
      </c>
      <c r="N371" s="13" t="s">
        <v>3</v>
      </c>
      <c r="O371" s="13">
        <v>2</v>
      </c>
      <c r="P371" s="13">
        <f>ROUND(Source!EP364,O371)</f>
        <v>0</v>
      </c>
      <c r="Q371" s="13"/>
      <c r="R371" s="13"/>
      <c r="S371" s="13"/>
      <c r="T371" s="13"/>
      <c r="U371" s="13"/>
      <c r="V371" s="13"/>
      <c r="W371" s="13">
        <v>0</v>
      </c>
      <c r="X371" s="13">
        <v>1</v>
      </c>
      <c r="Y371" s="13">
        <v>0</v>
      </c>
      <c r="Z371" s="13">
        <v>0</v>
      </c>
      <c r="AA371" s="13">
        <v>1</v>
      </c>
      <c r="AB371" s="13">
        <v>0</v>
      </c>
    </row>
    <row r="372" spans="1:28" x14ac:dyDescent="0.2">
      <c r="A372" s="13">
        <v>50</v>
      </c>
      <c r="B372" s="13">
        <v>0</v>
      </c>
      <c r="C372" s="13">
        <v>0</v>
      </c>
      <c r="D372" s="13">
        <v>1</v>
      </c>
      <c r="E372" s="13">
        <v>228</v>
      </c>
      <c r="F372" s="13">
        <f>ROUND(Source!AY364,O372)</f>
        <v>69299.77</v>
      </c>
      <c r="G372" s="13" t="s">
        <v>135</v>
      </c>
      <c r="H372" s="13" t="s">
        <v>136</v>
      </c>
      <c r="I372" s="13"/>
      <c r="J372" s="13"/>
      <c r="K372" s="13">
        <v>228</v>
      </c>
      <c r="L372" s="13">
        <v>7</v>
      </c>
      <c r="M372" s="13">
        <v>3</v>
      </c>
      <c r="N372" s="13" t="s">
        <v>3</v>
      </c>
      <c r="O372" s="13">
        <v>2</v>
      </c>
      <c r="P372" s="13">
        <f>ROUND(Source!EQ364,O372)</f>
        <v>375531.97</v>
      </c>
      <c r="Q372" s="13"/>
      <c r="R372" s="13"/>
      <c r="S372" s="13"/>
      <c r="T372" s="13"/>
      <c r="U372" s="13"/>
      <c r="V372" s="13"/>
      <c r="W372" s="13">
        <v>69299.77</v>
      </c>
      <c r="X372" s="13">
        <v>1</v>
      </c>
      <c r="Y372" s="13">
        <v>69299.77</v>
      </c>
      <c r="Z372" s="13">
        <v>375531.97</v>
      </c>
      <c r="AA372" s="13">
        <v>1</v>
      </c>
      <c r="AB372" s="13">
        <v>375531.97</v>
      </c>
    </row>
    <row r="373" spans="1:28" x14ac:dyDescent="0.2">
      <c r="A373" s="13">
        <v>50</v>
      </c>
      <c r="B373" s="13">
        <v>0</v>
      </c>
      <c r="C373" s="13">
        <v>0</v>
      </c>
      <c r="D373" s="13">
        <v>1</v>
      </c>
      <c r="E373" s="13">
        <v>216</v>
      </c>
      <c r="F373" s="13">
        <f>ROUND(Source!AP364,O373)</f>
        <v>324219.95</v>
      </c>
      <c r="G373" s="13" t="s">
        <v>137</v>
      </c>
      <c r="H373" s="13" t="s">
        <v>138</v>
      </c>
      <c r="I373" s="13"/>
      <c r="J373" s="13"/>
      <c r="K373" s="13">
        <v>216</v>
      </c>
      <c r="L373" s="13">
        <v>8</v>
      </c>
      <c r="M373" s="13">
        <v>3</v>
      </c>
      <c r="N373" s="13" t="s">
        <v>3</v>
      </c>
      <c r="O373" s="13">
        <v>2</v>
      </c>
      <c r="P373" s="13">
        <f>ROUND(Source!EH364,O373)</f>
        <v>2405065.2000000002</v>
      </c>
      <c r="Q373" s="13"/>
      <c r="R373" s="13"/>
      <c r="S373" s="13"/>
      <c r="T373" s="13"/>
      <c r="U373" s="13"/>
      <c r="V373" s="13"/>
      <c r="W373" s="13">
        <v>324219.95</v>
      </c>
      <c r="X373" s="13">
        <v>1</v>
      </c>
      <c r="Y373" s="13">
        <v>324219.95</v>
      </c>
      <c r="Z373" s="13">
        <v>2405065.2000000002</v>
      </c>
      <c r="AA373" s="13">
        <v>1</v>
      </c>
      <c r="AB373" s="13">
        <v>2405065.2000000002</v>
      </c>
    </row>
    <row r="374" spans="1:28" x14ac:dyDescent="0.2">
      <c r="A374" s="13">
        <v>50</v>
      </c>
      <c r="B374" s="13">
        <v>0</v>
      </c>
      <c r="C374" s="13">
        <v>0</v>
      </c>
      <c r="D374" s="13">
        <v>1</v>
      </c>
      <c r="E374" s="13">
        <v>223</v>
      </c>
      <c r="F374" s="13">
        <f>ROUND(Source!AQ364,O374)</f>
        <v>0</v>
      </c>
      <c r="G374" s="13" t="s">
        <v>139</v>
      </c>
      <c r="H374" s="13" t="s">
        <v>140</v>
      </c>
      <c r="I374" s="13"/>
      <c r="J374" s="13"/>
      <c r="K374" s="13">
        <v>223</v>
      </c>
      <c r="L374" s="13">
        <v>9</v>
      </c>
      <c r="M374" s="13">
        <v>3</v>
      </c>
      <c r="N374" s="13" t="s">
        <v>3</v>
      </c>
      <c r="O374" s="13">
        <v>2</v>
      </c>
      <c r="P374" s="13">
        <f>ROUND(Source!EI364,O374)</f>
        <v>0</v>
      </c>
      <c r="Q374" s="13"/>
      <c r="R374" s="13"/>
      <c r="S374" s="13"/>
      <c r="T374" s="13"/>
      <c r="U374" s="13"/>
      <c r="V374" s="13"/>
      <c r="W374" s="13">
        <v>0</v>
      </c>
      <c r="X374" s="13">
        <v>1</v>
      </c>
      <c r="Y374" s="13">
        <v>0</v>
      </c>
      <c r="Z374" s="13">
        <v>0</v>
      </c>
      <c r="AA374" s="13">
        <v>1</v>
      </c>
      <c r="AB374" s="13">
        <v>0</v>
      </c>
    </row>
    <row r="375" spans="1:28" x14ac:dyDescent="0.2">
      <c r="A375" s="13">
        <v>50</v>
      </c>
      <c r="B375" s="13">
        <v>0</v>
      </c>
      <c r="C375" s="13">
        <v>0</v>
      </c>
      <c r="D375" s="13">
        <v>1</v>
      </c>
      <c r="E375" s="13">
        <v>229</v>
      </c>
      <c r="F375" s="13">
        <f>ROUND(Source!AZ364,O375)</f>
        <v>324219.95</v>
      </c>
      <c r="G375" s="13" t="s">
        <v>141</v>
      </c>
      <c r="H375" s="13" t="s">
        <v>142</v>
      </c>
      <c r="I375" s="13"/>
      <c r="J375" s="13"/>
      <c r="K375" s="13">
        <v>229</v>
      </c>
      <c r="L375" s="13">
        <v>10</v>
      </c>
      <c r="M375" s="13">
        <v>3</v>
      </c>
      <c r="N375" s="13" t="s">
        <v>3</v>
      </c>
      <c r="O375" s="13">
        <v>2</v>
      </c>
      <c r="P375" s="13">
        <f>ROUND(Source!ER364,O375)</f>
        <v>2405065.2000000002</v>
      </c>
      <c r="Q375" s="13"/>
      <c r="R375" s="13"/>
      <c r="S375" s="13"/>
      <c r="T375" s="13"/>
      <c r="U375" s="13"/>
      <c r="V375" s="13"/>
      <c r="W375" s="13">
        <v>324219.95</v>
      </c>
      <c r="X375" s="13">
        <v>1</v>
      </c>
      <c r="Y375" s="13">
        <v>324219.95</v>
      </c>
      <c r="Z375" s="13">
        <v>2405065.2000000002</v>
      </c>
      <c r="AA375" s="13">
        <v>1</v>
      </c>
      <c r="AB375" s="13">
        <v>2405065.2000000002</v>
      </c>
    </row>
    <row r="376" spans="1:28" x14ac:dyDescent="0.2">
      <c r="A376" s="13">
        <v>50</v>
      </c>
      <c r="B376" s="13">
        <v>0</v>
      </c>
      <c r="C376" s="13">
        <v>0</v>
      </c>
      <c r="D376" s="13">
        <v>1</v>
      </c>
      <c r="E376" s="13">
        <v>203</v>
      </c>
      <c r="F376" s="13">
        <f>ROUND(Source!Q364,O376)</f>
        <v>540.87</v>
      </c>
      <c r="G376" s="13" t="s">
        <v>143</v>
      </c>
      <c r="H376" s="13" t="s">
        <v>144</v>
      </c>
      <c r="I376" s="13"/>
      <c r="J376" s="13"/>
      <c r="K376" s="13">
        <v>203</v>
      </c>
      <c r="L376" s="13">
        <v>11</v>
      </c>
      <c r="M376" s="13">
        <v>3</v>
      </c>
      <c r="N376" s="13" t="s">
        <v>3</v>
      </c>
      <c r="O376" s="13">
        <v>2</v>
      </c>
      <c r="P376" s="13">
        <f>ROUND(Source!DI364,O376)</f>
        <v>9739.2900000000009</v>
      </c>
      <c r="Q376" s="13"/>
      <c r="R376" s="13"/>
      <c r="S376" s="13"/>
      <c r="T376" s="13"/>
      <c r="U376" s="13"/>
      <c r="V376" s="13"/>
      <c r="W376" s="13">
        <v>540.87</v>
      </c>
      <c r="X376" s="13">
        <v>1</v>
      </c>
      <c r="Y376" s="13">
        <v>540.87</v>
      </c>
      <c r="Z376" s="13">
        <v>9739.2900000000009</v>
      </c>
      <c r="AA376" s="13">
        <v>1</v>
      </c>
      <c r="AB376" s="13">
        <v>9739.2900000000009</v>
      </c>
    </row>
    <row r="377" spans="1:28" x14ac:dyDescent="0.2">
      <c r="A377" s="13">
        <v>50</v>
      </c>
      <c r="B377" s="13">
        <v>0</v>
      </c>
      <c r="C377" s="13">
        <v>0</v>
      </c>
      <c r="D377" s="13">
        <v>1</v>
      </c>
      <c r="E377" s="13">
        <v>231</v>
      </c>
      <c r="F377" s="13">
        <f>ROUND(Source!BB364,O377)</f>
        <v>0</v>
      </c>
      <c r="G377" s="13" t="s">
        <v>145</v>
      </c>
      <c r="H377" s="13" t="s">
        <v>146</v>
      </c>
      <c r="I377" s="13"/>
      <c r="J377" s="13"/>
      <c r="K377" s="13">
        <v>231</v>
      </c>
      <c r="L377" s="13">
        <v>12</v>
      </c>
      <c r="M377" s="13">
        <v>3</v>
      </c>
      <c r="N377" s="13" t="s">
        <v>3</v>
      </c>
      <c r="O377" s="13">
        <v>2</v>
      </c>
      <c r="P377" s="13">
        <f>ROUND(Source!ET364,O377)</f>
        <v>0</v>
      </c>
      <c r="Q377" s="13"/>
      <c r="R377" s="13"/>
      <c r="S377" s="13"/>
      <c r="T377" s="13"/>
      <c r="U377" s="13"/>
      <c r="V377" s="13"/>
      <c r="W377" s="13">
        <v>0</v>
      </c>
      <c r="X377" s="13">
        <v>1</v>
      </c>
      <c r="Y377" s="13">
        <v>0</v>
      </c>
      <c r="Z377" s="13">
        <v>0</v>
      </c>
      <c r="AA377" s="13">
        <v>1</v>
      </c>
      <c r="AB377" s="13">
        <v>0</v>
      </c>
    </row>
    <row r="378" spans="1:28" x14ac:dyDescent="0.2">
      <c r="A378" s="13">
        <v>50</v>
      </c>
      <c r="B378" s="13">
        <v>0</v>
      </c>
      <c r="C378" s="13">
        <v>0</v>
      </c>
      <c r="D378" s="13">
        <v>1</v>
      </c>
      <c r="E378" s="13">
        <v>204</v>
      </c>
      <c r="F378" s="13">
        <f>ROUND(Source!R364,O378)</f>
        <v>87.64</v>
      </c>
      <c r="G378" s="13" t="s">
        <v>147</v>
      </c>
      <c r="H378" s="13" t="s">
        <v>148</v>
      </c>
      <c r="I378" s="13"/>
      <c r="J378" s="13"/>
      <c r="K378" s="13">
        <v>204</v>
      </c>
      <c r="L378" s="13">
        <v>13</v>
      </c>
      <c r="M378" s="13">
        <v>3</v>
      </c>
      <c r="N378" s="13" t="s">
        <v>3</v>
      </c>
      <c r="O378" s="13">
        <v>2</v>
      </c>
      <c r="P378" s="13">
        <f>ROUND(Source!DJ364,O378)</f>
        <v>4938.53</v>
      </c>
      <c r="Q378" s="13"/>
      <c r="R378" s="13"/>
      <c r="S378" s="13"/>
      <c r="T378" s="13"/>
      <c r="U378" s="13"/>
      <c r="V378" s="13"/>
      <c r="W378" s="13">
        <v>87.64</v>
      </c>
      <c r="X378" s="13">
        <v>1</v>
      </c>
      <c r="Y378" s="13">
        <v>87.64</v>
      </c>
      <c r="Z378" s="13">
        <v>4938.53</v>
      </c>
      <c r="AA378" s="13">
        <v>1</v>
      </c>
      <c r="AB378" s="13">
        <v>4938.53</v>
      </c>
    </row>
    <row r="379" spans="1:28" x14ac:dyDescent="0.2">
      <c r="A379" s="13">
        <v>50</v>
      </c>
      <c r="B379" s="13">
        <v>0</v>
      </c>
      <c r="C379" s="13">
        <v>0</v>
      </c>
      <c r="D379" s="13">
        <v>1</v>
      </c>
      <c r="E379" s="13">
        <v>205</v>
      </c>
      <c r="F379" s="13">
        <f>ROUND(Source!S364,O379)</f>
        <v>9976.15</v>
      </c>
      <c r="G379" s="13" t="s">
        <v>149</v>
      </c>
      <c r="H379" s="13" t="s">
        <v>150</v>
      </c>
      <c r="I379" s="13"/>
      <c r="J379" s="13"/>
      <c r="K379" s="13">
        <v>205</v>
      </c>
      <c r="L379" s="13">
        <v>14</v>
      </c>
      <c r="M379" s="13">
        <v>3</v>
      </c>
      <c r="N379" s="13" t="s">
        <v>3</v>
      </c>
      <c r="O379" s="13">
        <v>2</v>
      </c>
      <c r="P379" s="13">
        <f>ROUND(Source!DK364,O379)</f>
        <v>562156.06000000006</v>
      </c>
      <c r="Q379" s="13"/>
      <c r="R379" s="13"/>
      <c r="S379" s="13"/>
      <c r="T379" s="13"/>
      <c r="U379" s="13"/>
      <c r="V379" s="13"/>
      <c r="W379" s="13">
        <v>9976.15</v>
      </c>
      <c r="X379" s="13">
        <v>1</v>
      </c>
      <c r="Y379" s="13">
        <v>9976.15</v>
      </c>
      <c r="Z379" s="13">
        <v>562156.06000000006</v>
      </c>
      <c r="AA379" s="13">
        <v>1</v>
      </c>
      <c r="AB379" s="13">
        <v>562156.06000000006</v>
      </c>
    </row>
    <row r="380" spans="1:28" x14ac:dyDescent="0.2">
      <c r="A380" s="13">
        <v>50</v>
      </c>
      <c r="B380" s="13">
        <v>0</v>
      </c>
      <c r="C380" s="13">
        <v>0</v>
      </c>
      <c r="D380" s="13">
        <v>1</v>
      </c>
      <c r="E380" s="13">
        <v>232</v>
      </c>
      <c r="F380" s="13">
        <f>ROUND(Source!BC364,O380)</f>
        <v>0</v>
      </c>
      <c r="G380" s="13" t="s">
        <v>151</v>
      </c>
      <c r="H380" s="13" t="s">
        <v>152</v>
      </c>
      <c r="I380" s="13"/>
      <c r="J380" s="13"/>
      <c r="K380" s="13">
        <v>232</v>
      </c>
      <c r="L380" s="13">
        <v>15</v>
      </c>
      <c r="M380" s="13">
        <v>3</v>
      </c>
      <c r="N380" s="13" t="s">
        <v>3</v>
      </c>
      <c r="O380" s="13">
        <v>2</v>
      </c>
      <c r="P380" s="13">
        <f>ROUND(Source!EU364,O380)</f>
        <v>0</v>
      </c>
      <c r="Q380" s="13"/>
      <c r="R380" s="13"/>
      <c r="S380" s="13"/>
      <c r="T380" s="13"/>
      <c r="U380" s="13"/>
      <c r="V380" s="13"/>
      <c r="W380" s="13">
        <v>0</v>
      </c>
      <c r="X380" s="13">
        <v>1</v>
      </c>
      <c r="Y380" s="13">
        <v>0</v>
      </c>
      <c r="Z380" s="13">
        <v>0</v>
      </c>
      <c r="AA380" s="13">
        <v>1</v>
      </c>
      <c r="AB380" s="13">
        <v>0</v>
      </c>
    </row>
    <row r="381" spans="1:28" x14ac:dyDescent="0.2">
      <c r="A381" s="13">
        <v>50</v>
      </c>
      <c r="B381" s="13">
        <v>0</v>
      </c>
      <c r="C381" s="13">
        <v>0</v>
      </c>
      <c r="D381" s="13">
        <v>1</v>
      </c>
      <c r="E381" s="13">
        <v>214</v>
      </c>
      <c r="F381" s="13">
        <f>ROUND(Source!AS364,O381)</f>
        <v>34366.339999999997</v>
      </c>
      <c r="G381" s="13" t="s">
        <v>153</v>
      </c>
      <c r="H381" s="13" t="s">
        <v>154</v>
      </c>
      <c r="I381" s="13"/>
      <c r="J381" s="13"/>
      <c r="K381" s="13">
        <v>214</v>
      </c>
      <c r="L381" s="13">
        <v>16</v>
      </c>
      <c r="M381" s="13">
        <v>3</v>
      </c>
      <c r="N381" s="13" t="s">
        <v>3</v>
      </c>
      <c r="O381" s="13">
        <v>2</v>
      </c>
      <c r="P381" s="13">
        <f>ROUND(Source!EK364,O381)</f>
        <v>710352.23</v>
      </c>
      <c r="Q381" s="13"/>
      <c r="R381" s="13"/>
      <c r="S381" s="13"/>
      <c r="T381" s="13"/>
      <c r="U381" s="13"/>
      <c r="V381" s="13"/>
      <c r="W381" s="13">
        <v>34366.339999999997</v>
      </c>
      <c r="X381" s="13">
        <v>1</v>
      </c>
      <c r="Y381" s="13">
        <v>34366.339999999997</v>
      </c>
      <c r="Z381" s="13">
        <v>710352.23</v>
      </c>
      <c r="AA381" s="13">
        <v>1</v>
      </c>
      <c r="AB381" s="13">
        <v>710352.23</v>
      </c>
    </row>
    <row r="382" spans="1:28" x14ac:dyDescent="0.2">
      <c r="A382" s="13">
        <v>50</v>
      </c>
      <c r="B382" s="13">
        <v>0</v>
      </c>
      <c r="C382" s="13">
        <v>0</v>
      </c>
      <c r="D382" s="13">
        <v>1</v>
      </c>
      <c r="E382" s="13">
        <v>215</v>
      </c>
      <c r="F382" s="13">
        <f>ROUND(Source!AT364,O382)</f>
        <v>59826.92</v>
      </c>
      <c r="G382" s="13" t="s">
        <v>155</v>
      </c>
      <c r="H382" s="13" t="s">
        <v>156</v>
      </c>
      <c r="I382" s="13"/>
      <c r="J382" s="13"/>
      <c r="K382" s="13">
        <v>215</v>
      </c>
      <c r="L382" s="13">
        <v>17</v>
      </c>
      <c r="M382" s="13">
        <v>3</v>
      </c>
      <c r="N382" s="13" t="s">
        <v>3</v>
      </c>
      <c r="O382" s="13">
        <v>2</v>
      </c>
      <c r="P382" s="13">
        <f>ROUND(Source!EL364,O382)</f>
        <v>1047190.52</v>
      </c>
      <c r="Q382" s="13"/>
      <c r="R382" s="13"/>
      <c r="S382" s="13"/>
      <c r="T382" s="13"/>
      <c r="U382" s="13"/>
      <c r="V382" s="13"/>
      <c r="W382" s="13">
        <v>59826.92</v>
      </c>
      <c r="X382" s="13">
        <v>1</v>
      </c>
      <c r="Y382" s="13">
        <v>59826.92</v>
      </c>
      <c r="Z382" s="13">
        <v>1047190.52</v>
      </c>
      <c r="AA382" s="13">
        <v>1</v>
      </c>
      <c r="AB382" s="13">
        <v>1047190.52</v>
      </c>
    </row>
    <row r="383" spans="1:28" x14ac:dyDescent="0.2">
      <c r="A383" s="13">
        <v>50</v>
      </c>
      <c r="B383" s="13">
        <v>0</v>
      </c>
      <c r="C383" s="13">
        <v>0</v>
      </c>
      <c r="D383" s="13">
        <v>1</v>
      </c>
      <c r="E383" s="13">
        <v>217</v>
      </c>
      <c r="F383" s="13">
        <f>ROUND(Source!AU364,O383)</f>
        <v>0</v>
      </c>
      <c r="G383" s="13" t="s">
        <v>157</v>
      </c>
      <c r="H383" s="13" t="s">
        <v>158</v>
      </c>
      <c r="I383" s="13"/>
      <c r="J383" s="13"/>
      <c r="K383" s="13">
        <v>217</v>
      </c>
      <c r="L383" s="13">
        <v>18</v>
      </c>
      <c r="M383" s="13">
        <v>3</v>
      </c>
      <c r="N383" s="13" t="s">
        <v>3</v>
      </c>
      <c r="O383" s="13">
        <v>2</v>
      </c>
      <c r="P383" s="13">
        <f>ROUND(Source!EM364,O383)</f>
        <v>0</v>
      </c>
      <c r="Q383" s="13"/>
      <c r="R383" s="13"/>
      <c r="S383" s="13"/>
      <c r="T383" s="13"/>
      <c r="U383" s="13"/>
      <c r="V383" s="13"/>
      <c r="W383" s="13">
        <v>0</v>
      </c>
      <c r="X383" s="13">
        <v>1</v>
      </c>
      <c r="Y383" s="13">
        <v>0</v>
      </c>
      <c r="Z383" s="13">
        <v>0</v>
      </c>
      <c r="AA383" s="13">
        <v>1</v>
      </c>
      <c r="AB383" s="13">
        <v>0</v>
      </c>
    </row>
    <row r="384" spans="1:28" x14ac:dyDescent="0.2">
      <c r="A384" s="13">
        <v>50</v>
      </c>
      <c r="B384" s="13">
        <v>0</v>
      </c>
      <c r="C384" s="13">
        <v>0</v>
      </c>
      <c r="D384" s="13">
        <v>1</v>
      </c>
      <c r="E384" s="13">
        <v>230</v>
      </c>
      <c r="F384" s="13">
        <f>ROUND(Source!BA364,O384)</f>
        <v>0</v>
      </c>
      <c r="G384" s="13" t="s">
        <v>159</v>
      </c>
      <c r="H384" s="13" t="s">
        <v>160</v>
      </c>
      <c r="I384" s="13"/>
      <c r="J384" s="13"/>
      <c r="K384" s="13">
        <v>230</v>
      </c>
      <c r="L384" s="13">
        <v>19</v>
      </c>
      <c r="M384" s="13">
        <v>3</v>
      </c>
      <c r="N384" s="13" t="s">
        <v>3</v>
      </c>
      <c r="O384" s="13">
        <v>2</v>
      </c>
      <c r="P384" s="13">
        <f>ROUND(Source!ES364,O384)</f>
        <v>0</v>
      </c>
      <c r="Q384" s="13"/>
      <c r="R384" s="13"/>
      <c r="S384" s="13"/>
      <c r="T384" s="13"/>
      <c r="U384" s="13"/>
      <c r="V384" s="13"/>
      <c r="W384" s="13">
        <v>0</v>
      </c>
      <c r="X384" s="13">
        <v>1</v>
      </c>
      <c r="Y384" s="13">
        <v>0</v>
      </c>
      <c r="Z384" s="13">
        <v>0</v>
      </c>
      <c r="AA384" s="13">
        <v>1</v>
      </c>
      <c r="AB384" s="13">
        <v>0</v>
      </c>
    </row>
    <row r="385" spans="1:28" x14ac:dyDescent="0.2">
      <c r="A385" s="13">
        <v>50</v>
      </c>
      <c r="B385" s="13">
        <v>0</v>
      </c>
      <c r="C385" s="13">
        <v>0</v>
      </c>
      <c r="D385" s="13">
        <v>1</v>
      </c>
      <c r="E385" s="13">
        <v>206</v>
      </c>
      <c r="F385" s="13">
        <f>ROUND(Source!T364,O385)</f>
        <v>0</v>
      </c>
      <c r="G385" s="13" t="s">
        <v>161</v>
      </c>
      <c r="H385" s="13" t="s">
        <v>162</v>
      </c>
      <c r="I385" s="13"/>
      <c r="J385" s="13"/>
      <c r="K385" s="13">
        <v>206</v>
      </c>
      <c r="L385" s="13">
        <v>20</v>
      </c>
      <c r="M385" s="13">
        <v>3</v>
      </c>
      <c r="N385" s="13" t="s">
        <v>3</v>
      </c>
      <c r="O385" s="13">
        <v>2</v>
      </c>
      <c r="P385" s="13">
        <f>ROUND(Source!DL364,O385)</f>
        <v>0</v>
      </c>
      <c r="Q385" s="13"/>
      <c r="R385" s="13"/>
      <c r="S385" s="13"/>
      <c r="T385" s="13"/>
      <c r="U385" s="13"/>
      <c r="V385" s="13"/>
      <c r="W385" s="13">
        <v>0</v>
      </c>
      <c r="X385" s="13">
        <v>1</v>
      </c>
      <c r="Y385" s="13">
        <v>0</v>
      </c>
      <c r="Z385" s="13">
        <v>0</v>
      </c>
      <c r="AA385" s="13">
        <v>1</v>
      </c>
      <c r="AB385" s="13">
        <v>0</v>
      </c>
    </row>
    <row r="386" spans="1:28" x14ac:dyDescent="0.2">
      <c r="A386" s="13">
        <v>50</v>
      </c>
      <c r="B386" s="13">
        <v>0</v>
      </c>
      <c r="C386" s="13">
        <v>0</v>
      </c>
      <c r="D386" s="13">
        <v>1</v>
      </c>
      <c r="E386" s="13">
        <v>207</v>
      </c>
      <c r="F386" s="13">
        <f>Source!U364</f>
        <v>856.39851670079997</v>
      </c>
      <c r="G386" s="13" t="s">
        <v>163</v>
      </c>
      <c r="H386" s="13" t="s">
        <v>164</v>
      </c>
      <c r="I386" s="13"/>
      <c r="J386" s="13"/>
      <c r="K386" s="13">
        <v>207</v>
      </c>
      <c r="L386" s="13">
        <v>21</v>
      </c>
      <c r="M386" s="13">
        <v>3</v>
      </c>
      <c r="N386" s="13" t="s">
        <v>3</v>
      </c>
      <c r="O386" s="13">
        <v>-1</v>
      </c>
      <c r="P386" s="13">
        <f>Source!DM364</f>
        <v>856.39851670079997</v>
      </c>
      <c r="Q386" s="13"/>
      <c r="R386" s="13"/>
      <c r="S386" s="13"/>
      <c r="T386" s="13"/>
      <c r="U386" s="13"/>
      <c r="V386" s="13"/>
      <c r="W386" s="13">
        <v>856.39851670080009</v>
      </c>
      <c r="X386" s="13">
        <v>1</v>
      </c>
      <c r="Y386" s="13">
        <v>856.39851670080009</v>
      </c>
      <c r="Z386" s="13">
        <v>856.39851670080009</v>
      </c>
      <c r="AA386" s="13">
        <v>1</v>
      </c>
      <c r="AB386" s="13">
        <v>856.39851670080009</v>
      </c>
    </row>
    <row r="387" spans="1:28" x14ac:dyDescent="0.2">
      <c r="A387" s="13">
        <v>50</v>
      </c>
      <c r="B387" s="13">
        <v>0</v>
      </c>
      <c r="C387" s="13">
        <v>0</v>
      </c>
      <c r="D387" s="13">
        <v>1</v>
      </c>
      <c r="E387" s="13">
        <v>208</v>
      </c>
      <c r="F387" s="13">
        <f>Source!V364</f>
        <v>0</v>
      </c>
      <c r="G387" s="13" t="s">
        <v>165</v>
      </c>
      <c r="H387" s="13" t="s">
        <v>166</v>
      </c>
      <c r="I387" s="13"/>
      <c r="J387" s="13"/>
      <c r="K387" s="13">
        <v>208</v>
      </c>
      <c r="L387" s="13">
        <v>22</v>
      </c>
      <c r="M387" s="13">
        <v>3</v>
      </c>
      <c r="N387" s="13" t="s">
        <v>3</v>
      </c>
      <c r="O387" s="13">
        <v>-1</v>
      </c>
      <c r="P387" s="13">
        <f>Source!DN364</f>
        <v>0</v>
      </c>
      <c r="Q387" s="13"/>
      <c r="R387" s="13"/>
      <c r="S387" s="13"/>
      <c r="T387" s="13"/>
      <c r="U387" s="13"/>
      <c r="V387" s="13"/>
      <c r="W387" s="13">
        <v>0</v>
      </c>
      <c r="X387" s="13">
        <v>1</v>
      </c>
      <c r="Y387" s="13">
        <v>0</v>
      </c>
      <c r="Z387" s="13">
        <v>0</v>
      </c>
      <c r="AA387" s="13">
        <v>1</v>
      </c>
      <c r="AB387" s="13">
        <v>0</v>
      </c>
    </row>
    <row r="388" spans="1:28" x14ac:dyDescent="0.2">
      <c r="A388" s="13">
        <v>50</v>
      </c>
      <c r="B388" s="13">
        <v>0</v>
      </c>
      <c r="C388" s="13">
        <v>0</v>
      </c>
      <c r="D388" s="13">
        <v>1</v>
      </c>
      <c r="E388" s="13">
        <v>209</v>
      </c>
      <c r="F388" s="13">
        <f>ROUND(Source!W364,O388)</f>
        <v>0</v>
      </c>
      <c r="G388" s="13" t="s">
        <v>167</v>
      </c>
      <c r="H388" s="13" t="s">
        <v>168</v>
      </c>
      <c r="I388" s="13"/>
      <c r="J388" s="13"/>
      <c r="K388" s="13">
        <v>209</v>
      </c>
      <c r="L388" s="13">
        <v>23</v>
      </c>
      <c r="M388" s="13">
        <v>3</v>
      </c>
      <c r="N388" s="13" t="s">
        <v>3</v>
      </c>
      <c r="O388" s="13">
        <v>2</v>
      </c>
      <c r="P388" s="13">
        <f>ROUND(Source!DO364,O388)</f>
        <v>0</v>
      </c>
      <c r="Q388" s="13"/>
      <c r="R388" s="13"/>
      <c r="S388" s="13"/>
      <c r="T388" s="13"/>
      <c r="U388" s="13"/>
      <c r="V388" s="13"/>
      <c r="W388" s="13">
        <v>0</v>
      </c>
      <c r="X388" s="13">
        <v>1</v>
      </c>
      <c r="Y388" s="13">
        <v>0</v>
      </c>
      <c r="Z388" s="13">
        <v>0</v>
      </c>
      <c r="AA388" s="13">
        <v>1</v>
      </c>
      <c r="AB388" s="13">
        <v>0</v>
      </c>
    </row>
    <row r="389" spans="1:28" x14ac:dyDescent="0.2">
      <c r="A389" s="13">
        <v>50</v>
      </c>
      <c r="B389" s="13">
        <v>0</v>
      </c>
      <c r="C389" s="13">
        <v>0</v>
      </c>
      <c r="D389" s="13">
        <v>1</v>
      </c>
      <c r="E389" s="13">
        <v>233</v>
      </c>
      <c r="F389" s="13">
        <f>ROUND(Source!BD364,O389)</f>
        <v>0</v>
      </c>
      <c r="G389" s="13" t="s">
        <v>169</v>
      </c>
      <c r="H389" s="13" t="s">
        <v>170</v>
      </c>
      <c r="I389" s="13"/>
      <c r="J389" s="13"/>
      <c r="K389" s="13">
        <v>233</v>
      </c>
      <c r="L389" s="13">
        <v>24</v>
      </c>
      <c r="M389" s="13">
        <v>3</v>
      </c>
      <c r="N389" s="13" t="s">
        <v>3</v>
      </c>
      <c r="O389" s="13">
        <v>2</v>
      </c>
      <c r="P389" s="13">
        <f>ROUND(Source!EV364,O389)</f>
        <v>0</v>
      </c>
      <c r="Q389" s="13"/>
      <c r="R389" s="13"/>
      <c r="S389" s="13"/>
      <c r="T389" s="13"/>
      <c r="U389" s="13"/>
      <c r="V389" s="13"/>
      <c r="W389" s="13">
        <v>0</v>
      </c>
      <c r="X389" s="13">
        <v>1</v>
      </c>
      <c r="Y389" s="13">
        <v>0</v>
      </c>
      <c r="Z389" s="13">
        <v>0</v>
      </c>
      <c r="AA389" s="13">
        <v>1</v>
      </c>
      <c r="AB389" s="13">
        <v>0</v>
      </c>
    </row>
    <row r="390" spans="1:28" x14ac:dyDescent="0.2">
      <c r="A390" s="13">
        <v>50</v>
      </c>
      <c r="B390" s="13">
        <v>0</v>
      </c>
      <c r="C390" s="13">
        <v>0</v>
      </c>
      <c r="D390" s="13">
        <v>1</v>
      </c>
      <c r="E390" s="13">
        <v>210</v>
      </c>
      <c r="F390" s="13">
        <f>ROUND(Source!X364,O390)</f>
        <v>9402.58</v>
      </c>
      <c r="G390" s="13" t="s">
        <v>171</v>
      </c>
      <c r="H390" s="13" t="s">
        <v>172</v>
      </c>
      <c r="I390" s="13"/>
      <c r="J390" s="13"/>
      <c r="K390" s="13">
        <v>210</v>
      </c>
      <c r="L390" s="13">
        <v>25</v>
      </c>
      <c r="M390" s="13">
        <v>3</v>
      </c>
      <c r="N390" s="13" t="s">
        <v>3</v>
      </c>
      <c r="O390" s="13">
        <v>2</v>
      </c>
      <c r="P390" s="13">
        <f>ROUND(Source!DP364,O390)</f>
        <v>529835.63</v>
      </c>
      <c r="Q390" s="13"/>
      <c r="R390" s="13"/>
      <c r="S390" s="13"/>
      <c r="T390" s="13"/>
      <c r="U390" s="13"/>
      <c r="V390" s="13"/>
      <c r="W390" s="13">
        <v>9402.58</v>
      </c>
      <c r="X390" s="13">
        <v>1</v>
      </c>
      <c r="Y390" s="13">
        <v>9402.58</v>
      </c>
      <c r="Z390" s="13">
        <v>529835.63</v>
      </c>
      <c r="AA390" s="13">
        <v>1</v>
      </c>
      <c r="AB390" s="13">
        <v>529835.63</v>
      </c>
    </row>
    <row r="391" spans="1:28" x14ac:dyDescent="0.2">
      <c r="A391" s="13">
        <v>50</v>
      </c>
      <c r="B391" s="13">
        <v>0</v>
      </c>
      <c r="C391" s="13">
        <v>0</v>
      </c>
      <c r="D391" s="13">
        <v>1</v>
      </c>
      <c r="E391" s="13">
        <v>211</v>
      </c>
      <c r="F391" s="13">
        <f>ROUND(Source!Y364,O391)</f>
        <v>4973.8900000000003</v>
      </c>
      <c r="G391" s="13" t="s">
        <v>173</v>
      </c>
      <c r="H391" s="13" t="s">
        <v>174</v>
      </c>
      <c r="I391" s="13"/>
      <c r="J391" s="13"/>
      <c r="K391" s="13">
        <v>211</v>
      </c>
      <c r="L391" s="13">
        <v>26</v>
      </c>
      <c r="M391" s="13">
        <v>3</v>
      </c>
      <c r="N391" s="13" t="s">
        <v>3</v>
      </c>
      <c r="O391" s="13">
        <v>2</v>
      </c>
      <c r="P391" s="13">
        <f>ROUND(Source!DQ364,O391)</f>
        <v>280279.8</v>
      </c>
      <c r="Q391" s="13"/>
      <c r="R391" s="13"/>
      <c r="S391" s="13"/>
      <c r="T391" s="13"/>
      <c r="U391" s="13"/>
      <c r="V391" s="13"/>
      <c r="W391" s="13">
        <v>4973.8900000000003</v>
      </c>
      <c r="X391" s="13">
        <v>1</v>
      </c>
      <c r="Y391" s="13">
        <v>4973.8900000000003</v>
      </c>
      <c r="Z391" s="13">
        <v>280279.8</v>
      </c>
      <c r="AA391" s="13">
        <v>1</v>
      </c>
      <c r="AB391" s="13">
        <v>280279.8</v>
      </c>
    </row>
    <row r="392" spans="1:28" x14ac:dyDescent="0.2">
      <c r="A392" s="13">
        <v>50</v>
      </c>
      <c r="B392" s="13">
        <v>0</v>
      </c>
      <c r="C392" s="13">
        <v>0</v>
      </c>
      <c r="D392" s="13">
        <v>1</v>
      </c>
      <c r="E392" s="13">
        <v>224</v>
      </c>
      <c r="F392" s="13">
        <f>ROUND(Source!AR364,O392)</f>
        <v>418413.21</v>
      </c>
      <c r="G392" s="13" t="s">
        <v>175</v>
      </c>
      <c r="H392" s="13" t="s">
        <v>176</v>
      </c>
      <c r="I392" s="13"/>
      <c r="J392" s="13"/>
      <c r="K392" s="13">
        <v>224</v>
      </c>
      <c r="L392" s="13">
        <v>27</v>
      </c>
      <c r="M392" s="13">
        <v>3</v>
      </c>
      <c r="N392" s="13" t="s">
        <v>3</v>
      </c>
      <c r="O392" s="13">
        <v>2</v>
      </c>
      <c r="P392" s="13">
        <f>ROUND(Source!EJ364,O392)</f>
        <v>4162607.95</v>
      </c>
      <c r="Q392" s="13"/>
      <c r="R392" s="13"/>
      <c r="S392" s="13"/>
      <c r="T392" s="13"/>
      <c r="U392" s="13"/>
      <c r="V392" s="13"/>
      <c r="W392" s="13">
        <v>418413.21</v>
      </c>
      <c r="X392" s="13">
        <v>1</v>
      </c>
      <c r="Y392" s="13">
        <v>418413.21</v>
      </c>
      <c r="Z392" s="13">
        <v>4162607.95</v>
      </c>
      <c r="AA392" s="13">
        <v>1</v>
      </c>
      <c r="AB392" s="13">
        <v>4162607.95</v>
      </c>
    </row>
    <row r="395" spans="1:28" x14ac:dyDescent="0.2">
      <c r="A395" s="3">
        <v>70</v>
      </c>
      <c r="B395" s="3">
        <v>1</v>
      </c>
      <c r="D395" s="3">
        <v>1</v>
      </c>
      <c r="E395" s="3" t="s">
        <v>431</v>
      </c>
      <c r="F395" s="3" t="s">
        <v>432</v>
      </c>
      <c r="G395" s="3">
        <v>0</v>
      </c>
      <c r="H395" s="3">
        <v>0</v>
      </c>
      <c r="I395" s="3" t="s">
        <v>3</v>
      </c>
      <c r="J395" s="3">
        <v>1</v>
      </c>
      <c r="K395" s="3">
        <v>0</v>
      </c>
      <c r="L395" s="3" t="s">
        <v>3</v>
      </c>
      <c r="M395" s="3" t="s">
        <v>3</v>
      </c>
      <c r="N395" s="3">
        <v>0</v>
      </c>
      <c r="O395" s="3">
        <v>0</v>
      </c>
      <c r="P395" s="3" t="s">
        <v>3</v>
      </c>
    </row>
    <row r="396" spans="1:28" x14ac:dyDescent="0.2">
      <c r="A396" s="3">
        <v>70</v>
      </c>
      <c r="B396" s="3">
        <v>1</v>
      </c>
      <c r="D396" s="3">
        <v>2</v>
      </c>
      <c r="E396" s="3" t="s">
        <v>433</v>
      </c>
      <c r="F396" s="3" t="s">
        <v>434</v>
      </c>
      <c r="G396" s="3">
        <v>1</v>
      </c>
      <c r="H396" s="3">
        <v>0</v>
      </c>
      <c r="I396" s="3" t="s">
        <v>3</v>
      </c>
      <c r="J396" s="3">
        <v>1</v>
      </c>
      <c r="K396" s="3">
        <v>0</v>
      </c>
      <c r="L396" s="3" t="s">
        <v>3</v>
      </c>
      <c r="M396" s="3" t="s">
        <v>3</v>
      </c>
      <c r="N396" s="3">
        <v>0</v>
      </c>
      <c r="O396" s="3">
        <v>1</v>
      </c>
      <c r="P396" s="3" t="s">
        <v>3</v>
      </c>
    </row>
    <row r="397" spans="1:28" x14ac:dyDescent="0.2">
      <c r="A397" s="3">
        <v>70</v>
      </c>
      <c r="B397" s="3">
        <v>1</v>
      </c>
      <c r="D397" s="3">
        <v>3</v>
      </c>
      <c r="E397" s="3" t="s">
        <v>435</v>
      </c>
      <c r="F397" s="3" t="s">
        <v>436</v>
      </c>
      <c r="G397" s="3">
        <v>1</v>
      </c>
      <c r="H397" s="3">
        <v>0</v>
      </c>
      <c r="I397" s="3" t="s">
        <v>3</v>
      </c>
      <c r="J397" s="3">
        <v>0</v>
      </c>
      <c r="K397" s="3">
        <v>0</v>
      </c>
      <c r="L397" s="3" t="s">
        <v>3</v>
      </c>
      <c r="M397" s="3" t="s">
        <v>3</v>
      </c>
      <c r="N397" s="3">
        <v>0</v>
      </c>
      <c r="O397" s="3">
        <v>1</v>
      </c>
      <c r="P397" s="3" t="s">
        <v>3</v>
      </c>
    </row>
    <row r="398" spans="1:28" x14ac:dyDescent="0.2">
      <c r="A398" s="3">
        <v>70</v>
      </c>
      <c r="B398" s="3">
        <v>1</v>
      </c>
      <c r="D398" s="3">
        <v>4</v>
      </c>
      <c r="E398" s="3" t="s">
        <v>437</v>
      </c>
      <c r="F398" s="3" t="s">
        <v>438</v>
      </c>
      <c r="G398" s="3">
        <v>1</v>
      </c>
      <c r="H398" s="3">
        <v>0</v>
      </c>
      <c r="I398" s="3" t="s">
        <v>3</v>
      </c>
      <c r="J398" s="3">
        <v>0</v>
      </c>
      <c r="K398" s="3">
        <v>0</v>
      </c>
      <c r="L398" s="3" t="s">
        <v>3</v>
      </c>
      <c r="M398" s="3" t="s">
        <v>3</v>
      </c>
      <c r="N398" s="3">
        <v>0</v>
      </c>
      <c r="O398" s="3">
        <v>1</v>
      </c>
      <c r="P398" s="3" t="s">
        <v>3</v>
      </c>
    </row>
    <row r="399" spans="1:28" x14ac:dyDescent="0.2">
      <c r="A399" s="3">
        <v>70</v>
      </c>
      <c r="B399" s="3">
        <v>1</v>
      </c>
      <c r="D399" s="3">
        <v>5</v>
      </c>
      <c r="E399" s="3" t="s">
        <v>439</v>
      </c>
      <c r="F399" s="3" t="s">
        <v>440</v>
      </c>
      <c r="G399" s="3">
        <v>0</v>
      </c>
      <c r="H399" s="3">
        <v>0</v>
      </c>
      <c r="I399" s="3" t="s">
        <v>3</v>
      </c>
      <c r="J399" s="3">
        <v>0</v>
      </c>
      <c r="K399" s="3">
        <v>0</v>
      </c>
      <c r="L399" s="3" t="s">
        <v>3</v>
      </c>
      <c r="M399" s="3" t="s">
        <v>3</v>
      </c>
      <c r="N399" s="3">
        <v>0</v>
      </c>
      <c r="O399" s="3">
        <v>0</v>
      </c>
      <c r="P399" s="3" t="s">
        <v>3</v>
      </c>
    </row>
    <row r="401" spans="1:50" x14ac:dyDescent="0.2">
      <c r="A401" s="3">
        <v>-1</v>
      </c>
    </row>
    <row r="403" spans="1:50" x14ac:dyDescent="0.2">
      <c r="A403" s="12">
        <v>75</v>
      </c>
      <c r="B403" s="12" t="s">
        <v>441</v>
      </c>
      <c r="C403" s="12">
        <v>2000</v>
      </c>
      <c r="D403" s="12">
        <v>0</v>
      </c>
      <c r="E403" s="12">
        <v>1</v>
      </c>
      <c r="F403" s="12">
        <v>0</v>
      </c>
      <c r="G403" s="12">
        <v>0</v>
      </c>
      <c r="H403" s="12">
        <v>1</v>
      </c>
      <c r="I403" s="12">
        <v>1</v>
      </c>
      <c r="J403" s="12">
        <v>3</v>
      </c>
      <c r="K403" s="12">
        <v>0</v>
      </c>
      <c r="L403" s="12">
        <v>0</v>
      </c>
      <c r="M403" s="12">
        <v>0</v>
      </c>
      <c r="N403" s="12">
        <v>55937296</v>
      </c>
      <c r="O403" s="12">
        <v>1</v>
      </c>
    </row>
    <row r="404" spans="1:50" x14ac:dyDescent="0.2">
      <c r="A404" s="14">
        <v>1</v>
      </c>
      <c r="B404" s="14" t="s">
        <v>442</v>
      </c>
      <c r="C404" s="14" t="s">
        <v>443</v>
      </c>
      <c r="D404" s="14">
        <v>2000</v>
      </c>
      <c r="E404" s="14">
        <v>1</v>
      </c>
      <c r="F404" s="14">
        <v>1</v>
      </c>
      <c r="G404" s="14">
        <v>1</v>
      </c>
      <c r="H404" s="14">
        <v>0</v>
      </c>
      <c r="I404" s="14">
        <v>2</v>
      </c>
      <c r="J404" s="14">
        <v>1</v>
      </c>
      <c r="K404" s="14">
        <v>1</v>
      </c>
      <c r="L404" s="14">
        <v>1</v>
      </c>
      <c r="M404" s="14">
        <v>1</v>
      </c>
      <c r="N404" s="14">
        <v>1</v>
      </c>
      <c r="O404" s="14">
        <v>1</v>
      </c>
      <c r="P404" s="14">
        <v>1</v>
      </c>
      <c r="Q404" s="14">
        <v>1</v>
      </c>
      <c r="R404" s="14" t="s">
        <v>3</v>
      </c>
      <c r="S404" s="14" t="s">
        <v>3</v>
      </c>
      <c r="T404" s="14" t="s">
        <v>3</v>
      </c>
      <c r="U404" s="14" t="s">
        <v>3</v>
      </c>
      <c r="V404" s="14" t="s">
        <v>3</v>
      </c>
      <c r="W404" s="14" t="s">
        <v>3</v>
      </c>
      <c r="X404" s="14" t="s">
        <v>3</v>
      </c>
      <c r="Y404" s="14" t="s">
        <v>3</v>
      </c>
      <c r="Z404" s="14" t="s">
        <v>3</v>
      </c>
      <c r="AA404" s="14" t="s">
        <v>325</v>
      </c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>
        <v>55937297</v>
      </c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</row>
    <row r="405" spans="1:50" x14ac:dyDescent="0.2">
      <c r="A405" s="12">
        <v>75</v>
      </c>
      <c r="B405" s="12" t="s">
        <v>444</v>
      </c>
      <c r="C405" s="12">
        <v>2026</v>
      </c>
      <c r="D405" s="12">
        <v>1</v>
      </c>
      <c r="E405" s="12">
        <v>0</v>
      </c>
      <c r="F405" s="12"/>
      <c r="G405" s="12">
        <v>0</v>
      </c>
      <c r="H405" s="12">
        <v>1</v>
      </c>
      <c r="I405" s="12">
        <v>1</v>
      </c>
      <c r="J405" s="12">
        <v>1</v>
      </c>
      <c r="K405" s="12">
        <v>0</v>
      </c>
      <c r="L405" s="12">
        <v>0</v>
      </c>
      <c r="M405" s="12">
        <v>1</v>
      </c>
      <c r="N405" s="12">
        <v>55937298</v>
      </c>
      <c r="O405" s="12">
        <v>2</v>
      </c>
    </row>
    <row r="406" spans="1:50" x14ac:dyDescent="0.2">
      <c r="A406" s="14">
        <v>1</v>
      </c>
      <c r="B406" s="14" t="s">
        <v>442</v>
      </c>
      <c r="C406" s="14" t="s">
        <v>443</v>
      </c>
      <c r="D406" s="14">
        <v>2026</v>
      </c>
      <c r="E406" s="14">
        <v>1</v>
      </c>
      <c r="F406" s="14">
        <v>1</v>
      </c>
      <c r="G406" s="14">
        <v>1</v>
      </c>
      <c r="H406" s="14">
        <v>0</v>
      </c>
      <c r="I406" s="14">
        <v>2</v>
      </c>
      <c r="J406" s="14">
        <v>1</v>
      </c>
      <c r="K406" s="14">
        <v>9.86</v>
      </c>
      <c r="L406" s="14">
        <v>7.66</v>
      </c>
      <c r="M406" s="14">
        <v>1</v>
      </c>
      <c r="N406" s="14">
        <v>1</v>
      </c>
      <c r="O406" s="14">
        <v>9.86</v>
      </c>
      <c r="P406" s="14">
        <v>7.66</v>
      </c>
      <c r="Q406" s="14">
        <v>1</v>
      </c>
      <c r="R406" s="14" t="s">
        <v>3</v>
      </c>
      <c r="S406" s="14" t="s">
        <v>3</v>
      </c>
      <c r="T406" s="14" t="s">
        <v>3</v>
      </c>
      <c r="U406" s="14" t="s">
        <v>3</v>
      </c>
      <c r="V406" s="14" t="s">
        <v>3</v>
      </c>
      <c r="W406" s="14" t="s">
        <v>3</v>
      </c>
      <c r="X406" s="14" t="s">
        <v>3</v>
      </c>
      <c r="Y406" s="14" t="s">
        <v>3</v>
      </c>
      <c r="Z406" s="14" t="s">
        <v>3</v>
      </c>
      <c r="AA406" s="14" t="s">
        <v>445</v>
      </c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>
        <v>55937299</v>
      </c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</row>
    <row r="407" spans="1:50" x14ac:dyDescent="0.2">
      <c r="A407" s="14">
        <v>1</v>
      </c>
      <c r="B407" s="14" t="s">
        <v>442</v>
      </c>
      <c r="C407" s="14" t="s">
        <v>446</v>
      </c>
      <c r="D407" s="14">
        <v>2026</v>
      </c>
      <c r="E407" s="14">
        <v>1</v>
      </c>
      <c r="F407" s="14">
        <v>1</v>
      </c>
      <c r="G407" s="14">
        <v>1</v>
      </c>
      <c r="H407" s="14">
        <v>0</v>
      </c>
      <c r="I407" s="14">
        <v>2</v>
      </c>
      <c r="J407" s="14">
        <v>1</v>
      </c>
      <c r="K407" s="14">
        <v>9.86</v>
      </c>
      <c r="L407" s="14">
        <v>7.66</v>
      </c>
      <c r="M407" s="14">
        <v>1</v>
      </c>
      <c r="N407" s="14">
        <v>1</v>
      </c>
      <c r="O407" s="14">
        <v>9.86</v>
      </c>
      <c r="P407" s="14">
        <v>7.66</v>
      </c>
      <c r="Q407" s="14">
        <v>1</v>
      </c>
      <c r="R407" s="14" t="s">
        <v>3</v>
      </c>
      <c r="S407" s="14" t="s">
        <v>3</v>
      </c>
      <c r="T407" s="14" t="s">
        <v>3</v>
      </c>
      <c r="U407" s="14" t="s">
        <v>3</v>
      </c>
      <c r="V407" s="14" t="s">
        <v>3</v>
      </c>
      <c r="W407" s="14" t="s">
        <v>3</v>
      </c>
      <c r="X407" s="14" t="s">
        <v>3</v>
      </c>
      <c r="Y407" s="14" t="s">
        <v>3</v>
      </c>
      <c r="Z407" s="14" t="s">
        <v>3</v>
      </c>
      <c r="AA407" s="14" t="s">
        <v>447</v>
      </c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>
        <v>55937300</v>
      </c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</row>
    <row r="411" spans="1:50" x14ac:dyDescent="0.2">
      <c r="A411" s="3">
        <v>65</v>
      </c>
      <c r="C411" s="3">
        <v>1</v>
      </c>
      <c r="D411" s="3">
        <v>0</v>
      </c>
      <c r="E411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448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55937296</v>
      </c>
      <c r="E14" s="1">
        <v>55937298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16</v>
      </c>
      <c r="E16" s="8">
        <f>ROUND((Source!F351)/1000,2)</f>
        <v>34.369999999999997</v>
      </c>
      <c r="F16" s="8">
        <f>ROUND((Source!F352)/1000,2)</f>
        <v>59.83</v>
      </c>
      <c r="G16" s="8">
        <f>ROUND((Source!F343)/1000,2)</f>
        <v>324.22000000000003</v>
      </c>
      <c r="H16" s="8">
        <f>ROUND((Source!F353)/1000+(Source!F354)/1000,2)</f>
        <v>0</v>
      </c>
      <c r="I16" s="8">
        <f>E16+F16+G16+H16</f>
        <v>418.42</v>
      </c>
      <c r="J16" s="8">
        <f>ROUND((Source!F349+Source!F348)/1000,2)</f>
        <v>10.06</v>
      </c>
      <c r="K16" s="8">
        <v>797.56</v>
      </c>
      <c r="L16" s="8">
        <v>0</v>
      </c>
      <c r="M16" s="8">
        <v>0</v>
      </c>
      <c r="N16" s="8">
        <f>I16+L16+M16</f>
        <v>418.42</v>
      </c>
      <c r="T16" s="9">
        <f>ROUND((Source!P351)/1000,2)</f>
        <v>710.35</v>
      </c>
      <c r="U16" s="9">
        <f>ROUND((Source!P352)/1000,2)</f>
        <v>1047.19</v>
      </c>
      <c r="V16" s="9">
        <f>ROUND((Source!P343)/1000,2)</f>
        <v>2405.0700000000002</v>
      </c>
      <c r="W16" s="9">
        <f>ROUND((Source!P353)/1000+(Source!P354)/1000,2)</f>
        <v>0</v>
      </c>
      <c r="X16" s="9">
        <f>T16+U16+V16+W16</f>
        <v>4162.6100000000006</v>
      </c>
      <c r="Y16" s="9">
        <f>ROUND((Source!P349+Source!P348)/1000,2)</f>
        <v>567.09</v>
      </c>
      <c r="Z16" s="9">
        <v>6133.09</v>
      </c>
      <c r="AA16" s="9">
        <v>0</v>
      </c>
      <c r="AB16" s="9">
        <v>0</v>
      </c>
      <c r="AC16" s="9">
        <f>X16+AA16+AB16</f>
        <v>4162.6100000000006</v>
      </c>
      <c r="AI16" s="7">
        <v>0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404036.74</v>
      </c>
      <c r="AU16" s="8">
        <v>393519.72</v>
      </c>
      <c r="AV16" s="8">
        <v>0</v>
      </c>
      <c r="AW16" s="8">
        <v>324219.95</v>
      </c>
      <c r="AX16" s="8">
        <v>0</v>
      </c>
      <c r="AY16" s="8">
        <v>540.87</v>
      </c>
      <c r="AZ16" s="8">
        <v>87.64</v>
      </c>
      <c r="BA16" s="8">
        <v>9976.15</v>
      </c>
      <c r="BB16" s="8">
        <v>34366.339999999997</v>
      </c>
      <c r="BC16" s="8">
        <v>59826.92</v>
      </c>
      <c r="BD16" s="8">
        <v>0</v>
      </c>
      <c r="BE16" s="8">
        <v>0</v>
      </c>
      <c r="BF16" s="8">
        <v>856.39851670080009</v>
      </c>
      <c r="BG16" s="8">
        <v>0</v>
      </c>
      <c r="BH16" s="8">
        <v>0</v>
      </c>
      <c r="BI16" s="8">
        <v>9402.58</v>
      </c>
      <c r="BJ16" s="8">
        <v>4973.8900000000003</v>
      </c>
      <c r="BK16" s="8">
        <v>418413.21</v>
      </c>
      <c r="BR16" s="9">
        <v>3352492.52</v>
      </c>
      <c r="BS16" s="9">
        <v>2780597.17</v>
      </c>
      <c r="BT16" s="9">
        <v>0</v>
      </c>
      <c r="BU16" s="9">
        <v>2405065.2000000002</v>
      </c>
      <c r="BV16" s="9">
        <v>0</v>
      </c>
      <c r="BW16" s="9">
        <v>9739.2900000000009</v>
      </c>
      <c r="BX16" s="9">
        <v>4938.53</v>
      </c>
      <c r="BY16" s="9">
        <v>562156.06000000006</v>
      </c>
      <c r="BZ16" s="9">
        <v>710352.23</v>
      </c>
      <c r="CA16" s="9">
        <v>1047190.52</v>
      </c>
      <c r="CB16" s="9">
        <v>0</v>
      </c>
      <c r="CC16" s="9">
        <v>0</v>
      </c>
      <c r="CD16" s="9">
        <v>856.39851670080009</v>
      </c>
      <c r="CE16" s="9">
        <v>0</v>
      </c>
      <c r="CF16" s="9">
        <v>0</v>
      </c>
      <c r="CG16" s="9">
        <v>529835.63</v>
      </c>
      <c r="CH16" s="9">
        <v>280279.8</v>
      </c>
      <c r="CI16" s="9">
        <v>4162607.95</v>
      </c>
    </row>
    <row r="18" spans="1:29" x14ac:dyDescent="0.2">
      <c r="A18">
        <v>51</v>
      </c>
      <c r="E18">
        <v>34.369999999999997</v>
      </c>
      <c r="F18">
        <v>59.83</v>
      </c>
      <c r="G18">
        <v>324.22000000000003</v>
      </c>
      <c r="H18">
        <v>0</v>
      </c>
      <c r="I18">
        <v>418.42</v>
      </c>
      <c r="J18">
        <v>10.06</v>
      </c>
      <c r="K18">
        <v>797.56</v>
      </c>
      <c r="L18">
        <v>0</v>
      </c>
      <c r="M18">
        <v>0</v>
      </c>
      <c r="N18">
        <v>418.42</v>
      </c>
      <c r="T18">
        <v>710.35</v>
      </c>
      <c r="U18">
        <v>1047.19</v>
      </c>
      <c r="V18">
        <v>2405.0700000000002</v>
      </c>
      <c r="W18">
        <v>0</v>
      </c>
      <c r="X18">
        <v>4162.6099999999997</v>
      </c>
      <c r="Y18">
        <v>567.09</v>
      </c>
      <c r="Z18">
        <v>6133.09</v>
      </c>
      <c r="AA18">
        <v>0</v>
      </c>
      <c r="AB18">
        <v>0</v>
      </c>
      <c r="AC18">
        <v>4162.6099999999997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404036.74</v>
      </c>
      <c r="G20" s="5" t="s">
        <v>123</v>
      </c>
      <c r="H20" s="5" t="s">
        <v>124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3352492.52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393519.72</v>
      </c>
      <c r="G21" s="5" t="s">
        <v>125</v>
      </c>
      <c r="H21" s="5" t="s">
        <v>126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2780597.17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127</v>
      </c>
      <c r="H22" s="5" t="s">
        <v>128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393519.72</v>
      </c>
      <c r="G23" s="5" t="s">
        <v>129</v>
      </c>
      <c r="H23" s="5" t="s">
        <v>130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2780597.17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69299.77</v>
      </c>
      <c r="G24" s="5" t="s">
        <v>131</v>
      </c>
      <c r="H24" s="5" t="s">
        <v>132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375531.97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133</v>
      </c>
      <c r="H25" s="5" t="s">
        <v>134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69299.77</v>
      </c>
      <c r="G26" s="5" t="s">
        <v>135</v>
      </c>
      <c r="H26" s="5" t="s">
        <v>136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375531.97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324219.95</v>
      </c>
      <c r="G27" s="5" t="s">
        <v>137</v>
      </c>
      <c r="H27" s="5" t="s">
        <v>138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2405065.2000000002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139</v>
      </c>
      <c r="H28" s="5" t="s">
        <v>140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324219.95</v>
      </c>
      <c r="G29" s="5" t="s">
        <v>141</v>
      </c>
      <c r="H29" s="5" t="s">
        <v>142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2405065.2000000002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540.87</v>
      </c>
      <c r="G30" s="5" t="s">
        <v>143</v>
      </c>
      <c r="H30" s="5" t="s">
        <v>144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9739.2900000000009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145</v>
      </c>
      <c r="H31" s="5" t="s">
        <v>146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87.64</v>
      </c>
      <c r="G32" s="5" t="s">
        <v>147</v>
      </c>
      <c r="H32" s="5" t="s">
        <v>148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4938.53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9976.15</v>
      </c>
      <c r="G33" s="5" t="s">
        <v>149</v>
      </c>
      <c r="H33" s="5" t="s">
        <v>150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562156.06000000006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151</v>
      </c>
      <c r="H34" s="5" t="s">
        <v>152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34366.339999999997</v>
      </c>
      <c r="G35" s="5" t="s">
        <v>153</v>
      </c>
      <c r="H35" s="5" t="s">
        <v>154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710352.23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59826.92</v>
      </c>
      <c r="G36" s="5" t="s">
        <v>155</v>
      </c>
      <c r="H36" s="5" t="s">
        <v>156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1047190.52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157</v>
      </c>
      <c r="H37" s="5" t="s">
        <v>158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159</v>
      </c>
      <c r="H38" s="5" t="s">
        <v>160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161</v>
      </c>
      <c r="H39" s="5" t="s">
        <v>162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856.39851670080009</v>
      </c>
      <c r="G40" s="5" t="s">
        <v>163</v>
      </c>
      <c r="H40" s="5" t="s">
        <v>164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856.39851670080009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165</v>
      </c>
      <c r="H41" s="5" t="s">
        <v>166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167</v>
      </c>
      <c r="H42" s="5" t="s">
        <v>168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169</v>
      </c>
      <c r="H43" s="5" t="s">
        <v>170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9402.58</v>
      </c>
      <c r="G44" s="5" t="s">
        <v>171</v>
      </c>
      <c r="H44" s="5" t="s">
        <v>172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529835.63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4973.8900000000003</v>
      </c>
      <c r="G45" s="5" t="s">
        <v>173</v>
      </c>
      <c r="H45" s="5" t="s">
        <v>174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280279.8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418413.21</v>
      </c>
      <c r="G46" s="5" t="s">
        <v>175</v>
      </c>
      <c r="H46" s="5" t="s">
        <v>176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4162607.95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441</v>
      </c>
      <c r="C51" s="4">
        <v>2000</v>
      </c>
      <c r="D51" s="4">
        <v>0</v>
      </c>
      <c r="E51" s="4">
        <v>1</v>
      </c>
      <c r="F51" s="4">
        <v>0</v>
      </c>
      <c r="G51" s="4">
        <v>0</v>
      </c>
      <c r="H51" s="4">
        <v>1</v>
      </c>
      <c r="I51" s="4">
        <v>1</v>
      </c>
      <c r="J51" s="4">
        <v>3</v>
      </c>
      <c r="K51" s="4">
        <v>0</v>
      </c>
      <c r="L51" s="4">
        <v>0</v>
      </c>
      <c r="M51" s="4">
        <v>0</v>
      </c>
      <c r="N51" s="4">
        <v>55937296</v>
      </c>
      <c r="O51" s="4">
        <v>1</v>
      </c>
    </row>
    <row r="52" spans="1:50" x14ac:dyDescent="0.2">
      <c r="A52" s="6">
        <v>1</v>
      </c>
      <c r="B52" s="6" t="s">
        <v>442</v>
      </c>
      <c r="C52" s="6" t="s">
        <v>443</v>
      </c>
      <c r="D52" s="6">
        <v>2000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325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55937297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4">
        <v>75</v>
      </c>
      <c r="B53" s="4" t="s">
        <v>444</v>
      </c>
      <c r="C53" s="4">
        <v>2026</v>
      </c>
      <c r="D53" s="4">
        <v>1</v>
      </c>
      <c r="E53" s="4">
        <v>0</v>
      </c>
      <c r="F53" s="4"/>
      <c r="G53" s="4">
        <v>0</v>
      </c>
      <c r="H53" s="4">
        <v>1</v>
      </c>
      <c r="I53" s="4">
        <v>1</v>
      </c>
      <c r="J53" s="4">
        <v>1</v>
      </c>
      <c r="K53" s="4">
        <v>0</v>
      </c>
      <c r="L53" s="4">
        <v>0</v>
      </c>
      <c r="M53" s="4">
        <v>1</v>
      </c>
      <c r="N53" s="4">
        <v>55937298</v>
      </c>
      <c r="O53" s="4">
        <v>2</v>
      </c>
    </row>
    <row r="54" spans="1:50" x14ac:dyDescent="0.2">
      <c r="A54" s="6">
        <v>1</v>
      </c>
      <c r="B54" s="6" t="s">
        <v>442</v>
      </c>
      <c r="C54" s="6" t="s">
        <v>443</v>
      </c>
      <c r="D54" s="6">
        <v>2026</v>
      </c>
      <c r="E54" s="6">
        <v>1</v>
      </c>
      <c r="F54" s="6">
        <v>1</v>
      </c>
      <c r="G54" s="6">
        <v>1</v>
      </c>
      <c r="H54" s="6">
        <v>0</v>
      </c>
      <c r="I54" s="6">
        <v>2</v>
      </c>
      <c r="J54" s="6">
        <v>1</v>
      </c>
      <c r="K54" s="6">
        <v>9.86</v>
      </c>
      <c r="L54" s="6">
        <v>7.66</v>
      </c>
      <c r="M54" s="6">
        <v>1</v>
      </c>
      <c r="N54" s="6">
        <v>1</v>
      </c>
      <c r="O54" s="6">
        <v>9.86</v>
      </c>
      <c r="P54" s="6">
        <v>7.66</v>
      </c>
      <c r="Q54" s="6">
        <v>1</v>
      </c>
      <c r="R54" s="6" t="s">
        <v>3</v>
      </c>
      <c r="S54" s="6" t="s">
        <v>3</v>
      </c>
      <c r="T54" s="6" t="s">
        <v>3</v>
      </c>
      <c r="U54" s="6" t="s">
        <v>3</v>
      </c>
      <c r="V54" s="6" t="s">
        <v>3</v>
      </c>
      <c r="W54" s="6" t="s">
        <v>3</v>
      </c>
      <c r="X54" s="6" t="s">
        <v>3</v>
      </c>
      <c r="Y54" s="6" t="s">
        <v>3</v>
      </c>
      <c r="Z54" s="6" t="s">
        <v>3</v>
      </c>
      <c r="AA54" s="6" t="s">
        <v>445</v>
      </c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55937299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1:50" x14ac:dyDescent="0.2">
      <c r="A55" s="6">
        <v>1</v>
      </c>
      <c r="B55" s="6" t="s">
        <v>442</v>
      </c>
      <c r="C55" s="6" t="s">
        <v>446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9.86</v>
      </c>
      <c r="L55" s="6">
        <v>7.66</v>
      </c>
      <c r="M55" s="6">
        <v>1</v>
      </c>
      <c r="N55" s="6">
        <v>1</v>
      </c>
      <c r="O55" s="6">
        <v>9.86</v>
      </c>
      <c r="P55" s="6">
        <v>7.66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447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55937300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35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55937296</v>
      </c>
      <c r="C1">
        <v>55985908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449</v>
      </c>
      <c r="J1" t="s">
        <v>3</v>
      </c>
      <c r="K1" t="s">
        <v>450</v>
      </c>
      <c r="L1">
        <v>1191</v>
      </c>
      <c r="N1">
        <v>1013</v>
      </c>
      <c r="O1" t="s">
        <v>451</v>
      </c>
      <c r="P1" t="s">
        <v>451</v>
      </c>
      <c r="Q1">
        <v>1</v>
      </c>
      <c r="W1">
        <v>0</v>
      </c>
      <c r="X1">
        <v>476480486</v>
      </c>
      <c r="Y1">
        <f t="shared" ref="Y1:Y7" si="0">((AT1*1.2)*0.3)</f>
        <v>0.64800000000000002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1.8</v>
      </c>
      <c r="AU1" t="s">
        <v>25</v>
      </c>
      <c r="AV1">
        <v>1</v>
      </c>
      <c r="AW1">
        <v>2</v>
      </c>
      <c r="AX1">
        <v>55985910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5.1840000000000002</v>
      </c>
      <c r="CW1">
        <v>0</v>
      </c>
      <c r="CX1">
        <f>ROUND(Y1*Source!I28,9)</f>
        <v>5.1840000000000002</v>
      </c>
      <c r="CY1">
        <f>AD1</f>
        <v>0</v>
      </c>
      <c r="CZ1">
        <f>AH1</f>
        <v>0</v>
      </c>
      <c r="DA1">
        <f>AL1</f>
        <v>1</v>
      </c>
      <c r="DB1">
        <f t="shared" ref="DB1:DB7" si="1">ROUND(((ROUND(AT1*CZ1,2)*1.2)*0.3),6)</f>
        <v>0</v>
      </c>
      <c r="DC1">
        <f t="shared" ref="DC1:DC7" si="2">ROUND(((ROUND(AT1*AG1,2)*1.2)*0.3),6)</f>
        <v>0</v>
      </c>
      <c r="DD1" t="s">
        <v>3</v>
      </c>
      <c r="DE1" t="s">
        <v>3</v>
      </c>
      <c r="DF1">
        <f t="shared" ref="DF1:DF16" si="3">ROUND(ROUND(AE1,2)*CX1,2)</f>
        <v>0</v>
      </c>
      <c r="DG1">
        <f t="shared" ref="DG1:DG14" si="4">ROUND(ROUND(AF1,2)*CX1,2)</f>
        <v>0</v>
      </c>
      <c r="DH1">
        <f t="shared" ref="DH1:DH32" si="5">ROUND(ROUND(AG1,2)*CX1,2)</f>
        <v>0</v>
      </c>
      <c r="DI1">
        <f t="shared" ref="DI1:DI64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55937298</v>
      </c>
      <c r="C2">
        <v>55985908</v>
      </c>
      <c r="D2">
        <v>55424304</v>
      </c>
      <c r="E2">
        <v>1081</v>
      </c>
      <c r="F2">
        <v>1</v>
      </c>
      <c r="G2">
        <v>1081</v>
      </c>
      <c r="H2">
        <v>1</v>
      </c>
      <c r="I2" t="s">
        <v>449</v>
      </c>
      <c r="J2" t="s">
        <v>3</v>
      </c>
      <c r="K2" t="s">
        <v>450</v>
      </c>
      <c r="L2">
        <v>1191</v>
      </c>
      <c r="N2">
        <v>1013</v>
      </c>
      <c r="O2" t="s">
        <v>451</v>
      </c>
      <c r="P2" t="s">
        <v>451</v>
      </c>
      <c r="Q2">
        <v>1</v>
      </c>
      <c r="W2">
        <v>0</v>
      </c>
      <c r="X2">
        <v>476480486</v>
      </c>
      <c r="Y2">
        <f t="shared" si="0"/>
        <v>0.64800000000000002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5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1.8</v>
      </c>
      <c r="AU2" t="s">
        <v>25</v>
      </c>
      <c r="AV2">
        <v>1</v>
      </c>
      <c r="AW2">
        <v>2</v>
      </c>
      <c r="AX2">
        <v>55985910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5.1840000000000002</v>
      </c>
      <c r="CW2">
        <v>0</v>
      </c>
      <c r="CX2">
        <f>ROUND(Y2*Source!I29,9)</f>
        <v>5.1840000000000002</v>
      </c>
      <c r="CY2">
        <f>AD2</f>
        <v>0</v>
      </c>
      <c r="CZ2">
        <f>AH2</f>
        <v>0</v>
      </c>
      <c r="DA2">
        <f>AL2</f>
    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0</v>
      </c>
      <c r="DH2">
        <f t="shared" si="5"/>
        <v>0</v>
      </c>
      <c r="DI2">
        <f t="shared" si="6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ROW(Source!A30)</f>
        <v>30</v>
      </c>
      <c r="B3">
        <v>55937296</v>
      </c>
      <c r="C3">
        <v>55985911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449</v>
      </c>
      <c r="J3" t="s">
        <v>3</v>
      </c>
      <c r="K3" t="s">
        <v>450</v>
      </c>
      <c r="L3">
        <v>1191</v>
      </c>
      <c r="N3">
        <v>1013</v>
      </c>
      <c r="O3" t="s">
        <v>451</v>
      </c>
      <c r="P3" t="s">
        <v>451</v>
      </c>
      <c r="Q3">
        <v>1</v>
      </c>
      <c r="W3">
        <v>0</v>
      </c>
      <c r="X3">
        <v>476480486</v>
      </c>
      <c r="Y3">
        <f t="shared" si="0"/>
        <v>4.2119999999999997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11.7</v>
      </c>
      <c r="AU3" t="s">
        <v>25</v>
      </c>
      <c r="AV3">
        <v>1</v>
      </c>
      <c r="AW3">
        <v>2</v>
      </c>
      <c r="AX3">
        <v>55985913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4.2119999999999997</v>
      </c>
      <c r="CW3">
        <v>0</v>
      </c>
      <c r="CX3">
        <f>ROUND(Y3*Source!I30,9)</f>
        <v>4.2119999999999997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</v>
      </c>
      <c r="DH3">
        <f t="shared" si="5"/>
        <v>0</v>
      </c>
      <c r="DI3">
        <f t="shared" si="6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ROW(Source!A31)</f>
        <v>31</v>
      </c>
      <c r="B4">
        <v>55937298</v>
      </c>
      <c r="C4">
        <v>55985911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449</v>
      </c>
      <c r="J4" t="s">
        <v>3</v>
      </c>
      <c r="K4" t="s">
        <v>450</v>
      </c>
      <c r="L4">
        <v>1191</v>
      </c>
      <c r="N4">
        <v>1013</v>
      </c>
      <c r="O4" t="s">
        <v>451</v>
      </c>
      <c r="P4" t="s">
        <v>451</v>
      </c>
      <c r="Q4">
        <v>1</v>
      </c>
      <c r="W4">
        <v>0</v>
      </c>
      <c r="X4">
        <v>476480486</v>
      </c>
      <c r="Y4">
        <f t="shared" si="0"/>
        <v>4.2119999999999997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11.7</v>
      </c>
      <c r="AU4" t="s">
        <v>25</v>
      </c>
      <c r="AV4">
        <v>1</v>
      </c>
      <c r="AW4">
        <v>2</v>
      </c>
      <c r="AX4">
        <v>55985913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ROUND(AT4*Source!I31*AH4*AL4,2)</f>
        <v>0</v>
      </c>
      <c r="CV4">
        <f>ROUND(Y4*Source!I31,9)</f>
        <v>4.2119999999999997</v>
      </c>
      <c r="CW4">
        <v>0</v>
      </c>
      <c r="CX4">
        <f>ROUND(Y4*Source!I31,9)</f>
        <v>4.2119999999999997</v>
      </c>
      <c r="CY4">
        <f>AD4</f>
        <v>0</v>
      </c>
      <c r="CZ4">
        <f>AH4</f>
        <v>0</v>
      </c>
      <c r="DA4">
        <f>AL4</f>
        <v>1</v>
      </c>
      <c r="DB4">
        <f t="shared" si="1"/>
        <v>0</v>
      </c>
      <c r="DC4">
        <f t="shared" si="2"/>
        <v>0</v>
      </c>
      <c r="DD4" t="s">
        <v>3</v>
      </c>
      <c r="DE4" t="s">
        <v>3</v>
      </c>
      <c r="DF4">
        <f t="shared" si="3"/>
        <v>0</v>
      </c>
      <c r="DG4">
        <f t="shared" si="4"/>
        <v>0</v>
      </c>
      <c r="DH4">
        <f t="shared" si="5"/>
        <v>0</v>
      </c>
      <c r="DI4">
        <f t="shared" si="6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ROW(Source!A32)</f>
        <v>32</v>
      </c>
      <c r="B5">
        <v>55937296</v>
      </c>
      <c r="C5">
        <v>55985914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449</v>
      </c>
      <c r="J5" t="s">
        <v>3</v>
      </c>
      <c r="K5" t="s">
        <v>450</v>
      </c>
      <c r="L5">
        <v>1191</v>
      </c>
      <c r="N5">
        <v>1013</v>
      </c>
      <c r="O5" t="s">
        <v>451</v>
      </c>
      <c r="P5" t="s">
        <v>451</v>
      </c>
      <c r="Q5">
        <v>1</v>
      </c>
      <c r="W5">
        <v>0</v>
      </c>
      <c r="X5">
        <v>476480486</v>
      </c>
      <c r="Y5">
        <f t="shared" si="0"/>
        <v>2.1635999999999997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6.01</v>
      </c>
      <c r="AU5" t="s">
        <v>25</v>
      </c>
      <c r="AV5">
        <v>1</v>
      </c>
      <c r="AW5">
        <v>2</v>
      </c>
      <c r="AX5">
        <v>55985924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ROUND(AT5*Source!I32*AH5*AL5,2)</f>
        <v>0</v>
      </c>
      <c r="CV5">
        <f>ROUND(Y5*Source!I32,9)</f>
        <v>2.1636000000000002</v>
      </c>
      <c r="CW5">
        <v>0</v>
      </c>
      <c r="CX5">
        <f>ROUND(Y5*Source!I32,9)</f>
        <v>2.1636000000000002</v>
      </c>
      <c r="CY5">
        <f>AD5</f>
        <v>0</v>
      </c>
      <c r="CZ5">
        <f>AH5</f>
        <v>0</v>
      </c>
      <c r="DA5">
        <f>AL5</f>
        <v>1</v>
      </c>
      <c r="DB5">
        <f t="shared" si="1"/>
        <v>0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 t="shared" si="4"/>
        <v>0</v>
      </c>
      <c r="DH5">
        <f t="shared" si="5"/>
        <v>0</v>
      </c>
      <c r="DI5">
        <f t="shared" si="6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ROW(Source!A32)</f>
        <v>32</v>
      </c>
      <c r="B6">
        <v>55937296</v>
      </c>
      <c r="C6">
        <v>55985914</v>
      </c>
      <c r="D6">
        <v>55490330</v>
      </c>
      <c r="E6">
        <v>1</v>
      </c>
      <c r="F6">
        <v>1</v>
      </c>
      <c r="G6">
        <v>1081</v>
      </c>
      <c r="H6">
        <v>2</v>
      </c>
      <c r="I6" t="s">
        <v>452</v>
      </c>
      <c r="J6" t="s">
        <v>453</v>
      </c>
      <c r="K6" t="s">
        <v>454</v>
      </c>
      <c r="L6">
        <v>1368</v>
      </c>
      <c r="N6">
        <v>1011</v>
      </c>
      <c r="O6" t="s">
        <v>455</v>
      </c>
      <c r="P6" t="s">
        <v>455</v>
      </c>
      <c r="Q6">
        <v>1</v>
      </c>
      <c r="W6">
        <v>0</v>
      </c>
      <c r="X6">
        <v>-2083101341</v>
      </c>
      <c r="Y6">
        <f t="shared" si="0"/>
        <v>0.09</v>
      </c>
      <c r="AA6">
        <v>0</v>
      </c>
      <c r="AB6">
        <v>0.84</v>
      </c>
      <c r="AC6">
        <v>0</v>
      </c>
      <c r="AD6">
        <v>0</v>
      </c>
      <c r="AE6">
        <v>0</v>
      </c>
      <c r="AF6">
        <v>0.8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0.25</v>
      </c>
      <c r="AU6" t="s">
        <v>25</v>
      </c>
      <c r="AV6">
        <v>0</v>
      </c>
      <c r="AW6">
        <v>2</v>
      </c>
      <c r="AX6">
        <v>55985925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ROUND(Y6*Source!I32*DO6,9)</f>
        <v>0</v>
      </c>
      <c r="CX6">
        <f>ROUND(Y6*Source!I32,9)</f>
        <v>0.09</v>
      </c>
      <c r="CY6">
        <f>AB6</f>
        <v>0.84</v>
      </c>
      <c r="CZ6">
        <f>AF6</f>
        <v>0.8</v>
      </c>
      <c r="DA6">
        <f>AJ6</f>
        <v>1</v>
      </c>
      <c r="DB6">
        <f t="shared" si="1"/>
        <v>7.1999999999999995E-2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7.0000000000000007E-2</v>
      </c>
      <c r="DH6">
        <f t="shared" si="5"/>
        <v>0</v>
      </c>
      <c r="DI6">
        <f t="shared" si="6"/>
        <v>0</v>
      </c>
      <c r="DJ6">
        <f>DG6</f>
        <v>7.0000000000000007E-2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ROW(Source!A32)</f>
        <v>32</v>
      </c>
      <c r="B7">
        <v>55937296</v>
      </c>
      <c r="C7">
        <v>55985914</v>
      </c>
      <c r="D7">
        <v>55490331</v>
      </c>
      <c r="E7">
        <v>1</v>
      </c>
      <c r="F7">
        <v>1</v>
      </c>
      <c r="G7">
        <v>1081</v>
      </c>
      <c r="H7">
        <v>2</v>
      </c>
      <c r="I7" t="s">
        <v>456</v>
      </c>
      <c r="J7" t="s">
        <v>457</v>
      </c>
      <c r="K7" t="s">
        <v>458</v>
      </c>
      <c r="L7">
        <v>1368</v>
      </c>
      <c r="N7">
        <v>1011</v>
      </c>
      <c r="O7" t="s">
        <v>455</v>
      </c>
      <c r="P7" t="s">
        <v>455</v>
      </c>
      <c r="Q7">
        <v>1</v>
      </c>
      <c r="W7">
        <v>0</v>
      </c>
      <c r="X7">
        <v>1043446422</v>
      </c>
      <c r="Y7">
        <f t="shared" si="0"/>
        <v>0.2016</v>
      </c>
      <c r="AA7">
        <v>0</v>
      </c>
      <c r="AB7">
        <v>1.1599999999999999</v>
      </c>
      <c r="AC7">
        <v>0</v>
      </c>
      <c r="AD7">
        <v>0</v>
      </c>
      <c r="AE7">
        <v>0</v>
      </c>
      <c r="AF7">
        <v>1.1100000000000001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0.56000000000000005</v>
      </c>
      <c r="AU7" t="s">
        <v>25</v>
      </c>
      <c r="AV7">
        <v>0</v>
      </c>
      <c r="AW7">
        <v>2</v>
      </c>
      <c r="AX7">
        <v>55985926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ROUND(Y7*Source!I32*DO7,9)</f>
        <v>0</v>
      </c>
      <c r="CX7">
        <f>ROUND(Y7*Source!I32,9)</f>
        <v>0.2016</v>
      </c>
      <c r="CY7">
        <f>AB7</f>
        <v>1.1599999999999999</v>
      </c>
      <c r="CZ7">
        <f>AF7</f>
        <v>1.1100000000000001</v>
      </c>
      <c r="DA7">
        <f>AJ7</f>
        <v>1</v>
      </c>
      <c r="DB7">
        <f t="shared" si="1"/>
        <v>0.22320000000000001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4"/>
        <v>0.22</v>
      </c>
      <c r="DH7">
        <f t="shared" si="5"/>
        <v>0</v>
      </c>
      <c r="DI7">
        <f t="shared" si="6"/>
        <v>0</v>
      </c>
      <c r="DJ7">
        <f>DG7</f>
        <v>0.22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ROW(Source!A32)</f>
        <v>32</v>
      </c>
      <c r="B8">
        <v>55937296</v>
      </c>
      <c r="C8">
        <v>55985914</v>
      </c>
      <c r="D8">
        <v>55459340</v>
      </c>
      <c r="E8">
        <v>1</v>
      </c>
      <c r="F8">
        <v>1</v>
      </c>
      <c r="G8">
        <v>1081</v>
      </c>
      <c r="H8">
        <v>3</v>
      </c>
      <c r="I8" t="s">
        <v>459</v>
      </c>
      <c r="J8" t="s">
        <v>460</v>
      </c>
      <c r="K8" t="s">
        <v>461</v>
      </c>
      <c r="L8">
        <v>1354</v>
      </c>
      <c r="N8">
        <v>1010</v>
      </c>
      <c r="O8" t="s">
        <v>217</v>
      </c>
      <c r="P8" t="s">
        <v>217</v>
      </c>
      <c r="Q8">
        <v>1</v>
      </c>
      <c r="W8">
        <v>0</v>
      </c>
      <c r="X8">
        <v>-1352077490</v>
      </c>
      <c r="Y8">
        <f t="shared" ref="Y8:Y13" si="7">((AT8*1)*0)</f>
        <v>0</v>
      </c>
      <c r="AA8">
        <v>0.89</v>
      </c>
      <c r="AB8">
        <v>0</v>
      </c>
      <c r="AC8">
        <v>0</v>
      </c>
      <c r="AD8">
        <v>0</v>
      </c>
      <c r="AE8">
        <v>0.89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7</v>
      </c>
      <c r="AU8" t="s">
        <v>24</v>
      </c>
      <c r="AV8">
        <v>0</v>
      </c>
      <c r="AW8">
        <v>2</v>
      </c>
      <c r="AX8">
        <v>55985927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0</v>
      </c>
      <c r="CY8">
        <f t="shared" ref="CY8:CY13" si="8">AA8</f>
        <v>0.89</v>
      </c>
      <c r="CZ8">
        <f t="shared" ref="CZ8:CZ13" si="9">AE8</f>
        <v>0.89</v>
      </c>
      <c r="DA8">
        <f t="shared" ref="DA8:DA13" si="10">AI8</f>
        <v>1</v>
      </c>
      <c r="DB8">
        <f t="shared" ref="DB8:DB13" si="11">ROUND(((ROUND(AT8*CZ8,2)*1)*0),6)</f>
        <v>0</v>
      </c>
      <c r="DC8">
        <f t="shared" ref="DC8:DC13" si="12">ROUND(((ROUND(AT8*AG8,2)*1)*0),6)</f>
        <v>0</v>
      </c>
      <c r="DD8" t="s">
        <v>3</v>
      </c>
      <c r="DE8" t="s">
        <v>3</v>
      </c>
      <c r="DF8">
        <f t="shared" si="3"/>
        <v>0</v>
      </c>
      <c r="DG8">
        <f t="shared" si="4"/>
        <v>0</v>
      </c>
      <c r="DH8">
        <f t="shared" si="5"/>
        <v>0</v>
      </c>
      <c r="DI8">
        <f t="shared" si="6"/>
        <v>0</v>
      </c>
      <c r="DJ8">
        <f t="shared" ref="DJ8:DJ13" si="13"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ROW(Source!A32)</f>
        <v>32</v>
      </c>
      <c r="B9">
        <v>55937296</v>
      </c>
      <c r="C9">
        <v>55985914</v>
      </c>
      <c r="D9">
        <v>55460882</v>
      </c>
      <c r="E9">
        <v>1</v>
      </c>
      <c r="F9">
        <v>1</v>
      </c>
      <c r="G9">
        <v>1081</v>
      </c>
      <c r="H9">
        <v>3</v>
      </c>
      <c r="I9" t="s">
        <v>462</v>
      </c>
      <c r="J9" t="s">
        <v>463</v>
      </c>
      <c r="K9" t="s">
        <v>464</v>
      </c>
      <c r="L9">
        <v>1348</v>
      </c>
      <c r="N9">
        <v>1009</v>
      </c>
      <c r="O9" t="s">
        <v>287</v>
      </c>
      <c r="P9" t="s">
        <v>287</v>
      </c>
      <c r="Q9">
        <v>1000</v>
      </c>
      <c r="W9">
        <v>0</v>
      </c>
      <c r="X9">
        <v>-1448166212</v>
      </c>
      <c r="Y9">
        <f t="shared" si="7"/>
        <v>0</v>
      </c>
      <c r="AA9">
        <v>14327.51</v>
      </c>
      <c r="AB9">
        <v>0</v>
      </c>
      <c r="AC9">
        <v>0</v>
      </c>
      <c r="AD9">
        <v>0</v>
      </c>
      <c r="AE9">
        <v>14327.51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1.0000000000000001E-5</v>
      </c>
      <c r="AU9" t="s">
        <v>24</v>
      </c>
      <c r="AV9">
        <v>0</v>
      </c>
      <c r="AW9">
        <v>2</v>
      </c>
      <c r="AX9">
        <v>55985928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ROUND(Y9*Source!I32,9)</f>
        <v>0</v>
      </c>
      <c r="CY9">
        <f t="shared" si="8"/>
        <v>14327.51</v>
      </c>
      <c r="CZ9">
        <f t="shared" si="9"/>
        <v>14327.51</v>
      </c>
      <c r="DA9">
        <f t="shared" si="10"/>
        <v>1</v>
      </c>
      <c r="DB9">
        <f t="shared" si="11"/>
        <v>0</v>
      </c>
      <c r="DC9">
        <f t="shared" si="12"/>
        <v>0</v>
      </c>
      <c r="DD9" t="s">
        <v>3</v>
      </c>
      <c r="DE9" t="s">
        <v>3</v>
      </c>
      <c r="DF9">
        <f t="shared" si="3"/>
        <v>0</v>
      </c>
      <c r="DG9">
        <f t="shared" si="4"/>
        <v>0</v>
      </c>
      <c r="DH9">
        <f t="shared" si="5"/>
        <v>0</v>
      </c>
      <c r="DI9">
        <f t="shared" si="6"/>
        <v>0</v>
      </c>
      <c r="DJ9">
        <f t="shared" si="13"/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ROW(Source!A32)</f>
        <v>32</v>
      </c>
      <c r="B10">
        <v>55937296</v>
      </c>
      <c r="C10">
        <v>55985914</v>
      </c>
      <c r="D10">
        <v>55461127</v>
      </c>
      <c r="E10">
        <v>1</v>
      </c>
      <c r="F10">
        <v>1</v>
      </c>
      <c r="G10">
        <v>1081</v>
      </c>
      <c r="H10">
        <v>3</v>
      </c>
      <c r="I10" t="s">
        <v>465</v>
      </c>
      <c r="J10" t="s">
        <v>466</v>
      </c>
      <c r="K10" t="s">
        <v>467</v>
      </c>
      <c r="L10">
        <v>1355</v>
      </c>
      <c r="N10">
        <v>1010</v>
      </c>
      <c r="O10" t="s">
        <v>60</v>
      </c>
      <c r="P10" t="s">
        <v>60</v>
      </c>
      <c r="Q10">
        <v>100</v>
      </c>
      <c r="W10">
        <v>0</v>
      </c>
      <c r="X10">
        <v>-1635357480</v>
      </c>
      <c r="Y10">
        <f t="shared" si="7"/>
        <v>0</v>
      </c>
      <c r="AA10">
        <v>4.6100000000000003</v>
      </c>
      <c r="AB10">
        <v>0</v>
      </c>
      <c r="AC10">
        <v>0</v>
      </c>
      <c r="AD10">
        <v>0</v>
      </c>
      <c r="AE10">
        <v>4.6100000000000003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7.0000000000000007E-2</v>
      </c>
      <c r="AU10" t="s">
        <v>24</v>
      </c>
      <c r="AV10">
        <v>0</v>
      </c>
      <c r="AW10">
        <v>2</v>
      </c>
      <c r="AX10">
        <v>55985929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ROUND(Y10*Source!I32,9)</f>
        <v>0</v>
      </c>
      <c r="CY10">
        <f t="shared" si="8"/>
        <v>4.6100000000000003</v>
      </c>
      <c r="CZ10">
        <f t="shared" si="9"/>
        <v>4.6100000000000003</v>
      </c>
      <c r="DA10">
        <f t="shared" si="10"/>
        <v>1</v>
      </c>
      <c r="DB10">
        <f t="shared" si="11"/>
        <v>0</v>
      </c>
      <c r="DC10">
        <f t="shared" si="12"/>
        <v>0</v>
      </c>
      <c r="DD10" t="s">
        <v>3</v>
      </c>
      <c r="DE10" t="s">
        <v>3</v>
      </c>
      <c r="DF10">
        <f t="shared" si="3"/>
        <v>0</v>
      </c>
      <c r="DG10">
        <f t="shared" si="4"/>
        <v>0</v>
      </c>
      <c r="DH10">
        <f t="shared" si="5"/>
        <v>0</v>
      </c>
      <c r="DI10">
        <f t="shared" si="6"/>
        <v>0</v>
      </c>
      <c r="DJ10">
        <f t="shared" si="13"/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55937296</v>
      </c>
      <c r="C11">
        <v>55985914</v>
      </c>
      <c r="D11">
        <v>55459554</v>
      </c>
      <c r="E11">
        <v>1</v>
      </c>
      <c r="F11">
        <v>1</v>
      </c>
      <c r="G11">
        <v>1081</v>
      </c>
      <c r="H11">
        <v>3</v>
      </c>
      <c r="I11" t="s">
        <v>468</v>
      </c>
      <c r="J11" t="s">
        <v>469</v>
      </c>
      <c r="K11" t="s">
        <v>470</v>
      </c>
      <c r="L11">
        <v>1346</v>
      </c>
      <c r="N11">
        <v>1009</v>
      </c>
      <c r="O11" t="s">
        <v>311</v>
      </c>
      <c r="P11" t="s">
        <v>311</v>
      </c>
      <c r="Q11">
        <v>1</v>
      </c>
      <c r="W11">
        <v>0</v>
      </c>
      <c r="X11">
        <v>-210355400</v>
      </c>
      <c r="Y11">
        <f t="shared" si="7"/>
        <v>0</v>
      </c>
      <c r="AA11">
        <v>5.01</v>
      </c>
      <c r="AB11">
        <v>0</v>
      </c>
      <c r="AC11">
        <v>0</v>
      </c>
      <c r="AD11">
        <v>0</v>
      </c>
      <c r="AE11">
        <v>5.01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4.3999999999999997E-2</v>
      </c>
      <c r="AU11" t="s">
        <v>24</v>
      </c>
      <c r="AV11">
        <v>0</v>
      </c>
      <c r="AW11">
        <v>2</v>
      </c>
      <c r="AX11">
        <v>55985930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ROUND(Y11*Source!I32,9)</f>
        <v>0</v>
      </c>
      <c r="CY11">
        <f t="shared" si="8"/>
        <v>5.01</v>
      </c>
      <c r="CZ11">
        <f t="shared" si="9"/>
        <v>5.01</v>
      </c>
      <c r="DA11">
        <f t="shared" si="10"/>
        <v>1</v>
      </c>
      <c r="DB11">
        <f t="shared" si="11"/>
        <v>0</v>
      </c>
      <c r="DC11">
        <f t="shared" si="12"/>
        <v>0</v>
      </c>
      <c r="DD11" t="s">
        <v>3</v>
      </c>
      <c r="DE11" t="s">
        <v>3</v>
      </c>
      <c r="DF11">
        <f t="shared" si="3"/>
        <v>0</v>
      </c>
      <c r="DG11">
        <f t="shared" si="4"/>
        <v>0</v>
      </c>
      <c r="DH11">
        <f t="shared" si="5"/>
        <v>0</v>
      </c>
      <c r="DI11">
        <f t="shared" si="6"/>
        <v>0</v>
      </c>
      <c r="DJ11">
        <f t="shared" si="13"/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ROW(Source!A32)</f>
        <v>32</v>
      </c>
      <c r="B12">
        <v>55937296</v>
      </c>
      <c r="C12">
        <v>55985914</v>
      </c>
      <c r="D12">
        <v>55459793</v>
      </c>
      <c r="E12">
        <v>1</v>
      </c>
      <c r="F12">
        <v>1</v>
      </c>
      <c r="G12">
        <v>1081</v>
      </c>
      <c r="H12">
        <v>3</v>
      </c>
      <c r="I12" t="s">
        <v>471</v>
      </c>
      <c r="J12" t="s">
        <v>472</v>
      </c>
      <c r="K12" t="s">
        <v>473</v>
      </c>
      <c r="L12">
        <v>1348</v>
      </c>
      <c r="N12">
        <v>1009</v>
      </c>
      <c r="O12" t="s">
        <v>287</v>
      </c>
      <c r="P12" t="s">
        <v>287</v>
      </c>
      <c r="Q12">
        <v>1000</v>
      </c>
      <c r="W12">
        <v>0</v>
      </c>
      <c r="X12">
        <v>-761454284</v>
      </c>
      <c r="Y12">
        <f t="shared" si="7"/>
        <v>0</v>
      </c>
      <c r="AA12">
        <v>64123.05</v>
      </c>
      <c r="AB12">
        <v>0</v>
      </c>
      <c r="AC12">
        <v>0</v>
      </c>
      <c r="AD12">
        <v>0</v>
      </c>
      <c r="AE12">
        <v>64123.05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2.0000000000000002E-5</v>
      </c>
      <c r="AU12" t="s">
        <v>24</v>
      </c>
      <c r="AV12">
        <v>0</v>
      </c>
      <c r="AW12">
        <v>2</v>
      </c>
      <c r="AX12">
        <v>55985931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ROUND(Y12*Source!I32,9)</f>
        <v>0</v>
      </c>
      <c r="CY12">
        <f t="shared" si="8"/>
        <v>64123.05</v>
      </c>
      <c r="CZ12">
        <f t="shared" si="9"/>
        <v>64123.05</v>
      </c>
      <c r="DA12">
        <f t="shared" si="10"/>
        <v>1</v>
      </c>
      <c r="DB12">
        <f t="shared" si="11"/>
        <v>0</v>
      </c>
      <c r="DC12">
        <f t="shared" si="12"/>
        <v>0</v>
      </c>
      <c r="DD12" t="s">
        <v>3</v>
      </c>
      <c r="DE12" t="s">
        <v>3</v>
      </c>
      <c r="DF12">
        <f t="shared" si="3"/>
        <v>0</v>
      </c>
      <c r="DG12">
        <f t="shared" si="4"/>
        <v>0</v>
      </c>
      <c r="DH12">
        <f t="shared" si="5"/>
        <v>0</v>
      </c>
      <c r="DI12">
        <f t="shared" si="6"/>
        <v>0</v>
      </c>
      <c r="DJ12">
        <f t="shared" si="13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ROW(Source!A32)</f>
        <v>32</v>
      </c>
      <c r="B13">
        <v>55937296</v>
      </c>
      <c r="C13">
        <v>55985914</v>
      </c>
      <c r="D13">
        <v>55469262</v>
      </c>
      <c r="E13">
        <v>1</v>
      </c>
      <c r="F13">
        <v>1</v>
      </c>
      <c r="G13">
        <v>1081</v>
      </c>
      <c r="H13">
        <v>3</v>
      </c>
      <c r="I13" t="s">
        <v>474</v>
      </c>
      <c r="J13" t="s">
        <v>475</v>
      </c>
      <c r="K13" t="s">
        <v>476</v>
      </c>
      <c r="L13">
        <v>1354</v>
      </c>
      <c r="N13">
        <v>1010</v>
      </c>
      <c r="O13" t="s">
        <v>217</v>
      </c>
      <c r="P13" t="s">
        <v>217</v>
      </c>
      <c r="Q13">
        <v>1</v>
      </c>
      <c r="W13">
        <v>0</v>
      </c>
      <c r="X13">
        <v>-407007888</v>
      </c>
      <c r="Y13">
        <f t="shared" si="7"/>
        <v>0</v>
      </c>
      <c r="AA13">
        <v>10.53</v>
      </c>
      <c r="AB13">
        <v>0</v>
      </c>
      <c r="AC13">
        <v>0</v>
      </c>
      <c r="AD13">
        <v>0</v>
      </c>
      <c r="AE13">
        <v>10.53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0.09</v>
      </c>
      <c r="AU13" t="s">
        <v>24</v>
      </c>
      <c r="AV13">
        <v>0</v>
      </c>
      <c r="AW13">
        <v>2</v>
      </c>
      <c r="AX13">
        <v>55985932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ROUND(Y13*Source!I32,9)</f>
        <v>0</v>
      </c>
      <c r="CY13">
        <f t="shared" si="8"/>
        <v>10.53</v>
      </c>
      <c r="CZ13">
        <f t="shared" si="9"/>
        <v>10.53</v>
      </c>
      <c r="DA13">
        <f t="shared" si="10"/>
        <v>1</v>
      </c>
      <c r="DB13">
        <f t="shared" si="11"/>
        <v>0</v>
      </c>
      <c r="DC13">
        <f t="shared" si="12"/>
        <v>0</v>
      </c>
      <c r="DD13" t="s">
        <v>3</v>
      </c>
      <c r="DE13" t="s">
        <v>3</v>
      </c>
      <c r="DF13">
        <f t="shared" si="3"/>
        <v>0</v>
      </c>
      <c r="DG13">
        <f t="shared" si="4"/>
        <v>0</v>
      </c>
      <c r="DH13">
        <f t="shared" si="5"/>
        <v>0</v>
      </c>
      <c r="DI13">
        <f t="shared" si="6"/>
        <v>0</v>
      </c>
      <c r="DJ13">
        <f t="shared" si="13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ROW(Source!A33)</f>
        <v>33</v>
      </c>
      <c r="B14">
        <v>55937298</v>
      </c>
      <c r="C14">
        <v>55985914</v>
      </c>
      <c r="D14">
        <v>55424304</v>
      </c>
      <c r="E14">
        <v>1081</v>
      </c>
      <c r="F14">
        <v>1</v>
      </c>
      <c r="G14">
        <v>1081</v>
      </c>
      <c r="H14">
        <v>1</v>
      </c>
      <c r="I14" t="s">
        <v>449</v>
      </c>
      <c r="J14" t="s">
        <v>3</v>
      </c>
      <c r="K14" t="s">
        <v>450</v>
      </c>
      <c r="L14">
        <v>1191</v>
      </c>
      <c r="N14">
        <v>1013</v>
      </c>
      <c r="O14" t="s">
        <v>451</v>
      </c>
      <c r="P14" t="s">
        <v>451</v>
      </c>
      <c r="Q14">
        <v>1</v>
      </c>
      <c r="W14">
        <v>0</v>
      </c>
      <c r="X14">
        <v>476480486</v>
      </c>
      <c r="Y14">
        <f>((AT14*1.2)*0.3)</f>
        <v>2.1635999999999997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6.01</v>
      </c>
      <c r="AU14" t="s">
        <v>25</v>
      </c>
      <c r="AV14">
        <v>1</v>
      </c>
      <c r="AW14">
        <v>2</v>
      </c>
      <c r="AX14">
        <v>55985924</v>
      </c>
      <c r="AY14">
        <v>1</v>
      </c>
      <c r="AZ14">
        <v>0</v>
      </c>
      <c r="BA14">
        <v>19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ROUND(AT14*Source!I33*AH14*AL14,2)</f>
        <v>0</v>
      </c>
      <c r="CV14">
        <f>ROUND(Y14*Source!I33,9)</f>
        <v>2.1636000000000002</v>
      </c>
      <c r="CW14">
        <v>0</v>
      </c>
      <c r="CX14">
        <f>ROUND(Y14*Source!I33,9)</f>
        <v>2.1636000000000002</v>
      </c>
      <c r="CY14">
        <f>AD14</f>
        <v>0</v>
      </c>
      <c r="CZ14">
        <f>AH14</f>
        <v>0</v>
      </c>
      <c r="DA14">
        <f>AL14</f>
        <v>1</v>
      </c>
      <c r="DB14">
        <f>ROUND(((ROUND(AT14*CZ14,2)*1.2)*0.3),6)</f>
        <v>0</v>
      </c>
      <c r="DC14">
        <f>ROUND(((ROUND(AT14*AG14,2)*1.2)*0.3),6)</f>
        <v>0</v>
      </c>
      <c r="DD14" t="s">
        <v>3</v>
      </c>
      <c r="DE14" t="s">
        <v>3</v>
      </c>
      <c r="DF14">
        <f t="shared" si="3"/>
        <v>0</v>
      </c>
      <c r="DG14">
        <f t="shared" si="4"/>
        <v>0</v>
      </c>
      <c r="DH14">
        <f t="shared" si="5"/>
        <v>0</v>
      </c>
      <c r="DI14">
        <f t="shared" si="6"/>
        <v>0</v>
      </c>
      <c r="DJ14">
        <f>DI14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ROW(Source!A33)</f>
        <v>33</v>
      </c>
      <c r="B15">
        <v>55937298</v>
      </c>
      <c r="C15">
        <v>55985914</v>
      </c>
      <c r="D15">
        <v>55490330</v>
      </c>
      <c r="E15">
        <v>1</v>
      </c>
      <c r="F15">
        <v>1</v>
      </c>
      <c r="G15">
        <v>1081</v>
      </c>
      <c r="H15">
        <v>2</v>
      </c>
      <c r="I15" t="s">
        <v>452</v>
      </c>
      <c r="J15" t="s">
        <v>453</v>
      </c>
      <c r="K15" t="s">
        <v>454</v>
      </c>
      <c r="L15">
        <v>1368</v>
      </c>
      <c r="N15">
        <v>1011</v>
      </c>
      <c r="O15" t="s">
        <v>455</v>
      </c>
      <c r="P15" t="s">
        <v>455</v>
      </c>
      <c r="Q15">
        <v>1</v>
      </c>
      <c r="W15">
        <v>0</v>
      </c>
      <c r="X15">
        <v>-2083101341</v>
      </c>
      <c r="Y15">
        <f>((AT15*1.2)*0.3)</f>
        <v>0.09</v>
      </c>
      <c r="AA15">
        <v>0</v>
      </c>
      <c r="AB15">
        <v>7.92</v>
      </c>
      <c r="AC15">
        <v>0</v>
      </c>
      <c r="AD15">
        <v>0</v>
      </c>
      <c r="AE15">
        <v>0</v>
      </c>
      <c r="AF15">
        <v>0.8</v>
      </c>
      <c r="AG15">
        <v>0</v>
      </c>
      <c r="AH15">
        <v>0</v>
      </c>
      <c r="AI15">
        <v>1</v>
      </c>
      <c r="AJ15">
        <v>9.4600000000000009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0.25</v>
      </c>
      <c r="AU15" t="s">
        <v>25</v>
      </c>
      <c r="AV15">
        <v>0</v>
      </c>
      <c r="AW15">
        <v>2</v>
      </c>
      <c r="AX15">
        <v>55985925</v>
      </c>
      <c r="AY15">
        <v>1</v>
      </c>
      <c r="AZ15">
        <v>0</v>
      </c>
      <c r="BA15">
        <v>20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ROUND(Y15*Source!I33*DO15,9)</f>
        <v>0</v>
      </c>
      <c r="CX15">
        <f>ROUND(Y15*Source!I33,9)</f>
        <v>0.09</v>
      </c>
      <c r="CY15">
        <f>AB15</f>
        <v>7.92</v>
      </c>
      <c r="CZ15">
        <f>AF15</f>
        <v>0.8</v>
      </c>
      <c r="DA15">
        <f>AJ15</f>
        <v>9.4600000000000009</v>
      </c>
      <c r="DB15">
        <f>ROUND(((ROUND(AT15*CZ15,2)*1.2)*0.3),6)</f>
        <v>7.1999999999999995E-2</v>
      </c>
      <c r="DC15">
        <f>ROUND(((ROUND(AT15*AG15,2)*1.2)*0.3),6)</f>
        <v>0</v>
      </c>
      <c r="DD15" t="s">
        <v>3</v>
      </c>
      <c r="DE15" t="s">
        <v>3</v>
      </c>
      <c r="DF15">
        <f t="shared" si="3"/>
        <v>0</v>
      </c>
      <c r="DG15">
        <f>ROUND(ROUND(AF15*AJ15,2)*CX15,2)</f>
        <v>0.68</v>
      </c>
      <c r="DH15">
        <f t="shared" si="5"/>
        <v>0</v>
      </c>
      <c r="DI15">
        <f t="shared" si="6"/>
        <v>0</v>
      </c>
      <c r="DJ15">
        <f>DG15</f>
        <v>0.68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ROW(Source!A33)</f>
        <v>33</v>
      </c>
      <c r="B16">
        <v>55937298</v>
      </c>
      <c r="C16">
        <v>55985914</v>
      </c>
      <c r="D16">
        <v>55490331</v>
      </c>
      <c r="E16">
        <v>1</v>
      </c>
      <c r="F16">
        <v>1</v>
      </c>
      <c r="G16">
        <v>1081</v>
      </c>
      <c r="H16">
        <v>2</v>
      </c>
      <c r="I16" t="s">
        <v>456</v>
      </c>
      <c r="J16" t="s">
        <v>457</v>
      </c>
      <c r="K16" t="s">
        <v>458</v>
      </c>
      <c r="L16">
        <v>1368</v>
      </c>
      <c r="N16">
        <v>1011</v>
      </c>
      <c r="O16" t="s">
        <v>455</v>
      </c>
      <c r="P16" t="s">
        <v>455</v>
      </c>
      <c r="Q16">
        <v>1</v>
      </c>
      <c r="W16">
        <v>0</v>
      </c>
      <c r="X16">
        <v>1043446422</v>
      </c>
      <c r="Y16">
        <f>((AT16*1.2)*0.3)</f>
        <v>0.2016</v>
      </c>
      <c r="AA16">
        <v>0</v>
      </c>
      <c r="AB16">
        <v>11.06</v>
      </c>
      <c r="AC16">
        <v>0</v>
      </c>
      <c r="AD16">
        <v>0</v>
      </c>
      <c r="AE16">
        <v>0</v>
      </c>
      <c r="AF16">
        <v>1.1100000000000001</v>
      </c>
      <c r="AG16">
        <v>0</v>
      </c>
      <c r="AH16">
        <v>0</v>
      </c>
      <c r="AI16">
        <v>1</v>
      </c>
      <c r="AJ16">
        <v>9.52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0.56000000000000005</v>
      </c>
      <c r="AU16" t="s">
        <v>25</v>
      </c>
      <c r="AV16">
        <v>0</v>
      </c>
      <c r="AW16">
        <v>2</v>
      </c>
      <c r="AX16">
        <v>55985926</v>
      </c>
      <c r="AY16">
        <v>1</v>
      </c>
      <c r="AZ16">
        <v>0</v>
      </c>
      <c r="BA16">
        <v>21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ROUND(Y16*Source!I33*DO16,9)</f>
        <v>0</v>
      </c>
      <c r="CX16">
        <f>ROUND(Y16*Source!I33,9)</f>
        <v>0.2016</v>
      </c>
      <c r="CY16">
        <f>AB16</f>
        <v>11.06</v>
      </c>
      <c r="CZ16">
        <f>AF16</f>
        <v>1.1100000000000001</v>
      </c>
      <c r="DA16">
        <f>AJ16</f>
        <v>9.52</v>
      </c>
      <c r="DB16">
        <f>ROUND(((ROUND(AT16*CZ16,2)*1.2)*0.3),6)</f>
        <v>0.22320000000000001</v>
      </c>
      <c r="DC16">
        <f>ROUND(((ROUND(AT16*AG16,2)*1.2)*0.3),6)</f>
        <v>0</v>
      </c>
      <c r="DD16" t="s">
        <v>3</v>
      </c>
      <c r="DE16" t="s">
        <v>3</v>
      </c>
      <c r="DF16">
        <f t="shared" si="3"/>
        <v>0</v>
      </c>
      <c r="DG16">
        <f>ROUND(ROUND(AF16*AJ16,2)*CX16,2)</f>
        <v>2.13</v>
      </c>
      <c r="DH16">
        <f t="shared" si="5"/>
        <v>0</v>
      </c>
      <c r="DI16">
        <f t="shared" si="6"/>
        <v>0</v>
      </c>
      <c r="DJ16">
        <f>DG16</f>
        <v>2.13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ROW(Source!A33)</f>
        <v>33</v>
      </c>
      <c r="B17">
        <v>55937298</v>
      </c>
      <c r="C17">
        <v>55985914</v>
      </c>
      <c r="D17">
        <v>55459340</v>
      </c>
      <c r="E17">
        <v>1</v>
      </c>
      <c r="F17">
        <v>1</v>
      </c>
      <c r="G17">
        <v>1081</v>
      </c>
      <c r="H17">
        <v>3</v>
      </c>
      <c r="I17" t="s">
        <v>459</v>
      </c>
      <c r="J17" t="s">
        <v>460</v>
      </c>
      <c r="K17" t="s">
        <v>461</v>
      </c>
      <c r="L17">
        <v>1354</v>
      </c>
      <c r="N17">
        <v>1010</v>
      </c>
      <c r="O17" t="s">
        <v>217</v>
      </c>
      <c r="P17" t="s">
        <v>217</v>
      </c>
      <c r="Q17">
        <v>1</v>
      </c>
      <c r="W17">
        <v>0</v>
      </c>
      <c r="X17">
        <v>-1352077490</v>
      </c>
      <c r="Y17">
        <f t="shared" ref="Y17:Y22" si="14">((AT17*1)*0)</f>
        <v>0</v>
      </c>
      <c r="AA17">
        <v>0.83</v>
      </c>
      <c r="AB17">
        <v>0</v>
      </c>
      <c r="AC17">
        <v>0</v>
      </c>
      <c r="AD17">
        <v>0</v>
      </c>
      <c r="AE17">
        <v>0.89</v>
      </c>
      <c r="AF17">
        <v>0</v>
      </c>
      <c r="AG17">
        <v>0</v>
      </c>
      <c r="AH17">
        <v>0</v>
      </c>
      <c r="AI17">
        <v>0.93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7</v>
      </c>
      <c r="AU17" t="s">
        <v>24</v>
      </c>
      <c r="AV17">
        <v>0</v>
      </c>
      <c r="AW17">
        <v>2</v>
      </c>
      <c r="AX17">
        <v>55985927</v>
      </c>
      <c r="AY17">
        <v>1</v>
      </c>
      <c r="AZ17">
        <v>0</v>
      </c>
      <c r="BA17">
        <v>22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ROUND(Y17*Source!I33,9)</f>
        <v>0</v>
      </c>
      <c r="CY17">
        <f t="shared" ref="CY17:CY22" si="15">AA17</f>
        <v>0.83</v>
      </c>
      <c r="CZ17">
        <f t="shared" ref="CZ17:CZ22" si="16">AE17</f>
        <v>0.89</v>
      </c>
      <c r="DA17">
        <f t="shared" ref="DA17:DA22" si="17">AI17</f>
        <v>0.93</v>
      </c>
      <c r="DB17">
        <f t="shared" ref="DB17:DB22" si="18">ROUND(((ROUND(AT17*CZ17,2)*1)*0),6)</f>
        <v>0</v>
      </c>
      <c r="DC17">
        <f t="shared" ref="DC17:DC22" si="19">ROUND(((ROUND(AT17*AG17,2)*1)*0),6)</f>
        <v>0</v>
      </c>
      <c r="DD17" t="s">
        <v>3</v>
      </c>
      <c r="DE17" t="s">
        <v>3</v>
      </c>
      <c r="DF17">
        <f t="shared" ref="DF17:DF22" si="20">ROUND(ROUND(AE17*AI17,2)*CX17,2)</f>
        <v>0</v>
      </c>
      <c r="DG17">
        <f t="shared" ref="DG17:DG29" si="21">ROUND(ROUND(AF17,2)*CX17,2)</f>
        <v>0</v>
      </c>
      <c r="DH17">
        <f t="shared" si="5"/>
        <v>0</v>
      </c>
      <c r="DI17">
        <f t="shared" si="6"/>
        <v>0</v>
      </c>
      <c r="DJ17">
        <f t="shared" ref="DJ17:DJ22" si="22">DF17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ROW(Source!A33)</f>
        <v>33</v>
      </c>
      <c r="B18">
        <v>55937298</v>
      </c>
      <c r="C18">
        <v>55985914</v>
      </c>
      <c r="D18">
        <v>55460882</v>
      </c>
      <c r="E18">
        <v>1</v>
      </c>
      <c r="F18">
        <v>1</v>
      </c>
      <c r="G18">
        <v>1081</v>
      </c>
      <c r="H18">
        <v>3</v>
      </c>
      <c r="I18" t="s">
        <v>462</v>
      </c>
      <c r="J18" t="s">
        <v>463</v>
      </c>
      <c r="K18" t="s">
        <v>464</v>
      </c>
      <c r="L18">
        <v>1348</v>
      </c>
      <c r="N18">
        <v>1009</v>
      </c>
      <c r="O18" t="s">
        <v>287</v>
      </c>
      <c r="P18" t="s">
        <v>287</v>
      </c>
      <c r="Q18">
        <v>1000</v>
      </c>
      <c r="W18">
        <v>0</v>
      </c>
      <c r="X18">
        <v>-1448166212</v>
      </c>
      <c r="Y18">
        <f t="shared" si="14"/>
        <v>0</v>
      </c>
      <c r="AA18">
        <v>109175.63</v>
      </c>
      <c r="AB18">
        <v>0</v>
      </c>
      <c r="AC18">
        <v>0</v>
      </c>
      <c r="AD18">
        <v>0</v>
      </c>
      <c r="AE18">
        <v>14327.51</v>
      </c>
      <c r="AF18">
        <v>0</v>
      </c>
      <c r="AG18">
        <v>0</v>
      </c>
      <c r="AH18">
        <v>0</v>
      </c>
      <c r="AI18">
        <v>7.62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1.0000000000000001E-5</v>
      </c>
      <c r="AU18" t="s">
        <v>24</v>
      </c>
      <c r="AV18">
        <v>0</v>
      </c>
      <c r="AW18">
        <v>2</v>
      </c>
      <c r="AX18">
        <v>55985928</v>
      </c>
      <c r="AY18">
        <v>1</v>
      </c>
      <c r="AZ18">
        <v>0</v>
      </c>
      <c r="BA18">
        <v>23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ROUND(Y18*Source!I33,9)</f>
        <v>0</v>
      </c>
      <c r="CY18">
        <f t="shared" si="15"/>
        <v>109175.63</v>
      </c>
      <c r="CZ18">
        <f t="shared" si="16"/>
        <v>14327.51</v>
      </c>
      <c r="DA18">
        <f t="shared" si="17"/>
        <v>7.62</v>
      </c>
      <c r="DB18">
        <f t="shared" si="18"/>
        <v>0</v>
      </c>
      <c r="DC18">
        <f t="shared" si="19"/>
        <v>0</v>
      </c>
      <c r="DD18" t="s">
        <v>3</v>
      </c>
      <c r="DE18" t="s">
        <v>3</v>
      </c>
      <c r="DF18">
        <f t="shared" si="20"/>
        <v>0</v>
      </c>
      <c r="DG18">
        <f t="shared" si="21"/>
        <v>0</v>
      </c>
      <c r="DH18">
        <f t="shared" si="5"/>
        <v>0</v>
      </c>
      <c r="DI18">
        <f t="shared" si="6"/>
        <v>0</v>
      </c>
      <c r="DJ18">
        <f t="shared" si="22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ROW(Source!A33)</f>
        <v>33</v>
      </c>
      <c r="B19">
        <v>55937298</v>
      </c>
      <c r="C19">
        <v>55985914</v>
      </c>
      <c r="D19">
        <v>55461127</v>
      </c>
      <c r="E19">
        <v>1</v>
      </c>
      <c r="F19">
        <v>1</v>
      </c>
      <c r="G19">
        <v>1081</v>
      </c>
      <c r="H19">
        <v>3</v>
      </c>
      <c r="I19" t="s">
        <v>465</v>
      </c>
      <c r="J19" t="s">
        <v>466</v>
      </c>
      <c r="K19" t="s">
        <v>467</v>
      </c>
      <c r="L19">
        <v>1355</v>
      </c>
      <c r="N19">
        <v>1010</v>
      </c>
      <c r="O19" t="s">
        <v>60</v>
      </c>
      <c r="P19" t="s">
        <v>60</v>
      </c>
      <c r="Q19">
        <v>100</v>
      </c>
      <c r="W19">
        <v>0</v>
      </c>
      <c r="X19">
        <v>-1635357480</v>
      </c>
      <c r="Y19">
        <f t="shared" si="14"/>
        <v>0</v>
      </c>
      <c r="AA19">
        <v>18.21</v>
      </c>
      <c r="AB19">
        <v>0</v>
      </c>
      <c r="AC19">
        <v>0</v>
      </c>
      <c r="AD19">
        <v>0</v>
      </c>
      <c r="AE19">
        <v>4.6100000000000003</v>
      </c>
      <c r="AF19">
        <v>0</v>
      </c>
      <c r="AG19">
        <v>0</v>
      </c>
      <c r="AH19">
        <v>0</v>
      </c>
      <c r="AI19">
        <v>3.95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7.0000000000000007E-2</v>
      </c>
      <c r="AU19" t="s">
        <v>24</v>
      </c>
      <c r="AV19">
        <v>0</v>
      </c>
      <c r="AW19">
        <v>2</v>
      </c>
      <c r="AX19">
        <v>55985929</v>
      </c>
      <c r="AY19">
        <v>1</v>
      </c>
      <c r="AZ19">
        <v>0</v>
      </c>
      <c r="BA19">
        <v>24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ROUND(Y19*Source!I33,9)</f>
        <v>0</v>
      </c>
      <c r="CY19">
        <f t="shared" si="15"/>
        <v>18.21</v>
      </c>
      <c r="CZ19">
        <f t="shared" si="16"/>
        <v>4.6100000000000003</v>
      </c>
      <c r="DA19">
        <f t="shared" si="17"/>
        <v>3.95</v>
      </c>
      <c r="DB19">
        <f t="shared" si="18"/>
        <v>0</v>
      </c>
      <c r="DC19">
        <f t="shared" si="19"/>
        <v>0</v>
      </c>
      <c r="DD19" t="s">
        <v>3</v>
      </c>
      <c r="DE19" t="s">
        <v>3</v>
      </c>
      <c r="DF19">
        <f t="shared" si="20"/>
        <v>0</v>
      </c>
      <c r="DG19">
        <f t="shared" si="21"/>
        <v>0</v>
      </c>
      <c r="DH19">
        <f t="shared" si="5"/>
        <v>0</v>
      </c>
      <c r="DI19">
        <f t="shared" si="6"/>
        <v>0</v>
      </c>
      <c r="DJ19">
        <f t="shared" si="22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ROW(Source!A33)</f>
        <v>33</v>
      </c>
      <c r="B20">
        <v>55937298</v>
      </c>
      <c r="C20">
        <v>55985914</v>
      </c>
      <c r="D20">
        <v>55459554</v>
      </c>
      <c r="E20">
        <v>1</v>
      </c>
      <c r="F20">
        <v>1</v>
      </c>
      <c r="G20">
        <v>1081</v>
      </c>
      <c r="H20">
        <v>3</v>
      </c>
      <c r="I20" t="s">
        <v>468</v>
      </c>
      <c r="J20" t="s">
        <v>469</v>
      </c>
      <c r="K20" t="s">
        <v>470</v>
      </c>
      <c r="L20">
        <v>1346</v>
      </c>
      <c r="N20">
        <v>1009</v>
      </c>
      <c r="O20" t="s">
        <v>311</v>
      </c>
      <c r="P20" t="s">
        <v>311</v>
      </c>
      <c r="Q20">
        <v>1</v>
      </c>
      <c r="W20">
        <v>0</v>
      </c>
      <c r="X20">
        <v>-210355400</v>
      </c>
      <c r="Y20">
        <f t="shared" si="14"/>
        <v>0</v>
      </c>
      <c r="AA20">
        <v>58.52</v>
      </c>
      <c r="AB20">
        <v>0</v>
      </c>
      <c r="AC20">
        <v>0</v>
      </c>
      <c r="AD20">
        <v>0</v>
      </c>
      <c r="AE20">
        <v>5.01</v>
      </c>
      <c r="AF20">
        <v>0</v>
      </c>
      <c r="AG20">
        <v>0</v>
      </c>
      <c r="AH20">
        <v>0</v>
      </c>
      <c r="AI20">
        <v>11.68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4.3999999999999997E-2</v>
      </c>
      <c r="AU20" t="s">
        <v>24</v>
      </c>
      <c r="AV20">
        <v>0</v>
      </c>
      <c r="AW20">
        <v>2</v>
      </c>
      <c r="AX20">
        <v>55985930</v>
      </c>
      <c r="AY20">
        <v>1</v>
      </c>
      <c r="AZ20">
        <v>0</v>
      </c>
      <c r="BA20">
        <v>25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ROUND(Y20*Source!I33,9)</f>
        <v>0</v>
      </c>
      <c r="CY20">
        <f t="shared" si="15"/>
        <v>58.52</v>
      </c>
      <c r="CZ20">
        <f t="shared" si="16"/>
        <v>5.01</v>
      </c>
      <c r="DA20">
        <f t="shared" si="17"/>
        <v>11.68</v>
      </c>
      <c r="DB20">
        <f t="shared" si="18"/>
        <v>0</v>
      </c>
      <c r="DC20">
        <f t="shared" si="19"/>
        <v>0</v>
      </c>
      <c r="DD20" t="s">
        <v>3</v>
      </c>
      <c r="DE20" t="s">
        <v>3</v>
      </c>
      <c r="DF20">
        <f t="shared" si="20"/>
        <v>0</v>
      </c>
      <c r="DG20">
        <f t="shared" si="21"/>
        <v>0</v>
      </c>
      <c r="DH20">
        <f t="shared" si="5"/>
        <v>0</v>
      </c>
      <c r="DI20">
        <f t="shared" si="6"/>
        <v>0</v>
      </c>
      <c r="DJ20">
        <f t="shared" si="22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ROW(Source!A33)</f>
        <v>33</v>
      </c>
      <c r="B21">
        <v>55937298</v>
      </c>
      <c r="C21">
        <v>55985914</v>
      </c>
      <c r="D21">
        <v>55459793</v>
      </c>
      <c r="E21">
        <v>1</v>
      </c>
      <c r="F21">
        <v>1</v>
      </c>
      <c r="G21">
        <v>1081</v>
      </c>
      <c r="H21">
        <v>3</v>
      </c>
      <c r="I21" t="s">
        <v>471</v>
      </c>
      <c r="J21" t="s">
        <v>472</v>
      </c>
      <c r="K21" t="s">
        <v>473</v>
      </c>
      <c r="L21">
        <v>1348</v>
      </c>
      <c r="N21">
        <v>1009</v>
      </c>
      <c r="O21" t="s">
        <v>287</v>
      </c>
      <c r="P21" t="s">
        <v>287</v>
      </c>
      <c r="Q21">
        <v>1000</v>
      </c>
      <c r="W21">
        <v>0</v>
      </c>
      <c r="X21">
        <v>-761454284</v>
      </c>
      <c r="Y21">
        <f t="shared" si="14"/>
        <v>0</v>
      </c>
      <c r="AA21">
        <v>1930745.04</v>
      </c>
      <c r="AB21">
        <v>0</v>
      </c>
      <c r="AC21">
        <v>0</v>
      </c>
      <c r="AD21">
        <v>0</v>
      </c>
      <c r="AE21">
        <v>64123.05</v>
      </c>
      <c r="AF21">
        <v>0</v>
      </c>
      <c r="AG21">
        <v>0</v>
      </c>
      <c r="AH21">
        <v>0</v>
      </c>
      <c r="AI21">
        <v>30.11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2.0000000000000002E-5</v>
      </c>
      <c r="AU21" t="s">
        <v>24</v>
      </c>
      <c r="AV21">
        <v>0</v>
      </c>
      <c r="AW21">
        <v>2</v>
      </c>
      <c r="AX21">
        <v>55985931</v>
      </c>
      <c r="AY21">
        <v>1</v>
      </c>
      <c r="AZ21">
        <v>0</v>
      </c>
      <c r="BA21">
        <v>26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ROUND(Y21*Source!I33,9)</f>
        <v>0</v>
      </c>
      <c r="CY21">
        <f t="shared" si="15"/>
        <v>1930745.04</v>
      </c>
      <c r="CZ21">
        <f t="shared" si="16"/>
        <v>64123.05</v>
      </c>
      <c r="DA21">
        <f t="shared" si="17"/>
        <v>30.11</v>
      </c>
      <c r="DB21">
        <f t="shared" si="18"/>
        <v>0</v>
      </c>
      <c r="DC21">
        <f t="shared" si="19"/>
        <v>0</v>
      </c>
      <c r="DD21" t="s">
        <v>3</v>
      </c>
      <c r="DE21" t="s">
        <v>3</v>
      </c>
      <c r="DF21">
        <f t="shared" si="20"/>
        <v>0</v>
      </c>
      <c r="DG21">
        <f t="shared" si="21"/>
        <v>0</v>
      </c>
      <c r="DH21">
        <f t="shared" si="5"/>
        <v>0</v>
      </c>
      <c r="DI21">
        <f t="shared" si="6"/>
        <v>0</v>
      </c>
      <c r="DJ21">
        <f t="shared" si="22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ROW(Source!A33)</f>
        <v>33</v>
      </c>
      <c r="B22">
        <v>55937298</v>
      </c>
      <c r="C22">
        <v>55985914</v>
      </c>
      <c r="D22">
        <v>55469262</v>
      </c>
      <c r="E22">
        <v>1</v>
      </c>
      <c r="F22">
        <v>1</v>
      </c>
      <c r="G22">
        <v>1081</v>
      </c>
      <c r="H22">
        <v>3</v>
      </c>
      <c r="I22" t="s">
        <v>474</v>
      </c>
      <c r="J22" t="s">
        <v>475</v>
      </c>
      <c r="K22" t="s">
        <v>476</v>
      </c>
      <c r="L22">
        <v>1354</v>
      </c>
      <c r="N22">
        <v>1010</v>
      </c>
      <c r="O22" t="s">
        <v>217</v>
      </c>
      <c r="P22" t="s">
        <v>217</v>
      </c>
      <c r="Q22">
        <v>1</v>
      </c>
      <c r="W22">
        <v>0</v>
      </c>
      <c r="X22">
        <v>-407007888</v>
      </c>
      <c r="Y22">
        <f t="shared" si="14"/>
        <v>0</v>
      </c>
      <c r="AA22">
        <v>103.72</v>
      </c>
      <c r="AB22">
        <v>0</v>
      </c>
      <c r="AC22">
        <v>0</v>
      </c>
      <c r="AD22">
        <v>0</v>
      </c>
      <c r="AE22">
        <v>10.53</v>
      </c>
      <c r="AF22">
        <v>0</v>
      </c>
      <c r="AG22">
        <v>0</v>
      </c>
      <c r="AH22">
        <v>0</v>
      </c>
      <c r="AI22">
        <v>9.85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0.09</v>
      </c>
      <c r="AU22" t="s">
        <v>24</v>
      </c>
      <c r="AV22">
        <v>0</v>
      </c>
      <c r="AW22">
        <v>2</v>
      </c>
      <c r="AX22">
        <v>55985932</v>
      </c>
      <c r="AY22">
        <v>1</v>
      </c>
      <c r="AZ22">
        <v>0</v>
      </c>
      <c r="BA22">
        <v>27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ROUND(Y22*Source!I33,9)</f>
        <v>0</v>
      </c>
      <c r="CY22">
        <f t="shared" si="15"/>
        <v>103.72</v>
      </c>
      <c r="CZ22">
        <f t="shared" si="16"/>
        <v>10.53</v>
      </c>
      <c r="DA22">
        <f t="shared" si="17"/>
        <v>9.85</v>
      </c>
      <c r="DB22">
        <f t="shared" si="18"/>
        <v>0</v>
      </c>
      <c r="DC22">
        <f t="shared" si="19"/>
        <v>0</v>
      </c>
      <c r="DD22" t="s">
        <v>3</v>
      </c>
      <c r="DE22" t="s">
        <v>3</v>
      </c>
      <c r="DF22">
        <f t="shared" si="20"/>
        <v>0</v>
      </c>
      <c r="DG22">
        <f t="shared" si="21"/>
        <v>0</v>
      </c>
      <c r="DH22">
        <f t="shared" si="5"/>
        <v>0</v>
      </c>
      <c r="DI22">
        <f t="shared" si="6"/>
        <v>0</v>
      </c>
      <c r="DJ22">
        <f t="shared" si="22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ROW(Source!A34)</f>
        <v>34</v>
      </c>
      <c r="B23">
        <v>55937296</v>
      </c>
      <c r="C23">
        <v>55985938</v>
      </c>
      <c r="D23">
        <v>55424304</v>
      </c>
      <c r="E23">
        <v>1081</v>
      </c>
      <c r="F23">
        <v>1</v>
      </c>
      <c r="G23">
        <v>1081</v>
      </c>
      <c r="H23">
        <v>1</v>
      </c>
      <c r="I23" t="s">
        <v>449</v>
      </c>
      <c r="J23" t="s">
        <v>3</v>
      </c>
      <c r="K23" t="s">
        <v>450</v>
      </c>
      <c r="L23">
        <v>1191</v>
      </c>
      <c r="N23">
        <v>1013</v>
      </c>
      <c r="O23" t="s">
        <v>451</v>
      </c>
      <c r="P23" t="s">
        <v>451</v>
      </c>
      <c r="Q23">
        <v>1</v>
      </c>
      <c r="W23">
        <v>0</v>
      </c>
      <c r="X23">
        <v>476480486</v>
      </c>
      <c r="Y23">
        <f>((AT23*1.2)*0.3)</f>
        <v>0.48960000000000004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1.36</v>
      </c>
      <c r="AU23" t="s">
        <v>25</v>
      </c>
      <c r="AV23">
        <v>1</v>
      </c>
      <c r="AW23">
        <v>2</v>
      </c>
      <c r="AX23">
        <v>55985945</v>
      </c>
      <c r="AY23">
        <v>1</v>
      </c>
      <c r="AZ23">
        <v>0</v>
      </c>
      <c r="BA23">
        <v>33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ROUND(AT23*Source!I34*AH23*AL23,2)</f>
        <v>0</v>
      </c>
      <c r="CV23">
        <f>ROUND(Y23*Source!I34,9)</f>
        <v>7.8335999999999997</v>
      </c>
      <c r="CW23">
        <v>0</v>
      </c>
      <c r="CX23">
        <f>ROUND(Y23*Source!I34,9)</f>
        <v>7.8335999999999997</v>
      </c>
      <c r="CY23">
        <f>AD23</f>
        <v>0</v>
      </c>
      <c r="CZ23">
        <f>AH23</f>
        <v>0</v>
      </c>
      <c r="DA23">
        <f>AL23</f>
        <v>1</v>
      </c>
      <c r="DB23">
        <f>ROUND(((ROUND(AT23*CZ23,2)*1.2)*0.3),6)</f>
        <v>0</v>
      </c>
      <c r="DC23">
        <f>ROUND(((ROUND(AT23*AG23,2)*1.2)*0.3),6)</f>
        <v>0</v>
      </c>
      <c r="DD23" t="s">
        <v>3</v>
      </c>
      <c r="DE23" t="s">
        <v>3</v>
      </c>
      <c r="DF23">
        <f t="shared" ref="DF23:DF31" si="23">ROUND(ROUND(AE23,2)*CX23,2)</f>
        <v>0</v>
      </c>
      <c r="DG23">
        <f t="shared" si="21"/>
        <v>0</v>
      </c>
      <c r="DH23">
        <f t="shared" si="5"/>
        <v>0</v>
      </c>
      <c r="DI23">
        <f t="shared" si="6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ROW(Source!A34)</f>
        <v>34</v>
      </c>
      <c r="B24">
        <v>55937296</v>
      </c>
      <c r="C24">
        <v>55985938</v>
      </c>
      <c r="D24">
        <v>55490330</v>
      </c>
      <c r="E24">
        <v>1</v>
      </c>
      <c r="F24">
        <v>1</v>
      </c>
      <c r="G24">
        <v>1081</v>
      </c>
      <c r="H24">
        <v>2</v>
      </c>
      <c r="I24" t="s">
        <v>452</v>
      </c>
      <c r="J24" t="s">
        <v>453</v>
      </c>
      <c r="K24" t="s">
        <v>454</v>
      </c>
      <c r="L24">
        <v>1368</v>
      </c>
      <c r="N24">
        <v>1011</v>
      </c>
      <c r="O24" t="s">
        <v>455</v>
      </c>
      <c r="P24" t="s">
        <v>455</v>
      </c>
      <c r="Q24">
        <v>1</v>
      </c>
      <c r="W24">
        <v>0</v>
      </c>
      <c r="X24">
        <v>-2083101341</v>
      </c>
      <c r="Y24">
        <f>((AT24*1.2)*0.3)</f>
        <v>6.1200000000000004E-3</v>
      </c>
      <c r="AA24">
        <v>0</v>
      </c>
      <c r="AB24">
        <v>0.84</v>
      </c>
      <c r="AC24">
        <v>0</v>
      </c>
      <c r="AD24">
        <v>0</v>
      </c>
      <c r="AE24">
        <v>0</v>
      </c>
      <c r="AF24">
        <v>0.8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1.7000000000000001E-2</v>
      </c>
      <c r="AU24" t="s">
        <v>25</v>
      </c>
      <c r="AV24">
        <v>0</v>
      </c>
      <c r="AW24">
        <v>2</v>
      </c>
      <c r="AX24">
        <v>55985946</v>
      </c>
      <c r="AY24">
        <v>1</v>
      </c>
      <c r="AZ24">
        <v>0</v>
      </c>
      <c r="BA24">
        <v>34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ROUND(Y24*Source!I34*DO24,9)</f>
        <v>0</v>
      </c>
      <c r="CX24">
        <f>ROUND(Y24*Source!I34,9)</f>
        <v>9.7919999999999993E-2</v>
      </c>
      <c r="CY24">
        <f>AB24</f>
        <v>0.84</v>
      </c>
      <c r="CZ24">
        <f>AF24</f>
        <v>0.8</v>
      </c>
      <c r="DA24">
        <f>AJ24</f>
        <v>1</v>
      </c>
      <c r="DB24">
        <f>ROUND(((ROUND(AT24*CZ24,2)*1.2)*0.3),6)</f>
        <v>3.5999999999999999E-3</v>
      </c>
      <c r="DC24">
        <f>ROUND(((ROUND(AT24*AG24,2)*1.2)*0.3),6)</f>
        <v>0</v>
      </c>
      <c r="DD24" t="s">
        <v>3</v>
      </c>
      <c r="DE24" t="s">
        <v>3</v>
      </c>
      <c r="DF24">
        <f t="shared" si="23"/>
        <v>0</v>
      </c>
      <c r="DG24">
        <f t="shared" si="21"/>
        <v>0.08</v>
      </c>
      <c r="DH24">
        <f t="shared" si="5"/>
        <v>0</v>
      </c>
      <c r="DI24">
        <f t="shared" si="6"/>
        <v>0</v>
      </c>
      <c r="DJ24">
        <f>DG24</f>
        <v>0.08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ROW(Source!A34)</f>
        <v>34</v>
      </c>
      <c r="B25">
        <v>55937296</v>
      </c>
      <c r="C25">
        <v>55985938</v>
      </c>
      <c r="D25">
        <v>55490296</v>
      </c>
      <c r="E25">
        <v>1</v>
      </c>
      <c r="F25">
        <v>1</v>
      </c>
      <c r="G25">
        <v>1081</v>
      </c>
      <c r="H25">
        <v>2</v>
      </c>
      <c r="I25" t="s">
        <v>477</v>
      </c>
      <c r="J25" t="s">
        <v>478</v>
      </c>
      <c r="K25" t="s">
        <v>479</v>
      </c>
      <c r="L25">
        <v>1368</v>
      </c>
      <c r="N25">
        <v>1011</v>
      </c>
      <c r="O25" t="s">
        <v>455</v>
      </c>
      <c r="P25" t="s">
        <v>455</v>
      </c>
      <c r="Q25">
        <v>1</v>
      </c>
      <c r="W25">
        <v>0</v>
      </c>
      <c r="X25">
        <v>-643591644</v>
      </c>
      <c r="Y25">
        <f>((AT25*1.2)*0.3)</f>
        <v>7.1999999999999998E-3</v>
      </c>
      <c r="AA25">
        <v>0</v>
      </c>
      <c r="AB25">
        <v>0.49</v>
      </c>
      <c r="AC25">
        <v>0</v>
      </c>
      <c r="AD25">
        <v>0</v>
      </c>
      <c r="AE25">
        <v>0</v>
      </c>
      <c r="AF25">
        <v>0.47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0.02</v>
      </c>
      <c r="AU25" t="s">
        <v>25</v>
      </c>
      <c r="AV25">
        <v>0</v>
      </c>
      <c r="AW25">
        <v>2</v>
      </c>
      <c r="AX25">
        <v>55985947</v>
      </c>
      <c r="AY25">
        <v>1</v>
      </c>
      <c r="AZ25">
        <v>0</v>
      </c>
      <c r="BA25">
        <v>35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ROUND(Y25*Source!I34*DO25,9)</f>
        <v>0</v>
      </c>
      <c r="CX25">
        <f>ROUND(Y25*Source!I34,9)</f>
        <v>0.1152</v>
      </c>
      <c r="CY25">
        <f>AB25</f>
        <v>0.49</v>
      </c>
      <c r="CZ25">
        <f>AF25</f>
        <v>0.47</v>
      </c>
      <c r="DA25">
        <f>AJ25</f>
        <v>1</v>
      </c>
      <c r="DB25">
        <f>ROUND(((ROUND(AT25*CZ25,2)*1.2)*0.3),6)</f>
        <v>3.5999999999999999E-3</v>
      </c>
      <c r="DC25">
        <f>ROUND(((ROUND(AT25*AG25,2)*1.2)*0.3),6)</f>
        <v>0</v>
      </c>
      <c r="DD25" t="s">
        <v>3</v>
      </c>
      <c r="DE25" t="s">
        <v>3</v>
      </c>
      <c r="DF25">
        <f t="shared" si="23"/>
        <v>0</v>
      </c>
      <c r="DG25">
        <f t="shared" si="21"/>
        <v>0.05</v>
      </c>
      <c r="DH25">
        <f t="shared" si="5"/>
        <v>0</v>
      </c>
      <c r="DI25">
        <f t="shared" si="6"/>
        <v>0</v>
      </c>
      <c r="DJ25">
        <f>DG25</f>
        <v>0.05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ROW(Source!A34)</f>
        <v>34</v>
      </c>
      <c r="B26">
        <v>55937296</v>
      </c>
      <c r="C26">
        <v>55985938</v>
      </c>
      <c r="D26">
        <v>55461074</v>
      </c>
      <c r="E26">
        <v>1</v>
      </c>
      <c r="F26">
        <v>1</v>
      </c>
      <c r="G26">
        <v>1081</v>
      </c>
      <c r="H26">
        <v>3</v>
      </c>
      <c r="I26" t="s">
        <v>480</v>
      </c>
      <c r="J26" t="s">
        <v>481</v>
      </c>
      <c r="K26" t="s">
        <v>482</v>
      </c>
      <c r="L26">
        <v>1346</v>
      </c>
      <c r="N26">
        <v>1009</v>
      </c>
      <c r="O26" t="s">
        <v>311</v>
      </c>
      <c r="P26" t="s">
        <v>311</v>
      </c>
      <c r="Q26">
        <v>1</v>
      </c>
      <c r="W26">
        <v>0</v>
      </c>
      <c r="X26">
        <v>-861631226</v>
      </c>
      <c r="Y26">
        <f>((AT26*1)*0)</f>
        <v>0</v>
      </c>
      <c r="AA26">
        <v>27.62</v>
      </c>
      <c r="AB26">
        <v>0</v>
      </c>
      <c r="AC26">
        <v>0</v>
      </c>
      <c r="AD26">
        <v>0</v>
      </c>
      <c r="AE26">
        <v>27.62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6.2700000000000004E-3</v>
      </c>
      <c r="AU26" t="s">
        <v>24</v>
      </c>
      <c r="AV26">
        <v>0</v>
      </c>
      <c r="AW26">
        <v>2</v>
      </c>
      <c r="AX26">
        <v>55985948</v>
      </c>
      <c r="AY26">
        <v>1</v>
      </c>
      <c r="AZ26">
        <v>0</v>
      </c>
      <c r="BA26">
        <v>36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ROUND(Y26*Source!I34,9)</f>
        <v>0</v>
      </c>
      <c r="CY26">
        <f>AA26</f>
        <v>27.62</v>
      </c>
      <c r="CZ26">
        <f>AE26</f>
        <v>27.62</v>
      </c>
      <c r="DA26">
        <f>AI26</f>
        <v>1</v>
      </c>
      <c r="DB26">
        <f>ROUND(((ROUND(AT26*CZ26,2)*1)*0),6)</f>
        <v>0</v>
      </c>
      <c r="DC26">
        <f>ROUND(((ROUND(AT26*AG26,2)*1)*0),6)</f>
        <v>0</v>
      </c>
      <c r="DD26" t="s">
        <v>3</v>
      </c>
      <c r="DE26" t="s">
        <v>3</v>
      </c>
      <c r="DF26">
        <f t="shared" si="23"/>
        <v>0</v>
      </c>
      <c r="DG26">
        <f t="shared" si="21"/>
        <v>0</v>
      </c>
      <c r="DH26">
        <f t="shared" si="5"/>
        <v>0</v>
      </c>
      <c r="DI26">
        <f t="shared" si="6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ROW(Source!A34)</f>
        <v>34</v>
      </c>
      <c r="B27">
        <v>55937296</v>
      </c>
      <c r="C27">
        <v>55985938</v>
      </c>
      <c r="D27">
        <v>55459793</v>
      </c>
      <c r="E27">
        <v>1</v>
      </c>
      <c r="F27">
        <v>1</v>
      </c>
      <c r="G27">
        <v>1081</v>
      </c>
      <c r="H27">
        <v>3</v>
      </c>
      <c r="I27" t="s">
        <v>471</v>
      </c>
      <c r="J27" t="s">
        <v>472</v>
      </c>
      <c r="K27" t="s">
        <v>473</v>
      </c>
      <c r="L27">
        <v>1348</v>
      </c>
      <c r="N27">
        <v>1009</v>
      </c>
      <c r="O27" t="s">
        <v>287</v>
      </c>
      <c r="P27" t="s">
        <v>287</v>
      </c>
      <c r="Q27">
        <v>1000</v>
      </c>
      <c r="W27">
        <v>0</v>
      </c>
      <c r="X27">
        <v>-761454284</v>
      </c>
      <c r="Y27">
        <f>((AT27*1)*0)</f>
        <v>0</v>
      </c>
      <c r="AA27">
        <v>64123.05</v>
      </c>
      <c r="AB27">
        <v>0</v>
      </c>
      <c r="AC27">
        <v>0</v>
      </c>
      <c r="AD27">
        <v>0</v>
      </c>
      <c r="AE27">
        <v>64123.05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1.0000000000000001E-5</v>
      </c>
      <c r="AU27" t="s">
        <v>24</v>
      </c>
      <c r="AV27">
        <v>0</v>
      </c>
      <c r="AW27">
        <v>2</v>
      </c>
      <c r="AX27">
        <v>55985949</v>
      </c>
      <c r="AY27">
        <v>1</v>
      </c>
      <c r="AZ27">
        <v>0</v>
      </c>
      <c r="BA27">
        <v>37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ROUND(Y27*Source!I34,9)</f>
        <v>0</v>
      </c>
      <c r="CY27">
        <f>AA27</f>
        <v>64123.05</v>
      </c>
      <c r="CZ27">
        <f>AE27</f>
        <v>64123.05</v>
      </c>
      <c r="DA27">
        <f>AI27</f>
        <v>1</v>
      </c>
      <c r="DB27">
        <f>ROUND(((ROUND(AT27*CZ27,2)*1)*0),6)</f>
        <v>0</v>
      </c>
      <c r="DC27">
        <f>ROUND(((ROUND(AT27*AG27,2)*1)*0),6)</f>
        <v>0</v>
      </c>
      <c r="DD27" t="s">
        <v>3</v>
      </c>
      <c r="DE27" t="s">
        <v>3</v>
      </c>
      <c r="DF27">
        <f t="shared" si="23"/>
        <v>0</v>
      </c>
      <c r="DG27">
        <f t="shared" si="21"/>
        <v>0</v>
      </c>
      <c r="DH27">
        <f t="shared" si="5"/>
        <v>0</v>
      </c>
      <c r="DI27">
        <f t="shared" si="6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ROW(Source!A34)</f>
        <v>34</v>
      </c>
      <c r="B28">
        <v>55937296</v>
      </c>
      <c r="C28">
        <v>55985938</v>
      </c>
      <c r="D28">
        <v>55469253</v>
      </c>
      <c r="E28">
        <v>1</v>
      </c>
      <c r="F28">
        <v>1</v>
      </c>
      <c r="G28">
        <v>1081</v>
      </c>
      <c r="H28">
        <v>3</v>
      </c>
      <c r="I28" t="s">
        <v>483</v>
      </c>
      <c r="J28" t="s">
        <v>484</v>
      </c>
      <c r="K28" t="s">
        <v>485</v>
      </c>
      <c r="L28">
        <v>1354</v>
      </c>
      <c r="N28">
        <v>1010</v>
      </c>
      <c r="O28" t="s">
        <v>217</v>
      </c>
      <c r="P28" t="s">
        <v>217</v>
      </c>
      <c r="Q28">
        <v>1</v>
      </c>
      <c r="W28">
        <v>0</v>
      </c>
      <c r="X28">
        <v>-32785108</v>
      </c>
      <c r="Y28">
        <f>((AT28*1)*0)</f>
        <v>0</v>
      </c>
      <c r="AA28">
        <v>15.25</v>
      </c>
      <c r="AB28">
        <v>0</v>
      </c>
      <c r="AC28">
        <v>0</v>
      </c>
      <c r="AD28">
        <v>0</v>
      </c>
      <c r="AE28">
        <v>15.25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0.1</v>
      </c>
      <c r="AU28" t="s">
        <v>24</v>
      </c>
      <c r="AV28">
        <v>0</v>
      </c>
      <c r="AW28">
        <v>2</v>
      </c>
      <c r="AX28">
        <v>55985950</v>
      </c>
      <c r="AY28">
        <v>1</v>
      </c>
      <c r="AZ28">
        <v>0</v>
      </c>
      <c r="BA28">
        <v>38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ROUND(Y28*Source!I34,9)</f>
        <v>0</v>
      </c>
      <c r="CY28">
        <f>AA28</f>
        <v>15.25</v>
      </c>
      <c r="CZ28">
        <f>AE28</f>
        <v>15.25</v>
      </c>
      <c r="DA28">
        <f>AI28</f>
        <v>1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 t="shared" si="23"/>
        <v>0</v>
      </c>
      <c r="DG28">
        <f t="shared" si="21"/>
        <v>0</v>
      </c>
      <c r="DH28">
        <f t="shared" si="5"/>
        <v>0</v>
      </c>
      <c r="DI28">
        <f t="shared" si="6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ROW(Source!A35)</f>
        <v>35</v>
      </c>
      <c r="B29">
        <v>55937298</v>
      </c>
      <c r="C29">
        <v>55985938</v>
      </c>
      <c r="D29">
        <v>55424304</v>
      </c>
      <c r="E29">
        <v>1081</v>
      </c>
      <c r="F29">
        <v>1</v>
      </c>
      <c r="G29">
        <v>1081</v>
      </c>
      <c r="H29">
        <v>1</v>
      </c>
      <c r="I29" t="s">
        <v>449</v>
      </c>
      <c r="J29" t="s">
        <v>3</v>
      </c>
      <c r="K29" t="s">
        <v>450</v>
      </c>
      <c r="L29">
        <v>1191</v>
      </c>
      <c r="N29">
        <v>1013</v>
      </c>
      <c r="O29" t="s">
        <v>451</v>
      </c>
      <c r="P29" t="s">
        <v>451</v>
      </c>
      <c r="Q29">
        <v>1</v>
      </c>
      <c r="W29">
        <v>0</v>
      </c>
      <c r="X29">
        <v>476480486</v>
      </c>
      <c r="Y29">
        <f>((AT29*1.2)*0.3)</f>
        <v>0.48960000000000004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1.36</v>
      </c>
      <c r="AU29" t="s">
        <v>25</v>
      </c>
      <c r="AV29">
        <v>1</v>
      </c>
      <c r="AW29">
        <v>2</v>
      </c>
      <c r="AX29">
        <v>55985945</v>
      </c>
      <c r="AY29">
        <v>1</v>
      </c>
      <c r="AZ29">
        <v>0</v>
      </c>
      <c r="BA29">
        <v>40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ROUND(AT29*Source!I35*AH29*AL29,2)</f>
        <v>0</v>
      </c>
      <c r="CV29">
        <f>ROUND(Y29*Source!I35,9)</f>
        <v>7.8335999999999997</v>
      </c>
      <c r="CW29">
        <v>0</v>
      </c>
      <c r="CX29">
        <f>ROUND(Y29*Source!I35,9)</f>
        <v>7.8335999999999997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si="23"/>
        <v>0</v>
      </c>
      <c r="DG29">
        <f t="shared" si="21"/>
        <v>0</v>
      </c>
      <c r="DH29">
        <f t="shared" si="5"/>
        <v>0</v>
      </c>
      <c r="DI29">
        <f t="shared" si="6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ROW(Source!A35)</f>
        <v>35</v>
      </c>
      <c r="B30">
        <v>55937298</v>
      </c>
      <c r="C30">
        <v>55985938</v>
      </c>
      <c r="D30">
        <v>55490330</v>
      </c>
      <c r="E30">
        <v>1</v>
      </c>
      <c r="F30">
        <v>1</v>
      </c>
      <c r="G30">
        <v>1081</v>
      </c>
      <c r="H30">
        <v>2</v>
      </c>
      <c r="I30" t="s">
        <v>452</v>
      </c>
      <c r="J30" t="s">
        <v>453</v>
      </c>
      <c r="K30" t="s">
        <v>454</v>
      </c>
      <c r="L30">
        <v>1368</v>
      </c>
      <c r="N30">
        <v>1011</v>
      </c>
      <c r="O30" t="s">
        <v>455</v>
      </c>
      <c r="P30" t="s">
        <v>455</v>
      </c>
      <c r="Q30">
        <v>1</v>
      </c>
      <c r="W30">
        <v>0</v>
      </c>
      <c r="X30">
        <v>-2083101341</v>
      </c>
      <c r="Y30">
        <f>((AT30*1.2)*0.3)</f>
        <v>6.1200000000000004E-3</v>
      </c>
      <c r="AA30">
        <v>0</v>
      </c>
      <c r="AB30">
        <v>7.92</v>
      </c>
      <c r="AC30">
        <v>0</v>
      </c>
      <c r="AD30">
        <v>0</v>
      </c>
      <c r="AE30">
        <v>0</v>
      </c>
      <c r="AF30">
        <v>0.8</v>
      </c>
      <c r="AG30">
        <v>0</v>
      </c>
      <c r="AH30">
        <v>0</v>
      </c>
      <c r="AI30">
        <v>1</v>
      </c>
      <c r="AJ30">
        <v>9.4600000000000009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1.7000000000000001E-2</v>
      </c>
      <c r="AU30" t="s">
        <v>25</v>
      </c>
      <c r="AV30">
        <v>0</v>
      </c>
      <c r="AW30">
        <v>2</v>
      </c>
      <c r="AX30">
        <v>55985946</v>
      </c>
      <c r="AY30">
        <v>1</v>
      </c>
      <c r="AZ30">
        <v>0</v>
      </c>
      <c r="BA30">
        <v>41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ROUND(Y30*Source!I35*DO30,9)</f>
        <v>0</v>
      </c>
      <c r="CX30">
        <f>ROUND(Y30*Source!I35,9)</f>
        <v>9.7919999999999993E-2</v>
      </c>
      <c r="CY30">
        <f>AB30</f>
        <v>7.92</v>
      </c>
      <c r="CZ30">
        <f>AF30</f>
        <v>0.8</v>
      </c>
      <c r="DA30">
        <f>AJ30</f>
        <v>9.4600000000000009</v>
      </c>
      <c r="DB30">
        <f>ROUND(((ROUND(AT30*CZ30,2)*1.2)*0.3),6)</f>
        <v>3.5999999999999999E-3</v>
      </c>
      <c r="DC30">
        <f>ROUND(((ROUND(AT30*AG30,2)*1.2)*0.3),6)</f>
        <v>0</v>
      </c>
      <c r="DD30" t="s">
        <v>3</v>
      </c>
      <c r="DE30" t="s">
        <v>3</v>
      </c>
      <c r="DF30">
        <f t="shared" si="23"/>
        <v>0</v>
      </c>
      <c r="DG30">
        <f>ROUND(ROUND(AF30*AJ30,2)*CX30,2)</f>
        <v>0.74</v>
      </c>
      <c r="DH30">
        <f t="shared" si="5"/>
        <v>0</v>
      </c>
      <c r="DI30">
        <f t="shared" si="6"/>
        <v>0</v>
      </c>
      <c r="DJ30">
        <f>DG30</f>
        <v>0.74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ROW(Source!A35)</f>
        <v>35</v>
      </c>
      <c r="B31">
        <v>55937298</v>
      </c>
      <c r="C31">
        <v>55985938</v>
      </c>
      <c r="D31">
        <v>55490296</v>
      </c>
      <c r="E31">
        <v>1</v>
      </c>
      <c r="F31">
        <v>1</v>
      </c>
      <c r="G31">
        <v>1081</v>
      </c>
      <c r="H31">
        <v>2</v>
      </c>
      <c r="I31" t="s">
        <v>477</v>
      </c>
      <c r="J31" t="s">
        <v>478</v>
      </c>
      <c r="K31" t="s">
        <v>479</v>
      </c>
      <c r="L31">
        <v>1368</v>
      </c>
      <c r="N31">
        <v>1011</v>
      </c>
      <c r="O31" t="s">
        <v>455</v>
      </c>
      <c r="P31" t="s">
        <v>455</v>
      </c>
      <c r="Q31">
        <v>1</v>
      </c>
      <c r="W31">
        <v>0</v>
      </c>
      <c r="X31">
        <v>-643591644</v>
      </c>
      <c r="Y31">
        <f>((AT31*1.2)*0.3)</f>
        <v>7.1999999999999998E-3</v>
      </c>
      <c r="AA31">
        <v>0</v>
      </c>
      <c r="AB31">
        <v>4.75</v>
      </c>
      <c r="AC31">
        <v>0</v>
      </c>
      <c r="AD31">
        <v>0</v>
      </c>
      <c r="AE31">
        <v>0</v>
      </c>
      <c r="AF31">
        <v>0.47</v>
      </c>
      <c r="AG31">
        <v>0</v>
      </c>
      <c r="AH31">
        <v>0</v>
      </c>
      <c r="AI31">
        <v>1</v>
      </c>
      <c r="AJ31">
        <v>9.66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0.02</v>
      </c>
      <c r="AU31" t="s">
        <v>25</v>
      </c>
      <c r="AV31">
        <v>0</v>
      </c>
      <c r="AW31">
        <v>2</v>
      </c>
      <c r="AX31">
        <v>55985947</v>
      </c>
      <c r="AY31">
        <v>1</v>
      </c>
      <c r="AZ31">
        <v>0</v>
      </c>
      <c r="BA31">
        <v>42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ROUND(Y31*Source!I35*DO31,9)</f>
        <v>0</v>
      </c>
      <c r="CX31">
        <f>ROUND(Y31*Source!I35,9)</f>
        <v>0.1152</v>
      </c>
      <c r="CY31">
        <f>AB31</f>
        <v>4.75</v>
      </c>
      <c r="CZ31">
        <f>AF31</f>
        <v>0.47</v>
      </c>
      <c r="DA31">
        <f>AJ31</f>
        <v>9.66</v>
      </c>
      <c r="DB31">
        <f>ROUND(((ROUND(AT31*CZ31,2)*1.2)*0.3),6)</f>
        <v>3.5999999999999999E-3</v>
      </c>
      <c r="DC31">
        <f>ROUND(((ROUND(AT31*AG31,2)*1.2)*0.3),6)</f>
        <v>0</v>
      </c>
      <c r="DD31" t="s">
        <v>3</v>
      </c>
      <c r="DE31" t="s">
        <v>3</v>
      </c>
      <c r="DF31">
        <f t="shared" si="23"/>
        <v>0</v>
      </c>
      <c r="DG31">
        <f>ROUND(ROUND(AF31*AJ31,2)*CX31,2)</f>
        <v>0.52</v>
      </c>
      <c r="DH31">
        <f t="shared" si="5"/>
        <v>0</v>
      </c>
      <c r="DI31">
        <f t="shared" si="6"/>
        <v>0</v>
      </c>
      <c r="DJ31">
        <f>DG31</f>
        <v>0.52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ROW(Source!A35)</f>
        <v>35</v>
      </c>
      <c r="B32">
        <v>55937298</v>
      </c>
      <c r="C32">
        <v>55985938</v>
      </c>
      <c r="D32">
        <v>55461074</v>
      </c>
      <c r="E32">
        <v>1</v>
      </c>
      <c r="F32">
        <v>1</v>
      </c>
      <c r="G32">
        <v>1081</v>
      </c>
      <c r="H32">
        <v>3</v>
      </c>
      <c r="I32" t="s">
        <v>480</v>
      </c>
      <c r="J32" t="s">
        <v>481</v>
      </c>
      <c r="K32" t="s">
        <v>482</v>
      </c>
      <c r="L32">
        <v>1346</v>
      </c>
      <c r="N32">
        <v>1009</v>
      </c>
      <c r="O32" t="s">
        <v>311</v>
      </c>
      <c r="P32" t="s">
        <v>311</v>
      </c>
      <c r="Q32">
        <v>1</v>
      </c>
      <c r="W32">
        <v>0</v>
      </c>
      <c r="X32">
        <v>-861631226</v>
      </c>
      <c r="Y32">
        <f>((AT32*1)*0)</f>
        <v>0</v>
      </c>
      <c r="AA32">
        <v>163.51</v>
      </c>
      <c r="AB32">
        <v>0</v>
      </c>
      <c r="AC32">
        <v>0</v>
      </c>
      <c r="AD32">
        <v>0</v>
      </c>
      <c r="AE32">
        <v>27.62</v>
      </c>
      <c r="AF32">
        <v>0</v>
      </c>
      <c r="AG32">
        <v>0</v>
      </c>
      <c r="AH32">
        <v>0</v>
      </c>
      <c r="AI32">
        <v>5.92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6.2700000000000004E-3</v>
      </c>
      <c r="AU32" t="s">
        <v>24</v>
      </c>
      <c r="AV32">
        <v>0</v>
      </c>
      <c r="AW32">
        <v>2</v>
      </c>
      <c r="AX32">
        <v>55985948</v>
      </c>
      <c r="AY32">
        <v>1</v>
      </c>
      <c r="AZ32">
        <v>0</v>
      </c>
      <c r="BA32">
        <v>43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ROUND(Y32*Source!I35,9)</f>
        <v>0</v>
      </c>
      <c r="CY32">
        <f>AA32</f>
        <v>163.51</v>
      </c>
      <c r="CZ32">
        <f>AE32</f>
        <v>27.62</v>
      </c>
      <c r="DA32">
        <f>AI32</f>
        <v>5.92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>ROUND(ROUND(AE32*AI32,2)*CX32,2)</f>
        <v>0</v>
      </c>
      <c r="DG32">
        <f t="shared" ref="DG32:DG51" si="24">ROUND(ROUND(AF32,2)*CX32,2)</f>
        <v>0</v>
      </c>
      <c r="DH32">
        <f t="shared" si="5"/>
        <v>0</v>
      </c>
      <c r="DI32">
        <f t="shared" si="6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ROW(Source!A35)</f>
        <v>35</v>
      </c>
      <c r="B33">
        <v>55937298</v>
      </c>
      <c r="C33">
        <v>55985938</v>
      </c>
      <c r="D33">
        <v>55459793</v>
      </c>
      <c r="E33">
        <v>1</v>
      </c>
      <c r="F33">
        <v>1</v>
      </c>
      <c r="G33">
        <v>1081</v>
      </c>
      <c r="H33">
        <v>3</v>
      </c>
      <c r="I33" t="s">
        <v>471</v>
      </c>
      <c r="J33" t="s">
        <v>472</v>
      </c>
      <c r="K33" t="s">
        <v>473</v>
      </c>
      <c r="L33">
        <v>1348</v>
      </c>
      <c r="N33">
        <v>1009</v>
      </c>
      <c r="O33" t="s">
        <v>287</v>
      </c>
      <c r="P33" t="s">
        <v>287</v>
      </c>
      <c r="Q33">
        <v>1000</v>
      </c>
      <c r="W33">
        <v>0</v>
      </c>
      <c r="X33">
        <v>-761454284</v>
      </c>
      <c r="Y33">
        <f>((AT33*1)*0)</f>
        <v>0</v>
      </c>
      <c r="AA33">
        <v>1930745.04</v>
      </c>
      <c r="AB33">
        <v>0</v>
      </c>
      <c r="AC33">
        <v>0</v>
      </c>
      <c r="AD33">
        <v>0</v>
      </c>
      <c r="AE33">
        <v>64123.05</v>
      </c>
      <c r="AF33">
        <v>0</v>
      </c>
      <c r="AG33">
        <v>0</v>
      </c>
      <c r="AH33">
        <v>0</v>
      </c>
      <c r="AI33">
        <v>30.11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1.0000000000000001E-5</v>
      </c>
      <c r="AU33" t="s">
        <v>24</v>
      </c>
      <c r="AV33">
        <v>0</v>
      </c>
      <c r="AW33">
        <v>2</v>
      </c>
      <c r="AX33">
        <v>55985949</v>
      </c>
      <c r="AY33">
        <v>1</v>
      </c>
      <c r="AZ33">
        <v>0</v>
      </c>
      <c r="BA33">
        <v>44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ROUND(Y33*Source!I35,9)</f>
        <v>0</v>
      </c>
      <c r="CY33">
        <f>AA33</f>
        <v>1930745.04</v>
      </c>
      <c r="CZ33">
        <f>AE33</f>
        <v>64123.05</v>
      </c>
      <c r="DA33">
        <f>AI33</f>
        <v>30.11</v>
      </c>
      <c r="DB33">
        <f>ROUND(((ROUND(AT33*CZ33,2)*1)*0),6)</f>
        <v>0</v>
      </c>
      <c r="DC33">
        <f>ROUND(((ROUND(AT33*AG33,2)*1)*0),6)</f>
        <v>0</v>
      </c>
      <c r="DD33" t="s">
        <v>3</v>
      </c>
      <c r="DE33" t="s">
        <v>3</v>
      </c>
      <c r="DF33">
        <f>ROUND(ROUND(AE33*AI33,2)*CX33,2)</f>
        <v>0</v>
      </c>
      <c r="DG33">
        <f t="shared" si="24"/>
        <v>0</v>
      </c>
      <c r="DH33">
        <f t="shared" ref="DH33:DH51" si="25">ROUND(ROUND(AG33,2)*CX33,2)</f>
        <v>0</v>
      </c>
      <c r="DI33">
        <f t="shared" si="6"/>
        <v>0</v>
      </c>
      <c r="DJ33">
        <f>DF33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ROW(Source!A35)</f>
        <v>35</v>
      </c>
      <c r="B34">
        <v>55937298</v>
      </c>
      <c r="C34">
        <v>55985938</v>
      </c>
      <c r="D34">
        <v>55469253</v>
      </c>
      <c r="E34">
        <v>1</v>
      </c>
      <c r="F34">
        <v>1</v>
      </c>
      <c r="G34">
        <v>1081</v>
      </c>
      <c r="H34">
        <v>3</v>
      </c>
      <c r="I34" t="s">
        <v>483</v>
      </c>
      <c r="J34" t="s">
        <v>484</v>
      </c>
      <c r="K34" t="s">
        <v>485</v>
      </c>
      <c r="L34">
        <v>1354</v>
      </c>
      <c r="N34">
        <v>1010</v>
      </c>
      <c r="O34" t="s">
        <v>217</v>
      </c>
      <c r="P34" t="s">
        <v>217</v>
      </c>
      <c r="Q34">
        <v>1</v>
      </c>
      <c r="W34">
        <v>0</v>
      </c>
      <c r="X34">
        <v>-32785108</v>
      </c>
      <c r="Y34">
        <f>((AT34*1)*0)</f>
        <v>0</v>
      </c>
      <c r="AA34">
        <v>36.14</v>
      </c>
      <c r="AB34">
        <v>0</v>
      </c>
      <c r="AC34">
        <v>0</v>
      </c>
      <c r="AD34">
        <v>0</v>
      </c>
      <c r="AE34">
        <v>15.25</v>
      </c>
      <c r="AF34">
        <v>0</v>
      </c>
      <c r="AG34">
        <v>0</v>
      </c>
      <c r="AH34">
        <v>0</v>
      </c>
      <c r="AI34">
        <v>2.37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0.1</v>
      </c>
      <c r="AU34" t="s">
        <v>24</v>
      </c>
      <c r="AV34">
        <v>0</v>
      </c>
      <c r="AW34">
        <v>2</v>
      </c>
      <c r="AX34">
        <v>55985950</v>
      </c>
      <c r="AY34">
        <v>1</v>
      </c>
      <c r="AZ34">
        <v>0</v>
      </c>
      <c r="BA34">
        <v>45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ROUND(Y34*Source!I35,9)</f>
        <v>0</v>
      </c>
      <c r="CY34">
        <f>AA34</f>
        <v>36.14</v>
      </c>
      <c r="CZ34">
        <f>AE34</f>
        <v>15.25</v>
      </c>
      <c r="DA34">
        <f>AI34</f>
        <v>2.37</v>
      </c>
      <c r="DB34">
        <f>ROUND(((ROUND(AT34*CZ34,2)*1)*0),6)</f>
        <v>0</v>
      </c>
      <c r="DC34">
        <f>ROUND(((ROUND(AT34*AG34,2)*1)*0),6)</f>
        <v>0</v>
      </c>
      <c r="DD34" t="s">
        <v>3</v>
      </c>
      <c r="DE34" t="s">
        <v>3</v>
      </c>
      <c r="DF34">
        <f>ROUND(ROUND(AE34*AI34,2)*CX34,2)</f>
        <v>0</v>
      </c>
      <c r="DG34">
        <f t="shared" si="24"/>
        <v>0</v>
      </c>
      <c r="DH34">
        <f t="shared" si="25"/>
        <v>0</v>
      </c>
      <c r="DI34">
        <f t="shared" si="6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ROW(Source!A36)</f>
        <v>36</v>
      </c>
      <c r="B35">
        <v>55937296</v>
      </c>
      <c r="C35">
        <v>55985952</v>
      </c>
      <c r="D35">
        <v>55424304</v>
      </c>
      <c r="E35">
        <v>1081</v>
      </c>
      <c r="F35">
        <v>1</v>
      </c>
      <c r="G35">
        <v>1081</v>
      </c>
      <c r="H35">
        <v>1</v>
      </c>
      <c r="I35" t="s">
        <v>449</v>
      </c>
      <c r="J35" t="s">
        <v>3</v>
      </c>
      <c r="K35" t="s">
        <v>450</v>
      </c>
      <c r="L35">
        <v>1191</v>
      </c>
      <c r="N35">
        <v>1013</v>
      </c>
      <c r="O35" t="s">
        <v>451</v>
      </c>
      <c r="P35" t="s">
        <v>451</v>
      </c>
      <c r="Q35">
        <v>1</v>
      </c>
      <c r="W35">
        <v>0</v>
      </c>
      <c r="X35">
        <v>476480486</v>
      </c>
      <c r="Y35">
        <f>((AT35*1.2)*0.3)</f>
        <v>0.6048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1.68</v>
      </c>
      <c r="AU35" t="s">
        <v>25</v>
      </c>
      <c r="AV35">
        <v>1</v>
      </c>
      <c r="AW35">
        <v>2</v>
      </c>
      <c r="AX35">
        <v>55985954</v>
      </c>
      <c r="AY35">
        <v>1</v>
      </c>
      <c r="AZ35">
        <v>0</v>
      </c>
      <c r="BA35">
        <v>47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ROUND(AT35*Source!I36*AH35*AL35,2)</f>
        <v>0</v>
      </c>
      <c r="CV35">
        <f>ROUND(Y35*Source!I36,9)</f>
        <v>4.8384</v>
      </c>
      <c r="CW35">
        <v>0</v>
      </c>
      <c r="CX35">
        <f>ROUND(Y35*Source!I36,9)</f>
        <v>4.8384</v>
      </c>
      <c r="CY35">
        <f>AD35</f>
        <v>0</v>
      </c>
      <c r="CZ35">
        <f>AH35</f>
        <v>0</v>
      </c>
      <c r="DA35">
        <f>AL35</f>
        <v>1</v>
      </c>
      <c r="DB35">
        <f>ROUND(((ROUND(AT35*CZ35,2)*1.2)*0.3),6)</f>
        <v>0</v>
      </c>
      <c r="DC35">
        <f>ROUND(((ROUND(AT35*AG35,2)*1.2)*0.3),6)</f>
        <v>0</v>
      </c>
      <c r="DD35" t="s">
        <v>3</v>
      </c>
      <c r="DE35" t="s">
        <v>3</v>
      </c>
      <c r="DF35">
        <f t="shared" ref="DF35:DF40" si="26">ROUND(ROUND(AE35,2)*CX35,2)</f>
        <v>0</v>
      </c>
      <c r="DG35">
        <f t="shared" si="24"/>
        <v>0</v>
      </c>
      <c r="DH35">
        <f t="shared" si="25"/>
        <v>0</v>
      </c>
      <c r="DI35">
        <f t="shared" si="6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ROW(Source!A37)</f>
        <v>37</v>
      </c>
      <c r="B36">
        <v>55937298</v>
      </c>
      <c r="C36">
        <v>55985952</v>
      </c>
      <c r="D36">
        <v>55424304</v>
      </c>
      <c r="E36">
        <v>1081</v>
      </c>
      <c r="F36">
        <v>1</v>
      </c>
      <c r="G36">
        <v>1081</v>
      </c>
      <c r="H36">
        <v>1</v>
      </c>
      <c r="I36" t="s">
        <v>449</v>
      </c>
      <c r="J36" t="s">
        <v>3</v>
      </c>
      <c r="K36" t="s">
        <v>450</v>
      </c>
      <c r="L36">
        <v>1191</v>
      </c>
      <c r="N36">
        <v>1013</v>
      </c>
      <c r="O36" t="s">
        <v>451</v>
      </c>
      <c r="P36" t="s">
        <v>451</v>
      </c>
      <c r="Q36">
        <v>1</v>
      </c>
      <c r="W36">
        <v>0</v>
      </c>
      <c r="X36">
        <v>476480486</v>
      </c>
      <c r="Y36">
        <f>((AT36*1.2)*0.3)</f>
        <v>0.6048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1.68</v>
      </c>
      <c r="AU36" t="s">
        <v>25</v>
      </c>
      <c r="AV36">
        <v>1</v>
      </c>
      <c r="AW36">
        <v>2</v>
      </c>
      <c r="AX36">
        <v>55985954</v>
      </c>
      <c r="AY36">
        <v>1</v>
      </c>
      <c r="AZ36">
        <v>0</v>
      </c>
      <c r="BA36">
        <v>48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ROUND(AT36*Source!I37*AH36*AL36,2)</f>
        <v>0</v>
      </c>
      <c r="CV36">
        <f>ROUND(Y36*Source!I37,9)</f>
        <v>4.8384</v>
      </c>
      <c r="CW36">
        <v>0</v>
      </c>
      <c r="CX36">
        <f>ROUND(Y36*Source!I37,9)</f>
        <v>4.8384</v>
      </c>
      <c r="CY36">
        <f>AD36</f>
        <v>0</v>
      </c>
      <c r="CZ36">
        <f>AH36</f>
        <v>0</v>
      </c>
      <c r="DA36">
        <f>AL36</f>
        <v>1</v>
      </c>
      <c r="DB36">
        <f>ROUND(((ROUND(AT36*CZ36,2)*1.2)*0.3),6)</f>
        <v>0</v>
      </c>
      <c r="DC36">
        <f>ROUND(((ROUND(AT36*AG36,2)*1.2)*0.3),6)</f>
        <v>0</v>
      </c>
      <c r="DD36" t="s">
        <v>3</v>
      </c>
      <c r="DE36" t="s">
        <v>3</v>
      </c>
      <c r="DF36">
        <f t="shared" si="26"/>
        <v>0</v>
      </c>
      <c r="DG36">
        <f t="shared" si="24"/>
        <v>0</v>
      </c>
      <c r="DH36">
        <f t="shared" si="25"/>
        <v>0</v>
      </c>
      <c r="DI36">
        <f t="shared" si="6"/>
        <v>0</v>
      </c>
      <c r="DJ36">
        <f>DI36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ROW(Source!A38)</f>
        <v>38</v>
      </c>
      <c r="B37">
        <v>55937296</v>
      </c>
      <c r="C37">
        <v>55985955</v>
      </c>
      <c r="D37">
        <v>55424304</v>
      </c>
      <c r="E37">
        <v>1081</v>
      </c>
      <c r="F37">
        <v>1</v>
      </c>
      <c r="G37">
        <v>1081</v>
      </c>
      <c r="H37">
        <v>1</v>
      </c>
      <c r="I37" t="s">
        <v>449</v>
      </c>
      <c r="J37" t="s">
        <v>3</v>
      </c>
      <c r="K37" t="s">
        <v>450</v>
      </c>
      <c r="L37">
        <v>1191</v>
      </c>
      <c r="N37">
        <v>1013</v>
      </c>
      <c r="O37" t="s">
        <v>451</v>
      </c>
      <c r="P37" t="s">
        <v>451</v>
      </c>
      <c r="Q37">
        <v>1</v>
      </c>
      <c r="W37">
        <v>0</v>
      </c>
      <c r="X37">
        <v>476480486</v>
      </c>
      <c r="Y37">
        <f>((AT37*1.2)*0.3)</f>
        <v>0.36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</v>
      </c>
      <c r="AU37" t="s">
        <v>25</v>
      </c>
      <c r="AV37">
        <v>1</v>
      </c>
      <c r="AW37">
        <v>2</v>
      </c>
      <c r="AX37">
        <v>55985959</v>
      </c>
      <c r="AY37">
        <v>1</v>
      </c>
      <c r="AZ37">
        <v>0</v>
      </c>
      <c r="BA37">
        <v>49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ROUND(AT37*Source!I38*AH37*AL37,2)</f>
        <v>0</v>
      </c>
      <c r="CV37">
        <f>ROUND(Y37*Source!I38,9)</f>
        <v>1.44</v>
      </c>
      <c r="CW37">
        <v>0</v>
      </c>
      <c r="CX37">
        <f>ROUND(Y37*Source!I38,9)</f>
        <v>1.44</v>
      </c>
      <c r="CY37">
        <f>AD37</f>
        <v>0</v>
      </c>
      <c r="CZ37">
        <f>AH37</f>
        <v>0</v>
      </c>
      <c r="DA37">
        <f>AL37</f>
        <v>1</v>
      </c>
      <c r="DB37">
        <f>ROUND(((ROUND(AT37*CZ37,2)*1.2)*0.3),6)</f>
        <v>0</v>
      </c>
      <c r="DC37">
        <f>ROUND(((ROUND(AT37*AG37,2)*1.2)*0.3),6)</f>
        <v>0</v>
      </c>
      <c r="DD37" t="s">
        <v>3</v>
      </c>
      <c r="DE37" t="s">
        <v>3</v>
      </c>
      <c r="DF37">
        <f t="shared" si="26"/>
        <v>0</v>
      </c>
      <c r="DG37">
        <f t="shared" si="24"/>
        <v>0</v>
      </c>
      <c r="DH37">
        <f t="shared" si="25"/>
        <v>0</v>
      </c>
      <c r="DI37">
        <f t="shared" si="6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ROW(Source!A38)</f>
        <v>38</v>
      </c>
      <c r="B38">
        <v>55937296</v>
      </c>
      <c r="C38">
        <v>55985955</v>
      </c>
      <c r="D38">
        <v>55459793</v>
      </c>
      <c r="E38">
        <v>1</v>
      </c>
      <c r="F38">
        <v>1</v>
      </c>
      <c r="G38">
        <v>1081</v>
      </c>
      <c r="H38">
        <v>3</v>
      </c>
      <c r="I38" t="s">
        <v>471</v>
      </c>
      <c r="J38" t="s">
        <v>472</v>
      </c>
      <c r="K38" t="s">
        <v>473</v>
      </c>
      <c r="L38">
        <v>1348</v>
      </c>
      <c r="N38">
        <v>1009</v>
      </c>
      <c r="O38" t="s">
        <v>287</v>
      </c>
      <c r="P38" t="s">
        <v>287</v>
      </c>
      <c r="Q38">
        <v>1000</v>
      </c>
      <c r="W38">
        <v>0</v>
      </c>
      <c r="X38">
        <v>-761454284</v>
      </c>
      <c r="Y38">
        <f>((AT38*1)*0)</f>
        <v>0</v>
      </c>
      <c r="AA38">
        <v>64123.05</v>
      </c>
      <c r="AB38">
        <v>0</v>
      </c>
      <c r="AC38">
        <v>0</v>
      </c>
      <c r="AD38">
        <v>0</v>
      </c>
      <c r="AE38">
        <v>64123.05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1.0000000000000001E-5</v>
      </c>
      <c r="AU38" t="s">
        <v>24</v>
      </c>
      <c r="AV38">
        <v>0</v>
      </c>
      <c r="AW38">
        <v>2</v>
      </c>
      <c r="AX38">
        <v>55985960</v>
      </c>
      <c r="AY38">
        <v>1</v>
      </c>
      <c r="AZ38">
        <v>0</v>
      </c>
      <c r="BA38">
        <v>50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ROUND(Y38*Source!I38,9)</f>
        <v>0</v>
      </c>
      <c r="CY38">
        <f>AA38</f>
        <v>64123.05</v>
      </c>
      <c r="CZ38">
        <f>AE38</f>
        <v>64123.05</v>
      </c>
      <c r="DA38">
        <f>AI38</f>
        <v>1</v>
      </c>
      <c r="DB38">
        <f>ROUND(((ROUND(AT38*CZ38,2)*1)*0),6)</f>
        <v>0</v>
      </c>
      <c r="DC38">
        <f>ROUND(((ROUND(AT38*AG38,2)*1)*0),6)</f>
        <v>0</v>
      </c>
      <c r="DD38" t="s">
        <v>3</v>
      </c>
      <c r="DE38" t="s">
        <v>3</v>
      </c>
      <c r="DF38">
        <f t="shared" si="26"/>
        <v>0</v>
      </c>
      <c r="DG38">
        <f t="shared" si="24"/>
        <v>0</v>
      </c>
      <c r="DH38">
        <f t="shared" si="25"/>
        <v>0</v>
      </c>
      <c r="DI38">
        <f t="shared" si="6"/>
        <v>0</v>
      </c>
      <c r="DJ38">
        <f>DF38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ROW(Source!A38)</f>
        <v>38</v>
      </c>
      <c r="B39">
        <v>55937296</v>
      </c>
      <c r="C39">
        <v>55985955</v>
      </c>
      <c r="D39">
        <v>55487942</v>
      </c>
      <c r="E39">
        <v>1</v>
      </c>
      <c r="F39">
        <v>1</v>
      </c>
      <c r="G39">
        <v>1081</v>
      </c>
      <c r="H39">
        <v>3</v>
      </c>
      <c r="I39" t="s">
        <v>486</v>
      </c>
      <c r="J39" t="s">
        <v>487</v>
      </c>
      <c r="K39" t="s">
        <v>488</v>
      </c>
      <c r="L39">
        <v>1303</v>
      </c>
      <c r="N39">
        <v>1003</v>
      </c>
      <c r="O39" t="s">
        <v>337</v>
      </c>
      <c r="P39" t="s">
        <v>337</v>
      </c>
      <c r="Q39">
        <v>1000</v>
      </c>
      <c r="W39">
        <v>0</v>
      </c>
      <c r="X39">
        <v>-1692873835</v>
      </c>
      <c r="Y39">
        <f>((AT39*1)*0)</f>
        <v>0</v>
      </c>
      <c r="AA39">
        <v>516.63</v>
      </c>
      <c r="AB39">
        <v>0</v>
      </c>
      <c r="AC39">
        <v>0</v>
      </c>
      <c r="AD39">
        <v>0</v>
      </c>
      <c r="AE39">
        <v>516.63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2E-3</v>
      </c>
      <c r="AU39" t="s">
        <v>24</v>
      </c>
      <c r="AV39">
        <v>0</v>
      </c>
      <c r="AW39">
        <v>2</v>
      </c>
      <c r="AX39">
        <v>55985961</v>
      </c>
      <c r="AY39">
        <v>1</v>
      </c>
      <c r="AZ39">
        <v>0</v>
      </c>
      <c r="BA39">
        <v>51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ROUND(Y39*Source!I38,9)</f>
        <v>0</v>
      </c>
      <c r="CY39">
        <f>AA39</f>
        <v>516.63</v>
      </c>
      <c r="CZ39">
        <f>AE39</f>
        <v>516.63</v>
      </c>
      <c r="DA39">
        <f>AI39</f>
        <v>1</v>
      </c>
      <c r="DB39">
        <f>ROUND(((ROUND(AT39*CZ39,2)*1)*0),6)</f>
        <v>0</v>
      </c>
      <c r="DC39">
        <f>ROUND(((ROUND(AT39*AG39,2)*1)*0),6)</f>
        <v>0</v>
      </c>
      <c r="DD39" t="s">
        <v>3</v>
      </c>
      <c r="DE39" t="s">
        <v>3</v>
      </c>
      <c r="DF39">
        <f t="shared" si="26"/>
        <v>0</v>
      </c>
      <c r="DG39">
        <f t="shared" si="24"/>
        <v>0</v>
      </c>
      <c r="DH39">
        <f t="shared" si="25"/>
        <v>0</v>
      </c>
      <c r="DI39">
        <f t="shared" si="6"/>
        <v>0</v>
      </c>
      <c r="DJ39">
        <f>DF39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ROW(Source!A39)</f>
        <v>39</v>
      </c>
      <c r="B40">
        <v>55937298</v>
      </c>
      <c r="C40">
        <v>55985955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449</v>
      </c>
      <c r="J40" t="s">
        <v>3</v>
      </c>
      <c r="K40" t="s">
        <v>450</v>
      </c>
      <c r="L40">
        <v>1191</v>
      </c>
      <c r="N40">
        <v>1013</v>
      </c>
      <c r="O40" t="s">
        <v>451</v>
      </c>
      <c r="P40" t="s">
        <v>451</v>
      </c>
      <c r="Q40">
        <v>1</v>
      </c>
      <c r="W40">
        <v>0</v>
      </c>
      <c r="X40">
        <v>476480486</v>
      </c>
      <c r="Y40">
        <f>((AT40*1.2)*0.3)</f>
        <v>0.36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</v>
      </c>
      <c r="AU40" t="s">
        <v>25</v>
      </c>
      <c r="AV40">
        <v>1</v>
      </c>
      <c r="AW40">
        <v>2</v>
      </c>
      <c r="AX40">
        <v>55985959</v>
      </c>
      <c r="AY40">
        <v>1</v>
      </c>
      <c r="AZ40">
        <v>0</v>
      </c>
      <c r="BA40">
        <v>53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ROUND(AT40*Source!I39*AH40*AL40,2)</f>
        <v>0</v>
      </c>
      <c r="CV40">
        <f>ROUND(Y40*Source!I39,9)</f>
        <v>1.44</v>
      </c>
      <c r="CW40">
        <v>0</v>
      </c>
      <c r="CX40">
        <f>ROUND(Y40*Source!I39,9)</f>
        <v>1.44</v>
      </c>
      <c r="CY40">
        <f>AD40</f>
        <v>0</v>
      </c>
      <c r="CZ40">
        <f>AH40</f>
        <v>0</v>
      </c>
      <c r="DA40">
        <f>AL40</f>
        <v>1</v>
      </c>
      <c r="DB40">
        <f>ROUND(((ROUND(AT40*CZ40,2)*1.2)*0.3),6)</f>
        <v>0</v>
      </c>
      <c r="DC40">
        <f>ROUND(((ROUND(AT40*AG40,2)*1.2)*0.3),6)</f>
        <v>0</v>
      </c>
      <c r="DD40" t="s">
        <v>3</v>
      </c>
      <c r="DE40" t="s">
        <v>3</v>
      </c>
      <c r="DF40">
        <f t="shared" si="26"/>
        <v>0</v>
      </c>
      <c r="DG40">
        <f t="shared" si="24"/>
        <v>0</v>
      </c>
      <c r="DH40">
        <f t="shared" si="25"/>
        <v>0</v>
      </c>
      <c r="DI40">
        <f t="shared" si="6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ROW(Source!A39)</f>
        <v>39</v>
      </c>
      <c r="B41">
        <v>55937298</v>
      </c>
      <c r="C41">
        <v>55985955</v>
      </c>
      <c r="D41">
        <v>55459793</v>
      </c>
      <c r="E41">
        <v>1</v>
      </c>
      <c r="F41">
        <v>1</v>
      </c>
      <c r="G41">
        <v>1081</v>
      </c>
      <c r="H41">
        <v>3</v>
      </c>
      <c r="I41" t="s">
        <v>471</v>
      </c>
      <c r="J41" t="s">
        <v>472</v>
      </c>
      <c r="K41" t="s">
        <v>473</v>
      </c>
      <c r="L41">
        <v>1348</v>
      </c>
      <c r="N41">
        <v>1009</v>
      </c>
      <c r="O41" t="s">
        <v>287</v>
      </c>
      <c r="P41" t="s">
        <v>287</v>
      </c>
      <c r="Q41">
        <v>1000</v>
      </c>
      <c r="W41">
        <v>0</v>
      </c>
      <c r="X41">
        <v>-761454284</v>
      </c>
      <c r="Y41">
        <f>((AT41*1)*0)</f>
        <v>0</v>
      </c>
      <c r="AA41">
        <v>1930745.04</v>
      </c>
      <c r="AB41">
        <v>0</v>
      </c>
      <c r="AC41">
        <v>0</v>
      </c>
      <c r="AD41">
        <v>0</v>
      </c>
      <c r="AE41">
        <v>64123.05</v>
      </c>
      <c r="AF41">
        <v>0</v>
      </c>
      <c r="AG41">
        <v>0</v>
      </c>
      <c r="AH41">
        <v>0</v>
      </c>
      <c r="AI41">
        <v>30.11</v>
      </c>
      <c r="AJ41">
        <v>1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1.0000000000000001E-5</v>
      </c>
      <c r="AU41" t="s">
        <v>24</v>
      </c>
      <c r="AV41">
        <v>0</v>
      </c>
      <c r="AW41">
        <v>2</v>
      </c>
      <c r="AX41">
        <v>55985960</v>
      </c>
      <c r="AY41">
        <v>1</v>
      </c>
      <c r="AZ41">
        <v>0</v>
      </c>
      <c r="BA41">
        <v>54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ROUND(Y41*Source!I39,9)</f>
        <v>0</v>
      </c>
      <c r="CY41">
        <f>AA41</f>
        <v>1930745.04</v>
      </c>
      <c r="CZ41">
        <f>AE41</f>
        <v>64123.05</v>
      </c>
      <c r="DA41">
        <f>AI41</f>
        <v>30.11</v>
      </c>
      <c r="DB41">
        <f>ROUND(((ROUND(AT41*CZ41,2)*1)*0),6)</f>
        <v>0</v>
      </c>
      <c r="DC41">
        <f>ROUND(((ROUND(AT41*AG41,2)*1)*0),6)</f>
        <v>0</v>
      </c>
      <c r="DD41" t="s">
        <v>3</v>
      </c>
      <c r="DE41" t="s">
        <v>3</v>
      </c>
      <c r="DF41">
        <f>ROUND(ROUND(AE41*AI41,2)*CX41,2)</f>
        <v>0</v>
      </c>
      <c r="DG41">
        <f t="shared" si="24"/>
        <v>0</v>
      </c>
      <c r="DH41">
        <f t="shared" si="25"/>
        <v>0</v>
      </c>
      <c r="DI41">
        <f t="shared" si="6"/>
        <v>0</v>
      </c>
      <c r="DJ41">
        <f>DF41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ROW(Source!A39)</f>
        <v>39</v>
      </c>
      <c r="B42">
        <v>55937298</v>
      </c>
      <c r="C42">
        <v>55985955</v>
      </c>
      <c r="D42">
        <v>55487942</v>
      </c>
      <c r="E42">
        <v>1</v>
      </c>
      <c r="F42">
        <v>1</v>
      </c>
      <c r="G42">
        <v>1081</v>
      </c>
      <c r="H42">
        <v>3</v>
      </c>
      <c r="I42" t="s">
        <v>486</v>
      </c>
      <c r="J42" t="s">
        <v>487</v>
      </c>
      <c r="K42" t="s">
        <v>488</v>
      </c>
      <c r="L42">
        <v>1303</v>
      </c>
      <c r="N42">
        <v>1003</v>
      </c>
      <c r="O42" t="s">
        <v>337</v>
      </c>
      <c r="P42" t="s">
        <v>337</v>
      </c>
      <c r="Q42">
        <v>1000</v>
      </c>
      <c r="W42">
        <v>0</v>
      </c>
      <c r="X42">
        <v>-1692873835</v>
      </c>
      <c r="Y42">
        <f>((AT42*1)*0)</f>
        <v>0</v>
      </c>
      <c r="AA42">
        <v>5269.63</v>
      </c>
      <c r="AB42">
        <v>0</v>
      </c>
      <c r="AC42">
        <v>0</v>
      </c>
      <c r="AD42">
        <v>0</v>
      </c>
      <c r="AE42">
        <v>516.63</v>
      </c>
      <c r="AF42">
        <v>0</v>
      </c>
      <c r="AG42">
        <v>0</v>
      </c>
      <c r="AH42">
        <v>0</v>
      </c>
      <c r="AI42">
        <v>10.199999999999999</v>
      </c>
      <c r="AJ42">
        <v>1</v>
      </c>
      <c r="AK42">
        <v>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2E-3</v>
      </c>
      <c r="AU42" t="s">
        <v>24</v>
      </c>
      <c r="AV42">
        <v>0</v>
      </c>
      <c r="AW42">
        <v>2</v>
      </c>
      <c r="AX42">
        <v>55985961</v>
      </c>
      <c r="AY42">
        <v>1</v>
      </c>
      <c r="AZ42">
        <v>0</v>
      </c>
      <c r="BA42">
        <v>55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ROUND(Y42*Source!I39,9)</f>
        <v>0</v>
      </c>
      <c r="CY42">
        <f>AA42</f>
        <v>5269.63</v>
      </c>
      <c r="CZ42">
        <f>AE42</f>
        <v>516.63</v>
      </c>
      <c r="DA42">
        <f>AI42</f>
        <v>10.199999999999999</v>
      </c>
      <c r="DB42">
        <f>ROUND(((ROUND(AT42*CZ42,2)*1)*0),6)</f>
        <v>0</v>
      </c>
      <c r="DC42">
        <f>ROUND(((ROUND(AT42*AG42,2)*1)*0),6)</f>
        <v>0</v>
      </c>
      <c r="DD42" t="s">
        <v>3</v>
      </c>
      <c r="DE42" t="s">
        <v>3</v>
      </c>
      <c r="DF42">
        <f>ROUND(ROUND(AE42*AI42,2)*CX42,2)</f>
        <v>0</v>
      </c>
      <c r="DG42">
        <f t="shared" si="24"/>
        <v>0</v>
      </c>
      <c r="DH42">
        <f t="shared" si="25"/>
        <v>0</v>
      </c>
      <c r="DI42">
        <f t="shared" si="6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ROW(Source!A40)</f>
        <v>40</v>
      </c>
      <c r="B43">
        <v>55937296</v>
      </c>
      <c r="C43">
        <v>55985963</v>
      </c>
      <c r="D43">
        <v>55424304</v>
      </c>
      <c r="E43">
        <v>1081</v>
      </c>
      <c r="F43">
        <v>1</v>
      </c>
      <c r="G43">
        <v>1081</v>
      </c>
      <c r="H43">
        <v>1</v>
      </c>
      <c r="I43" t="s">
        <v>449</v>
      </c>
      <c r="J43" t="s">
        <v>3</v>
      </c>
      <c r="K43" t="s">
        <v>450</v>
      </c>
      <c r="L43">
        <v>1191</v>
      </c>
      <c r="N43">
        <v>1013</v>
      </c>
      <c r="O43" t="s">
        <v>451</v>
      </c>
      <c r="P43" t="s">
        <v>451</v>
      </c>
      <c r="Q43">
        <v>1</v>
      </c>
      <c r="W43">
        <v>0</v>
      </c>
      <c r="X43">
        <v>476480486</v>
      </c>
      <c r="Y43">
        <f>((AT43*1.2)*0.3)</f>
        <v>0.3024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0.84</v>
      </c>
      <c r="AU43" t="s">
        <v>25</v>
      </c>
      <c r="AV43">
        <v>1</v>
      </c>
      <c r="AW43">
        <v>2</v>
      </c>
      <c r="AX43">
        <v>55985965</v>
      </c>
      <c r="AY43">
        <v>1</v>
      </c>
      <c r="AZ43">
        <v>0</v>
      </c>
      <c r="BA43">
        <v>57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ROUND(AT43*Source!I40*AH43*AL43,2)</f>
        <v>0</v>
      </c>
      <c r="CV43">
        <f>ROUND(Y43*Source!I40,9)</f>
        <v>1.2096</v>
      </c>
      <c r="CW43">
        <v>0</v>
      </c>
      <c r="CX43">
        <f>ROUND(Y43*Source!I40,9)</f>
        <v>1.2096</v>
      </c>
      <c r="CY43">
        <f>AD43</f>
        <v>0</v>
      </c>
      <c r="CZ43">
        <f>AH43</f>
        <v>0</v>
      </c>
      <c r="DA43">
        <f>AL43</f>
        <v>1</v>
      </c>
      <c r="DB43">
        <f>ROUND(((ROUND(AT43*CZ43,2)*1.2)*0.3),6)</f>
        <v>0</v>
      </c>
      <c r="DC43">
        <f>ROUND(((ROUND(AT43*AG43,2)*1.2)*0.3),6)</f>
        <v>0</v>
      </c>
      <c r="DD43" t="s">
        <v>3</v>
      </c>
      <c r="DE43" t="s">
        <v>3</v>
      </c>
      <c r="DF43">
        <f t="shared" ref="DF43:DF53" si="27">ROUND(ROUND(AE43,2)*CX43,2)</f>
        <v>0</v>
      </c>
      <c r="DG43">
        <f t="shared" si="24"/>
        <v>0</v>
      </c>
      <c r="DH43">
        <f t="shared" si="25"/>
        <v>0</v>
      </c>
      <c r="DI43">
        <f t="shared" si="6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ROW(Source!A41)</f>
        <v>41</v>
      </c>
      <c r="B44">
        <v>55937298</v>
      </c>
      <c r="C44">
        <v>55985963</v>
      </c>
      <c r="D44">
        <v>55424304</v>
      </c>
      <c r="E44">
        <v>1081</v>
      </c>
      <c r="F44">
        <v>1</v>
      </c>
      <c r="G44">
        <v>1081</v>
      </c>
      <c r="H44">
        <v>1</v>
      </c>
      <c r="I44" t="s">
        <v>449</v>
      </c>
      <c r="J44" t="s">
        <v>3</v>
      </c>
      <c r="K44" t="s">
        <v>450</v>
      </c>
      <c r="L44">
        <v>1191</v>
      </c>
      <c r="N44">
        <v>1013</v>
      </c>
      <c r="O44" t="s">
        <v>451</v>
      </c>
      <c r="P44" t="s">
        <v>451</v>
      </c>
      <c r="Q44">
        <v>1</v>
      </c>
      <c r="W44">
        <v>0</v>
      </c>
      <c r="X44">
        <v>476480486</v>
      </c>
      <c r="Y44">
        <f>((AT44*1.2)*0.3)</f>
        <v>0.3024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0.84</v>
      </c>
      <c r="AU44" t="s">
        <v>25</v>
      </c>
      <c r="AV44">
        <v>1</v>
      </c>
      <c r="AW44">
        <v>2</v>
      </c>
      <c r="AX44">
        <v>55985965</v>
      </c>
      <c r="AY44">
        <v>1</v>
      </c>
      <c r="AZ44">
        <v>0</v>
      </c>
      <c r="BA44">
        <v>58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U44">
        <f>ROUND(AT44*Source!I41*AH44*AL44,2)</f>
        <v>0</v>
      </c>
      <c r="CV44">
        <f>ROUND(Y44*Source!I41,9)</f>
        <v>1.2096</v>
      </c>
      <c r="CW44">
        <v>0</v>
      </c>
      <c r="CX44">
        <f>ROUND(Y44*Source!I41,9)</f>
        <v>1.2096</v>
      </c>
      <c r="CY44">
        <f>AD44</f>
        <v>0</v>
      </c>
      <c r="CZ44">
        <f>AH44</f>
        <v>0</v>
      </c>
      <c r="DA44">
        <f>AL44</f>
        <v>1</v>
      </c>
      <c r="DB44">
        <f>ROUND(((ROUND(AT44*CZ44,2)*1.2)*0.3),6)</f>
        <v>0</v>
      </c>
      <c r="DC44">
        <f>ROUND(((ROUND(AT44*AG44,2)*1.2)*0.3),6)</f>
        <v>0</v>
      </c>
      <c r="DD44" t="s">
        <v>3</v>
      </c>
      <c r="DE44" t="s">
        <v>3</v>
      </c>
      <c r="DF44">
        <f t="shared" si="27"/>
        <v>0</v>
      </c>
      <c r="DG44">
        <f t="shared" si="24"/>
        <v>0</v>
      </c>
      <c r="DH44">
        <f t="shared" si="25"/>
        <v>0</v>
      </c>
      <c r="DI44">
        <f t="shared" si="6"/>
        <v>0</v>
      </c>
      <c r="DJ44">
        <f>DI44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ROW(Source!A42)</f>
        <v>42</v>
      </c>
      <c r="B45">
        <v>55937296</v>
      </c>
      <c r="C45">
        <v>55985966</v>
      </c>
      <c r="D45">
        <v>55424304</v>
      </c>
      <c r="E45">
        <v>1081</v>
      </c>
      <c r="F45">
        <v>1</v>
      </c>
      <c r="G45">
        <v>1081</v>
      </c>
      <c r="H45">
        <v>1</v>
      </c>
      <c r="I45" t="s">
        <v>449</v>
      </c>
      <c r="J45" t="s">
        <v>3</v>
      </c>
      <c r="K45" t="s">
        <v>450</v>
      </c>
      <c r="L45">
        <v>1191</v>
      </c>
      <c r="N45">
        <v>1013</v>
      </c>
      <c r="O45" t="s">
        <v>451</v>
      </c>
      <c r="P45" t="s">
        <v>451</v>
      </c>
      <c r="Q45">
        <v>1</v>
      </c>
      <c r="W45">
        <v>0</v>
      </c>
      <c r="X45">
        <v>476480486</v>
      </c>
      <c r="Y45">
        <f>((AT45*1.2)*0.3)</f>
        <v>30.481199999999998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84.67</v>
      </c>
      <c r="AU45" t="s">
        <v>25</v>
      </c>
      <c r="AV45">
        <v>1</v>
      </c>
      <c r="AW45">
        <v>2</v>
      </c>
      <c r="AX45">
        <v>55985973</v>
      </c>
      <c r="AY45">
        <v>1</v>
      </c>
      <c r="AZ45">
        <v>0</v>
      </c>
      <c r="BA45">
        <v>59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ROUND(AT45*Source!I42*AH45*AL45,2)</f>
        <v>0</v>
      </c>
      <c r="CV45">
        <f>ROUND(Y45*Source!I42,9)</f>
        <v>3.6577440000000001</v>
      </c>
      <c r="CW45">
        <v>0</v>
      </c>
      <c r="CX45">
        <f>ROUND(Y45*Source!I42,9)</f>
        <v>3.6577440000000001</v>
      </c>
      <c r="CY45">
        <f>AD45</f>
        <v>0</v>
      </c>
      <c r="CZ45">
        <f>AH45</f>
        <v>0</v>
      </c>
      <c r="DA45">
        <f>AL45</f>
        <v>1</v>
      </c>
      <c r="DB45">
        <f>ROUND(((ROUND(AT45*CZ45,2)*1.2)*0.3),6)</f>
        <v>0</v>
      </c>
      <c r="DC45">
        <f>ROUND(((ROUND(AT45*AG45,2)*1.2)*0.3),6)</f>
        <v>0</v>
      </c>
      <c r="DD45" t="s">
        <v>3</v>
      </c>
      <c r="DE45" t="s">
        <v>3</v>
      </c>
      <c r="DF45">
        <f t="shared" si="27"/>
        <v>0</v>
      </c>
      <c r="DG45">
        <f t="shared" si="24"/>
        <v>0</v>
      </c>
      <c r="DH45">
        <f t="shared" si="25"/>
        <v>0</v>
      </c>
      <c r="DI45">
        <f t="shared" si="6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ROW(Source!A42)</f>
        <v>42</v>
      </c>
      <c r="B46">
        <v>55937296</v>
      </c>
      <c r="C46">
        <v>55985966</v>
      </c>
      <c r="D46">
        <v>55490209</v>
      </c>
      <c r="E46">
        <v>1</v>
      </c>
      <c r="F46">
        <v>1</v>
      </c>
      <c r="G46">
        <v>1081</v>
      </c>
      <c r="H46">
        <v>2</v>
      </c>
      <c r="I46" t="s">
        <v>489</v>
      </c>
      <c r="J46" t="s">
        <v>490</v>
      </c>
      <c r="K46" t="s">
        <v>491</v>
      </c>
      <c r="L46">
        <v>1368</v>
      </c>
      <c r="N46">
        <v>1011</v>
      </c>
      <c r="O46" t="s">
        <v>455</v>
      </c>
      <c r="P46" t="s">
        <v>455</v>
      </c>
      <c r="Q46">
        <v>1</v>
      </c>
      <c r="W46">
        <v>0</v>
      </c>
      <c r="X46">
        <v>874612079</v>
      </c>
      <c r="Y46">
        <f>((AT46*1.2)*0.3)</f>
        <v>0.37079999999999996</v>
      </c>
      <c r="AA46">
        <v>0</v>
      </c>
      <c r="AB46">
        <v>87.01</v>
      </c>
      <c r="AC46">
        <v>13.21</v>
      </c>
      <c r="AD46">
        <v>0</v>
      </c>
      <c r="AE46">
        <v>0</v>
      </c>
      <c r="AF46">
        <v>83.1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1.03</v>
      </c>
      <c r="AU46" t="s">
        <v>25</v>
      </c>
      <c r="AV46">
        <v>0</v>
      </c>
      <c r="AW46">
        <v>2</v>
      </c>
      <c r="AX46">
        <v>55985974</v>
      </c>
      <c r="AY46">
        <v>1</v>
      </c>
      <c r="AZ46">
        <v>0</v>
      </c>
      <c r="BA46">
        <v>60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ROUND(Y46*Source!I42*DO46,9)</f>
        <v>0.56153951999999996</v>
      </c>
      <c r="CX46">
        <f>ROUND(Y46*Source!I42,9)</f>
        <v>4.4496000000000001E-2</v>
      </c>
      <c r="CY46">
        <f>AB46</f>
        <v>87.01</v>
      </c>
      <c r="CZ46">
        <f>AF46</f>
        <v>83.1</v>
      </c>
      <c r="DA46">
        <f>AJ46</f>
        <v>1</v>
      </c>
      <c r="DB46">
        <f>ROUND(((ROUND(AT46*CZ46,2)*1.2)*0.3),6)</f>
        <v>30.8124</v>
      </c>
      <c r="DC46">
        <f>ROUND(((ROUND(AT46*AG46,2)*1.2)*0.3),6)</f>
        <v>4.68</v>
      </c>
      <c r="DD46" t="s">
        <v>3</v>
      </c>
      <c r="DE46" t="s">
        <v>3</v>
      </c>
      <c r="DF46">
        <f t="shared" si="27"/>
        <v>0</v>
      </c>
      <c r="DG46">
        <f t="shared" si="24"/>
        <v>3.7</v>
      </c>
      <c r="DH46">
        <f t="shared" si="25"/>
        <v>0.56000000000000005</v>
      </c>
      <c r="DI46">
        <f t="shared" si="6"/>
        <v>0</v>
      </c>
      <c r="DJ46">
        <f>DG46</f>
        <v>3.7</v>
      </c>
      <c r="DK46">
        <v>0</v>
      </c>
      <c r="DL46" t="s">
        <v>492</v>
      </c>
      <c r="DM46">
        <v>0</v>
      </c>
      <c r="DN46" t="s">
        <v>451</v>
      </c>
      <c r="DO46">
        <v>12.62</v>
      </c>
    </row>
    <row r="47" spans="1:119" x14ac:dyDescent="0.2">
      <c r="A47">
        <f>ROW(Source!A42)</f>
        <v>42</v>
      </c>
      <c r="B47">
        <v>55937296</v>
      </c>
      <c r="C47">
        <v>55985966</v>
      </c>
      <c r="D47">
        <v>55490324</v>
      </c>
      <c r="E47">
        <v>1</v>
      </c>
      <c r="F47">
        <v>1</v>
      </c>
      <c r="G47">
        <v>1081</v>
      </c>
      <c r="H47">
        <v>2</v>
      </c>
      <c r="I47" t="s">
        <v>493</v>
      </c>
      <c r="J47" t="s">
        <v>494</v>
      </c>
      <c r="K47" t="s">
        <v>495</v>
      </c>
      <c r="L47">
        <v>1368</v>
      </c>
      <c r="N47">
        <v>1011</v>
      </c>
      <c r="O47" t="s">
        <v>455</v>
      </c>
      <c r="P47" t="s">
        <v>455</v>
      </c>
      <c r="Q47">
        <v>1</v>
      </c>
      <c r="W47">
        <v>0</v>
      </c>
      <c r="X47">
        <v>1906446486</v>
      </c>
      <c r="Y47">
        <f>((AT47*1.2)*0.3)</f>
        <v>7.9487999999999994</v>
      </c>
      <c r="AA47">
        <v>0</v>
      </c>
      <c r="AB47">
        <v>0.37</v>
      </c>
      <c r="AC47">
        <v>0</v>
      </c>
      <c r="AD47">
        <v>0</v>
      </c>
      <c r="AE47">
        <v>0</v>
      </c>
      <c r="AF47">
        <v>0.35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22.08</v>
      </c>
      <c r="AU47" t="s">
        <v>25</v>
      </c>
      <c r="AV47">
        <v>0</v>
      </c>
      <c r="AW47">
        <v>2</v>
      </c>
      <c r="AX47">
        <v>55985975</v>
      </c>
      <c r="AY47">
        <v>1</v>
      </c>
      <c r="AZ47">
        <v>0</v>
      </c>
      <c r="BA47">
        <v>61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ROUND(Y47*Source!I42*DO47,9)</f>
        <v>0</v>
      </c>
      <c r="CX47">
        <f>ROUND(Y47*Source!I42,9)</f>
        <v>0.95385600000000004</v>
      </c>
      <c r="CY47">
        <f>AB47</f>
        <v>0.37</v>
      </c>
      <c r="CZ47">
        <f>AF47</f>
        <v>0.35</v>
      </c>
      <c r="DA47">
        <f>AJ47</f>
        <v>1</v>
      </c>
      <c r="DB47">
        <f>ROUND(((ROUND(AT47*CZ47,2)*1.2)*0.3),6)</f>
        <v>2.7827999999999999</v>
      </c>
      <c r="DC47">
        <f>ROUND(((ROUND(AT47*AG47,2)*1.2)*0.3),6)</f>
        <v>0</v>
      </c>
      <c r="DD47" t="s">
        <v>3</v>
      </c>
      <c r="DE47" t="s">
        <v>3</v>
      </c>
      <c r="DF47">
        <f t="shared" si="27"/>
        <v>0</v>
      </c>
      <c r="DG47">
        <f t="shared" si="24"/>
        <v>0.33</v>
      </c>
      <c r="DH47">
        <f t="shared" si="25"/>
        <v>0</v>
      </c>
      <c r="DI47">
        <f t="shared" si="6"/>
        <v>0</v>
      </c>
      <c r="DJ47">
        <f>DG47</f>
        <v>0.33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ROW(Source!A42)</f>
        <v>42</v>
      </c>
      <c r="B48">
        <v>55937296</v>
      </c>
      <c r="C48">
        <v>55985966</v>
      </c>
      <c r="D48">
        <v>55460424</v>
      </c>
      <c r="E48">
        <v>1</v>
      </c>
      <c r="F48">
        <v>1</v>
      </c>
      <c r="G48">
        <v>1081</v>
      </c>
      <c r="H48">
        <v>3</v>
      </c>
      <c r="I48" t="s">
        <v>496</v>
      </c>
      <c r="J48" t="s">
        <v>497</v>
      </c>
      <c r="K48" t="s">
        <v>498</v>
      </c>
      <c r="L48">
        <v>1346</v>
      </c>
      <c r="N48">
        <v>1009</v>
      </c>
      <c r="O48" t="s">
        <v>311</v>
      </c>
      <c r="P48" t="s">
        <v>311</v>
      </c>
      <c r="Q48">
        <v>1</v>
      </c>
      <c r="W48">
        <v>0</v>
      </c>
      <c r="X48">
        <v>1309298634</v>
      </c>
      <c r="Y48">
        <f>((AT48*1)*0)</f>
        <v>0</v>
      </c>
      <c r="AA48">
        <v>159.06</v>
      </c>
      <c r="AB48">
        <v>0</v>
      </c>
      <c r="AC48">
        <v>0</v>
      </c>
      <c r="AD48">
        <v>0</v>
      </c>
      <c r="AE48">
        <v>159.06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0.21</v>
      </c>
      <c r="AU48" t="s">
        <v>24</v>
      </c>
      <c r="AV48">
        <v>0</v>
      </c>
      <c r="AW48">
        <v>2</v>
      </c>
      <c r="AX48">
        <v>55985976</v>
      </c>
      <c r="AY48">
        <v>1</v>
      </c>
      <c r="AZ48">
        <v>0</v>
      </c>
      <c r="BA48">
        <v>62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ROUND(Y48*Source!I42,9)</f>
        <v>0</v>
      </c>
      <c r="CY48">
        <f>AA48</f>
        <v>159.06</v>
      </c>
      <c r="CZ48">
        <f>AE48</f>
        <v>159.06</v>
      </c>
      <c r="DA48">
        <f>AI48</f>
        <v>1</v>
      </c>
      <c r="DB48">
        <f>ROUND(((ROUND(AT48*CZ48,2)*1)*0),6)</f>
        <v>0</v>
      </c>
      <c r="DC48">
        <f>ROUND(((ROUND(AT48*AG48,2)*1)*0),6)</f>
        <v>0</v>
      </c>
      <c r="DD48" t="s">
        <v>3</v>
      </c>
      <c r="DE48" t="s">
        <v>3</v>
      </c>
      <c r="DF48">
        <f t="shared" si="27"/>
        <v>0</v>
      </c>
      <c r="DG48">
        <f t="shared" si="24"/>
        <v>0</v>
      </c>
      <c r="DH48">
        <f t="shared" si="25"/>
        <v>0</v>
      </c>
      <c r="DI48">
        <f t="shared" si="6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ROW(Source!A42)</f>
        <v>42</v>
      </c>
      <c r="B49">
        <v>55937296</v>
      </c>
      <c r="C49">
        <v>55985966</v>
      </c>
      <c r="D49">
        <v>55459340</v>
      </c>
      <c r="E49">
        <v>1</v>
      </c>
      <c r="F49">
        <v>1</v>
      </c>
      <c r="G49">
        <v>1081</v>
      </c>
      <c r="H49">
        <v>3</v>
      </c>
      <c r="I49" t="s">
        <v>459</v>
      </c>
      <c r="J49" t="s">
        <v>460</v>
      </c>
      <c r="K49" t="s">
        <v>461</v>
      </c>
      <c r="L49">
        <v>1354</v>
      </c>
      <c r="N49">
        <v>1010</v>
      </c>
      <c r="O49" t="s">
        <v>217</v>
      </c>
      <c r="P49" t="s">
        <v>217</v>
      </c>
      <c r="Q49">
        <v>1</v>
      </c>
      <c r="W49">
        <v>0</v>
      </c>
      <c r="X49">
        <v>-1352077490</v>
      </c>
      <c r="Y49">
        <f>((AT49*1)*0)</f>
        <v>0</v>
      </c>
      <c r="AA49">
        <v>0.89</v>
      </c>
      <c r="AB49">
        <v>0</v>
      </c>
      <c r="AC49">
        <v>0</v>
      </c>
      <c r="AD49">
        <v>0</v>
      </c>
      <c r="AE49">
        <v>0.89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4.08</v>
      </c>
      <c r="AU49" t="s">
        <v>24</v>
      </c>
      <c r="AV49">
        <v>0</v>
      </c>
      <c r="AW49">
        <v>2</v>
      </c>
      <c r="AX49">
        <v>55985977</v>
      </c>
      <c r="AY49">
        <v>1</v>
      </c>
      <c r="AZ49">
        <v>0</v>
      </c>
      <c r="BA49">
        <v>63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ROUND(Y49*Source!I42,9)</f>
        <v>0</v>
      </c>
      <c r="CY49">
        <f>AA49</f>
        <v>0.89</v>
      </c>
      <c r="CZ49">
        <f>AE49</f>
        <v>0.89</v>
      </c>
      <c r="DA49">
        <f>AI49</f>
        <v>1</v>
      </c>
      <c r="DB49">
        <f>ROUND(((ROUND(AT49*CZ49,2)*1)*0),6)</f>
        <v>0</v>
      </c>
      <c r="DC49">
        <f>ROUND(((ROUND(AT49*AG49,2)*1)*0),6)</f>
        <v>0</v>
      </c>
      <c r="DD49" t="s">
        <v>3</v>
      </c>
      <c r="DE49" t="s">
        <v>3</v>
      </c>
      <c r="DF49">
        <f t="shared" si="27"/>
        <v>0</v>
      </c>
      <c r="DG49">
        <f t="shared" si="24"/>
        <v>0</v>
      </c>
      <c r="DH49">
        <f t="shared" si="25"/>
        <v>0</v>
      </c>
      <c r="DI49">
        <f t="shared" si="6"/>
        <v>0</v>
      </c>
      <c r="DJ49">
        <f>DF49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ROW(Source!A42)</f>
        <v>42</v>
      </c>
      <c r="B50">
        <v>55937296</v>
      </c>
      <c r="C50">
        <v>55985966</v>
      </c>
      <c r="D50">
        <v>55487873</v>
      </c>
      <c r="E50">
        <v>1</v>
      </c>
      <c r="F50">
        <v>1</v>
      </c>
      <c r="G50">
        <v>1081</v>
      </c>
      <c r="H50">
        <v>3</v>
      </c>
      <c r="I50" t="s">
        <v>499</v>
      </c>
      <c r="J50" t="s">
        <v>500</v>
      </c>
      <c r="K50" t="s">
        <v>501</v>
      </c>
      <c r="L50">
        <v>1303</v>
      </c>
      <c r="N50">
        <v>1003</v>
      </c>
      <c r="O50" t="s">
        <v>337</v>
      </c>
      <c r="P50" t="s">
        <v>337</v>
      </c>
      <c r="Q50">
        <v>1000</v>
      </c>
      <c r="W50">
        <v>0</v>
      </c>
      <c r="X50">
        <v>1578855358</v>
      </c>
      <c r="Y50">
        <f>((AT50*1)*0)</f>
        <v>0</v>
      </c>
      <c r="AA50">
        <v>2897.31</v>
      </c>
      <c r="AB50">
        <v>0</v>
      </c>
      <c r="AC50">
        <v>0</v>
      </c>
      <c r="AD50">
        <v>0</v>
      </c>
      <c r="AE50">
        <v>2897.31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1.5299999999999999E-2</v>
      </c>
      <c r="AU50" t="s">
        <v>24</v>
      </c>
      <c r="AV50">
        <v>0</v>
      </c>
      <c r="AW50">
        <v>2</v>
      </c>
      <c r="AX50">
        <v>55985978</v>
      </c>
      <c r="AY50">
        <v>1</v>
      </c>
      <c r="AZ50">
        <v>0</v>
      </c>
      <c r="BA50">
        <v>64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ROUND(Y50*Source!I42,9)</f>
        <v>0</v>
      </c>
      <c r="CY50">
        <f>AA50</f>
        <v>2897.31</v>
      </c>
      <c r="CZ50">
        <f>AE50</f>
        <v>2897.31</v>
      </c>
      <c r="DA50">
        <f>AI50</f>
        <v>1</v>
      </c>
      <c r="DB50">
        <f>ROUND(((ROUND(AT50*CZ50,2)*1)*0),6)</f>
        <v>0</v>
      </c>
      <c r="DC50">
        <f>ROUND(((ROUND(AT50*AG50,2)*1)*0),6)</f>
        <v>0</v>
      </c>
      <c r="DD50" t="s">
        <v>3</v>
      </c>
      <c r="DE50" t="s">
        <v>3</v>
      </c>
      <c r="DF50">
        <f t="shared" si="27"/>
        <v>0</v>
      </c>
      <c r="DG50">
        <f t="shared" si="24"/>
        <v>0</v>
      </c>
      <c r="DH50">
        <f t="shared" si="25"/>
        <v>0</v>
      </c>
      <c r="DI50">
        <f t="shared" si="6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ROW(Source!A43)</f>
        <v>43</v>
      </c>
      <c r="B51">
        <v>55937298</v>
      </c>
      <c r="C51">
        <v>55985966</v>
      </c>
      <c r="D51">
        <v>55424304</v>
      </c>
      <c r="E51">
        <v>1081</v>
      </c>
      <c r="F51">
        <v>1</v>
      </c>
      <c r="G51">
        <v>1081</v>
      </c>
      <c r="H51">
        <v>1</v>
      </c>
      <c r="I51" t="s">
        <v>449</v>
      </c>
      <c r="J51" t="s">
        <v>3</v>
      </c>
      <c r="K51" t="s">
        <v>450</v>
      </c>
      <c r="L51">
        <v>1191</v>
      </c>
      <c r="N51">
        <v>1013</v>
      </c>
      <c r="O51" t="s">
        <v>451</v>
      </c>
      <c r="P51" t="s">
        <v>451</v>
      </c>
      <c r="Q51">
        <v>1</v>
      </c>
      <c r="W51">
        <v>0</v>
      </c>
      <c r="X51">
        <v>476480486</v>
      </c>
      <c r="Y51">
        <f>((AT51*1.2)*0.3)</f>
        <v>30.481199999999998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84.67</v>
      </c>
      <c r="AU51" t="s">
        <v>25</v>
      </c>
      <c r="AV51">
        <v>1</v>
      </c>
      <c r="AW51">
        <v>2</v>
      </c>
      <c r="AX51">
        <v>55985973</v>
      </c>
      <c r="AY51">
        <v>1</v>
      </c>
      <c r="AZ51">
        <v>0</v>
      </c>
      <c r="BA51">
        <v>67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ROUND(AT51*Source!I43*AH51*AL51,2)</f>
        <v>0</v>
      </c>
      <c r="CV51">
        <f>ROUND(Y51*Source!I43,9)</f>
        <v>3.6577440000000001</v>
      </c>
      <c r="CW51">
        <v>0</v>
      </c>
      <c r="CX51">
        <f>ROUND(Y51*Source!I43,9)</f>
        <v>3.6577440000000001</v>
      </c>
      <c r="CY51">
        <f>AD51</f>
        <v>0</v>
      </c>
      <c r="CZ51">
        <f>AH51</f>
        <v>0</v>
      </c>
      <c r="DA51">
        <f>AL51</f>
        <v>1</v>
      </c>
      <c r="DB51">
        <f>ROUND(((ROUND(AT51*CZ51,2)*1.2)*0.3),6)</f>
        <v>0</v>
      </c>
      <c r="DC51">
        <f>ROUND(((ROUND(AT51*AG51,2)*1.2)*0.3),6)</f>
        <v>0</v>
      </c>
      <c r="DD51" t="s">
        <v>3</v>
      </c>
      <c r="DE51" t="s">
        <v>3</v>
      </c>
      <c r="DF51">
        <f t="shared" si="27"/>
        <v>0</v>
      </c>
      <c r="DG51">
        <f t="shared" si="24"/>
        <v>0</v>
      </c>
      <c r="DH51">
        <f t="shared" si="25"/>
        <v>0</v>
      </c>
      <c r="DI51">
        <f t="shared" si="6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ROW(Source!A43)</f>
        <v>43</v>
      </c>
      <c r="B52">
        <v>55937298</v>
      </c>
      <c r="C52">
        <v>55985966</v>
      </c>
      <c r="D52">
        <v>55490209</v>
      </c>
      <c r="E52">
        <v>1</v>
      </c>
      <c r="F52">
        <v>1</v>
      </c>
      <c r="G52">
        <v>1081</v>
      </c>
      <c r="H52">
        <v>2</v>
      </c>
      <c r="I52" t="s">
        <v>489</v>
      </c>
      <c r="J52" t="s">
        <v>490</v>
      </c>
      <c r="K52" t="s">
        <v>491</v>
      </c>
      <c r="L52">
        <v>1368</v>
      </c>
      <c r="N52">
        <v>1011</v>
      </c>
      <c r="O52" t="s">
        <v>455</v>
      </c>
      <c r="P52" t="s">
        <v>455</v>
      </c>
      <c r="Q52">
        <v>1</v>
      </c>
      <c r="W52">
        <v>0</v>
      </c>
      <c r="X52">
        <v>874612079</v>
      </c>
      <c r="Y52">
        <f>((AT52*1.2)*0.3)</f>
        <v>0.37079999999999996</v>
      </c>
      <c r="AA52">
        <v>0</v>
      </c>
      <c r="AB52">
        <v>1485.19</v>
      </c>
      <c r="AC52">
        <v>744.56</v>
      </c>
      <c r="AD52">
        <v>0</v>
      </c>
      <c r="AE52">
        <v>0</v>
      </c>
      <c r="AF52">
        <v>83.1</v>
      </c>
      <c r="AG52">
        <v>12.62</v>
      </c>
      <c r="AH52">
        <v>0</v>
      </c>
      <c r="AI52">
        <v>1</v>
      </c>
      <c r="AJ52">
        <v>17.07</v>
      </c>
      <c r="AK52">
        <v>56.35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1.03</v>
      </c>
      <c r="AU52" t="s">
        <v>25</v>
      </c>
      <c r="AV52">
        <v>0</v>
      </c>
      <c r="AW52">
        <v>2</v>
      </c>
      <c r="AX52">
        <v>55985974</v>
      </c>
      <c r="AY52">
        <v>1</v>
      </c>
      <c r="AZ52">
        <v>0</v>
      </c>
      <c r="BA52">
        <v>68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ROUND(Y52*Source!I43*DO52,9)</f>
        <v>0.56153951999999996</v>
      </c>
      <c r="CX52">
        <f>ROUND(Y52*Source!I43,9)</f>
        <v>4.4496000000000001E-2</v>
      </c>
      <c r="CY52">
        <f>AB52</f>
        <v>1485.19</v>
      </c>
      <c r="CZ52">
        <f>AF52</f>
        <v>83.1</v>
      </c>
      <c r="DA52">
        <f>AJ52</f>
        <v>17.07</v>
      </c>
      <c r="DB52">
        <f>ROUND(((ROUND(AT52*CZ52,2)*1.2)*0.3),6)</f>
        <v>30.8124</v>
      </c>
      <c r="DC52">
        <f>ROUND(((ROUND(AT52*AG52,2)*1.2)*0.3),6)</f>
        <v>4.68</v>
      </c>
      <c r="DD52" t="s">
        <v>3</v>
      </c>
      <c r="DE52" t="s">
        <v>3</v>
      </c>
      <c r="DF52">
        <f t="shared" si="27"/>
        <v>0</v>
      </c>
      <c r="DG52">
        <f>ROUND(ROUND(AF52*AJ52,2)*CX52,2)</f>
        <v>63.12</v>
      </c>
      <c r="DH52">
        <f>ROUND(ROUND(AG52*AK52,2)*CX52,2)</f>
        <v>31.64</v>
      </c>
      <c r="DI52">
        <f t="shared" si="6"/>
        <v>0</v>
      </c>
      <c r="DJ52">
        <f>DG52</f>
        <v>63.12</v>
      </c>
      <c r="DK52">
        <v>0</v>
      </c>
      <c r="DL52" t="s">
        <v>492</v>
      </c>
      <c r="DM52">
        <v>0</v>
      </c>
      <c r="DN52" t="s">
        <v>451</v>
      </c>
      <c r="DO52">
        <v>12.62</v>
      </c>
    </row>
    <row r="53" spans="1:119" x14ac:dyDescent="0.2">
      <c r="A53">
        <f>ROW(Source!A43)</f>
        <v>43</v>
      </c>
      <c r="B53">
        <v>55937298</v>
      </c>
      <c r="C53">
        <v>55985966</v>
      </c>
      <c r="D53">
        <v>55490324</v>
      </c>
      <c r="E53">
        <v>1</v>
      </c>
      <c r="F53">
        <v>1</v>
      </c>
      <c r="G53">
        <v>1081</v>
      </c>
      <c r="H53">
        <v>2</v>
      </c>
      <c r="I53" t="s">
        <v>493</v>
      </c>
      <c r="J53" t="s">
        <v>494</v>
      </c>
      <c r="K53" t="s">
        <v>495</v>
      </c>
      <c r="L53">
        <v>1368</v>
      </c>
      <c r="N53">
        <v>1011</v>
      </c>
      <c r="O53" t="s">
        <v>455</v>
      </c>
      <c r="P53" t="s">
        <v>455</v>
      </c>
      <c r="Q53">
        <v>1</v>
      </c>
      <c r="W53">
        <v>0</v>
      </c>
      <c r="X53">
        <v>1906446486</v>
      </c>
      <c r="Y53">
        <f>((AT53*1.2)*0.3)</f>
        <v>7.9487999999999994</v>
      </c>
      <c r="AA53">
        <v>0</v>
      </c>
      <c r="AB53">
        <v>3.37</v>
      </c>
      <c r="AC53">
        <v>0</v>
      </c>
      <c r="AD53">
        <v>0</v>
      </c>
      <c r="AE53">
        <v>0</v>
      </c>
      <c r="AF53">
        <v>0.35</v>
      </c>
      <c r="AG53">
        <v>0</v>
      </c>
      <c r="AH53">
        <v>0</v>
      </c>
      <c r="AI53">
        <v>1</v>
      </c>
      <c r="AJ53">
        <v>9.1999999999999993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22.08</v>
      </c>
      <c r="AU53" t="s">
        <v>25</v>
      </c>
      <c r="AV53">
        <v>0</v>
      </c>
      <c r="AW53">
        <v>2</v>
      </c>
      <c r="AX53">
        <v>55985975</v>
      </c>
      <c r="AY53">
        <v>1</v>
      </c>
      <c r="AZ53">
        <v>0</v>
      </c>
      <c r="BA53">
        <v>69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ROUND(Y53*Source!I43*DO53,9)</f>
        <v>0</v>
      </c>
      <c r="CX53">
        <f>ROUND(Y53*Source!I43,9)</f>
        <v>0.95385600000000004</v>
      </c>
      <c r="CY53">
        <f>AB53</f>
        <v>3.37</v>
      </c>
      <c r="CZ53">
        <f>AF53</f>
        <v>0.35</v>
      </c>
      <c r="DA53">
        <f>AJ53</f>
        <v>9.1999999999999993</v>
      </c>
      <c r="DB53">
        <f>ROUND(((ROUND(AT53*CZ53,2)*1.2)*0.3),6)</f>
        <v>2.7827999999999999</v>
      </c>
      <c r="DC53">
        <f>ROUND(((ROUND(AT53*AG53,2)*1.2)*0.3),6)</f>
        <v>0</v>
      </c>
      <c r="DD53" t="s">
        <v>3</v>
      </c>
      <c r="DE53" t="s">
        <v>3</v>
      </c>
      <c r="DF53">
        <f t="shared" si="27"/>
        <v>0</v>
      </c>
      <c r="DG53">
        <f>ROUND(ROUND(AF53*AJ53,2)*CX53,2)</f>
        <v>3.07</v>
      </c>
      <c r="DH53">
        <f t="shared" ref="DH53:DH74" si="28">ROUND(ROUND(AG53,2)*CX53,2)</f>
        <v>0</v>
      </c>
      <c r="DI53">
        <f t="shared" si="6"/>
        <v>0</v>
      </c>
      <c r="DJ53">
        <f>DG53</f>
        <v>3.07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ROW(Source!A43)</f>
        <v>43</v>
      </c>
      <c r="B54">
        <v>55937298</v>
      </c>
      <c r="C54">
        <v>55985966</v>
      </c>
      <c r="D54">
        <v>55460424</v>
      </c>
      <c r="E54">
        <v>1</v>
      </c>
      <c r="F54">
        <v>1</v>
      </c>
      <c r="G54">
        <v>1081</v>
      </c>
      <c r="H54">
        <v>3</v>
      </c>
      <c r="I54" t="s">
        <v>496</v>
      </c>
      <c r="J54" t="s">
        <v>497</v>
      </c>
      <c r="K54" t="s">
        <v>498</v>
      </c>
      <c r="L54">
        <v>1346</v>
      </c>
      <c r="N54">
        <v>1009</v>
      </c>
      <c r="O54" t="s">
        <v>311</v>
      </c>
      <c r="P54" t="s">
        <v>311</v>
      </c>
      <c r="Q54">
        <v>1</v>
      </c>
      <c r="W54">
        <v>0</v>
      </c>
      <c r="X54">
        <v>1309298634</v>
      </c>
      <c r="Y54">
        <f>((AT54*1)*0)</f>
        <v>0</v>
      </c>
      <c r="AA54">
        <v>286.31</v>
      </c>
      <c r="AB54">
        <v>0</v>
      </c>
      <c r="AC54">
        <v>0</v>
      </c>
      <c r="AD54">
        <v>0</v>
      </c>
      <c r="AE54">
        <v>159.06</v>
      </c>
      <c r="AF54">
        <v>0</v>
      </c>
      <c r="AG54">
        <v>0</v>
      </c>
      <c r="AH54">
        <v>0</v>
      </c>
      <c r="AI54">
        <v>1.8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0.21</v>
      </c>
      <c r="AU54" t="s">
        <v>24</v>
      </c>
      <c r="AV54">
        <v>0</v>
      </c>
      <c r="AW54">
        <v>2</v>
      </c>
      <c r="AX54">
        <v>55985976</v>
      </c>
      <c r="AY54">
        <v>1</v>
      </c>
      <c r="AZ54">
        <v>0</v>
      </c>
      <c r="BA54">
        <v>70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ROUND(Y54*Source!I43,9)</f>
        <v>0</v>
      </c>
      <c r="CY54">
        <f>AA54</f>
        <v>286.31</v>
      </c>
      <c r="CZ54">
        <f>AE54</f>
        <v>159.06</v>
      </c>
      <c r="DA54">
        <f>AI54</f>
        <v>1.8</v>
      </c>
      <c r="DB54">
        <f>ROUND(((ROUND(AT54*CZ54,2)*1)*0),6)</f>
        <v>0</v>
      </c>
      <c r="DC54">
        <f>ROUND(((ROUND(AT54*AG54,2)*1)*0),6)</f>
        <v>0</v>
      </c>
      <c r="DD54" t="s">
        <v>3</v>
      </c>
      <c r="DE54" t="s">
        <v>3</v>
      </c>
      <c r="DF54">
        <f>ROUND(ROUND(AE54*AI54,2)*CX54,2)</f>
        <v>0</v>
      </c>
      <c r="DG54">
        <f t="shared" ref="DG54:DG63" si="29">ROUND(ROUND(AF54,2)*CX54,2)</f>
        <v>0</v>
      </c>
      <c r="DH54">
        <f t="shared" si="28"/>
        <v>0</v>
      </c>
      <c r="DI54">
        <f t="shared" si="6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ROW(Source!A43)</f>
        <v>43</v>
      </c>
      <c r="B55">
        <v>55937298</v>
      </c>
      <c r="C55">
        <v>55985966</v>
      </c>
      <c r="D55">
        <v>55459340</v>
      </c>
      <c r="E55">
        <v>1</v>
      </c>
      <c r="F55">
        <v>1</v>
      </c>
      <c r="G55">
        <v>1081</v>
      </c>
      <c r="H55">
        <v>3</v>
      </c>
      <c r="I55" t="s">
        <v>459</v>
      </c>
      <c r="J55" t="s">
        <v>460</v>
      </c>
      <c r="K55" t="s">
        <v>461</v>
      </c>
      <c r="L55">
        <v>1354</v>
      </c>
      <c r="N55">
        <v>1010</v>
      </c>
      <c r="O55" t="s">
        <v>217</v>
      </c>
      <c r="P55" t="s">
        <v>217</v>
      </c>
      <c r="Q55">
        <v>1</v>
      </c>
      <c r="W55">
        <v>0</v>
      </c>
      <c r="X55">
        <v>-1352077490</v>
      </c>
      <c r="Y55">
        <f>((AT55*1)*0)</f>
        <v>0</v>
      </c>
      <c r="AA55">
        <v>0.83</v>
      </c>
      <c r="AB55">
        <v>0</v>
      </c>
      <c r="AC55">
        <v>0</v>
      </c>
      <c r="AD55">
        <v>0</v>
      </c>
      <c r="AE55">
        <v>0.89</v>
      </c>
      <c r="AF55">
        <v>0</v>
      </c>
      <c r="AG55">
        <v>0</v>
      </c>
      <c r="AH55">
        <v>0</v>
      </c>
      <c r="AI55">
        <v>0.93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4.08</v>
      </c>
      <c r="AU55" t="s">
        <v>24</v>
      </c>
      <c r="AV55">
        <v>0</v>
      </c>
      <c r="AW55">
        <v>2</v>
      </c>
      <c r="AX55">
        <v>55985977</v>
      </c>
      <c r="AY55">
        <v>1</v>
      </c>
      <c r="AZ55">
        <v>0</v>
      </c>
      <c r="BA55">
        <v>71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ROUND(Y55*Source!I43,9)</f>
        <v>0</v>
      </c>
      <c r="CY55">
        <f>AA55</f>
        <v>0.83</v>
      </c>
      <c r="CZ55">
        <f>AE55</f>
        <v>0.89</v>
      </c>
      <c r="DA55">
        <f>AI55</f>
        <v>0.93</v>
      </c>
      <c r="DB55">
        <f>ROUND(((ROUND(AT55*CZ55,2)*1)*0),6)</f>
        <v>0</v>
      </c>
      <c r="DC55">
        <f>ROUND(((ROUND(AT55*AG55,2)*1)*0),6)</f>
        <v>0</v>
      </c>
      <c r="DD55" t="s">
        <v>3</v>
      </c>
      <c r="DE55" t="s">
        <v>3</v>
      </c>
      <c r="DF55">
        <f>ROUND(ROUND(AE55*AI55,2)*CX55,2)</f>
        <v>0</v>
      </c>
      <c r="DG55">
        <f t="shared" si="29"/>
        <v>0</v>
      </c>
      <c r="DH55">
        <f t="shared" si="28"/>
        <v>0</v>
      </c>
      <c r="DI55">
        <f t="shared" si="6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ROW(Source!A43)</f>
        <v>43</v>
      </c>
      <c r="B56">
        <v>55937298</v>
      </c>
      <c r="C56">
        <v>55985966</v>
      </c>
      <c r="D56">
        <v>55487873</v>
      </c>
      <c r="E56">
        <v>1</v>
      </c>
      <c r="F56">
        <v>1</v>
      </c>
      <c r="G56">
        <v>1081</v>
      </c>
      <c r="H56">
        <v>3</v>
      </c>
      <c r="I56" t="s">
        <v>499</v>
      </c>
      <c r="J56" t="s">
        <v>500</v>
      </c>
      <c r="K56" t="s">
        <v>501</v>
      </c>
      <c r="L56">
        <v>1303</v>
      </c>
      <c r="N56">
        <v>1003</v>
      </c>
      <c r="O56" t="s">
        <v>337</v>
      </c>
      <c r="P56" t="s">
        <v>337</v>
      </c>
      <c r="Q56">
        <v>1000</v>
      </c>
      <c r="W56">
        <v>0</v>
      </c>
      <c r="X56">
        <v>1578855358</v>
      </c>
      <c r="Y56">
        <f>((AT56*1)*0)</f>
        <v>0</v>
      </c>
      <c r="AA56">
        <v>52499.26</v>
      </c>
      <c r="AB56">
        <v>0</v>
      </c>
      <c r="AC56">
        <v>0</v>
      </c>
      <c r="AD56">
        <v>0</v>
      </c>
      <c r="AE56">
        <v>2897.31</v>
      </c>
      <c r="AF56">
        <v>0</v>
      </c>
      <c r="AG56">
        <v>0</v>
      </c>
      <c r="AH56">
        <v>0</v>
      </c>
      <c r="AI56">
        <v>18.12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1.5299999999999999E-2</v>
      </c>
      <c r="AU56" t="s">
        <v>24</v>
      </c>
      <c r="AV56">
        <v>0</v>
      </c>
      <c r="AW56">
        <v>2</v>
      </c>
      <c r="AX56">
        <v>55985978</v>
      </c>
      <c r="AY56">
        <v>1</v>
      </c>
      <c r="AZ56">
        <v>0</v>
      </c>
      <c r="BA56">
        <v>72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ROUND(Y56*Source!I43,9)</f>
        <v>0</v>
      </c>
      <c r="CY56">
        <f>AA56</f>
        <v>52499.26</v>
      </c>
      <c r="CZ56">
        <f>AE56</f>
        <v>2897.31</v>
      </c>
      <c r="DA56">
        <f>AI56</f>
        <v>18.12</v>
      </c>
      <c r="DB56">
        <f>ROUND(((ROUND(AT56*CZ56,2)*1)*0),6)</f>
        <v>0</v>
      </c>
      <c r="DC56">
        <f>ROUND(((ROUND(AT56*AG56,2)*1)*0),6)</f>
        <v>0</v>
      </c>
      <c r="DD56" t="s">
        <v>3</v>
      </c>
      <c r="DE56" t="s">
        <v>3</v>
      </c>
      <c r="DF56">
        <f>ROUND(ROUND(AE56*AI56,2)*CX56,2)</f>
        <v>0</v>
      </c>
      <c r="DG56">
        <f t="shared" si="29"/>
        <v>0</v>
      </c>
      <c r="DH56">
        <f t="shared" si="28"/>
        <v>0</v>
      </c>
      <c r="DI56">
        <f t="shared" si="6"/>
        <v>0</v>
      </c>
      <c r="DJ56">
        <f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ROW(Source!A44)</f>
        <v>44</v>
      </c>
      <c r="B57">
        <v>55937296</v>
      </c>
      <c r="C57">
        <v>55985981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449</v>
      </c>
      <c r="J57" t="s">
        <v>3</v>
      </c>
      <c r="K57" t="s">
        <v>450</v>
      </c>
      <c r="L57">
        <v>1191</v>
      </c>
      <c r="N57">
        <v>1013</v>
      </c>
      <c r="O57" t="s">
        <v>451</v>
      </c>
      <c r="P57" t="s">
        <v>451</v>
      </c>
      <c r="Q57">
        <v>1</v>
      </c>
      <c r="W57">
        <v>0</v>
      </c>
      <c r="X57">
        <v>476480486</v>
      </c>
      <c r="Y57">
        <f>((AT57*1.2)*0.3)</f>
        <v>0.6048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1.68</v>
      </c>
      <c r="AU57" t="s">
        <v>25</v>
      </c>
      <c r="AV57">
        <v>1</v>
      </c>
      <c r="AW57">
        <v>2</v>
      </c>
      <c r="AX57">
        <v>55985983</v>
      </c>
      <c r="AY57">
        <v>1</v>
      </c>
      <c r="AZ57">
        <v>0</v>
      </c>
      <c r="BA57">
        <v>75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ROUND(AT57*Source!I44*AH57*AL57,2)</f>
        <v>0</v>
      </c>
      <c r="CV57">
        <f>ROUND(Y57*Source!I44,9)</f>
        <v>2.4192</v>
      </c>
      <c r="CW57">
        <v>0</v>
      </c>
      <c r="CX57">
        <f>ROUND(Y57*Source!I44,9)</f>
        <v>2.4192</v>
      </c>
      <c r="CY57">
        <f>AD57</f>
        <v>0</v>
      </c>
      <c r="CZ57">
        <f>AH57</f>
        <v>0</v>
      </c>
      <c r="DA57">
        <f>AL57</f>
        <v>1</v>
      </c>
      <c r="DB57">
        <f>ROUND(((ROUND(AT57*CZ57,2)*1.2)*0.3),6)</f>
        <v>0</v>
      </c>
      <c r="DC57">
        <f>ROUND(((ROUND(AT57*AG57,2)*1.2)*0.3),6)</f>
        <v>0</v>
      </c>
      <c r="DD57" t="s">
        <v>3</v>
      </c>
      <c r="DE57" t="s">
        <v>3</v>
      </c>
      <c r="DF57">
        <f t="shared" ref="DF57:DF64" si="30">ROUND(ROUND(AE57,2)*CX57,2)</f>
        <v>0</v>
      </c>
      <c r="DG57">
        <f t="shared" si="29"/>
        <v>0</v>
      </c>
      <c r="DH57">
        <f t="shared" si="28"/>
        <v>0</v>
      </c>
      <c r="DI57">
        <f t="shared" si="6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ROW(Source!A45)</f>
        <v>45</v>
      </c>
      <c r="B58">
        <v>55937298</v>
      </c>
      <c r="C58">
        <v>55985981</v>
      </c>
      <c r="D58">
        <v>55424304</v>
      </c>
      <c r="E58">
        <v>1081</v>
      </c>
      <c r="F58">
        <v>1</v>
      </c>
      <c r="G58">
        <v>1081</v>
      </c>
      <c r="H58">
        <v>1</v>
      </c>
      <c r="I58" t="s">
        <v>449</v>
      </c>
      <c r="J58" t="s">
        <v>3</v>
      </c>
      <c r="K58" t="s">
        <v>450</v>
      </c>
      <c r="L58">
        <v>1191</v>
      </c>
      <c r="N58">
        <v>1013</v>
      </c>
      <c r="O58" t="s">
        <v>451</v>
      </c>
      <c r="P58" t="s">
        <v>451</v>
      </c>
      <c r="Q58">
        <v>1</v>
      </c>
      <c r="W58">
        <v>0</v>
      </c>
      <c r="X58">
        <v>476480486</v>
      </c>
      <c r="Y58">
        <f>((AT58*1.2)*0.3)</f>
        <v>0.6048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5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1.68</v>
      </c>
      <c r="AU58" t="s">
        <v>25</v>
      </c>
      <c r="AV58">
        <v>1</v>
      </c>
      <c r="AW58">
        <v>2</v>
      </c>
      <c r="AX58">
        <v>55985983</v>
      </c>
      <c r="AY58">
        <v>1</v>
      </c>
      <c r="AZ58">
        <v>0</v>
      </c>
      <c r="BA58">
        <v>76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U58">
        <f>ROUND(AT58*Source!I45*AH58*AL58,2)</f>
        <v>0</v>
      </c>
      <c r="CV58">
        <f>ROUND(Y58*Source!I45,9)</f>
        <v>2.4192</v>
      </c>
      <c r="CW58">
        <v>0</v>
      </c>
      <c r="CX58">
        <f>ROUND(Y58*Source!I45,9)</f>
        <v>2.4192</v>
      </c>
      <c r="CY58">
        <f>AD58</f>
        <v>0</v>
      </c>
      <c r="CZ58">
        <f>AH58</f>
        <v>0</v>
      </c>
      <c r="DA58">
        <f>AL58</f>
        <v>1</v>
      </c>
      <c r="DB58">
        <f>ROUND(((ROUND(AT58*CZ58,2)*1.2)*0.3),6)</f>
        <v>0</v>
      </c>
      <c r="DC58">
        <f>ROUND(((ROUND(AT58*AG58,2)*1.2)*0.3),6)</f>
        <v>0</v>
      </c>
      <c r="DD58" t="s">
        <v>3</v>
      </c>
      <c r="DE58" t="s">
        <v>3</v>
      </c>
      <c r="DF58">
        <f t="shared" si="30"/>
        <v>0</v>
      </c>
      <c r="DG58">
        <f t="shared" si="29"/>
        <v>0</v>
      </c>
      <c r="DH58">
        <f t="shared" si="28"/>
        <v>0</v>
      </c>
      <c r="DI58">
        <f t="shared" si="6"/>
        <v>0</v>
      </c>
      <c r="DJ58">
        <f>DI58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ROW(Source!A46)</f>
        <v>46</v>
      </c>
      <c r="B59">
        <v>55937296</v>
      </c>
      <c r="C59">
        <v>55985984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449</v>
      </c>
      <c r="J59" t="s">
        <v>3</v>
      </c>
      <c r="K59" t="s">
        <v>450</v>
      </c>
      <c r="L59">
        <v>1191</v>
      </c>
      <c r="N59">
        <v>1013</v>
      </c>
      <c r="O59" t="s">
        <v>451</v>
      </c>
      <c r="P59" t="s">
        <v>451</v>
      </c>
      <c r="Q59">
        <v>1</v>
      </c>
      <c r="W59">
        <v>0</v>
      </c>
      <c r="X59">
        <v>476480486</v>
      </c>
      <c r="Y59">
        <f>((AT59*1.2)*0.3)</f>
        <v>0.216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0.6</v>
      </c>
      <c r="AU59" t="s">
        <v>25</v>
      </c>
      <c r="AV59">
        <v>1</v>
      </c>
      <c r="AW59">
        <v>2</v>
      </c>
      <c r="AX59">
        <v>55985989</v>
      </c>
      <c r="AY59">
        <v>1</v>
      </c>
      <c r="AZ59">
        <v>0</v>
      </c>
      <c r="BA59">
        <v>77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ROUND(AT59*Source!I46*AH59*AL59,2)</f>
        <v>0</v>
      </c>
      <c r="CV59">
        <f>ROUND(Y59*Source!I46,9)</f>
        <v>1.944</v>
      </c>
      <c r="CW59">
        <v>0</v>
      </c>
      <c r="CX59">
        <f>ROUND(Y59*Source!I46,9)</f>
        <v>1.944</v>
      </c>
      <c r="CY59">
        <f>AD59</f>
        <v>0</v>
      </c>
      <c r="CZ59">
        <f>AH59</f>
        <v>0</v>
      </c>
      <c r="DA59">
        <f>AL59</f>
        <v>1</v>
      </c>
      <c r="DB59">
        <f>ROUND(((ROUND(AT59*CZ59,2)*1.2)*0.3),6)</f>
        <v>0</v>
      </c>
      <c r="DC59">
        <f>ROUND(((ROUND(AT59*AG59,2)*1.2)*0.3),6)</f>
        <v>0</v>
      </c>
      <c r="DD59" t="s">
        <v>3</v>
      </c>
      <c r="DE59" t="s">
        <v>3</v>
      </c>
      <c r="DF59">
        <f t="shared" si="30"/>
        <v>0</v>
      </c>
      <c r="DG59">
        <f t="shared" si="29"/>
        <v>0</v>
      </c>
      <c r="DH59">
        <f t="shared" si="28"/>
        <v>0</v>
      </c>
      <c r="DI59">
        <f t="shared" si="6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ROW(Source!A46)</f>
        <v>46</v>
      </c>
      <c r="B60">
        <v>55937296</v>
      </c>
      <c r="C60">
        <v>55985984</v>
      </c>
      <c r="D60">
        <v>55490263</v>
      </c>
      <c r="E60">
        <v>1</v>
      </c>
      <c r="F60">
        <v>1</v>
      </c>
      <c r="G60">
        <v>1081</v>
      </c>
      <c r="H60">
        <v>2</v>
      </c>
      <c r="I60" t="s">
        <v>502</v>
      </c>
      <c r="J60" t="s">
        <v>503</v>
      </c>
      <c r="K60" t="s">
        <v>504</v>
      </c>
      <c r="L60">
        <v>1368</v>
      </c>
      <c r="N60">
        <v>1011</v>
      </c>
      <c r="O60" t="s">
        <v>455</v>
      </c>
      <c r="P60" t="s">
        <v>455</v>
      </c>
      <c r="Q60">
        <v>1</v>
      </c>
      <c r="W60">
        <v>0</v>
      </c>
      <c r="X60">
        <v>-1895752648</v>
      </c>
      <c r="Y60">
        <f>((AT60*1.2)*0.3)</f>
        <v>2.1599999999999998E-2</v>
      </c>
      <c r="AA60">
        <v>0</v>
      </c>
      <c r="AB60">
        <v>0.82</v>
      </c>
      <c r="AC60">
        <v>0</v>
      </c>
      <c r="AD60">
        <v>0</v>
      </c>
      <c r="AE60">
        <v>0</v>
      </c>
      <c r="AF60">
        <v>0.77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0.06</v>
      </c>
      <c r="AU60" t="s">
        <v>25</v>
      </c>
      <c r="AV60">
        <v>0</v>
      </c>
      <c r="AW60">
        <v>2</v>
      </c>
      <c r="AX60">
        <v>55985990</v>
      </c>
      <c r="AY60">
        <v>1</v>
      </c>
      <c r="AZ60">
        <v>0</v>
      </c>
      <c r="BA60">
        <v>78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ROUND(Y60*Source!I46*DO60,9)</f>
        <v>0</v>
      </c>
      <c r="CX60">
        <f>ROUND(Y60*Source!I46,9)</f>
        <v>0.19439999999999999</v>
      </c>
      <c r="CY60">
        <f>AB60</f>
        <v>0.82</v>
      </c>
      <c r="CZ60">
        <f>AF60</f>
        <v>0.77</v>
      </c>
      <c r="DA60">
        <f>AJ60</f>
        <v>1</v>
      </c>
      <c r="DB60">
        <f>ROUND(((ROUND(AT60*CZ60,2)*1.2)*0.3),6)</f>
        <v>1.7999999999999999E-2</v>
      </c>
      <c r="DC60">
        <f>ROUND(((ROUND(AT60*AG60,2)*1.2)*0.3),6)</f>
        <v>0</v>
      </c>
      <c r="DD60" t="s">
        <v>3</v>
      </c>
      <c r="DE60" t="s">
        <v>3</v>
      </c>
      <c r="DF60">
        <f t="shared" si="30"/>
        <v>0</v>
      </c>
      <c r="DG60">
        <f t="shared" si="29"/>
        <v>0.15</v>
      </c>
      <c r="DH60">
        <f t="shared" si="28"/>
        <v>0</v>
      </c>
      <c r="DI60">
        <f t="shared" si="6"/>
        <v>0</v>
      </c>
      <c r="DJ60">
        <f>DG60</f>
        <v>0.15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ROW(Source!A46)</f>
        <v>46</v>
      </c>
      <c r="B61">
        <v>55937296</v>
      </c>
      <c r="C61">
        <v>55985984</v>
      </c>
      <c r="D61">
        <v>55461072</v>
      </c>
      <c r="E61">
        <v>1</v>
      </c>
      <c r="F61">
        <v>1</v>
      </c>
      <c r="G61">
        <v>1081</v>
      </c>
      <c r="H61">
        <v>3</v>
      </c>
      <c r="I61" t="s">
        <v>505</v>
      </c>
      <c r="J61" t="s">
        <v>506</v>
      </c>
      <c r="K61" t="s">
        <v>507</v>
      </c>
      <c r="L61">
        <v>1348</v>
      </c>
      <c r="N61">
        <v>1009</v>
      </c>
      <c r="O61" t="s">
        <v>287</v>
      </c>
      <c r="P61" t="s">
        <v>287</v>
      </c>
      <c r="Q61">
        <v>1000</v>
      </c>
      <c r="W61">
        <v>0</v>
      </c>
      <c r="X61">
        <v>895851324</v>
      </c>
      <c r="Y61">
        <f>((AT61*1)*0)</f>
        <v>0</v>
      </c>
      <c r="AA61">
        <v>38894.449999999997</v>
      </c>
      <c r="AB61">
        <v>0</v>
      </c>
      <c r="AC61">
        <v>0</v>
      </c>
      <c r="AD61">
        <v>0</v>
      </c>
      <c r="AE61">
        <v>37835.07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3.0000000000000001E-5</v>
      </c>
      <c r="AU61" t="s">
        <v>24</v>
      </c>
      <c r="AV61">
        <v>0</v>
      </c>
      <c r="AW61">
        <v>2</v>
      </c>
      <c r="AX61">
        <v>55985992</v>
      </c>
      <c r="AY61">
        <v>1</v>
      </c>
      <c r="AZ61">
        <v>0</v>
      </c>
      <c r="BA61">
        <v>80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ROUND(Y61*Source!I46,9)</f>
        <v>0</v>
      </c>
      <c r="CY61">
        <f>AA61</f>
        <v>38894.449999999997</v>
      </c>
      <c r="CZ61">
        <f>AE61</f>
        <v>37835.07</v>
      </c>
      <c r="DA61">
        <f>AI61</f>
        <v>1</v>
      </c>
      <c r="DB61">
        <f>ROUND(((ROUND(AT61*CZ61,2)*1)*0),6)</f>
        <v>0</v>
      </c>
      <c r="DC61">
        <f>ROUND(((ROUND(AT61*AG61,2)*1)*0),6)</f>
        <v>0</v>
      </c>
      <c r="DD61" t="s">
        <v>3</v>
      </c>
      <c r="DE61" t="s">
        <v>3</v>
      </c>
      <c r="DF61">
        <f t="shared" si="30"/>
        <v>0</v>
      </c>
      <c r="DG61">
        <f t="shared" si="29"/>
        <v>0</v>
      </c>
      <c r="DH61">
        <f t="shared" si="28"/>
        <v>0</v>
      </c>
      <c r="DI61">
        <f t="shared" si="6"/>
        <v>0</v>
      </c>
      <c r="DJ61">
        <f>DF61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ROW(Source!A46)</f>
        <v>46</v>
      </c>
      <c r="B62">
        <v>55937296</v>
      </c>
      <c r="C62">
        <v>55985984</v>
      </c>
      <c r="D62">
        <v>55461761</v>
      </c>
      <c r="E62">
        <v>1</v>
      </c>
      <c r="F62">
        <v>1</v>
      </c>
      <c r="G62">
        <v>1081</v>
      </c>
      <c r="H62">
        <v>3</v>
      </c>
      <c r="I62" t="s">
        <v>508</v>
      </c>
      <c r="J62" t="s">
        <v>509</v>
      </c>
      <c r="K62" t="s">
        <v>510</v>
      </c>
      <c r="L62">
        <v>1348</v>
      </c>
      <c r="N62">
        <v>1009</v>
      </c>
      <c r="O62" t="s">
        <v>287</v>
      </c>
      <c r="P62" t="s">
        <v>287</v>
      </c>
      <c r="Q62">
        <v>1000</v>
      </c>
      <c r="W62">
        <v>0</v>
      </c>
      <c r="X62">
        <v>893353442</v>
      </c>
      <c r="Y62">
        <f>((AT62*1)*0)</f>
        <v>0</v>
      </c>
      <c r="AA62">
        <v>17525.23</v>
      </c>
      <c r="AB62">
        <v>0</v>
      </c>
      <c r="AC62">
        <v>0</v>
      </c>
      <c r="AD62">
        <v>0</v>
      </c>
      <c r="AE62">
        <v>17047.89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1.0000000000000001E-5</v>
      </c>
      <c r="AU62" t="s">
        <v>24</v>
      </c>
      <c r="AV62">
        <v>0</v>
      </c>
      <c r="AW62">
        <v>2</v>
      </c>
      <c r="AX62">
        <v>55985993</v>
      </c>
      <c r="AY62">
        <v>1</v>
      </c>
      <c r="AZ62">
        <v>0</v>
      </c>
      <c r="BA62">
        <v>81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ROUND(Y62*Source!I46,9)</f>
        <v>0</v>
      </c>
      <c r="CY62">
        <f>AA62</f>
        <v>17525.23</v>
      </c>
      <c r="CZ62">
        <f>AE62</f>
        <v>17047.89</v>
      </c>
      <c r="DA62">
        <f>AI62</f>
        <v>1</v>
      </c>
      <c r="DB62">
        <f>ROUND(((ROUND(AT62*CZ62,2)*1)*0),6)</f>
        <v>0</v>
      </c>
      <c r="DC62">
        <f>ROUND(((ROUND(AT62*AG62,2)*1)*0),6)</f>
        <v>0</v>
      </c>
      <c r="DD62" t="s">
        <v>3</v>
      </c>
      <c r="DE62" t="s">
        <v>3</v>
      </c>
      <c r="DF62">
        <f t="shared" si="30"/>
        <v>0</v>
      </c>
      <c r="DG62">
        <f t="shared" si="29"/>
        <v>0</v>
      </c>
      <c r="DH62">
        <f t="shared" si="28"/>
        <v>0</v>
      </c>
      <c r="DI62">
        <f t="shared" si="6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ROW(Source!A47)</f>
        <v>47</v>
      </c>
      <c r="B63">
        <v>55937298</v>
      </c>
      <c r="C63">
        <v>55985984</v>
      </c>
      <c r="D63">
        <v>55424304</v>
      </c>
      <c r="E63">
        <v>1081</v>
      </c>
      <c r="F63">
        <v>1</v>
      </c>
      <c r="G63">
        <v>1081</v>
      </c>
      <c r="H63">
        <v>1</v>
      </c>
      <c r="I63" t="s">
        <v>449</v>
      </c>
      <c r="J63" t="s">
        <v>3</v>
      </c>
      <c r="K63" t="s">
        <v>450</v>
      </c>
      <c r="L63">
        <v>1191</v>
      </c>
      <c r="N63">
        <v>1013</v>
      </c>
      <c r="O63" t="s">
        <v>451</v>
      </c>
      <c r="P63" t="s">
        <v>451</v>
      </c>
      <c r="Q63">
        <v>1</v>
      </c>
      <c r="W63">
        <v>0</v>
      </c>
      <c r="X63">
        <v>476480486</v>
      </c>
      <c r="Y63">
        <f>((AT63*1.2)*0.3)</f>
        <v>0.216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5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0.6</v>
      </c>
      <c r="AU63" t="s">
        <v>25</v>
      </c>
      <c r="AV63">
        <v>1</v>
      </c>
      <c r="AW63">
        <v>2</v>
      </c>
      <c r="AX63">
        <v>55985989</v>
      </c>
      <c r="AY63">
        <v>1</v>
      </c>
      <c r="AZ63">
        <v>0</v>
      </c>
      <c r="BA63">
        <v>83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ROUND(AT63*Source!I47*AH63*AL63,2)</f>
        <v>0</v>
      </c>
      <c r="CV63">
        <f>ROUND(Y63*Source!I47,9)</f>
        <v>1.944</v>
      </c>
      <c r="CW63">
        <v>0</v>
      </c>
      <c r="CX63">
        <f>ROUND(Y63*Source!I47,9)</f>
        <v>1.944</v>
      </c>
      <c r="CY63">
        <f>AD63</f>
        <v>0</v>
      </c>
      <c r="CZ63">
        <f>AH63</f>
        <v>0</v>
      </c>
      <c r="DA63">
        <f>AL63</f>
        <v>1</v>
      </c>
      <c r="DB63">
        <f>ROUND(((ROUND(AT63*CZ63,2)*1.2)*0.3),6)</f>
        <v>0</v>
      </c>
      <c r="DC63">
        <f>ROUND(((ROUND(AT63*AG63,2)*1.2)*0.3),6)</f>
        <v>0</v>
      </c>
      <c r="DD63" t="s">
        <v>3</v>
      </c>
      <c r="DE63" t="s">
        <v>3</v>
      </c>
      <c r="DF63">
        <f t="shared" si="30"/>
        <v>0</v>
      </c>
      <c r="DG63">
        <f t="shared" si="29"/>
        <v>0</v>
      </c>
      <c r="DH63">
        <f t="shared" si="28"/>
        <v>0</v>
      </c>
      <c r="DI63">
        <f t="shared" si="6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ROW(Source!A47)</f>
        <v>47</v>
      </c>
      <c r="B64">
        <v>55937298</v>
      </c>
      <c r="C64">
        <v>55985984</v>
      </c>
      <c r="D64">
        <v>55490263</v>
      </c>
      <c r="E64">
        <v>1</v>
      </c>
      <c r="F64">
        <v>1</v>
      </c>
      <c r="G64">
        <v>1081</v>
      </c>
      <c r="H64">
        <v>2</v>
      </c>
      <c r="I64" t="s">
        <v>502</v>
      </c>
      <c r="J64" t="s">
        <v>503</v>
      </c>
      <c r="K64" t="s">
        <v>504</v>
      </c>
      <c r="L64">
        <v>1368</v>
      </c>
      <c r="N64">
        <v>1011</v>
      </c>
      <c r="O64" t="s">
        <v>455</v>
      </c>
      <c r="P64" t="s">
        <v>455</v>
      </c>
      <c r="Q64">
        <v>1</v>
      </c>
      <c r="W64">
        <v>0</v>
      </c>
      <c r="X64">
        <v>-1895752648</v>
      </c>
      <c r="Y64">
        <f>((AT64*1.2)*0.3)</f>
        <v>2.1599999999999998E-2</v>
      </c>
      <c r="AA64">
        <v>0</v>
      </c>
      <c r="AB64">
        <v>7.85</v>
      </c>
      <c r="AC64">
        <v>0</v>
      </c>
      <c r="AD64">
        <v>0</v>
      </c>
      <c r="AE64">
        <v>0</v>
      </c>
      <c r="AF64">
        <v>0.77</v>
      </c>
      <c r="AG64">
        <v>0</v>
      </c>
      <c r="AH64">
        <v>0</v>
      </c>
      <c r="AI64">
        <v>1</v>
      </c>
      <c r="AJ64">
        <v>9.56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0.06</v>
      </c>
      <c r="AU64" t="s">
        <v>25</v>
      </c>
      <c r="AV64">
        <v>0</v>
      </c>
      <c r="AW64">
        <v>2</v>
      </c>
      <c r="AX64">
        <v>55985990</v>
      </c>
      <c r="AY64">
        <v>1</v>
      </c>
      <c r="AZ64">
        <v>0</v>
      </c>
      <c r="BA64">
        <v>84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f>ROUND(Y64*Source!I47*DO64,9)</f>
        <v>0</v>
      </c>
      <c r="CX64">
        <f>ROUND(Y64*Source!I47,9)</f>
        <v>0.19439999999999999</v>
      </c>
      <c r="CY64">
        <f>AB64</f>
        <v>7.85</v>
      </c>
      <c r="CZ64">
        <f>AF64</f>
        <v>0.77</v>
      </c>
      <c r="DA64">
        <f>AJ64</f>
        <v>9.56</v>
      </c>
      <c r="DB64">
        <f>ROUND(((ROUND(AT64*CZ64,2)*1.2)*0.3),6)</f>
        <v>1.7999999999999999E-2</v>
      </c>
      <c r="DC64">
        <f>ROUND(((ROUND(AT64*AG64,2)*1.2)*0.3),6)</f>
        <v>0</v>
      </c>
      <c r="DD64" t="s">
        <v>3</v>
      </c>
      <c r="DE64" t="s">
        <v>3</v>
      </c>
      <c r="DF64">
        <f t="shared" si="30"/>
        <v>0</v>
      </c>
      <c r="DG64">
        <f>ROUND(ROUND(AF64*AJ64,2)*CX64,2)</f>
        <v>1.43</v>
      </c>
      <c r="DH64">
        <f t="shared" si="28"/>
        <v>0</v>
      </c>
      <c r="DI64">
        <f t="shared" si="6"/>
        <v>0</v>
      </c>
      <c r="DJ64">
        <f>DG64</f>
        <v>1.43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ROW(Source!A47)</f>
        <v>47</v>
      </c>
      <c r="B65">
        <v>55937298</v>
      </c>
      <c r="C65">
        <v>55985984</v>
      </c>
      <c r="D65">
        <v>55461072</v>
      </c>
      <c r="E65">
        <v>1</v>
      </c>
      <c r="F65">
        <v>1</v>
      </c>
      <c r="G65">
        <v>1081</v>
      </c>
      <c r="H65">
        <v>3</v>
      </c>
      <c r="I65" t="s">
        <v>505</v>
      </c>
      <c r="J65" t="s">
        <v>506</v>
      </c>
      <c r="K65" t="s">
        <v>507</v>
      </c>
      <c r="L65">
        <v>1348</v>
      </c>
      <c r="N65">
        <v>1009</v>
      </c>
      <c r="O65" t="s">
        <v>287</v>
      </c>
      <c r="P65" t="s">
        <v>287</v>
      </c>
      <c r="Q65">
        <v>1000</v>
      </c>
      <c r="W65">
        <v>0</v>
      </c>
      <c r="X65">
        <v>895851324</v>
      </c>
      <c r="Y65">
        <f>((AT65*1)*0)</f>
        <v>0</v>
      </c>
      <c r="AA65">
        <v>95680.35</v>
      </c>
      <c r="AB65">
        <v>0</v>
      </c>
      <c r="AC65">
        <v>0</v>
      </c>
      <c r="AD65">
        <v>0</v>
      </c>
      <c r="AE65">
        <v>37835.07</v>
      </c>
      <c r="AF65">
        <v>0</v>
      </c>
      <c r="AG65">
        <v>0</v>
      </c>
      <c r="AH65">
        <v>0</v>
      </c>
      <c r="AI65">
        <v>2.46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3.0000000000000001E-5</v>
      </c>
      <c r="AU65" t="s">
        <v>24</v>
      </c>
      <c r="AV65">
        <v>0</v>
      </c>
      <c r="AW65">
        <v>2</v>
      </c>
      <c r="AX65">
        <v>55985992</v>
      </c>
      <c r="AY65">
        <v>1</v>
      </c>
      <c r="AZ65">
        <v>0</v>
      </c>
      <c r="BA65">
        <v>86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ROUND(Y65*Source!I47,9)</f>
        <v>0</v>
      </c>
      <c r="CY65">
        <f>AA65</f>
        <v>95680.35</v>
      </c>
      <c r="CZ65">
        <f>AE65</f>
        <v>37835.07</v>
      </c>
      <c r="DA65">
        <f>AI65</f>
        <v>2.46</v>
      </c>
      <c r="DB65">
        <f>ROUND(((ROUND(AT65*CZ65,2)*1)*0),6)</f>
        <v>0</v>
      </c>
      <c r="DC65">
        <f>ROUND(((ROUND(AT65*AG65,2)*1)*0),6)</f>
        <v>0</v>
      </c>
      <c r="DD65" t="s">
        <v>3</v>
      </c>
      <c r="DE65" t="s">
        <v>3</v>
      </c>
      <c r="DF65">
        <f>ROUND(ROUND(AE65*AI65,2)*CX65,2)</f>
        <v>0</v>
      </c>
      <c r="DG65">
        <f t="shared" ref="DG65:DG74" si="31">ROUND(ROUND(AF65,2)*CX65,2)</f>
        <v>0</v>
      </c>
      <c r="DH65">
        <f t="shared" si="28"/>
        <v>0</v>
      </c>
      <c r="DI65">
        <f t="shared" ref="DI65:DI128" si="32">ROUND(ROUND(AH65,2)*CX65,2)</f>
        <v>0</v>
      </c>
      <c r="DJ65">
        <f>DF65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ROW(Source!A47)</f>
        <v>47</v>
      </c>
      <c r="B66">
        <v>55937298</v>
      </c>
      <c r="C66">
        <v>55985984</v>
      </c>
      <c r="D66">
        <v>55461761</v>
      </c>
      <c r="E66">
        <v>1</v>
      </c>
      <c r="F66">
        <v>1</v>
      </c>
      <c r="G66">
        <v>1081</v>
      </c>
      <c r="H66">
        <v>3</v>
      </c>
      <c r="I66" t="s">
        <v>508</v>
      </c>
      <c r="J66" t="s">
        <v>509</v>
      </c>
      <c r="K66" t="s">
        <v>510</v>
      </c>
      <c r="L66">
        <v>1348</v>
      </c>
      <c r="N66">
        <v>1009</v>
      </c>
      <c r="O66" t="s">
        <v>287</v>
      </c>
      <c r="P66" t="s">
        <v>287</v>
      </c>
      <c r="Q66">
        <v>1000</v>
      </c>
      <c r="W66">
        <v>0</v>
      </c>
      <c r="X66">
        <v>893353442</v>
      </c>
      <c r="Y66">
        <f>((AT66*1)*0)</f>
        <v>0</v>
      </c>
      <c r="AA66">
        <v>103223.61</v>
      </c>
      <c r="AB66">
        <v>0</v>
      </c>
      <c r="AC66">
        <v>0</v>
      </c>
      <c r="AD66">
        <v>0</v>
      </c>
      <c r="AE66">
        <v>17047.89</v>
      </c>
      <c r="AF66">
        <v>0</v>
      </c>
      <c r="AG66">
        <v>0</v>
      </c>
      <c r="AH66">
        <v>0</v>
      </c>
      <c r="AI66">
        <v>5.89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1.0000000000000001E-5</v>
      </c>
      <c r="AU66" t="s">
        <v>24</v>
      </c>
      <c r="AV66">
        <v>0</v>
      </c>
      <c r="AW66">
        <v>2</v>
      </c>
      <c r="AX66">
        <v>55985993</v>
      </c>
      <c r="AY66">
        <v>1</v>
      </c>
      <c r="AZ66">
        <v>0</v>
      </c>
      <c r="BA66">
        <v>87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ROUND(Y66*Source!I47,9)</f>
        <v>0</v>
      </c>
      <c r="CY66">
        <f>AA66</f>
        <v>103223.61</v>
      </c>
      <c r="CZ66">
        <f>AE66</f>
        <v>17047.89</v>
      </c>
      <c r="DA66">
        <f>AI66</f>
        <v>5.89</v>
      </c>
      <c r="DB66">
        <f>ROUND(((ROUND(AT66*CZ66,2)*1)*0),6)</f>
        <v>0</v>
      </c>
      <c r="DC66">
        <f>ROUND(((ROUND(AT66*AG66,2)*1)*0),6)</f>
        <v>0</v>
      </c>
      <c r="DD66" t="s">
        <v>3</v>
      </c>
      <c r="DE66" t="s">
        <v>3</v>
      </c>
      <c r="DF66">
        <f>ROUND(ROUND(AE66*AI66,2)*CX66,2)</f>
        <v>0</v>
      </c>
      <c r="DG66">
        <f t="shared" si="31"/>
        <v>0</v>
      </c>
      <c r="DH66">
        <f t="shared" si="28"/>
        <v>0</v>
      </c>
      <c r="DI66">
        <f t="shared" si="32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ROW(Source!A48)</f>
        <v>48</v>
      </c>
      <c r="B67">
        <v>55937296</v>
      </c>
      <c r="C67">
        <v>55985995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449</v>
      </c>
      <c r="J67" t="s">
        <v>3</v>
      </c>
      <c r="K67" t="s">
        <v>450</v>
      </c>
      <c r="L67">
        <v>1191</v>
      </c>
      <c r="N67">
        <v>1013</v>
      </c>
      <c r="O67" t="s">
        <v>451</v>
      </c>
      <c r="P67" t="s">
        <v>451</v>
      </c>
      <c r="Q67">
        <v>1</v>
      </c>
      <c r="W67">
        <v>0</v>
      </c>
      <c r="X67">
        <v>476480486</v>
      </c>
      <c r="Y67">
        <f>(((AT67*1.15)*1.2)*0.6)</f>
        <v>15.218639999999997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18.38</v>
      </c>
      <c r="AU67" t="s">
        <v>79</v>
      </c>
      <c r="AV67">
        <v>1</v>
      </c>
      <c r="AW67">
        <v>2</v>
      </c>
      <c r="AX67">
        <v>55986003</v>
      </c>
      <c r="AY67">
        <v>1</v>
      </c>
      <c r="AZ67">
        <v>0</v>
      </c>
      <c r="BA67">
        <v>89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ROUND(AT67*Source!I48*AH67*AL67,2)</f>
        <v>0</v>
      </c>
      <c r="CV67">
        <f>ROUND(Y67*Source!I48,9)</f>
        <v>6.0874560000000004</v>
      </c>
      <c r="CW67">
        <v>0</v>
      </c>
      <c r="CX67">
        <f>ROUND(Y67*Source!I48,9)</f>
        <v>6.0874560000000004</v>
      </c>
      <c r="CY67">
        <f>AD67</f>
        <v>0</v>
      </c>
      <c r="CZ67">
        <f>AH67</f>
        <v>0</v>
      </c>
      <c r="DA67">
        <f>AL67</f>
        <v>1</v>
      </c>
      <c r="DB67">
        <f>ROUND((((ROUND(AT67*CZ67,2)*1.15)*1.2)*0.6),6)</f>
        <v>0</v>
      </c>
      <c r="DC67">
        <f>ROUND((((ROUND(AT67*AG67,2)*1.15)*1.2)*0.6),6)</f>
        <v>0</v>
      </c>
      <c r="DD67" t="s">
        <v>3</v>
      </c>
      <c r="DE67" t="s">
        <v>3</v>
      </c>
      <c r="DF67">
        <f t="shared" ref="DF67:DF77" si="33">ROUND(ROUND(AE67,2)*CX67,2)</f>
        <v>0</v>
      </c>
      <c r="DG67">
        <f t="shared" si="31"/>
        <v>0</v>
      </c>
      <c r="DH67">
        <f t="shared" si="28"/>
        <v>0</v>
      </c>
      <c r="DI67">
        <f t="shared" si="32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ROW(Source!A48)</f>
        <v>48</v>
      </c>
      <c r="B68">
        <v>55937296</v>
      </c>
      <c r="C68">
        <v>55985995</v>
      </c>
      <c r="D68">
        <v>55490209</v>
      </c>
      <c r="E68">
        <v>1</v>
      </c>
      <c r="F68">
        <v>1</v>
      </c>
      <c r="G68">
        <v>1081</v>
      </c>
      <c r="H68">
        <v>2</v>
      </c>
      <c r="I68" t="s">
        <v>489</v>
      </c>
      <c r="J68" t="s">
        <v>490</v>
      </c>
      <c r="K68" t="s">
        <v>491</v>
      </c>
      <c r="L68">
        <v>1368</v>
      </c>
      <c r="N68">
        <v>1011</v>
      </c>
      <c r="O68" t="s">
        <v>455</v>
      </c>
      <c r="P68" t="s">
        <v>455</v>
      </c>
      <c r="Q68">
        <v>1</v>
      </c>
      <c r="W68">
        <v>0</v>
      </c>
      <c r="X68">
        <v>874612079</v>
      </c>
      <c r="Y68">
        <f>(((AT68*1.25)*1.2)*0.6)</f>
        <v>1.224</v>
      </c>
      <c r="AA68">
        <v>0</v>
      </c>
      <c r="AB68">
        <v>90.33</v>
      </c>
      <c r="AC68">
        <v>13.72</v>
      </c>
      <c r="AD68">
        <v>0</v>
      </c>
      <c r="AE68">
        <v>0</v>
      </c>
      <c r="AF68">
        <v>83.1</v>
      </c>
      <c r="AG68">
        <v>12.62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1.36</v>
      </c>
      <c r="AU68" t="s">
        <v>78</v>
      </c>
      <c r="AV68">
        <v>0</v>
      </c>
      <c r="AW68">
        <v>2</v>
      </c>
      <c r="AX68">
        <v>55986004</v>
      </c>
      <c r="AY68">
        <v>1</v>
      </c>
      <c r="AZ68">
        <v>0</v>
      </c>
      <c r="BA68">
        <v>90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ROUND(Y68*Source!I48*DO68,9)</f>
        <v>6.1787520000000002</v>
      </c>
      <c r="CX68">
        <f>ROUND(Y68*Source!I48,9)</f>
        <v>0.48959999999999998</v>
      </c>
      <c r="CY68">
        <f>AB68</f>
        <v>90.33</v>
      </c>
      <c r="CZ68">
        <f>AF68</f>
        <v>83.1</v>
      </c>
      <c r="DA68">
        <f>AJ68</f>
        <v>1</v>
      </c>
      <c r="DB68">
        <f>ROUND((((ROUND(AT68*CZ68,2)*1.25)*1.2)*0.6),6)</f>
        <v>101.718</v>
      </c>
      <c r="DC68">
        <f>ROUND((((ROUND(AT68*AG68,2)*1.25)*1.2)*0.6),6)</f>
        <v>15.444000000000001</v>
      </c>
      <c r="DD68" t="s">
        <v>3</v>
      </c>
      <c r="DE68" t="s">
        <v>3</v>
      </c>
      <c r="DF68">
        <f t="shared" si="33"/>
        <v>0</v>
      </c>
      <c r="DG68">
        <f t="shared" si="31"/>
        <v>40.69</v>
      </c>
      <c r="DH68">
        <f t="shared" si="28"/>
        <v>6.18</v>
      </c>
      <c r="DI68">
        <f t="shared" si="32"/>
        <v>0</v>
      </c>
      <c r="DJ68">
        <f>DG68</f>
        <v>40.69</v>
      </c>
      <c r="DK68">
        <v>0</v>
      </c>
      <c r="DL68" t="s">
        <v>492</v>
      </c>
      <c r="DM68">
        <v>0</v>
      </c>
      <c r="DN68" t="s">
        <v>451</v>
      </c>
      <c r="DO68">
        <v>12.62</v>
      </c>
    </row>
    <row r="69" spans="1:119" x14ac:dyDescent="0.2">
      <c r="A69">
        <f>ROW(Source!A48)</f>
        <v>48</v>
      </c>
      <c r="B69">
        <v>55937296</v>
      </c>
      <c r="C69">
        <v>55985995</v>
      </c>
      <c r="D69">
        <v>55490331</v>
      </c>
      <c r="E69">
        <v>1</v>
      </c>
      <c r="F69">
        <v>1</v>
      </c>
      <c r="G69">
        <v>1081</v>
      </c>
      <c r="H69">
        <v>2</v>
      </c>
      <c r="I69" t="s">
        <v>456</v>
      </c>
      <c r="J69" t="s">
        <v>457</v>
      </c>
      <c r="K69" t="s">
        <v>458</v>
      </c>
      <c r="L69">
        <v>1368</v>
      </c>
      <c r="N69">
        <v>1011</v>
      </c>
      <c r="O69" t="s">
        <v>455</v>
      </c>
      <c r="P69" t="s">
        <v>455</v>
      </c>
      <c r="Q69">
        <v>1</v>
      </c>
      <c r="W69">
        <v>0</v>
      </c>
      <c r="X69">
        <v>1043446422</v>
      </c>
      <c r="Y69">
        <f>(((AT69*1.25)*1.2)*0.6)</f>
        <v>0.48599999999999999</v>
      </c>
      <c r="AA69">
        <v>0</v>
      </c>
      <c r="AB69">
        <v>1.21</v>
      </c>
      <c r="AC69">
        <v>0</v>
      </c>
      <c r="AD69">
        <v>0</v>
      </c>
      <c r="AE69">
        <v>0</v>
      </c>
      <c r="AF69">
        <v>1.1100000000000001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0.54</v>
      </c>
      <c r="AU69" t="s">
        <v>78</v>
      </c>
      <c r="AV69">
        <v>0</v>
      </c>
      <c r="AW69">
        <v>2</v>
      </c>
      <c r="AX69">
        <v>55986005</v>
      </c>
      <c r="AY69">
        <v>1</v>
      </c>
      <c r="AZ69">
        <v>0</v>
      </c>
      <c r="BA69">
        <v>91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ROUND(Y69*Source!I48*DO69,9)</f>
        <v>0</v>
      </c>
      <c r="CX69">
        <f>ROUND(Y69*Source!I48,9)</f>
        <v>0.19439999999999999</v>
      </c>
      <c r="CY69">
        <f>AB69</f>
        <v>1.21</v>
      </c>
      <c r="CZ69">
        <f>AF69</f>
        <v>1.1100000000000001</v>
      </c>
      <c r="DA69">
        <f>AJ69</f>
        <v>1</v>
      </c>
      <c r="DB69">
        <f>ROUND((((ROUND(AT69*CZ69,2)*1.25)*1.2)*0.6),6)</f>
        <v>0.54</v>
      </c>
      <c r="DC69">
        <f>ROUND((((ROUND(AT69*AG69,2)*1.25)*1.2)*0.6),6)</f>
        <v>0</v>
      </c>
      <c r="DD69" t="s">
        <v>3</v>
      </c>
      <c r="DE69" t="s">
        <v>3</v>
      </c>
      <c r="DF69">
        <f t="shared" si="33"/>
        <v>0</v>
      </c>
      <c r="DG69">
        <f t="shared" si="31"/>
        <v>0.22</v>
      </c>
      <c r="DH69">
        <f t="shared" si="28"/>
        <v>0</v>
      </c>
      <c r="DI69">
        <f t="shared" si="32"/>
        <v>0</v>
      </c>
      <c r="DJ69">
        <f>DG69</f>
        <v>0.22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ROW(Source!A48)</f>
        <v>48</v>
      </c>
      <c r="B70">
        <v>55937296</v>
      </c>
      <c r="C70">
        <v>55985995</v>
      </c>
      <c r="D70">
        <v>55490296</v>
      </c>
      <c r="E70">
        <v>1</v>
      </c>
      <c r="F70">
        <v>1</v>
      </c>
      <c r="G70">
        <v>1081</v>
      </c>
      <c r="H70">
        <v>2</v>
      </c>
      <c r="I70" t="s">
        <v>477</v>
      </c>
      <c r="J70" t="s">
        <v>478</v>
      </c>
      <c r="K70" t="s">
        <v>479</v>
      </c>
      <c r="L70">
        <v>1368</v>
      </c>
      <c r="N70">
        <v>1011</v>
      </c>
      <c r="O70" t="s">
        <v>455</v>
      </c>
      <c r="P70" t="s">
        <v>455</v>
      </c>
      <c r="Q70">
        <v>1</v>
      </c>
      <c r="W70">
        <v>0</v>
      </c>
      <c r="X70">
        <v>-643591644</v>
      </c>
      <c r="Y70">
        <f>(((AT70*1.25)*1.2)*0.6)</f>
        <v>0.216</v>
      </c>
      <c r="AA70">
        <v>0</v>
      </c>
      <c r="AB70">
        <v>0.51</v>
      </c>
      <c r="AC70">
        <v>0</v>
      </c>
      <c r="AD70">
        <v>0</v>
      </c>
      <c r="AE70">
        <v>0</v>
      </c>
      <c r="AF70">
        <v>0.47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0.24</v>
      </c>
      <c r="AU70" t="s">
        <v>78</v>
      </c>
      <c r="AV70">
        <v>0</v>
      </c>
      <c r="AW70">
        <v>2</v>
      </c>
      <c r="AX70">
        <v>55986006</v>
      </c>
      <c r="AY70">
        <v>1</v>
      </c>
      <c r="AZ70">
        <v>0</v>
      </c>
      <c r="BA70">
        <v>92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ROUND(Y70*Source!I48*DO70,9)</f>
        <v>0</v>
      </c>
      <c r="CX70">
        <f>ROUND(Y70*Source!I48,9)</f>
        <v>8.6400000000000005E-2</v>
      </c>
      <c r="CY70">
        <f>AB70</f>
        <v>0.51</v>
      </c>
      <c r="CZ70">
        <f>AF70</f>
        <v>0.47</v>
      </c>
      <c r="DA70">
        <f>AJ70</f>
        <v>1</v>
      </c>
      <c r="DB70">
        <f>ROUND((((ROUND(AT70*CZ70,2)*1.25)*1.2)*0.6),6)</f>
        <v>9.9000000000000005E-2</v>
      </c>
      <c r="DC70">
        <f>ROUND((((ROUND(AT70*AG70,2)*1.25)*1.2)*0.6),6)</f>
        <v>0</v>
      </c>
      <c r="DD70" t="s">
        <v>3</v>
      </c>
      <c r="DE70" t="s">
        <v>3</v>
      </c>
      <c r="DF70">
        <f t="shared" si="33"/>
        <v>0</v>
      </c>
      <c r="DG70">
        <f t="shared" si="31"/>
        <v>0.04</v>
      </c>
      <c r="DH70">
        <f t="shared" si="28"/>
        <v>0</v>
      </c>
      <c r="DI70">
        <f t="shared" si="32"/>
        <v>0</v>
      </c>
      <c r="DJ70">
        <f>DG70</f>
        <v>0.04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ROW(Source!A48)</f>
        <v>48</v>
      </c>
      <c r="B71">
        <v>55937296</v>
      </c>
      <c r="C71">
        <v>55985995</v>
      </c>
      <c r="D71">
        <v>55461690</v>
      </c>
      <c r="E71">
        <v>1</v>
      </c>
      <c r="F71">
        <v>1</v>
      </c>
      <c r="G71">
        <v>1081</v>
      </c>
      <c r="H71">
        <v>3</v>
      </c>
      <c r="I71" t="s">
        <v>511</v>
      </c>
      <c r="J71" t="s">
        <v>512</v>
      </c>
      <c r="K71" t="s">
        <v>513</v>
      </c>
      <c r="L71">
        <v>1296</v>
      </c>
      <c r="N71">
        <v>1002</v>
      </c>
      <c r="O71" t="s">
        <v>514</v>
      </c>
      <c r="P71" t="s">
        <v>514</v>
      </c>
      <c r="Q71">
        <v>1</v>
      </c>
      <c r="W71">
        <v>0</v>
      </c>
      <c r="X71">
        <v>-770347070</v>
      </c>
      <c r="Y71">
        <f>(((AT71*1)*1)*0.6)</f>
        <v>1.512</v>
      </c>
      <c r="AA71">
        <v>125.73</v>
      </c>
      <c r="AB71">
        <v>0</v>
      </c>
      <c r="AC71">
        <v>0</v>
      </c>
      <c r="AD71">
        <v>0</v>
      </c>
      <c r="AE71">
        <v>125.73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2.52</v>
      </c>
      <c r="AU71" t="s">
        <v>77</v>
      </c>
      <c r="AV71">
        <v>0</v>
      </c>
      <c r="AW71">
        <v>2</v>
      </c>
      <c r="AX71">
        <v>55986007</v>
      </c>
      <c r="AY71">
        <v>1</v>
      </c>
      <c r="AZ71">
        <v>0</v>
      </c>
      <c r="BA71">
        <v>93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ROUND(Y71*Source!I48,9)</f>
        <v>0.6048</v>
      </c>
      <c r="CY71">
        <f>AA71</f>
        <v>125.73</v>
      </c>
      <c r="CZ71">
        <f>AE71</f>
        <v>125.73</v>
      </c>
      <c r="DA71">
        <f>AI71</f>
        <v>1</v>
      </c>
      <c r="DB71">
        <f>ROUND((((ROUND(AT71*CZ71,2)*1)*1)*0.6),6)</f>
        <v>190.10400000000001</v>
      </c>
      <c r="DC71">
        <f>ROUND((((ROUND(AT71*AG71,2)*1)*1)*0.6),6)</f>
        <v>0</v>
      </c>
      <c r="DD71" t="s">
        <v>3</v>
      </c>
      <c r="DE71" t="s">
        <v>3</v>
      </c>
      <c r="DF71">
        <f t="shared" si="33"/>
        <v>76.040000000000006</v>
      </c>
      <c r="DG71">
        <f t="shared" si="31"/>
        <v>0</v>
      </c>
      <c r="DH71">
        <f t="shared" si="28"/>
        <v>0</v>
      </c>
      <c r="DI71">
        <f t="shared" si="32"/>
        <v>0</v>
      </c>
      <c r="DJ71">
        <f>DF71</f>
        <v>76.040000000000006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ROW(Source!A48)</f>
        <v>48</v>
      </c>
      <c r="B72">
        <v>55937296</v>
      </c>
      <c r="C72">
        <v>55985995</v>
      </c>
      <c r="D72">
        <v>55469262</v>
      </c>
      <c r="E72">
        <v>1</v>
      </c>
      <c r="F72">
        <v>1</v>
      </c>
      <c r="G72">
        <v>1081</v>
      </c>
      <c r="H72">
        <v>3</v>
      </c>
      <c r="I72" t="s">
        <v>474</v>
      </c>
      <c r="J72" t="s">
        <v>475</v>
      </c>
      <c r="K72" t="s">
        <v>476</v>
      </c>
      <c r="L72">
        <v>1354</v>
      </c>
      <c r="N72">
        <v>1010</v>
      </c>
      <c r="O72" t="s">
        <v>217</v>
      </c>
      <c r="P72" t="s">
        <v>217</v>
      </c>
      <c r="Q72">
        <v>1</v>
      </c>
      <c r="W72">
        <v>0</v>
      </c>
      <c r="X72">
        <v>-407007888</v>
      </c>
      <c r="Y72">
        <f>(((AT72*1)*1)*0.6)</f>
        <v>5.7599999999999998E-2</v>
      </c>
      <c r="AA72">
        <v>10.53</v>
      </c>
      <c r="AB72">
        <v>0</v>
      </c>
      <c r="AC72">
        <v>0</v>
      </c>
      <c r="AD72">
        <v>0</v>
      </c>
      <c r="AE72">
        <v>10.53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9.6000000000000002E-2</v>
      </c>
      <c r="AU72" t="s">
        <v>77</v>
      </c>
      <c r="AV72">
        <v>0</v>
      </c>
      <c r="AW72">
        <v>2</v>
      </c>
      <c r="AX72">
        <v>55986008</v>
      </c>
      <c r="AY72">
        <v>1</v>
      </c>
      <c r="AZ72">
        <v>0</v>
      </c>
      <c r="BA72">
        <v>94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ROUND(Y72*Source!I48,9)</f>
        <v>2.3040000000000001E-2</v>
      </c>
      <c r="CY72">
        <f>AA72</f>
        <v>10.53</v>
      </c>
      <c r="CZ72">
        <f>AE72</f>
        <v>10.53</v>
      </c>
      <c r="DA72">
        <f>AI72</f>
        <v>1</v>
      </c>
      <c r="DB72">
        <f>ROUND((((ROUND(AT72*CZ72,2)*1)*1)*0.6),6)</f>
        <v>0.60599999999999998</v>
      </c>
      <c r="DC72">
        <f>ROUND((((ROUND(AT72*AG72,2)*1)*1)*0.6),6)</f>
        <v>0</v>
      </c>
      <c r="DD72" t="s">
        <v>3</v>
      </c>
      <c r="DE72" t="s">
        <v>3</v>
      </c>
      <c r="DF72">
        <f t="shared" si="33"/>
        <v>0.24</v>
      </c>
      <c r="DG72">
        <f t="shared" si="31"/>
        <v>0</v>
      </c>
      <c r="DH72">
        <f t="shared" si="28"/>
        <v>0</v>
      </c>
      <c r="DI72">
        <f t="shared" si="32"/>
        <v>0</v>
      </c>
      <c r="DJ72">
        <f>DF72</f>
        <v>0.24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ROW(Source!A48)</f>
        <v>48</v>
      </c>
      <c r="B73">
        <v>55937296</v>
      </c>
      <c r="C73">
        <v>55985995</v>
      </c>
      <c r="D73">
        <v>55469472</v>
      </c>
      <c r="E73">
        <v>1</v>
      </c>
      <c r="F73">
        <v>1</v>
      </c>
      <c r="G73">
        <v>1081</v>
      </c>
      <c r="H73">
        <v>3</v>
      </c>
      <c r="I73" t="s">
        <v>515</v>
      </c>
      <c r="J73" t="s">
        <v>516</v>
      </c>
      <c r="K73" t="s">
        <v>517</v>
      </c>
      <c r="L73">
        <v>1355</v>
      </c>
      <c r="N73">
        <v>1010</v>
      </c>
      <c r="O73" t="s">
        <v>60</v>
      </c>
      <c r="P73" t="s">
        <v>60</v>
      </c>
      <c r="Q73">
        <v>100</v>
      </c>
      <c r="W73">
        <v>0</v>
      </c>
      <c r="X73">
        <v>-106825780</v>
      </c>
      <c r="Y73">
        <f>(((AT73*1)*1)*0.6)</f>
        <v>0.36599999999999999</v>
      </c>
      <c r="AA73">
        <v>278.73</v>
      </c>
      <c r="AB73">
        <v>0</v>
      </c>
      <c r="AC73">
        <v>0</v>
      </c>
      <c r="AD73">
        <v>0</v>
      </c>
      <c r="AE73">
        <v>278.73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0.61</v>
      </c>
      <c r="AU73" t="s">
        <v>77</v>
      </c>
      <c r="AV73">
        <v>0</v>
      </c>
      <c r="AW73">
        <v>2</v>
      </c>
      <c r="AX73">
        <v>55986009</v>
      </c>
      <c r="AY73">
        <v>1</v>
      </c>
      <c r="AZ73">
        <v>0</v>
      </c>
      <c r="BA73">
        <v>95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ROUND(Y73*Source!I48,9)</f>
        <v>0.1464</v>
      </c>
      <c r="CY73">
        <f>AA73</f>
        <v>278.73</v>
      </c>
      <c r="CZ73">
        <f>AE73</f>
        <v>278.73</v>
      </c>
      <c r="DA73">
        <f>AI73</f>
        <v>1</v>
      </c>
      <c r="DB73">
        <f>ROUND((((ROUND(AT73*CZ73,2)*1)*1)*0.6),6)</f>
        <v>102.018</v>
      </c>
      <c r="DC73">
        <f>ROUND((((ROUND(AT73*AG73,2)*1)*1)*0.6),6)</f>
        <v>0</v>
      </c>
      <c r="DD73" t="s">
        <v>3</v>
      </c>
      <c r="DE73" t="s">
        <v>3</v>
      </c>
      <c r="DF73">
        <f t="shared" si="33"/>
        <v>40.81</v>
      </c>
      <c r="DG73">
        <f t="shared" si="31"/>
        <v>0</v>
      </c>
      <c r="DH73">
        <f t="shared" si="28"/>
        <v>0</v>
      </c>
      <c r="DI73">
        <f t="shared" si="32"/>
        <v>0</v>
      </c>
      <c r="DJ73">
        <f>DF73</f>
        <v>40.81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ROW(Source!A49)</f>
        <v>49</v>
      </c>
      <c r="B74">
        <v>55937298</v>
      </c>
      <c r="C74">
        <v>55985995</v>
      </c>
      <c r="D74">
        <v>55424304</v>
      </c>
      <c r="E74">
        <v>1081</v>
      </c>
      <c r="F74">
        <v>1</v>
      </c>
      <c r="G74">
        <v>1081</v>
      </c>
      <c r="H74">
        <v>1</v>
      </c>
      <c r="I74" t="s">
        <v>449</v>
      </c>
      <c r="J74" t="s">
        <v>3</v>
      </c>
      <c r="K74" t="s">
        <v>450</v>
      </c>
      <c r="L74">
        <v>1191</v>
      </c>
      <c r="N74">
        <v>1013</v>
      </c>
      <c r="O74" t="s">
        <v>451</v>
      </c>
      <c r="P74" t="s">
        <v>451</v>
      </c>
      <c r="Q74">
        <v>1</v>
      </c>
      <c r="W74">
        <v>0</v>
      </c>
      <c r="X74">
        <v>476480486</v>
      </c>
      <c r="Y74">
        <f>(((AT74*1.15)*1.2)*0.6)</f>
        <v>15.218639999999997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18.38</v>
      </c>
      <c r="AU74" t="s">
        <v>79</v>
      </c>
      <c r="AV74">
        <v>1</v>
      </c>
      <c r="AW74">
        <v>2</v>
      </c>
      <c r="AX74">
        <v>55986003</v>
      </c>
      <c r="AY74">
        <v>1</v>
      </c>
      <c r="AZ74">
        <v>0</v>
      </c>
      <c r="BA74">
        <v>97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ROUND(AT74*Source!I49*AH74*AL74,2)</f>
        <v>0</v>
      </c>
      <c r="CV74">
        <f>ROUND(Y74*Source!I49,9)</f>
        <v>6.0874560000000004</v>
      </c>
      <c r="CW74">
        <v>0</v>
      </c>
      <c r="CX74">
        <f>ROUND(Y74*Source!I49,9)</f>
        <v>6.0874560000000004</v>
      </c>
      <c r="CY74">
        <f>AD74</f>
        <v>0</v>
      </c>
      <c r="CZ74">
        <f>AH74</f>
        <v>0</v>
      </c>
      <c r="DA74">
        <f>AL74</f>
        <v>1</v>
      </c>
      <c r="DB74">
        <f>ROUND((((ROUND(AT74*CZ74,2)*1.15)*1.2)*0.6),6)</f>
        <v>0</v>
      </c>
      <c r="DC74">
        <f>ROUND((((ROUND(AT74*AG74,2)*1.15)*1.2)*0.6),6)</f>
        <v>0</v>
      </c>
      <c r="DD74" t="s">
        <v>3</v>
      </c>
      <c r="DE74" t="s">
        <v>3</v>
      </c>
      <c r="DF74">
        <f t="shared" si="33"/>
        <v>0</v>
      </c>
      <c r="DG74">
        <f t="shared" si="31"/>
        <v>0</v>
      </c>
      <c r="DH74">
        <f t="shared" si="28"/>
        <v>0</v>
      </c>
      <c r="DI74">
        <f t="shared" si="32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ROW(Source!A49)</f>
        <v>49</v>
      </c>
      <c r="B75">
        <v>55937298</v>
      </c>
      <c r="C75">
        <v>55985995</v>
      </c>
      <c r="D75">
        <v>55490209</v>
      </c>
      <c r="E75">
        <v>1</v>
      </c>
      <c r="F75">
        <v>1</v>
      </c>
      <c r="G75">
        <v>1081</v>
      </c>
      <c r="H75">
        <v>2</v>
      </c>
      <c r="I75" t="s">
        <v>489</v>
      </c>
      <c r="J75" t="s">
        <v>490</v>
      </c>
      <c r="K75" t="s">
        <v>491</v>
      </c>
      <c r="L75">
        <v>1368</v>
      </c>
      <c r="N75">
        <v>1011</v>
      </c>
      <c r="O75" t="s">
        <v>455</v>
      </c>
      <c r="P75" t="s">
        <v>455</v>
      </c>
      <c r="Q75">
        <v>1</v>
      </c>
      <c r="W75">
        <v>0</v>
      </c>
      <c r="X75">
        <v>874612079</v>
      </c>
      <c r="Y75">
        <f>(((AT75*1.25)*1.2)*0.6)</f>
        <v>1.224</v>
      </c>
      <c r="AA75">
        <v>0</v>
      </c>
      <c r="AB75">
        <v>1541.93</v>
      </c>
      <c r="AC75">
        <v>773.01</v>
      </c>
      <c r="AD75">
        <v>0</v>
      </c>
      <c r="AE75">
        <v>0</v>
      </c>
      <c r="AF75">
        <v>83.1</v>
      </c>
      <c r="AG75">
        <v>12.62</v>
      </c>
      <c r="AH75">
        <v>0</v>
      </c>
      <c r="AI75">
        <v>1</v>
      </c>
      <c r="AJ75">
        <v>17.07</v>
      </c>
      <c r="AK75">
        <v>56.35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1.36</v>
      </c>
      <c r="AU75" t="s">
        <v>78</v>
      </c>
      <c r="AV75">
        <v>0</v>
      </c>
      <c r="AW75">
        <v>2</v>
      </c>
      <c r="AX75">
        <v>55986004</v>
      </c>
      <c r="AY75">
        <v>1</v>
      </c>
      <c r="AZ75">
        <v>0</v>
      </c>
      <c r="BA75">
        <v>98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f>ROUND(Y75*Source!I49*DO75,9)</f>
        <v>6.1787520000000002</v>
      </c>
      <c r="CX75">
        <f>ROUND(Y75*Source!I49,9)</f>
        <v>0.48959999999999998</v>
      </c>
      <c r="CY75">
        <f>AB75</f>
        <v>1541.93</v>
      </c>
      <c r="CZ75">
        <f>AF75</f>
        <v>83.1</v>
      </c>
      <c r="DA75">
        <f>AJ75</f>
        <v>17.07</v>
      </c>
      <c r="DB75">
        <f>ROUND((((ROUND(AT75*CZ75,2)*1.25)*1.2)*0.6),6)</f>
        <v>101.718</v>
      </c>
      <c r="DC75">
        <f>ROUND((((ROUND(AT75*AG75,2)*1.25)*1.2)*0.6),6)</f>
        <v>15.444000000000001</v>
      </c>
      <c r="DD75" t="s">
        <v>3</v>
      </c>
      <c r="DE75" t="s">
        <v>3</v>
      </c>
      <c r="DF75">
        <f t="shared" si="33"/>
        <v>0</v>
      </c>
      <c r="DG75">
        <f>ROUND(ROUND(AF75*AJ75,2)*CX75,2)</f>
        <v>694.51</v>
      </c>
      <c r="DH75">
        <f>ROUND(ROUND(AG75*AK75,2)*CX75,2)</f>
        <v>348.17</v>
      </c>
      <c r="DI75">
        <f t="shared" si="32"/>
        <v>0</v>
      </c>
      <c r="DJ75">
        <f>DG75</f>
        <v>694.51</v>
      </c>
      <c r="DK75">
        <v>0</v>
      </c>
      <c r="DL75" t="s">
        <v>492</v>
      </c>
      <c r="DM75">
        <v>0</v>
      </c>
      <c r="DN75" t="s">
        <v>451</v>
      </c>
      <c r="DO75">
        <v>12.62</v>
      </c>
    </row>
    <row r="76" spans="1:119" x14ac:dyDescent="0.2">
      <c r="A76">
        <f>ROW(Source!A49)</f>
        <v>49</v>
      </c>
      <c r="B76">
        <v>55937298</v>
      </c>
      <c r="C76">
        <v>55985995</v>
      </c>
      <c r="D76">
        <v>55490331</v>
      </c>
      <c r="E76">
        <v>1</v>
      </c>
      <c r="F76">
        <v>1</v>
      </c>
      <c r="G76">
        <v>1081</v>
      </c>
      <c r="H76">
        <v>2</v>
      </c>
      <c r="I76" t="s">
        <v>456</v>
      </c>
      <c r="J76" t="s">
        <v>457</v>
      </c>
      <c r="K76" t="s">
        <v>458</v>
      </c>
      <c r="L76">
        <v>1368</v>
      </c>
      <c r="N76">
        <v>1011</v>
      </c>
      <c r="O76" t="s">
        <v>455</v>
      </c>
      <c r="P76" t="s">
        <v>455</v>
      </c>
      <c r="Q76">
        <v>1</v>
      </c>
      <c r="W76">
        <v>0</v>
      </c>
      <c r="X76">
        <v>1043446422</v>
      </c>
      <c r="Y76">
        <f>(((AT76*1.25)*1.2)*0.6)</f>
        <v>0.48599999999999999</v>
      </c>
      <c r="AA76">
        <v>0</v>
      </c>
      <c r="AB76">
        <v>11.49</v>
      </c>
      <c r="AC76">
        <v>0</v>
      </c>
      <c r="AD76">
        <v>0</v>
      </c>
      <c r="AE76">
        <v>0</v>
      </c>
      <c r="AF76">
        <v>1.1100000000000001</v>
      </c>
      <c r="AG76">
        <v>0</v>
      </c>
      <c r="AH76">
        <v>0</v>
      </c>
      <c r="AI76">
        <v>1</v>
      </c>
      <c r="AJ76">
        <v>9.52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0.54</v>
      </c>
      <c r="AU76" t="s">
        <v>78</v>
      </c>
      <c r="AV76">
        <v>0</v>
      </c>
      <c r="AW76">
        <v>2</v>
      </c>
      <c r="AX76">
        <v>55986005</v>
      </c>
      <c r="AY76">
        <v>1</v>
      </c>
      <c r="AZ76">
        <v>0</v>
      </c>
      <c r="BA76">
        <v>99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ROUND(Y76*Source!I49*DO76,9)</f>
        <v>0</v>
      </c>
      <c r="CX76">
        <f>ROUND(Y76*Source!I49,9)</f>
        <v>0.19439999999999999</v>
      </c>
      <c r="CY76">
        <f>AB76</f>
        <v>11.49</v>
      </c>
      <c r="CZ76">
        <f>AF76</f>
        <v>1.1100000000000001</v>
      </c>
      <c r="DA76">
        <f>AJ76</f>
        <v>9.52</v>
      </c>
      <c r="DB76">
        <f>ROUND((((ROUND(AT76*CZ76,2)*1.25)*1.2)*0.6),6)</f>
        <v>0.54</v>
      </c>
      <c r="DC76">
        <f>ROUND((((ROUND(AT76*AG76,2)*1.25)*1.2)*0.6),6)</f>
        <v>0</v>
      </c>
      <c r="DD76" t="s">
        <v>3</v>
      </c>
      <c r="DE76" t="s">
        <v>3</v>
      </c>
      <c r="DF76">
        <f t="shared" si="33"/>
        <v>0</v>
      </c>
      <c r="DG76">
        <f>ROUND(ROUND(AF76*AJ76,2)*CX76,2)</f>
        <v>2.0499999999999998</v>
      </c>
      <c r="DH76">
        <f t="shared" ref="DH76:DH89" si="34">ROUND(ROUND(AG76,2)*CX76,2)</f>
        <v>0</v>
      </c>
      <c r="DI76">
        <f t="shared" si="32"/>
        <v>0</v>
      </c>
      <c r="DJ76">
        <f>DG76</f>
        <v>2.0499999999999998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ROW(Source!A49)</f>
        <v>49</v>
      </c>
      <c r="B77">
        <v>55937298</v>
      </c>
      <c r="C77">
        <v>55985995</v>
      </c>
      <c r="D77">
        <v>55490296</v>
      </c>
      <c r="E77">
        <v>1</v>
      </c>
      <c r="F77">
        <v>1</v>
      </c>
      <c r="G77">
        <v>1081</v>
      </c>
      <c r="H77">
        <v>2</v>
      </c>
      <c r="I77" t="s">
        <v>477</v>
      </c>
      <c r="J77" t="s">
        <v>478</v>
      </c>
      <c r="K77" t="s">
        <v>479</v>
      </c>
      <c r="L77">
        <v>1368</v>
      </c>
      <c r="N77">
        <v>1011</v>
      </c>
      <c r="O77" t="s">
        <v>455</v>
      </c>
      <c r="P77" t="s">
        <v>455</v>
      </c>
      <c r="Q77">
        <v>1</v>
      </c>
      <c r="W77">
        <v>0</v>
      </c>
      <c r="X77">
        <v>-643591644</v>
      </c>
      <c r="Y77">
        <f>(((AT77*1.25)*1.2)*0.6)</f>
        <v>0.216</v>
      </c>
      <c r="AA77">
        <v>0</v>
      </c>
      <c r="AB77">
        <v>4.9400000000000004</v>
      </c>
      <c r="AC77">
        <v>0</v>
      </c>
      <c r="AD77">
        <v>0</v>
      </c>
      <c r="AE77">
        <v>0</v>
      </c>
      <c r="AF77">
        <v>0.47</v>
      </c>
      <c r="AG77">
        <v>0</v>
      </c>
      <c r="AH77">
        <v>0</v>
      </c>
      <c r="AI77">
        <v>1</v>
      </c>
      <c r="AJ77">
        <v>9.66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0.24</v>
      </c>
      <c r="AU77" t="s">
        <v>78</v>
      </c>
      <c r="AV77">
        <v>0</v>
      </c>
      <c r="AW77">
        <v>2</v>
      </c>
      <c r="AX77">
        <v>55986006</v>
      </c>
      <c r="AY77">
        <v>1</v>
      </c>
      <c r="AZ77">
        <v>0</v>
      </c>
      <c r="BA77">
        <v>100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ROUND(Y77*Source!I49*DO77,9)</f>
        <v>0</v>
      </c>
      <c r="CX77">
        <f>ROUND(Y77*Source!I49,9)</f>
        <v>8.6400000000000005E-2</v>
      </c>
      <c r="CY77">
        <f>AB77</f>
        <v>4.9400000000000004</v>
      </c>
      <c r="CZ77">
        <f>AF77</f>
        <v>0.47</v>
      </c>
      <c r="DA77">
        <f>AJ77</f>
        <v>9.66</v>
      </c>
      <c r="DB77">
        <f>ROUND((((ROUND(AT77*CZ77,2)*1.25)*1.2)*0.6),6)</f>
        <v>9.9000000000000005E-2</v>
      </c>
      <c r="DC77">
        <f>ROUND((((ROUND(AT77*AG77,2)*1.25)*1.2)*0.6),6)</f>
        <v>0</v>
      </c>
      <c r="DD77" t="s">
        <v>3</v>
      </c>
      <c r="DE77" t="s">
        <v>3</v>
      </c>
      <c r="DF77">
        <f t="shared" si="33"/>
        <v>0</v>
      </c>
      <c r="DG77">
        <f>ROUND(ROUND(AF77*AJ77,2)*CX77,2)</f>
        <v>0.39</v>
      </c>
      <c r="DH77">
        <f t="shared" si="34"/>
        <v>0</v>
      </c>
      <c r="DI77">
        <f t="shared" si="32"/>
        <v>0</v>
      </c>
      <c r="DJ77">
        <f>DG77</f>
        <v>0.39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ROW(Source!A49)</f>
        <v>49</v>
      </c>
      <c r="B78">
        <v>55937298</v>
      </c>
      <c r="C78">
        <v>55985995</v>
      </c>
      <c r="D78">
        <v>55461690</v>
      </c>
      <c r="E78">
        <v>1</v>
      </c>
      <c r="F78">
        <v>1</v>
      </c>
      <c r="G78">
        <v>1081</v>
      </c>
      <c r="H78">
        <v>3</v>
      </c>
      <c r="I78" t="s">
        <v>511</v>
      </c>
      <c r="J78" t="s">
        <v>512</v>
      </c>
      <c r="K78" t="s">
        <v>513</v>
      </c>
      <c r="L78">
        <v>1296</v>
      </c>
      <c r="N78">
        <v>1002</v>
      </c>
      <c r="O78" t="s">
        <v>514</v>
      </c>
      <c r="P78" t="s">
        <v>514</v>
      </c>
      <c r="Q78">
        <v>1</v>
      </c>
      <c r="W78">
        <v>0</v>
      </c>
      <c r="X78">
        <v>-770347070</v>
      </c>
      <c r="Y78">
        <f>(((AT78*1)*1)*0.6)</f>
        <v>1.512</v>
      </c>
      <c r="AA78">
        <v>350.79</v>
      </c>
      <c r="AB78">
        <v>0</v>
      </c>
      <c r="AC78">
        <v>0</v>
      </c>
      <c r="AD78">
        <v>0</v>
      </c>
      <c r="AE78">
        <v>125.73</v>
      </c>
      <c r="AF78">
        <v>0</v>
      </c>
      <c r="AG78">
        <v>0</v>
      </c>
      <c r="AH78">
        <v>0</v>
      </c>
      <c r="AI78">
        <v>2.79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2.52</v>
      </c>
      <c r="AU78" t="s">
        <v>77</v>
      </c>
      <c r="AV78">
        <v>0</v>
      </c>
      <c r="AW78">
        <v>2</v>
      </c>
      <c r="AX78">
        <v>55986007</v>
      </c>
      <c r="AY78">
        <v>1</v>
      </c>
      <c r="AZ78">
        <v>0</v>
      </c>
      <c r="BA78">
        <v>101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ROUND(Y78*Source!I49,9)</f>
        <v>0.6048</v>
      </c>
      <c r="CY78">
        <f>AA78</f>
        <v>350.79</v>
      </c>
      <c r="CZ78">
        <f>AE78</f>
        <v>125.73</v>
      </c>
      <c r="DA78">
        <f>AI78</f>
        <v>2.79</v>
      </c>
      <c r="DB78">
        <f>ROUND((((ROUND(AT78*CZ78,2)*1)*1)*0.6),6)</f>
        <v>190.10400000000001</v>
      </c>
      <c r="DC78">
        <f>ROUND((((ROUND(AT78*AG78,2)*1)*1)*0.6),6)</f>
        <v>0</v>
      </c>
      <c r="DD78" t="s">
        <v>3</v>
      </c>
      <c r="DE78" t="s">
        <v>3</v>
      </c>
      <c r="DF78">
        <f>ROUND(ROUND(AE78*AI78,2)*CX78,2)</f>
        <v>212.16</v>
      </c>
      <c r="DG78">
        <f t="shared" ref="DG78:DG89" si="35">ROUND(ROUND(AF78,2)*CX78,2)</f>
        <v>0</v>
      </c>
      <c r="DH78">
        <f t="shared" si="34"/>
        <v>0</v>
      </c>
      <c r="DI78">
        <f t="shared" si="32"/>
        <v>0</v>
      </c>
      <c r="DJ78">
        <f>DF78</f>
        <v>212.16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ROW(Source!A49)</f>
        <v>49</v>
      </c>
      <c r="B79">
        <v>55937298</v>
      </c>
      <c r="C79">
        <v>55985995</v>
      </c>
      <c r="D79">
        <v>55469262</v>
      </c>
      <c r="E79">
        <v>1</v>
      </c>
      <c r="F79">
        <v>1</v>
      </c>
      <c r="G79">
        <v>1081</v>
      </c>
      <c r="H79">
        <v>3</v>
      </c>
      <c r="I79" t="s">
        <v>474</v>
      </c>
      <c r="J79" t="s">
        <v>475</v>
      </c>
      <c r="K79" t="s">
        <v>476</v>
      </c>
      <c r="L79">
        <v>1354</v>
      </c>
      <c r="N79">
        <v>1010</v>
      </c>
      <c r="O79" t="s">
        <v>217</v>
      </c>
      <c r="P79" t="s">
        <v>217</v>
      </c>
      <c r="Q79">
        <v>1</v>
      </c>
      <c r="W79">
        <v>0</v>
      </c>
      <c r="X79">
        <v>-407007888</v>
      </c>
      <c r="Y79">
        <f>(((AT79*1)*1)*0.6)</f>
        <v>5.7599999999999998E-2</v>
      </c>
      <c r="AA79">
        <v>103.72</v>
      </c>
      <c r="AB79">
        <v>0</v>
      </c>
      <c r="AC79">
        <v>0</v>
      </c>
      <c r="AD79">
        <v>0</v>
      </c>
      <c r="AE79">
        <v>10.53</v>
      </c>
      <c r="AF79">
        <v>0</v>
      </c>
      <c r="AG79">
        <v>0</v>
      </c>
      <c r="AH79">
        <v>0</v>
      </c>
      <c r="AI79">
        <v>9.85</v>
      </c>
      <c r="AJ79">
        <v>1</v>
      </c>
      <c r="AK79">
        <v>1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9.6000000000000002E-2</v>
      </c>
      <c r="AU79" t="s">
        <v>77</v>
      </c>
      <c r="AV79">
        <v>0</v>
      </c>
      <c r="AW79">
        <v>2</v>
      </c>
      <c r="AX79">
        <v>55986008</v>
      </c>
      <c r="AY79">
        <v>1</v>
      </c>
      <c r="AZ79">
        <v>0</v>
      </c>
      <c r="BA79">
        <v>102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ROUND(Y79*Source!I49,9)</f>
        <v>2.3040000000000001E-2</v>
      </c>
      <c r="CY79">
        <f>AA79</f>
        <v>103.72</v>
      </c>
      <c r="CZ79">
        <f>AE79</f>
        <v>10.53</v>
      </c>
      <c r="DA79">
        <f>AI79</f>
        <v>9.85</v>
      </c>
      <c r="DB79">
        <f>ROUND((((ROUND(AT79*CZ79,2)*1)*1)*0.6),6)</f>
        <v>0.60599999999999998</v>
      </c>
      <c r="DC79">
        <f>ROUND((((ROUND(AT79*AG79,2)*1)*1)*0.6),6)</f>
        <v>0</v>
      </c>
      <c r="DD79" t="s">
        <v>3</v>
      </c>
      <c r="DE79" t="s">
        <v>3</v>
      </c>
      <c r="DF79">
        <f>ROUND(ROUND(AE79*AI79,2)*CX79,2)</f>
        <v>2.39</v>
      </c>
      <c r="DG79">
        <f t="shared" si="35"/>
        <v>0</v>
      </c>
      <c r="DH79">
        <f t="shared" si="34"/>
        <v>0</v>
      </c>
      <c r="DI79">
        <f t="shared" si="32"/>
        <v>0</v>
      </c>
      <c r="DJ79">
        <f>DF79</f>
        <v>2.39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ROW(Source!A49)</f>
        <v>49</v>
      </c>
      <c r="B80">
        <v>55937298</v>
      </c>
      <c r="C80">
        <v>55985995</v>
      </c>
      <c r="D80">
        <v>55469472</v>
      </c>
      <c r="E80">
        <v>1</v>
      </c>
      <c r="F80">
        <v>1</v>
      </c>
      <c r="G80">
        <v>1081</v>
      </c>
      <c r="H80">
        <v>3</v>
      </c>
      <c r="I80" t="s">
        <v>515</v>
      </c>
      <c r="J80" t="s">
        <v>516</v>
      </c>
      <c r="K80" t="s">
        <v>517</v>
      </c>
      <c r="L80">
        <v>1355</v>
      </c>
      <c r="N80">
        <v>1010</v>
      </c>
      <c r="O80" t="s">
        <v>60</v>
      </c>
      <c r="P80" t="s">
        <v>60</v>
      </c>
      <c r="Q80">
        <v>100</v>
      </c>
      <c r="W80">
        <v>0</v>
      </c>
      <c r="X80">
        <v>-106825780</v>
      </c>
      <c r="Y80">
        <f>(((AT80*1)*1)*0.6)</f>
        <v>0.36599999999999999</v>
      </c>
      <c r="AA80">
        <v>3654.15</v>
      </c>
      <c r="AB80">
        <v>0</v>
      </c>
      <c r="AC80">
        <v>0</v>
      </c>
      <c r="AD80">
        <v>0</v>
      </c>
      <c r="AE80">
        <v>278.73</v>
      </c>
      <c r="AF80">
        <v>0</v>
      </c>
      <c r="AG80">
        <v>0</v>
      </c>
      <c r="AH80">
        <v>0</v>
      </c>
      <c r="AI80">
        <v>13.11</v>
      </c>
      <c r="AJ80">
        <v>1</v>
      </c>
      <c r="AK80">
        <v>1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0.61</v>
      </c>
      <c r="AU80" t="s">
        <v>77</v>
      </c>
      <c r="AV80">
        <v>0</v>
      </c>
      <c r="AW80">
        <v>2</v>
      </c>
      <c r="AX80">
        <v>55986009</v>
      </c>
      <c r="AY80">
        <v>1</v>
      </c>
      <c r="AZ80">
        <v>0</v>
      </c>
      <c r="BA80">
        <v>103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ROUND(Y80*Source!I49,9)</f>
        <v>0.1464</v>
      </c>
      <c r="CY80">
        <f>AA80</f>
        <v>3654.15</v>
      </c>
      <c r="CZ80">
        <f>AE80</f>
        <v>278.73</v>
      </c>
      <c r="DA80">
        <f>AI80</f>
        <v>13.11</v>
      </c>
      <c r="DB80">
        <f>ROUND((((ROUND(AT80*CZ80,2)*1)*1)*0.6),6)</f>
        <v>102.018</v>
      </c>
      <c r="DC80">
        <f>ROUND((((ROUND(AT80*AG80,2)*1)*1)*0.6),6)</f>
        <v>0</v>
      </c>
      <c r="DD80" t="s">
        <v>3</v>
      </c>
      <c r="DE80" t="s">
        <v>3</v>
      </c>
      <c r="DF80">
        <f>ROUND(ROUND(AE80*AI80,2)*CX80,2)</f>
        <v>534.97</v>
      </c>
      <c r="DG80">
        <f t="shared" si="35"/>
        <v>0</v>
      </c>
      <c r="DH80">
        <f t="shared" si="34"/>
        <v>0</v>
      </c>
      <c r="DI80">
        <f t="shared" si="32"/>
        <v>0</v>
      </c>
      <c r="DJ80">
        <f>DF80</f>
        <v>534.97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ROW(Source!A50)</f>
        <v>50</v>
      </c>
      <c r="B81">
        <v>55937296</v>
      </c>
      <c r="C81">
        <v>55986011</v>
      </c>
      <c r="D81">
        <v>55424304</v>
      </c>
      <c r="E81">
        <v>1081</v>
      </c>
      <c r="F81">
        <v>1</v>
      </c>
      <c r="G81">
        <v>1081</v>
      </c>
      <c r="H81">
        <v>1</v>
      </c>
      <c r="I81" t="s">
        <v>449</v>
      </c>
      <c r="J81" t="s">
        <v>3</v>
      </c>
      <c r="K81" t="s">
        <v>450</v>
      </c>
      <c r="L81">
        <v>1191</v>
      </c>
      <c r="N81">
        <v>1013</v>
      </c>
      <c r="O81" t="s">
        <v>451</v>
      </c>
      <c r="P81" t="s">
        <v>451</v>
      </c>
      <c r="Q81">
        <v>1</v>
      </c>
      <c r="W81">
        <v>0</v>
      </c>
      <c r="X81">
        <v>476480486</v>
      </c>
      <c r="Y81">
        <f>((AT81*1.2)*0.3)</f>
        <v>2.52E-2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7.0000000000000007E-2</v>
      </c>
      <c r="AU81" t="s">
        <v>25</v>
      </c>
      <c r="AV81">
        <v>1</v>
      </c>
      <c r="AW81">
        <v>2</v>
      </c>
      <c r="AX81">
        <v>55986013</v>
      </c>
      <c r="AY81">
        <v>1</v>
      </c>
      <c r="AZ81">
        <v>0</v>
      </c>
      <c r="BA81">
        <v>105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ROUND(AT81*Source!I50*AH81*AL81,2)</f>
        <v>0</v>
      </c>
      <c r="CV81">
        <f>ROUND(Y81*Source!I50,9)</f>
        <v>0.2016</v>
      </c>
      <c r="CW81">
        <v>0</v>
      </c>
      <c r="CX81">
        <f>ROUND(Y81*Source!I50,9)</f>
        <v>0.2016</v>
      </c>
      <c r="CY81">
        <f>AD81</f>
        <v>0</v>
      </c>
      <c r="CZ81">
        <f>AH81</f>
        <v>0</v>
      </c>
      <c r="DA81">
        <f>AL81</f>
        <v>1</v>
      </c>
      <c r="DB81">
        <f>ROUND(((ROUND(AT81*CZ81,2)*1.2)*0.3),6)</f>
        <v>0</v>
      </c>
      <c r="DC81">
        <f>ROUND(((ROUND(AT81*AG81,2)*1.2)*0.3),6)</f>
        <v>0</v>
      </c>
      <c r="DD81" t="s">
        <v>3</v>
      </c>
      <c r="DE81" t="s">
        <v>3</v>
      </c>
      <c r="DF81">
        <f t="shared" ref="DF81:DF92" si="36">ROUND(ROUND(AE81,2)*CX81,2)</f>
        <v>0</v>
      </c>
      <c r="DG81">
        <f t="shared" si="35"/>
        <v>0</v>
      </c>
      <c r="DH81">
        <f t="shared" si="34"/>
        <v>0</v>
      </c>
      <c r="DI81">
        <f t="shared" si="32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ROW(Source!A51)</f>
        <v>51</v>
      </c>
      <c r="B82">
        <v>55937298</v>
      </c>
      <c r="C82">
        <v>55986011</v>
      </c>
      <c r="D82">
        <v>55424304</v>
      </c>
      <c r="E82">
        <v>1081</v>
      </c>
      <c r="F82">
        <v>1</v>
      </c>
      <c r="G82">
        <v>1081</v>
      </c>
      <c r="H82">
        <v>1</v>
      </c>
      <c r="I82" t="s">
        <v>449</v>
      </c>
      <c r="J82" t="s">
        <v>3</v>
      </c>
      <c r="K82" t="s">
        <v>450</v>
      </c>
      <c r="L82">
        <v>1191</v>
      </c>
      <c r="N82">
        <v>1013</v>
      </c>
      <c r="O82" t="s">
        <v>451</v>
      </c>
      <c r="P82" t="s">
        <v>451</v>
      </c>
      <c r="Q82">
        <v>1</v>
      </c>
      <c r="W82">
        <v>0</v>
      </c>
      <c r="X82">
        <v>476480486</v>
      </c>
      <c r="Y82">
        <f>((AT82*1.2)*0.3)</f>
        <v>2.52E-2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7.0000000000000007E-2</v>
      </c>
      <c r="AU82" t="s">
        <v>25</v>
      </c>
      <c r="AV82">
        <v>1</v>
      </c>
      <c r="AW82">
        <v>2</v>
      </c>
      <c r="AX82">
        <v>55986013</v>
      </c>
      <c r="AY82">
        <v>1</v>
      </c>
      <c r="AZ82">
        <v>0</v>
      </c>
      <c r="BA82">
        <v>107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ROUND(AT82*Source!I51*AH82*AL82,2)</f>
        <v>0</v>
      </c>
      <c r="CV82">
        <f>ROUND(Y82*Source!I51,9)</f>
        <v>0.2016</v>
      </c>
      <c r="CW82">
        <v>0</v>
      </c>
      <c r="CX82">
        <f>ROUND(Y82*Source!I51,9)</f>
        <v>0.2016</v>
      </c>
      <c r="CY82">
        <f>AD82</f>
        <v>0</v>
      </c>
      <c r="CZ82">
        <f>AH82</f>
        <v>0</v>
      </c>
      <c r="DA82">
        <f>AL82</f>
        <v>1</v>
      </c>
      <c r="DB82">
        <f>ROUND(((ROUND(AT82*CZ82,2)*1.2)*0.3),6)</f>
        <v>0</v>
      </c>
      <c r="DC82">
        <f>ROUND(((ROUND(AT82*AG82,2)*1.2)*0.3),6)</f>
        <v>0</v>
      </c>
      <c r="DD82" t="s">
        <v>3</v>
      </c>
      <c r="DE82" t="s">
        <v>3</v>
      </c>
      <c r="DF82">
        <f t="shared" si="36"/>
        <v>0</v>
      </c>
      <c r="DG82">
        <f t="shared" si="35"/>
        <v>0</v>
      </c>
      <c r="DH82">
        <f t="shared" si="34"/>
        <v>0</v>
      </c>
      <c r="DI82">
        <f t="shared" si="32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ROW(Source!A52)</f>
        <v>52</v>
      </c>
      <c r="B83">
        <v>55937296</v>
      </c>
      <c r="C83">
        <v>55986015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449</v>
      </c>
      <c r="J83" t="s">
        <v>3</v>
      </c>
      <c r="K83" t="s">
        <v>450</v>
      </c>
      <c r="L83">
        <v>1191</v>
      </c>
      <c r="N83">
        <v>1013</v>
      </c>
      <c r="O83" t="s">
        <v>451</v>
      </c>
      <c r="P83" t="s">
        <v>451</v>
      </c>
      <c r="Q83">
        <v>1</v>
      </c>
      <c r="W83">
        <v>0</v>
      </c>
      <c r="X83">
        <v>476480486</v>
      </c>
      <c r="Y83">
        <f>(((AT83*1.15)*1.2)*0.6)</f>
        <v>9.579959999999998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11.57</v>
      </c>
      <c r="AU83" t="s">
        <v>79</v>
      </c>
      <c r="AV83">
        <v>1</v>
      </c>
      <c r="AW83">
        <v>2</v>
      </c>
      <c r="AX83">
        <v>55986022</v>
      </c>
      <c r="AY83">
        <v>1</v>
      </c>
      <c r="AZ83">
        <v>0</v>
      </c>
      <c r="BA83">
        <v>109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ROUND(AT83*Source!I52*AH83*AL83,2)</f>
        <v>0</v>
      </c>
      <c r="CV83">
        <f>ROUND(Y83*Source!I52,9)</f>
        <v>0.38319839999999999</v>
      </c>
      <c r="CW83">
        <v>0</v>
      </c>
      <c r="CX83">
        <f>ROUND(Y83*Source!I52,9)</f>
        <v>0.38319839999999999</v>
      </c>
      <c r="CY83">
        <f>AD83</f>
        <v>0</v>
      </c>
      <c r="CZ83">
        <f>AH83</f>
        <v>0</v>
      </c>
      <c r="DA83">
        <f>AL83</f>
        <v>1</v>
      </c>
      <c r="DB83">
        <f>ROUND((((ROUND(AT83*CZ83,2)*1.15)*1.2)*0.6),6)</f>
        <v>0</v>
      </c>
      <c r="DC83">
        <f>ROUND((((ROUND(AT83*AG83,2)*1.15)*1.2)*0.6),6)</f>
        <v>0</v>
      </c>
      <c r="DD83" t="s">
        <v>3</v>
      </c>
      <c r="DE83" t="s">
        <v>3</v>
      </c>
      <c r="DF83">
        <f t="shared" si="36"/>
        <v>0</v>
      </c>
      <c r="DG83">
        <f t="shared" si="35"/>
        <v>0</v>
      </c>
      <c r="DH83">
        <f t="shared" si="34"/>
        <v>0</v>
      </c>
      <c r="DI83">
        <f t="shared" si="32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ROW(Source!A52)</f>
        <v>52</v>
      </c>
      <c r="B84">
        <v>55937296</v>
      </c>
      <c r="C84">
        <v>55986015</v>
      </c>
      <c r="D84">
        <v>55490209</v>
      </c>
      <c r="E84">
        <v>1</v>
      </c>
      <c r="F84">
        <v>1</v>
      </c>
      <c r="G84">
        <v>1081</v>
      </c>
      <c r="H84">
        <v>2</v>
      </c>
      <c r="I84" t="s">
        <v>489</v>
      </c>
      <c r="J84" t="s">
        <v>490</v>
      </c>
      <c r="K84" t="s">
        <v>491</v>
      </c>
      <c r="L84">
        <v>1368</v>
      </c>
      <c r="N84">
        <v>1011</v>
      </c>
      <c r="O84" t="s">
        <v>455</v>
      </c>
      <c r="P84" t="s">
        <v>455</v>
      </c>
      <c r="Q84">
        <v>1</v>
      </c>
      <c r="W84">
        <v>0</v>
      </c>
      <c r="X84">
        <v>874612079</v>
      </c>
      <c r="Y84">
        <f>(((AT84*1.25)*1.2)*0.6)</f>
        <v>0.16199999999999998</v>
      </c>
      <c r="AA84">
        <v>0</v>
      </c>
      <c r="AB84">
        <v>90.33</v>
      </c>
      <c r="AC84">
        <v>13.72</v>
      </c>
      <c r="AD84">
        <v>0</v>
      </c>
      <c r="AE84">
        <v>0</v>
      </c>
      <c r="AF84">
        <v>83.1</v>
      </c>
      <c r="AG84">
        <v>12.62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0.18</v>
      </c>
      <c r="AU84" t="s">
        <v>78</v>
      </c>
      <c r="AV84">
        <v>0</v>
      </c>
      <c r="AW84">
        <v>2</v>
      </c>
      <c r="AX84">
        <v>55986023</v>
      </c>
      <c r="AY84">
        <v>1</v>
      </c>
      <c r="AZ84">
        <v>0</v>
      </c>
      <c r="BA84">
        <v>110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ROUND(Y84*Source!I52*DO84,9)</f>
        <v>8.1777600000000006E-2</v>
      </c>
      <c r="CX84">
        <f>ROUND(Y84*Source!I52,9)</f>
        <v>6.4799999999999996E-3</v>
      </c>
      <c r="CY84">
        <f>AB84</f>
        <v>90.33</v>
      </c>
      <c r="CZ84">
        <f>AF84</f>
        <v>83.1</v>
      </c>
      <c r="DA84">
        <f>AJ84</f>
        <v>1</v>
      </c>
      <c r="DB84">
        <f>ROUND((((ROUND(AT84*CZ84,2)*1.25)*1.2)*0.6),6)</f>
        <v>13.464</v>
      </c>
      <c r="DC84">
        <f>ROUND((((ROUND(AT84*AG84,2)*1.25)*1.2)*0.6),6)</f>
        <v>2.0430000000000001</v>
      </c>
      <c r="DD84" t="s">
        <v>3</v>
      </c>
      <c r="DE84" t="s">
        <v>3</v>
      </c>
      <c r="DF84">
        <f t="shared" si="36"/>
        <v>0</v>
      </c>
      <c r="DG84">
        <f t="shared" si="35"/>
        <v>0.54</v>
      </c>
      <c r="DH84">
        <f t="shared" si="34"/>
        <v>0.08</v>
      </c>
      <c r="DI84">
        <f t="shared" si="32"/>
        <v>0</v>
      </c>
      <c r="DJ84">
        <f>DG84</f>
        <v>0.54</v>
      </c>
      <c r="DK84">
        <v>0</v>
      </c>
      <c r="DL84" t="s">
        <v>492</v>
      </c>
      <c r="DM84">
        <v>0</v>
      </c>
      <c r="DN84" t="s">
        <v>451</v>
      </c>
      <c r="DO84">
        <v>12.62</v>
      </c>
    </row>
    <row r="85" spans="1:119" x14ac:dyDescent="0.2">
      <c r="A85">
        <f>ROW(Source!A52)</f>
        <v>52</v>
      </c>
      <c r="B85">
        <v>55937296</v>
      </c>
      <c r="C85">
        <v>55986015</v>
      </c>
      <c r="D85">
        <v>55490330</v>
      </c>
      <c r="E85">
        <v>1</v>
      </c>
      <c r="F85">
        <v>1</v>
      </c>
      <c r="G85">
        <v>1081</v>
      </c>
      <c r="H85">
        <v>2</v>
      </c>
      <c r="I85" t="s">
        <v>452</v>
      </c>
      <c r="J85" t="s">
        <v>453</v>
      </c>
      <c r="K85" t="s">
        <v>454</v>
      </c>
      <c r="L85">
        <v>1368</v>
      </c>
      <c r="N85">
        <v>1011</v>
      </c>
      <c r="O85" t="s">
        <v>455</v>
      </c>
      <c r="P85" t="s">
        <v>455</v>
      </c>
      <c r="Q85">
        <v>1</v>
      </c>
      <c r="W85">
        <v>0</v>
      </c>
      <c r="X85">
        <v>-2083101341</v>
      </c>
      <c r="Y85">
        <f>(((AT85*1.25)*1.2)*0.6)</f>
        <v>1.2419999999999998</v>
      </c>
      <c r="AA85">
        <v>0</v>
      </c>
      <c r="AB85">
        <v>0.87</v>
      </c>
      <c r="AC85">
        <v>0</v>
      </c>
      <c r="AD85">
        <v>0</v>
      </c>
      <c r="AE85">
        <v>0</v>
      </c>
      <c r="AF85">
        <v>0.8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1.38</v>
      </c>
      <c r="AU85" t="s">
        <v>78</v>
      </c>
      <c r="AV85">
        <v>0</v>
      </c>
      <c r="AW85">
        <v>2</v>
      </c>
      <c r="AX85">
        <v>55986024</v>
      </c>
      <c r="AY85">
        <v>1</v>
      </c>
      <c r="AZ85">
        <v>0</v>
      </c>
      <c r="BA85">
        <v>111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ROUND(Y85*Source!I52*DO85,9)</f>
        <v>0</v>
      </c>
      <c r="CX85">
        <f>ROUND(Y85*Source!I52,9)</f>
        <v>4.9680000000000002E-2</v>
      </c>
      <c r="CY85">
        <f>AB85</f>
        <v>0.87</v>
      </c>
      <c r="CZ85">
        <f>AF85</f>
        <v>0.8</v>
      </c>
      <c r="DA85">
        <f>AJ85</f>
        <v>1</v>
      </c>
      <c r="DB85">
        <f>ROUND((((ROUND(AT85*CZ85,2)*1.25)*1.2)*0.6),6)</f>
        <v>0.99</v>
      </c>
      <c r="DC85">
        <f>ROUND((((ROUND(AT85*AG85,2)*1.25)*1.2)*0.6),6)</f>
        <v>0</v>
      </c>
      <c r="DD85" t="s">
        <v>3</v>
      </c>
      <c r="DE85" t="s">
        <v>3</v>
      </c>
      <c r="DF85">
        <f t="shared" si="36"/>
        <v>0</v>
      </c>
      <c r="DG85">
        <f t="shared" si="35"/>
        <v>0.04</v>
      </c>
      <c r="DH85">
        <f t="shared" si="34"/>
        <v>0</v>
      </c>
      <c r="DI85">
        <f t="shared" si="32"/>
        <v>0</v>
      </c>
      <c r="DJ85">
        <f>DG85</f>
        <v>0.04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ROW(Source!A52)</f>
        <v>52</v>
      </c>
      <c r="B86">
        <v>55937296</v>
      </c>
      <c r="C86">
        <v>55986015</v>
      </c>
      <c r="D86">
        <v>55490296</v>
      </c>
      <c r="E86">
        <v>1</v>
      </c>
      <c r="F86">
        <v>1</v>
      </c>
      <c r="G86">
        <v>1081</v>
      </c>
      <c r="H86">
        <v>2</v>
      </c>
      <c r="I86" t="s">
        <v>477</v>
      </c>
      <c r="J86" t="s">
        <v>478</v>
      </c>
      <c r="K86" t="s">
        <v>479</v>
      </c>
      <c r="L86">
        <v>1368</v>
      </c>
      <c r="N86">
        <v>1011</v>
      </c>
      <c r="O86" t="s">
        <v>455</v>
      </c>
      <c r="P86" t="s">
        <v>455</v>
      </c>
      <c r="Q86">
        <v>1</v>
      </c>
      <c r="W86">
        <v>0</v>
      </c>
      <c r="X86">
        <v>-643591644</v>
      </c>
      <c r="Y86">
        <f>(((AT86*1.25)*1.2)*0.6)</f>
        <v>5.04</v>
      </c>
      <c r="AA86">
        <v>0</v>
      </c>
      <c r="AB86">
        <v>0.51</v>
      </c>
      <c r="AC86">
        <v>0</v>
      </c>
      <c r="AD86">
        <v>0</v>
      </c>
      <c r="AE86">
        <v>0</v>
      </c>
      <c r="AF86">
        <v>0.47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5.6</v>
      </c>
      <c r="AU86" t="s">
        <v>78</v>
      </c>
      <c r="AV86">
        <v>0</v>
      </c>
      <c r="AW86">
        <v>2</v>
      </c>
      <c r="AX86">
        <v>55986025</v>
      </c>
      <c r="AY86">
        <v>1</v>
      </c>
      <c r="AZ86">
        <v>0</v>
      </c>
      <c r="BA86">
        <v>112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ROUND(Y86*Source!I52*DO86,9)</f>
        <v>0</v>
      </c>
      <c r="CX86">
        <f>ROUND(Y86*Source!I52,9)</f>
        <v>0.2016</v>
      </c>
      <c r="CY86">
        <f>AB86</f>
        <v>0.51</v>
      </c>
      <c r="CZ86">
        <f>AF86</f>
        <v>0.47</v>
      </c>
      <c r="DA86">
        <f>AJ86</f>
        <v>1</v>
      </c>
      <c r="DB86">
        <f>ROUND((((ROUND(AT86*CZ86,2)*1.25)*1.2)*0.6),6)</f>
        <v>2.367</v>
      </c>
      <c r="DC86">
        <f>ROUND((((ROUND(AT86*AG86,2)*1.25)*1.2)*0.6),6)</f>
        <v>0</v>
      </c>
      <c r="DD86" t="s">
        <v>3</v>
      </c>
      <c r="DE86" t="s">
        <v>3</v>
      </c>
      <c r="DF86">
        <f t="shared" si="36"/>
        <v>0</v>
      </c>
      <c r="DG86">
        <f t="shared" si="35"/>
        <v>0.09</v>
      </c>
      <c r="DH86">
        <f t="shared" si="34"/>
        <v>0</v>
      </c>
      <c r="DI86">
        <f t="shared" si="32"/>
        <v>0</v>
      </c>
      <c r="DJ86">
        <f>DG86</f>
        <v>0.09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ROW(Source!A52)</f>
        <v>52</v>
      </c>
      <c r="B87">
        <v>55937296</v>
      </c>
      <c r="C87">
        <v>55986015</v>
      </c>
      <c r="D87">
        <v>55461073</v>
      </c>
      <c r="E87">
        <v>1</v>
      </c>
      <c r="F87">
        <v>1</v>
      </c>
      <c r="G87">
        <v>1081</v>
      </c>
      <c r="H87">
        <v>3</v>
      </c>
      <c r="I87" t="s">
        <v>518</v>
      </c>
      <c r="J87" t="s">
        <v>519</v>
      </c>
      <c r="K87" t="s">
        <v>520</v>
      </c>
      <c r="L87">
        <v>1346</v>
      </c>
      <c r="N87">
        <v>1009</v>
      </c>
      <c r="O87" t="s">
        <v>311</v>
      </c>
      <c r="P87" t="s">
        <v>311</v>
      </c>
      <c r="Q87">
        <v>1</v>
      </c>
      <c r="W87">
        <v>0</v>
      </c>
      <c r="X87">
        <v>383020592</v>
      </c>
      <c r="Y87">
        <f>(((AT87*1)*1)*0.6)</f>
        <v>1.6320000000000001</v>
      </c>
      <c r="AA87">
        <v>20.62</v>
      </c>
      <c r="AB87">
        <v>0</v>
      </c>
      <c r="AC87">
        <v>0</v>
      </c>
      <c r="AD87">
        <v>0</v>
      </c>
      <c r="AE87">
        <v>20.62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2.72</v>
      </c>
      <c r="AU87" t="s">
        <v>77</v>
      </c>
      <c r="AV87">
        <v>0</v>
      </c>
      <c r="AW87">
        <v>2</v>
      </c>
      <c r="AX87">
        <v>55986026</v>
      </c>
      <c r="AY87">
        <v>1</v>
      </c>
      <c r="AZ87">
        <v>0</v>
      </c>
      <c r="BA87">
        <v>113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ROUND(Y87*Source!I52,9)</f>
        <v>6.5280000000000005E-2</v>
      </c>
      <c r="CY87">
        <f>AA87</f>
        <v>20.62</v>
      </c>
      <c r="CZ87">
        <f>AE87</f>
        <v>20.62</v>
      </c>
      <c r="DA87">
        <f>AI87</f>
        <v>1</v>
      </c>
      <c r="DB87">
        <f>ROUND((((ROUND(AT87*CZ87,2)*1)*1)*0.6),6)</f>
        <v>33.654000000000003</v>
      </c>
      <c r="DC87">
        <f>ROUND((((ROUND(AT87*AG87,2)*1)*1)*0.6),6)</f>
        <v>0</v>
      </c>
      <c r="DD87" t="s">
        <v>3</v>
      </c>
      <c r="DE87" t="s">
        <v>3</v>
      </c>
      <c r="DF87">
        <f t="shared" si="36"/>
        <v>1.35</v>
      </c>
      <c r="DG87">
        <f t="shared" si="35"/>
        <v>0</v>
      </c>
      <c r="DH87">
        <f t="shared" si="34"/>
        <v>0</v>
      </c>
      <c r="DI87">
        <f t="shared" si="32"/>
        <v>0</v>
      </c>
      <c r="DJ87">
        <f>DF87</f>
        <v>1.35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ROW(Source!A52)</f>
        <v>52</v>
      </c>
      <c r="B88">
        <v>55937296</v>
      </c>
      <c r="C88">
        <v>55986015</v>
      </c>
      <c r="D88">
        <v>55469253</v>
      </c>
      <c r="E88">
        <v>1</v>
      </c>
      <c r="F88">
        <v>1</v>
      </c>
      <c r="G88">
        <v>1081</v>
      </c>
      <c r="H88">
        <v>3</v>
      </c>
      <c r="I88" t="s">
        <v>483</v>
      </c>
      <c r="J88" t="s">
        <v>484</v>
      </c>
      <c r="K88" t="s">
        <v>485</v>
      </c>
      <c r="L88">
        <v>1354</v>
      </c>
      <c r="N88">
        <v>1010</v>
      </c>
      <c r="O88" t="s">
        <v>217</v>
      </c>
      <c r="P88" t="s">
        <v>217</v>
      </c>
      <c r="Q88">
        <v>1</v>
      </c>
      <c r="W88">
        <v>0</v>
      </c>
      <c r="X88">
        <v>-32785108</v>
      </c>
      <c r="Y88">
        <f>(((AT88*1)*1)*0.6)</f>
        <v>3</v>
      </c>
      <c r="AA88">
        <v>15.25</v>
      </c>
      <c r="AB88">
        <v>0</v>
      </c>
      <c r="AC88">
        <v>0</v>
      </c>
      <c r="AD88">
        <v>0</v>
      </c>
      <c r="AE88">
        <v>15.25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5</v>
      </c>
      <c r="AU88" t="s">
        <v>77</v>
      </c>
      <c r="AV88">
        <v>0</v>
      </c>
      <c r="AW88">
        <v>2</v>
      </c>
      <c r="AX88">
        <v>55986027</v>
      </c>
      <c r="AY88">
        <v>1</v>
      </c>
      <c r="AZ88">
        <v>0</v>
      </c>
      <c r="BA88">
        <v>114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ROUND(Y88*Source!I52,9)</f>
        <v>0.12</v>
      </c>
      <c r="CY88">
        <f>AA88</f>
        <v>15.25</v>
      </c>
      <c r="CZ88">
        <f>AE88</f>
        <v>15.25</v>
      </c>
      <c r="DA88">
        <f>AI88</f>
        <v>1</v>
      </c>
      <c r="DB88">
        <f>ROUND((((ROUND(AT88*CZ88,2)*1)*1)*0.6),6)</f>
        <v>45.75</v>
      </c>
      <c r="DC88">
        <f>ROUND((((ROUND(AT88*AG88,2)*1)*1)*0.6),6)</f>
        <v>0</v>
      </c>
      <c r="DD88" t="s">
        <v>3</v>
      </c>
      <c r="DE88" t="s">
        <v>3</v>
      </c>
      <c r="DF88">
        <f t="shared" si="36"/>
        <v>1.83</v>
      </c>
      <c r="DG88">
        <f t="shared" si="35"/>
        <v>0</v>
      </c>
      <c r="DH88">
        <f t="shared" si="34"/>
        <v>0</v>
      </c>
      <c r="DI88">
        <f t="shared" si="32"/>
        <v>0</v>
      </c>
      <c r="DJ88">
        <f>DF88</f>
        <v>1.83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ROW(Source!A53)</f>
        <v>53</v>
      </c>
      <c r="B89">
        <v>55937298</v>
      </c>
      <c r="C89">
        <v>55986015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449</v>
      </c>
      <c r="J89" t="s">
        <v>3</v>
      </c>
      <c r="K89" t="s">
        <v>450</v>
      </c>
      <c r="L89">
        <v>1191</v>
      </c>
      <c r="N89">
        <v>1013</v>
      </c>
      <c r="O89" t="s">
        <v>451</v>
      </c>
      <c r="P89" t="s">
        <v>451</v>
      </c>
      <c r="Q89">
        <v>1</v>
      </c>
      <c r="W89">
        <v>0</v>
      </c>
      <c r="X89">
        <v>476480486</v>
      </c>
      <c r="Y89">
        <f>(((AT89*1.15)*1.2)*0.6)</f>
        <v>9.579959999999998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5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11.57</v>
      </c>
      <c r="AU89" t="s">
        <v>79</v>
      </c>
      <c r="AV89">
        <v>1</v>
      </c>
      <c r="AW89">
        <v>2</v>
      </c>
      <c r="AX89">
        <v>55986022</v>
      </c>
      <c r="AY89">
        <v>1</v>
      </c>
      <c r="AZ89">
        <v>0</v>
      </c>
      <c r="BA89">
        <v>116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ROUND(AT89*Source!I53*AH89*AL89,2)</f>
        <v>0</v>
      </c>
      <c r="CV89">
        <f>ROUND(Y89*Source!I53,9)</f>
        <v>0.38319839999999999</v>
      </c>
      <c r="CW89">
        <v>0</v>
      </c>
      <c r="CX89">
        <f>ROUND(Y89*Source!I53,9)</f>
        <v>0.38319839999999999</v>
      </c>
      <c r="CY89">
        <f>AD89</f>
        <v>0</v>
      </c>
      <c r="CZ89">
        <f>AH89</f>
        <v>0</v>
      </c>
      <c r="DA89">
        <f>AL89</f>
        <v>1</v>
      </c>
      <c r="DB89">
        <f>ROUND((((ROUND(AT89*CZ89,2)*1.15)*1.2)*0.6),6)</f>
        <v>0</v>
      </c>
      <c r="DC89">
        <f>ROUND((((ROUND(AT89*AG89,2)*1.15)*1.2)*0.6),6)</f>
        <v>0</v>
      </c>
      <c r="DD89" t="s">
        <v>3</v>
      </c>
      <c r="DE89" t="s">
        <v>3</v>
      </c>
      <c r="DF89">
        <f t="shared" si="36"/>
        <v>0</v>
      </c>
      <c r="DG89">
        <f t="shared" si="35"/>
        <v>0</v>
      </c>
      <c r="DH89">
        <f t="shared" si="34"/>
        <v>0</v>
      </c>
      <c r="DI89">
        <f t="shared" si="32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ROW(Source!A53)</f>
        <v>53</v>
      </c>
      <c r="B90">
        <v>55937298</v>
      </c>
      <c r="C90">
        <v>55986015</v>
      </c>
      <c r="D90">
        <v>55490209</v>
      </c>
      <c r="E90">
        <v>1</v>
      </c>
      <c r="F90">
        <v>1</v>
      </c>
      <c r="G90">
        <v>1081</v>
      </c>
      <c r="H90">
        <v>2</v>
      </c>
      <c r="I90" t="s">
        <v>489</v>
      </c>
      <c r="J90" t="s">
        <v>490</v>
      </c>
      <c r="K90" t="s">
        <v>491</v>
      </c>
      <c r="L90">
        <v>1368</v>
      </c>
      <c r="N90">
        <v>1011</v>
      </c>
      <c r="O90" t="s">
        <v>455</v>
      </c>
      <c r="P90" t="s">
        <v>455</v>
      </c>
      <c r="Q90">
        <v>1</v>
      </c>
      <c r="W90">
        <v>0</v>
      </c>
      <c r="X90">
        <v>874612079</v>
      </c>
      <c r="Y90">
        <f>(((AT90*1.25)*1.2)*0.6)</f>
        <v>0.16199999999999998</v>
      </c>
      <c r="AA90">
        <v>0</v>
      </c>
      <c r="AB90">
        <v>1541.93</v>
      </c>
      <c r="AC90">
        <v>773.01</v>
      </c>
      <c r="AD90">
        <v>0</v>
      </c>
      <c r="AE90">
        <v>0</v>
      </c>
      <c r="AF90">
        <v>83.1</v>
      </c>
      <c r="AG90">
        <v>12.62</v>
      </c>
      <c r="AH90">
        <v>0</v>
      </c>
      <c r="AI90">
        <v>1</v>
      </c>
      <c r="AJ90">
        <v>17.07</v>
      </c>
      <c r="AK90">
        <v>56.35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0.18</v>
      </c>
      <c r="AU90" t="s">
        <v>78</v>
      </c>
      <c r="AV90">
        <v>0</v>
      </c>
      <c r="AW90">
        <v>2</v>
      </c>
      <c r="AX90">
        <v>55986023</v>
      </c>
      <c r="AY90">
        <v>1</v>
      </c>
      <c r="AZ90">
        <v>0</v>
      </c>
      <c r="BA90">
        <v>117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ROUND(Y90*Source!I53*DO90,9)</f>
        <v>8.1777600000000006E-2</v>
      </c>
      <c r="CX90">
        <f>ROUND(Y90*Source!I53,9)</f>
        <v>6.4799999999999996E-3</v>
      </c>
      <c r="CY90">
        <f>AB90</f>
        <v>1541.93</v>
      </c>
      <c r="CZ90">
        <f>AF90</f>
        <v>83.1</v>
      </c>
      <c r="DA90">
        <f>AJ90</f>
        <v>17.07</v>
      </c>
      <c r="DB90">
        <f>ROUND((((ROUND(AT90*CZ90,2)*1.25)*1.2)*0.6),6)</f>
        <v>13.464</v>
      </c>
      <c r="DC90">
        <f>ROUND((((ROUND(AT90*AG90,2)*1.25)*1.2)*0.6),6)</f>
        <v>2.0430000000000001</v>
      </c>
      <c r="DD90" t="s">
        <v>3</v>
      </c>
      <c r="DE90" t="s">
        <v>3</v>
      </c>
      <c r="DF90">
        <f t="shared" si="36"/>
        <v>0</v>
      </c>
      <c r="DG90">
        <f>ROUND(ROUND(AF90*AJ90,2)*CX90,2)</f>
        <v>9.19</v>
      </c>
      <c r="DH90">
        <f>ROUND(ROUND(AG90*AK90,2)*CX90,2)</f>
        <v>4.6100000000000003</v>
      </c>
      <c r="DI90">
        <f t="shared" si="32"/>
        <v>0</v>
      </c>
      <c r="DJ90">
        <f>DG90</f>
        <v>9.19</v>
      </c>
      <c r="DK90">
        <v>0</v>
      </c>
      <c r="DL90" t="s">
        <v>492</v>
      </c>
      <c r="DM90">
        <v>0</v>
      </c>
      <c r="DN90" t="s">
        <v>451</v>
      </c>
      <c r="DO90">
        <v>12.62</v>
      </c>
    </row>
    <row r="91" spans="1:119" x14ac:dyDescent="0.2">
      <c r="A91">
        <f>ROW(Source!A53)</f>
        <v>53</v>
      </c>
      <c r="B91">
        <v>55937298</v>
      </c>
      <c r="C91">
        <v>55986015</v>
      </c>
      <c r="D91">
        <v>55490330</v>
      </c>
      <c r="E91">
        <v>1</v>
      </c>
      <c r="F91">
        <v>1</v>
      </c>
      <c r="G91">
        <v>1081</v>
      </c>
      <c r="H91">
        <v>2</v>
      </c>
      <c r="I91" t="s">
        <v>452</v>
      </c>
      <c r="J91" t="s">
        <v>453</v>
      </c>
      <c r="K91" t="s">
        <v>454</v>
      </c>
      <c r="L91">
        <v>1368</v>
      </c>
      <c r="N91">
        <v>1011</v>
      </c>
      <c r="O91" t="s">
        <v>455</v>
      </c>
      <c r="P91" t="s">
        <v>455</v>
      </c>
      <c r="Q91">
        <v>1</v>
      </c>
      <c r="W91">
        <v>0</v>
      </c>
      <c r="X91">
        <v>-2083101341</v>
      </c>
      <c r="Y91">
        <f>(((AT91*1.25)*1.2)*0.6)</f>
        <v>1.2419999999999998</v>
      </c>
      <c r="AA91">
        <v>0</v>
      </c>
      <c r="AB91">
        <v>8.23</v>
      </c>
      <c r="AC91">
        <v>0</v>
      </c>
      <c r="AD91">
        <v>0</v>
      </c>
      <c r="AE91">
        <v>0</v>
      </c>
      <c r="AF91">
        <v>0.8</v>
      </c>
      <c r="AG91">
        <v>0</v>
      </c>
      <c r="AH91">
        <v>0</v>
      </c>
      <c r="AI91">
        <v>1</v>
      </c>
      <c r="AJ91">
        <v>9.4600000000000009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1.38</v>
      </c>
      <c r="AU91" t="s">
        <v>78</v>
      </c>
      <c r="AV91">
        <v>0</v>
      </c>
      <c r="AW91">
        <v>2</v>
      </c>
      <c r="AX91">
        <v>55986024</v>
      </c>
      <c r="AY91">
        <v>1</v>
      </c>
      <c r="AZ91">
        <v>0</v>
      </c>
      <c r="BA91">
        <v>118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ROUND(Y91*Source!I53*DO91,9)</f>
        <v>0</v>
      </c>
      <c r="CX91">
        <f>ROUND(Y91*Source!I53,9)</f>
        <v>4.9680000000000002E-2</v>
      </c>
      <c r="CY91">
        <f>AB91</f>
        <v>8.23</v>
      </c>
      <c r="CZ91">
        <f>AF91</f>
        <v>0.8</v>
      </c>
      <c r="DA91">
        <f>AJ91</f>
        <v>9.4600000000000009</v>
      </c>
      <c r="DB91">
        <f>ROUND((((ROUND(AT91*CZ91,2)*1.25)*1.2)*0.6),6)</f>
        <v>0.99</v>
      </c>
      <c r="DC91">
        <f>ROUND((((ROUND(AT91*AG91,2)*1.25)*1.2)*0.6),6)</f>
        <v>0</v>
      </c>
      <c r="DD91" t="s">
        <v>3</v>
      </c>
      <c r="DE91" t="s">
        <v>3</v>
      </c>
      <c r="DF91">
        <f t="shared" si="36"/>
        <v>0</v>
      </c>
      <c r="DG91">
        <f>ROUND(ROUND(AF91*AJ91,2)*CX91,2)</f>
        <v>0.38</v>
      </c>
      <c r="DH91">
        <f t="shared" ref="DH91:DH99" si="37">ROUND(ROUND(AG91,2)*CX91,2)</f>
        <v>0</v>
      </c>
      <c r="DI91">
        <f t="shared" si="32"/>
        <v>0</v>
      </c>
      <c r="DJ91">
        <f>DG91</f>
        <v>0.38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ROW(Source!A53)</f>
        <v>53</v>
      </c>
      <c r="B92">
        <v>55937298</v>
      </c>
      <c r="C92">
        <v>55986015</v>
      </c>
      <c r="D92">
        <v>55490296</v>
      </c>
      <c r="E92">
        <v>1</v>
      </c>
      <c r="F92">
        <v>1</v>
      </c>
      <c r="G92">
        <v>1081</v>
      </c>
      <c r="H92">
        <v>2</v>
      </c>
      <c r="I92" t="s">
        <v>477</v>
      </c>
      <c r="J92" t="s">
        <v>478</v>
      </c>
      <c r="K92" t="s">
        <v>479</v>
      </c>
      <c r="L92">
        <v>1368</v>
      </c>
      <c r="N92">
        <v>1011</v>
      </c>
      <c r="O92" t="s">
        <v>455</v>
      </c>
      <c r="P92" t="s">
        <v>455</v>
      </c>
      <c r="Q92">
        <v>1</v>
      </c>
      <c r="W92">
        <v>0</v>
      </c>
      <c r="X92">
        <v>-643591644</v>
      </c>
      <c r="Y92">
        <f>(((AT92*1.25)*1.2)*0.6)</f>
        <v>5.04</v>
      </c>
      <c r="AA92">
        <v>0</v>
      </c>
      <c r="AB92">
        <v>4.9400000000000004</v>
      </c>
      <c r="AC92">
        <v>0</v>
      </c>
      <c r="AD92">
        <v>0</v>
      </c>
      <c r="AE92">
        <v>0</v>
      </c>
      <c r="AF92">
        <v>0.47</v>
      </c>
      <c r="AG92">
        <v>0</v>
      </c>
      <c r="AH92">
        <v>0</v>
      </c>
      <c r="AI92">
        <v>1</v>
      </c>
      <c r="AJ92">
        <v>9.66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5.6</v>
      </c>
      <c r="AU92" t="s">
        <v>78</v>
      </c>
      <c r="AV92">
        <v>0</v>
      </c>
      <c r="AW92">
        <v>2</v>
      </c>
      <c r="AX92">
        <v>55986025</v>
      </c>
      <c r="AY92">
        <v>1</v>
      </c>
      <c r="AZ92">
        <v>0</v>
      </c>
      <c r="BA92">
        <v>119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ROUND(Y92*Source!I53*DO92,9)</f>
        <v>0</v>
      </c>
      <c r="CX92">
        <f>ROUND(Y92*Source!I53,9)</f>
        <v>0.2016</v>
      </c>
      <c r="CY92">
        <f>AB92</f>
        <v>4.9400000000000004</v>
      </c>
      <c r="CZ92">
        <f>AF92</f>
        <v>0.47</v>
      </c>
      <c r="DA92">
        <f>AJ92</f>
        <v>9.66</v>
      </c>
      <c r="DB92">
        <f>ROUND((((ROUND(AT92*CZ92,2)*1.25)*1.2)*0.6),6)</f>
        <v>2.367</v>
      </c>
      <c r="DC92">
        <f>ROUND((((ROUND(AT92*AG92,2)*1.25)*1.2)*0.6),6)</f>
        <v>0</v>
      </c>
      <c r="DD92" t="s">
        <v>3</v>
      </c>
      <c r="DE92" t="s">
        <v>3</v>
      </c>
      <c r="DF92">
        <f t="shared" si="36"/>
        <v>0</v>
      </c>
      <c r="DG92">
        <f>ROUND(ROUND(AF92*AJ92,2)*CX92,2)</f>
        <v>0.92</v>
      </c>
      <c r="DH92">
        <f t="shared" si="37"/>
        <v>0</v>
      </c>
      <c r="DI92">
        <f t="shared" si="32"/>
        <v>0</v>
      </c>
      <c r="DJ92">
        <f>DG92</f>
        <v>0.92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ROW(Source!A53)</f>
        <v>53</v>
      </c>
      <c r="B93">
        <v>55937298</v>
      </c>
      <c r="C93">
        <v>55986015</v>
      </c>
      <c r="D93">
        <v>55461073</v>
      </c>
      <c r="E93">
        <v>1</v>
      </c>
      <c r="F93">
        <v>1</v>
      </c>
      <c r="G93">
        <v>1081</v>
      </c>
      <c r="H93">
        <v>3</v>
      </c>
      <c r="I93" t="s">
        <v>518</v>
      </c>
      <c r="J93" t="s">
        <v>519</v>
      </c>
      <c r="K93" t="s">
        <v>520</v>
      </c>
      <c r="L93">
        <v>1346</v>
      </c>
      <c r="N93">
        <v>1009</v>
      </c>
      <c r="O93" t="s">
        <v>311</v>
      </c>
      <c r="P93" t="s">
        <v>311</v>
      </c>
      <c r="Q93">
        <v>1</v>
      </c>
      <c r="W93">
        <v>0</v>
      </c>
      <c r="X93">
        <v>383020592</v>
      </c>
      <c r="Y93">
        <f>(((AT93*1)*1)*0.6)</f>
        <v>1.6320000000000001</v>
      </c>
      <c r="AA93">
        <v>101.86</v>
      </c>
      <c r="AB93">
        <v>0</v>
      </c>
      <c r="AC93">
        <v>0</v>
      </c>
      <c r="AD93">
        <v>0</v>
      </c>
      <c r="AE93">
        <v>20.62</v>
      </c>
      <c r="AF93">
        <v>0</v>
      </c>
      <c r="AG93">
        <v>0</v>
      </c>
      <c r="AH93">
        <v>0</v>
      </c>
      <c r="AI93">
        <v>4.9400000000000004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2.72</v>
      </c>
      <c r="AU93" t="s">
        <v>77</v>
      </c>
      <c r="AV93">
        <v>0</v>
      </c>
      <c r="AW93">
        <v>2</v>
      </c>
      <c r="AX93">
        <v>55986026</v>
      </c>
      <c r="AY93">
        <v>1</v>
      </c>
      <c r="AZ93">
        <v>0</v>
      </c>
      <c r="BA93">
        <v>120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ROUND(Y93*Source!I53,9)</f>
        <v>6.5280000000000005E-2</v>
      </c>
      <c r="CY93">
        <f>AA93</f>
        <v>101.86</v>
      </c>
      <c r="CZ93">
        <f>AE93</f>
        <v>20.62</v>
      </c>
      <c r="DA93">
        <f>AI93</f>
        <v>4.9400000000000004</v>
      </c>
      <c r="DB93">
        <f>ROUND((((ROUND(AT93*CZ93,2)*1)*1)*0.6),6)</f>
        <v>33.654000000000003</v>
      </c>
      <c r="DC93">
        <f>ROUND((((ROUND(AT93*AG93,2)*1)*1)*0.6),6)</f>
        <v>0</v>
      </c>
      <c r="DD93" t="s">
        <v>3</v>
      </c>
      <c r="DE93" t="s">
        <v>3</v>
      </c>
      <c r="DF93">
        <f>ROUND(ROUND(AE93*AI93,2)*CX93,2)</f>
        <v>6.65</v>
      </c>
      <c r="DG93">
        <f t="shared" ref="DG93:DG99" si="38">ROUND(ROUND(AF93,2)*CX93,2)</f>
        <v>0</v>
      </c>
      <c r="DH93">
        <f t="shared" si="37"/>
        <v>0</v>
      </c>
      <c r="DI93">
        <f t="shared" si="32"/>
        <v>0</v>
      </c>
      <c r="DJ93">
        <f>DF93</f>
        <v>6.65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ROW(Source!A53)</f>
        <v>53</v>
      </c>
      <c r="B94">
        <v>55937298</v>
      </c>
      <c r="C94">
        <v>55986015</v>
      </c>
      <c r="D94">
        <v>55469253</v>
      </c>
      <c r="E94">
        <v>1</v>
      </c>
      <c r="F94">
        <v>1</v>
      </c>
      <c r="G94">
        <v>1081</v>
      </c>
      <c r="H94">
        <v>3</v>
      </c>
      <c r="I94" t="s">
        <v>483</v>
      </c>
      <c r="J94" t="s">
        <v>484</v>
      </c>
      <c r="K94" t="s">
        <v>485</v>
      </c>
      <c r="L94">
        <v>1354</v>
      </c>
      <c r="N94">
        <v>1010</v>
      </c>
      <c r="O94" t="s">
        <v>217</v>
      </c>
      <c r="P94" t="s">
        <v>217</v>
      </c>
      <c r="Q94">
        <v>1</v>
      </c>
      <c r="W94">
        <v>0</v>
      </c>
      <c r="X94">
        <v>-32785108</v>
      </c>
      <c r="Y94">
        <f>(((AT94*1)*1)*0.6)</f>
        <v>3</v>
      </c>
      <c r="AA94">
        <v>36.14</v>
      </c>
      <c r="AB94">
        <v>0</v>
      </c>
      <c r="AC94">
        <v>0</v>
      </c>
      <c r="AD94">
        <v>0</v>
      </c>
      <c r="AE94">
        <v>15.25</v>
      </c>
      <c r="AF94">
        <v>0</v>
      </c>
      <c r="AG94">
        <v>0</v>
      </c>
      <c r="AH94">
        <v>0</v>
      </c>
      <c r="AI94">
        <v>2.37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5</v>
      </c>
      <c r="AU94" t="s">
        <v>77</v>
      </c>
      <c r="AV94">
        <v>0</v>
      </c>
      <c r="AW94">
        <v>2</v>
      </c>
      <c r="AX94">
        <v>55986027</v>
      </c>
      <c r="AY94">
        <v>1</v>
      </c>
      <c r="AZ94">
        <v>0</v>
      </c>
      <c r="BA94">
        <v>121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ROUND(Y94*Source!I53,9)</f>
        <v>0.12</v>
      </c>
      <c r="CY94">
        <f>AA94</f>
        <v>36.14</v>
      </c>
      <c r="CZ94">
        <f>AE94</f>
        <v>15.25</v>
      </c>
      <c r="DA94">
        <f>AI94</f>
        <v>2.37</v>
      </c>
      <c r="DB94">
        <f>ROUND((((ROUND(AT94*CZ94,2)*1)*1)*0.6),6)</f>
        <v>45.75</v>
      </c>
      <c r="DC94">
        <f>ROUND((((ROUND(AT94*AG94,2)*1)*1)*0.6),6)</f>
        <v>0</v>
      </c>
      <c r="DD94" t="s">
        <v>3</v>
      </c>
      <c r="DE94" t="s">
        <v>3</v>
      </c>
      <c r="DF94">
        <f>ROUND(ROUND(AE94*AI94,2)*CX94,2)</f>
        <v>4.34</v>
      </c>
      <c r="DG94">
        <f t="shared" si="38"/>
        <v>0</v>
      </c>
      <c r="DH94">
        <f t="shared" si="37"/>
        <v>0</v>
      </c>
      <c r="DI94">
        <f t="shared" si="32"/>
        <v>0</v>
      </c>
      <c r="DJ94">
        <f>DF94</f>
        <v>4.34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ROW(Source!A54)</f>
        <v>54</v>
      </c>
      <c r="B95">
        <v>55937296</v>
      </c>
      <c r="C95">
        <v>55986029</v>
      </c>
      <c r="D95">
        <v>55424304</v>
      </c>
      <c r="E95">
        <v>1081</v>
      </c>
      <c r="F95">
        <v>1</v>
      </c>
      <c r="G95">
        <v>1081</v>
      </c>
      <c r="H95">
        <v>1</v>
      </c>
      <c r="I95" t="s">
        <v>449</v>
      </c>
      <c r="J95" t="s">
        <v>3</v>
      </c>
      <c r="K95" t="s">
        <v>450</v>
      </c>
      <c r="L95">
        <v>1191</v>
      </c>
      <c r="N95">
        <v>1013</v>
      </c>
      <c r="O95" t="s">
        <v>451</v>
      </c>
      <c r="P95" t="s">
        <v>451</v>
      </c>
      <c r="Q95">
        <v>1</v>
      </c>
      <c r="W95">
        <v>0</v>
      </c>
      <c r="X95">
        <v>476480486</v>
      </c>
      <c r="Y95">
        <f>(((AT95*1.15)*1.2)*0.6)</f>
        <v>0.85283999999999982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1.03</v>
      </c>
      <c r="AU95" t="s">
        <v>79</v>
      </c>
      <c r="AV95">
        <v>1</v>
      </c>
      <c r="AW95">
        <v>2</v>
      </c>
      <c r="AX95">
        <v>55986034</v>
      </c>
      <c r="AY95">
        <v>1</v>
      </c>
      <c r="AZ95">
        <v>0</v>
      </c>
      <c r="BA95">
        <v>123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ROUND(AT95*Source!I54*AH95*AL95,2)</f>
        <v>0</v>
      </c>
      <c r="CV95">
        <f>ROUND(Y95*Source!I54,9)</f>
        <v>3.4113600000000002</v>
      </c>
      <c r="CW95">
        <v>0</v>
      </c>
      <c r="CX95">
        <f>ROUND(Y95*Source!I54,9)</f>
        <v>3.4113600000000002</v>
      </c>
      <c r="CY95">
        <f>AD95</f>
        <v>0</v>
      </c>
      <c r="CZ95">
        <f>AH95</f>
        <v>0</v>
      </c>
      <c r="DA95">
        <f>AL95</f>
        <v>1</v>
      </c>
      <c r="DB95">
        <f>ROUND((((ROUND(AT95*CZ95,2)*1.15)*1.2)*0.6),6)</f>
        <v>0</v>
      </c>
      <c r="DC95">
        <f>ROUND((((ROUND(AT95*AG95,2)*1.15)*1.2)*0.6),6)</f>
        <v>0</v>
      </c>
      <c r="DD95" t="s">
        <v>3</v>
      </c>
      <c r="DE95" t="s">
        <v>3</v>
      </c>
      <c r="DF95">
        <f t="shared" ref="DF95:DF101" si="39">ROUND(ROUND(AE95,2)*CX95,2)</f>
        <v>0</v>
      </c>
      <c r="DG95">
        <f t="shared" si="38"/>
        <v>0</v>
      </c>
      <c r="DH95">
        <f t="shared" si="37"/>
        <v>0</v>
      </c>
      <c r="DI95">
        <f t="shared" si="32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ROW(Source!A54)</f>
        <v>54</v>
      </c>
      <c r="B96">
        <v>55937296</v>
      </c>
      <c r="C96">
        <v>55986029</v>
      </c>
      <c r="D96">
        <v>55490209</v>
      </c>
      <c r="E96">
        <v>1</v>
      </c>
      <c r="F96">
        <v>1</v>
      </c>
      <c r="G96">
        <v>1081</v>
      </c>
      <c r="H96">
        <v>2</v>
      </c>
      <c r="I96" t="s">
        <v>489</v>
      </c>
      <c r="J96" t="s">
        <v>490</v>
      </c>
      <c r="K96" t="s">
        <v>491</v>
      </c>
      <c r="L96">
        <v>1368</v>
      </c>
      <c r="N96">
        <v>1011</v>
      </c>
      <c r="O96" t="s">
        <v>455</v>
      </c>
      <c r="P96" t="s">
        <v>455</v>
      </c>
      <c r="Q96">
        <v>1</v>
      </c>
      <c r="W96">
        <v>0</v>
      </c>
      <c r="X96">
        <v>874612079</v>
      </c>
      <c r="Y96">
        <f>(((AT96*1.25)*1.2)*0.6)</f>
        <v>8.9999999999999993E-3</v>
      </c>
      <c r="AA96">
        <v>0</v>
      </c>
      <c r="AB96">
        <v>88.67</v>
      </c>
      <c r="AC96">
        <v>13.47</v>
      </c>
      <c r="AD96">
        <v>0</v>
      </c>
      <c r="AE96">
        <v>0</v>
      </c>
      <c r="AF96">
        <v>83.1</v>
      </c>
      <c r="AG96">
        <v>12.62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0.01</v>
      </c>
      <c r="AU96" t="s">
        <v>78</v>
      </c>
      <c r="AV96">
        <v>0</v>
      </c>
      <c r="AW96">
        <v>2</v>
      </c>
      <c r="AX96">
        <v>55986035</v>
      </c>
      <c r="AY96">
        <v>1</v>
      </c>
      <c r="AZ96">
        <v>0</v>
      </c>
      <c r="BA96">
        <v>124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ROUND(Y96*Source!I54*DO96,9)</f>
        <v>0.45432</v>
      </c>
      <c r="CX96">
        <f>ROUND(Y96*Source!I54,9)</f>
        <v>3.5999999999999997E-2</v>
      </c>
      <c r="CY96">
        <f>AB96</f>
        <v>88.67</v>
      </c>
      <c r="CZ96">
        <f>AF96</f>
        <v>83.1</v>
      </c>
      <c r="DA96">
        <f>AJ96</f>
        <v>1</v>
      </c>
      <c r="DB96">
        <f>ROUND((((ROUND(AT96*CZ96,2)*1.25)*1.2)*0.6),6)</f>
        <v>0.747</v>
      </c>
      <c r="DC96">
        <f>ROUND((((ROUND(AT96*AG96,2)*1.25)*1.2)*0.6),6)</f>
        <v>0.11700000000000001</v>
      </c>
      <c r="DD96" t="s">
        <v>3</v>
      </c>
      <c r="DE96" t="s">
        <v>3</v>
      </c>
      <c r="DF96">
        <f t="shared" si="39"/>
        <v>0</v>
      </c>
      <c r="DG96">
        <f t="shared" si="38"/>
        <v>2.99</v>
      </c>
      <c r="DH96">
        <f t="shared" si="37"/>
        <v>0.45</v>
      </c>
      <c r="DI96">
        <f t="shared" si="32"/>
        <v>0</v>
      </c>
      <c r="DJ96">
        <f>DG96</f>
        <v>2.99</v>
      </c>
      <c r="DK96">
        <v>0</v>
      </c>
      <c r="DL96" t="s">
        <v>492</v>
      </c>
      <c r="DM96">
        <v>0</v>
      </c>
      <c r="DN96" t="s">
        <v>451</v>
      </c>
      <c r="DO96">
        <v>12.62</v>
      </c>
    </row>
    <row r="97" spans="1:119" x14ac:dyDescent="0.2">
      <c r="A97">
        <f>ROW(Source!A54)</f>
        <v>54</v>
      </c>
      <c r="B97">
        <v>55937296</v>
      </c>
      <c r="C97">
        <v>55986029</v>
      </c>
      <c r="D97">
        <v>55489523</v>
      </c>
      <c r="E97">
        <v>1</v>
      </c>
      <c r="F97">
        <v>1</v>
      </c>
      <c r="G97">
        <v>1081</v>
      </c>
      <c r="H97">
        <v>2</v>
      </c>
      <c r="I97" t="s">
        <v>521</v>
      </c>
      <c r="J97" t="s">
        <v>522</v>
      </c>
      <c r="K97" t="s">
        <v>523</v>
      </c>
      <c r="L97">
        <v>1368</v>
      </c>
      <c r="N97">
        <v>1011</v>
      </c>
      <c r="O97" t="s">
        <v>455</v>
      </c>
      <c r="P97" t="s">
        <v>455</v>
      </c>
      <c r="Q97">
        <v>1</v>
      </c>
      <c r="W97">
        <v>0</v>
      </c>
      <c r="X97">
        <v>-597652516</v>
      </c>
      <c r="Y97">
        <f>(((AT97*1.25)*1.2)*0.6)</f>
        <v>0.23399999999999999</v>
      </c>
      <c r="AA97">
        <v>0</v>
      </c>
      <c r="AB97">
        <v>0.34</v>
      </c>
      <c r="AC97">
        <v>0</v>
      </c>
      <c r="AD97">
        <v>0</v>
      </c>
      <c r="AE97">
        <v>0</v>
      </c>
      <c r="AF97">
        <v>0.32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0.26</v>
      </c>
      <c r="AU97" t="s">
        <v>78</v>
      </c>
      <c r="AV97">
        <v>0</v>
      </c>
      <c r="AW97">
        <v>2</v>
      </c>
      <c r="AX97">
        <v>55986036</v>
      </c>
      <c r="AY97">
        <v>1</v>
      </c>
      <c r="AZ97">
        <v>0</v>
      </c>
      <c r="BA97">
        <v>125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ROUND(Y97*Source!I54*DO97,9)</f>
        <v>0</v>
      </c>
      <c r="CX97">
        <f>ROUND(Y97*Source!I54,9)</f>
        <v>0.93600000000000005</v>
      </c>
      <c r="CY97">
        <f>AB97</f>
        <v>0.34</v>
      </c>
      <c r="CZ97">
        <f>AF97</f>
        <v>0.32</v>
      </c>
      <c r="DA97">
        <f>AJ97</f>
        <v>1</v>
      </c>
      <c r="DB97">
        <f>ROUND((((ROUND(AT97*CZ97,2)*1.25)*1.2)*0.6),6)</f>
        <v>7.1999999999999995E-2</v>
      </c>
      <c r="DC97">
        <f>ROUND((((ROUND(AT97*AG97,2)*1.25)*1.2)*0.6),6)</f>
        <v>0</v>
      </c>
      <c r="DD97" t="s">
        <v>3</v>
      </c>
      <c r="DE97" t="s">
        <v>3</v>
      </c>
      <c r="DF97">
        <f t="shared" si="39"/>
        <v>0</v>
      </c>
      <c r="DG97">
        <f t="shared" si="38"/>
        <v>0.3</v>
      </c>
      <c r="DH97">
        <f t="shared" si="37"/>
        <v>0</v>
      </c>
      <c r="DI97">
        <f t="shared" si="32"/>
        <v>0</v>
      </c>
      <c r="DJ97">
        <f>DG97</f>
        <v>0.3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ROW(Source!A54)</f>
        <v>54</v>
      </c>
      <c r="B98">
        <v>55937296</v>
      </c>
      <c r="C98">
        <v>55986029</v>
      </c>
      <c r="D98">
        <v>55461047</v>
      </c>
      <c r="E98">
        <v>1</v>
      </c>
      <c r="F98">
        <v>1</v>
      </c>
      <c r="G98">
        <v>1081</v>
      </c>
      <c r="H98">
        <v>3</v>
      </c>
      <c r="I98" t="s">
        <v>524</v>
      </c>
      <c r="J98" t="s">
        <v>525</v>
      </c>
      <c r="K98" t="s">
        <v>526</v>
      </c>
      <c r="L98">
        <v>1346</v>
      </c>
      <c r="N98">
        <v>1009</v>
      </c>
      <c r="O98" t="s">
        <v>311</v>
      </c>
      <c r="P98" t="s">
        <v>311</v>
      </c>
      <c r="Q98">
        <v>1</v>
      </c>
      <c r="W98">
        <v>0</v>
      </c>
      <c r="X98">
        <v>1389232946</v>
      </c>
      <c r="Y98">
        <f>(((AT98*1)*1)*0.6)</f>
        <v>0.15</v>
      </c>
      <c r="AA98">
        <v>15.02</v>
      </c>
      <c r="AB98">
        <v>0</v>
      </c>
      <c r="AC98">
        <v>0</v>
      </c>
      <c r="AD98">
        <v>0</v>
      </c>
      <c r="AE98">
        <v>15.02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0.25</v>
      </c>
      <c r="AU98" t="s">
        <v>77</v>
      </c>
      <c r="AV98">
        <v>0</v>
      </c>
      <c r="AW98">
        <v>2</v>
      </c>
      <c r="AX98">
        <v>55986037</v>
      </c>
      <c r="AY98">
        <v>1</v>
      </c>
      <c r="AZ98">
        <v>0</v>
      </c>
      <c r="BA98">
        <v>126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ROUND(Y98*Source!I54,9)</f>
        <v>0.6</v>
      </c>
      <c r="CY98">
        <f>AA98</f>
        <v>15.02</v>
      </c>
      <c r="CZ98">
        <f>AE98</f>
        <v>15.02</v>
      </c>
      <c r="DA98">
        <f>AI98</f>
        <v>1</v>
      </c>
      <c r="DB98">
        <f>ROUND((((ROUND(AT98*CZ98,2)*1)*1)*0.6),6)</f>
        <v>2.2559999999999998</v>
      </c>
      <c r="DC98">
        <f>ROUND((((ROUND(AT98*AG98,2)*1)*1)*0.6),6)</f>
        <v>0</v>
      </c>
      <c r="DD98" t="s">
        <v>3</v>
      </c>
      <c r="DE98" t="s">
        <v>3</v>
      </c>
      <c r="DF98">
        <f t="shared" si="39"/>
        <v>9.01</v>
      </c>
      <c r="DG98">
        <f t="shared" si="38"/>
        <v>0</v>
      </c>
      <c r="DH98">
        <f t="shared" si="37"/>
        <v>0</v>
      </c>
      <c r="DI98">
        <f t="shared" si="32"/>
        <v>0</v>
      </c>
      <c r="DJ98">
        <f>DF98</f>
        <v>9.01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ROW(Source!A55)</f>
        <v>55</v>
      </c>
      <c r="B99">
        <v>55937298</v>
      </c>
      <c r="C99">
        <v>55986029</v>
      </c>
      <c r="D99">
        <v>55424304</v>
      </c>
      <c r="E99">
        <v>1081</v>
      </c>
      <c r="F99">
        <v>1</v>
      </c>
      <c r="G99">
        <v>1081</v>
      </c>
      <c r="H99">
        <v>1</v>
      </c>
      <c r="I99" t="s">
        <v>449</v>
      </c>
      <c r="J99" t="s">
        <v>3</v>
      </c>
      <c r="K99" t="s">
        <v>450</v>
      </c>
      <c r="L99">
        <v>1191</v>
      </c>
      <c r="N99">
        <v>1013</v>
      </c>
      <c r="O99" t="s">
        <v>451</v>
      </c>
      <c r="P99" t="s">
        <v>451</v>
      </c>
      <c r="Q99">
        <v>1</v>
      </c>
      <c r="W99">
        <v>0</v>
      </c>
      <c r="X99">
        <v>476480486</v>
      </c>
      <c r="Y99">
        <f>(((AT99*1.15)*1.2)*0.6)</f>
        <v>0.85283999999999982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5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1.03</v>
      </c>
      <c r="AU99" t="s">
        <v>79</v>
      </c>
      <c r="AV99">
        <v>1</v>
      </c>
      <c r="AW99">
        <v>2</v>
      </c>
      <c r="AX99">
        <v>55986034</v>
      </c>
      <c r="AY99">
        <v>1</v>
      </c>
      <c r="AZ99">
        <v>0</v>
      </c>
      <c r="BA99">
        <v>129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ROUND(AT99*Source!I55*AH99*AL99,2)</f>
        <v>0</v>
      </c>
      <c r="CV99">
        <f>ROUND(Y99*Source!I55,9)</f>
        <v>3.4113600000000002</v>
      </c>
      <c r="CW99">
        <v>0</v>
      </c>
      <c r="CX99">
        <f>ROUND(Y99*Source!I55,9)</f>
        <v>3.4113600000000002</v>
      </c>
      <c r="CY99">
        <f>AD99</f>
        <v>0</v>
      </c>
      <c r="CZ99">
        <f>AH99</f>
        <v>0</v>
      </c>
      <c r="DA99">
        <f>AL99</f>
        <v>1</v>
      </c>
      <c r="DB99">
        <f>ROUND((((ROUND(AT99*CZ99,2)*1.15)*1.2)*0.6),6)</f>
        <v>0</v>
      </c>
      <c r="DC99">
        <f>ROUND((((ROUND(AT99*AG99,2)*1.15)*1.2)*0.6),6)</f>
        <v>0</v>
      </c>
      <c r="DD99" t="s">
        <v>3</v>
      </c>
      <c r="DE99" t="s">
        <v>3</v>
      </c>
      <c r="DF99">
        <f t="shared" si="39"/>
        <v>0</v>
      </c>
      <c r="DG99">
        <f t="shared" si="38"/>
        <v>0</v>
      </c>
      <c r="DH99">
        <f t="shared" si="37"/>
        <v>0</v>
      </c>
      <c r="DI99">
        <f t="shared" si="32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ROW(Source!A55)</f>
        <v>55</v>
      </c>
      <c r="B100">
        <v>55937298</v>
      </c>
      <c r="C100">
        <v>55986029</v>
      </c>
      <c r="D100">
        <v>55490209</v>
      </c>
      <c r="E100">
        <v>1</v>
      </c>
      <c r="F100">
        <v>1</v>
      </c>
      <c r="G100">
        <v>1081</v>
      </c>
      <c r="H100">
        <v>2</v>
      </c>
      <c r="I100" t="s">
        <v>489</v>
      </c>
      <c r="J100" t="s">
        <v>490</v>
      </c>
      <c r="K100" t="s">
        <v>491</v>
      </c>
      <c r="L100">
        <v>1368</v>
      </c>
      <c r="N100">
        <v>1011</v>
      </c>
      <c r="O100" t="s">
        <v>455</v>
      </c>
      <c r="P100" t="s">
        <v>455</v>
      </c>
      <c r="Q100">
        <v>1</v>
      </c>
      <c r="W100">
        <v>0</v>
      </c>
      <c r="X100">
        <v>874612079</v>
      </c>
      <c r="Y100">
        <f>(((AT100*1.25)*1.2)*0.6)</f>
        <v>8.9999999999999993E-3</v>
      </c>
      <c r="AA100">
        <v>0</v>
      </c>
      <c r="AB100">
        <v>1513.56</v>
      </c>
      <c r="AC100">
        <v>758.78</v>
      </c>
      <c r="AD100">
        <v>0</v>
      </c>
      <c r="AE100">
        <v>0</v>
      </c>
      <c r="AF100">
        <v>83.1</v>
      </c>
      <c r="AG100">
        <v>12.62</v>
      </c>
      <c r="AH100">
        <v>0</v>
      </c>
      <c r="AI100">
        <v>1</v>
      </c>
      <c r="AJ100">
        <v>17.07</v>
      </c>
      <c r="AK100">
        <v>56.35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0.01</v>
      </c>
      <c r="AU100" t="s">
        <v>78</v>
      </c>
      <c r="AV100">
        <v>0</v>
      </c>
      <c r="AW100">
        <v>2</v>
      </c>
      <c r="AX100">
        <v>55986035</v>
      </c>
      <c r="AY100">
        <v>1</v>
      </c>
      <c r="AZ100">
        <v>0</v>
      </c>
      <c r="BA100">
        <v>130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ROUND(Y100*Source!I55*DO100,9)</f>
        <v>0.45432</v>
      </c>
      <c r="CX100">
        <f>ROUND(Y100*Source!I55,9)</f>
        <v>3.5999999999999997E-2</v>
      </c>
      <c r="CY100">
        <f>AB100</f>
        <v>1513.56</v>
      </c>
      <c r="CZ100">
        <f>AF100</f>
        <v>83.1</v>
      </c>
      <c r="DA100">
        <f>AJ100</f>
        <v>17.07</v>
      </c>
      <c r="DB100">
        <f>ROUND((((ROUND(AT100*CZ100,2)*1.25)*1.2)*0.6),6)</f>
        <v>0.747</v>
      </c>
      <c r="DC100">
        <f>ROUND((((ROUND(AT100*AG100,2)*1.25)*1.2)*0.6),6)</f>
        <v>0.11700000000000001</v>
      </c>
      <c r="DD100" t="s">
        <v>3</v>
      </c>
      <c r="DE100" t="s">
        <v>3</v>
      </c>
      <c r="DF100">
        <f t="shared" si="39"/>
        <v>0</v>
      </c>
      <c r="DG100">
        <f>ROUND(ROUND(AF100*AJ100,2)*CX100,2)</f>
        <v>51.07</v>
      </c>
      <c r="DH100">
        <f>ROUND(ROUND(AG100*AK100,2)*CX100,2)</f>
        <v>25.6</v>
      </c>
      <c r="DI100">
        <f t="shared" si="32"/>
        <v>0</v>
      </c>
      <c r="DJ100">
        <f>DG100</f>
        <v>51.07</v>
      </c>
      <c r="DK100">
        <v>0</v>
      </c>
      <c r="DL100" t="s">
        <v>492</v>
      </c>
      <c r="DM100">
        <v>0</v>
      </c>
      <c r="DN100" t="s">
        <v>451</v>
      </c>
      <c r="DO100">
        <v>12.62</v>
      </c>
    </row>
    <row r="101" spans="1:119" x14ac:dyDescent="0.2">
      <c r="A101">
        <f>ROW(Source!A55)</f>
        <v>55</v>
      </c>
      <c r="B101">
        <v>55937298</v>
      </c>
      <c r="C101">
        <v>55986029</v>
      </c>
      <c r="D101">
        <v>55489523</v>
      </c>
      <c r="E101">
        <v>1</v>
      </c>
      <c r="F101">
        <v>1</v>
      </c>
      <c r="G101">
        <v>1081</v>
      </c>
      <c r="H101">
        <v>2</v>
      </c>
      <c r="I101" t="s">
        <v>521</v>
      </c>
      <c r="J101" t="s">
        <v>522</v>
      </c>
      <c r="K101" t="s">
        <v>523</v>
      </c>
      <c r="L101">
        <v>1368</v>
      </c>
      <c r="N101">
        <v>1011</v>
      </c>
      <c r="O101" t="s">
        <v>455</v>
      </c>
      <c r="P101" t="s">
        <v>455</v>
      </c>
      <c r="Q101">
        <v>1</v>
      </c>
      <c r="W101">
        <v>0</v>
      </c>
      <c r="X101">
        <v>-597652516</v>
      </c>
      <c r="Y101">
        <f>(((AT101*1.25)*1.2)*0.6)</f>
        <v>0.23399999999999999</v>
      </c>
      <c r="AA101">
        <v>0</v>
      </c>
      <c r="AB101">
        <v>3.14</v>
      </c>
      <c r="AC101">
        <v>0</v>
      </c>
      <c r="AD101">
        <v>0</v>
      </c>
      <c r="AE101">
        <v>0</v>
      </c>
      <c r="AF101">
        <v>0.32</v>
      </c>
      <c r="AG101">
        <v>0</v>
      </c>
      <c r="AH101">
        <v>0</v>
      </c>
      <c r="AI101">
        <v>1</v>
      </c>
      <c r="AJ101">
        <v>9.19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0.26</v>
      </c>
      <c r="AU101" t="s">
        <v>78</v>
      </c>
      <c r="AV101">
        <v>0</v>
      </c>
      <c r="AW101">
        <v>2</v>
      </c>
      <c r="AX101">
        <v>55986036</v>
      </c>
      <c r="AY101">
        <v>1</v>
      </c>
      <c r="AZ101">
        <v>0</v>
      </c>
      <c r="BA101">
        <v>131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f>ROUND(Y101*Source!I55*DO101,9)</f>
        <v>0</v>
      </c>
      <c r="CX101">
        <f>ROUND(Y101*Source!I55,9)</f>
        <v>0.93600000000000005</v>
      </c>
      <c r="CY101">
        <f>AB101</f>
        <v>3.14</v>
      </c>
      <c r="CZ101">
        <f>AF101</f>
        <v>0.32</v>
      </c>
      <c r="DA101">
        <f>AJ101</f>
        <v>9.19</v>
      </c>
      <c r="DB101">
        <f>ROUND((((ROUND(AT101*CZ101,2)*1.25)*1.2)*0.6),6)</f>
        <v>7.1999999999999995E-2</v>
      </c>
      <c r="DC101">
        <f>ROUND((((ROUND(AT101*AG101,2)*1.25)*1.2)*0.6),6)</f>
        <v>0</v>
      </c>
      <c r="DD101" t="s">
        <v>3</v>
      </c>
      <c r="DE101" t="s">
        <v>3</v>
      </c>
      <c r="DF101">
        <f t="shared" si="39"/>
        <v>0</v>
      </c>
      <c r="DG101">
        <f>ROUND(ROUND(AF101*AJ101,2)*CX101,2)</f>
        <v>2.75</v>
      </c>
      <c r="DH101">
        <f t="shared" ref="DH101:DH108" si="40">ROUND(ROUND(AG101,2)*CX101,2)</f>
        <v>0</v>
      </c>
      <c r="DI101">
        <f t="shared" si="32"/>
        <v>0</v>
      </c>
      <c r="DJ101">
        <f>DG101</f>
        <v>2.75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ROW(Source!A55)</f>
        <v>55</v>
      </c>
      <c r="B102">
        <v>55937298</v>
      </c>
      <c r="C102">
        <v>55986029</v>
      </c>
      <c r="D102">
        <v>55461047</v>
      </c>
      <c r="E102">
        <v>1</v>
      </c>
      <c r="F102">
        <v>1</v>
      </c>
      <c r="G102">
        <v>1081</v>
      </c>
      <c r="H102">
        <v>3</v>
      </c>
      <c r="I102" t="s">
        <v>524</v>
      </c>
      <c r="J102" t="s">
        <v>525</v>
      </c>
      <c r="K102" t="s">
        <v>526</v>
      </c>
      <c r="L102">
        <v>1346</v>
      </c>
      <c r="N102">
        <v>1009</v>
      </c>
      <c r="O102" t="s">
        <v>311</v>
      </c>
      <c r="P102" t="s">
        <v>311</v>
      </c>
      <c r="Q102">
        <v>1</v>
      </c>
      <c r="W102">
        <v>0</v>
      </c>
      <c r="X102">
        <v>1389232946</v>
      </c>
      <c r="Y102">
        <f>(((AT102*1)*1)*0.6)</f>
        <v>0.15</v>
      </c>
      <c r="AA102">
        <v>98.38</v>
      </c>
      <c r="AB102">
        <v>0</v>
      </c>
      <c r="AC102">
        <v>0</v>
      </c>
      <c r="AD102">
        <v>0</v>
      </c>
      <c r="AE102">
        <v>15.02</v>
      </c>
      <c r="AF102">
        <v>0</v>
      </c>
      <c r="AG102">
        <v>0</v>
      </c>
      <c r="AH102">
        <v>0</v>
      </c>
      <c r="AI102">
        <v>6.55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0.25</v>
      </c>
      <c r="AU102" t="s">
        <v>77</v>
      </c>
      <c r="AV102">
        <v>0</v>
      </c>
      <c r="AW102">
        <v>2</v>
      </c>
      <c r="AX102">
        <v>55986037</v>
      </c>
      <c r="AY102">
        <v>1</v>
      </c>
      <c r="AZ102">
        <v>0</v>
      </c>
      <c r="BA102">
        <v>132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ROUND(Y102*Source!I55,9)</f>
        <v>0.6</v>
      </c>
      <c r="CY102">
        <f>AA102</f>
        <v>98.38</v>
      </c>
      <c r="CZ102">
        <f>AE102</f>
        <v>15.02</v>
      </c>
      <c r="DA102">
        <f>AI102</f>
        <v>6.55</v>
      </c>
      <c r="DB102">
        <f>ROUND((((ROUND(AT102*CZ102,2)*1)*1)*0.6),6)</f>
        <v>2.2559999999999998</v>
      </c>
      <c r="DC102">
        <f>ROUND((((ROUND(AT102*AG102,2)*1)*1)*0.6),6)</f>
        <v>0</v>
      </c>
      <c r="DD102" t="s">
        <v>3</v>
      </c>
      <c r="DE102" t="s">
        <v>3</v>
      </c>
      <c r="DF102">
        <f>ROUND(ROUND(AE102*AI102,2)*CX102,2)</f>
        <v>59.03</v>
      </c>
      <c r="DG102">
        <f t="shared" ref="DG102:DG108" si="41">ROUND(ROUND(AF102,2)*CX102,2)</f>
        <v>0</v>
      </c>
      <c r="DH102">
        <f t="shared" si="40"/>
        <v>0</v>
      </c>
      <c r="DI102">
        <f t="shared" si="32"/>
        <v>0</v>
      </c>
      <c r="DJ102">
        <f>DF102</f>
        <v>59.03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ROW(Source!A56)</f>
        <v>56</v>
      </c>
      <c r="B103">
        <v>55937296</v>
      </c>
      <c r="C103">
        <v>55986040</v>
      </c>
      <c r="D103">
        <v>55424304</v>
      </c>
      <c r="E103">
        <v>1081</v>
      </c>
      <c r="F103">
        <v>1</v>
      </c>
      <c r="G103">
        <v>1081</v>
      </c>
      <c r="H103">
        <v>1</v>
      </c>
      <c r="I103" t="s">
        <v>449</v>
      </c>
      <c r="J103" t="s">
        <v>3</v>
      </c>
      <c r="K103" t="s">
        <v>450</v>
      </c>
      <c r="L103">
        <v>1191</v>
      </c>
      <c r="N103">
        <v>1013</v>
      </c>
      <c r="O103" t="s">
        <v>451</v>
      </c>
      <c r="P103" t="s">
        <v>451</v>
      </c>
      <c r="Q103">
        <v>1</v>
      </c>
      <c r="W103">
        <v>0</v>
      </c>
      <c r="X103">
        <v>476480486</v>
      </c>
      <c r="Y103">
        <f>(((AT103*1.15)*1.2)*0.6)</f>
        <v>20.534399999999998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24.8</v>
      </c>
      <c r="AU103" t="s">
        <v>79</v>
      </c>
      <c r="AV103">
        <v>1</v>
      </c>
      <c r="AW103">
        <v>2</v>
      </c>
      <c r="AX103">
        <v>55986046</v>
      </c>
      <c r="AY103">
        <v>1</v>
      </c>
      <c r="AZ103">
        <v>0</v>
      </c>
      <c r="BA103">
        <v>135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ROUND(AT103*Source!I56*AH103*AL103,2)</f>
        <v>0</v>
      </c>
      <c r="CV103">
        <f>ROUND(Y103*Source!I56,9)</f>
        <v>0.821376</v>
      </c>
      <c r="CW103">
        <v>0</v>
      </c>
      <c r="CX103">
        <f>ROUND(Y103*Source!I56,9)</f>
        <v>0.821376</v>
      </c>
      <c r="CY103">
        <f>AD103</f>
        <v>0</v>
      </c>
      <c r="CZ103">
        <f>AH103</f>
        <v>0</v>
      </c>
      <c r="DA103">
        <f>AL103</f>
        <v>1</v>
      </c>
      <c r="DB103">
        <f>ROUND((((ROUND(AT103*CZ103,2)*1.15)*1.2)*0.6),6)</f>
        <v>0</v>
      </c>
      <c r="DC103">
        <f>ROUND((((ROUND(AT103*AG103,2)*1.15)*1.2)*0.6),6)</f>
        <v>0</v>
      </c>
      <c r="DD103" t="s">
        <v>3</v>
      </c>
      <c r="DE103" t="s">
        <v>3</v>
      </c>
      <c r="DF103">
        <f t="shared" ref="DF103:DF110" si="42">ROUND(ROUND(AE103,2)*CX103,2)</f>
        <v>0</v>
      </c>
      <c r="DG103">
        <f t="shared" si="41"/>
        <v>0</v>
      </c>
      <c r="DH103">
        <f t="shared" si="40"/>
        <v>0</v>
      </c>
      <c r="DI103">
        <f t="shared" si="32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ROW(Source!A56)</f>
        <v>56</v>
      </c>
      <c r="B104">
        <v>55937296</v>
      </c>
      <c r="C104">
        <v>55986040</v>
      </c>
      <c r="D104">
        <v>55490209</v>
      </c>
      <c r="E104">
        <v>1</v>
      </c>
      <c r="F104">
        <v>1</v>
      </c>
      <c r="G104">
        <v>1081</v>
      </c>
      <c r="H104">
        <v>2</v>
      </c>
      <c r="I104" t="s">
        <v>489</v>
      </c>
      <c r="J104" t="s">
        <v>490</v>
      </c>
      <c r="K104" t="s">
        <v>491</v>
      </c>
      <c r="L104">
        <v>1368</v>
      </c>
      <c r="N104">
        <v>1011</v>
      </c>
      <c r="O104" t="s">
        <v>455</v>
      </c>
      <c r="P104" t="s">
        <v>455</v>
      </c>
      <c r="Q104">
        <v>1</v>
      </c>
      <c r="W104">
        <v>0</v>
      </c>
      <c r="X104">
        <v>874612079</v>
      </c>
      <c r="Y104">
        <f>(((AT104*1.25)*1.2)*0.6)</f>
        <v>1.7999999999999999E-2</v>
      </c>
      <c r="AA104">
        <v>0</v>
      </c>
      <c r="AB104">
        <v>88.67</v>
      </c>
      <c r="AC104">
        <v>13.47</v>
      </c>
      <c r="AD104">
        <v>0</v>
      </c>
      <c r="AE104">
        <v>0</v>
      </c>
      <c r="AF104">
        <v>83.1</v>
      </c>
      <c r="AG104">
        <v>12.62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0.02</v>
      </c>
      <c r="AU104" t="s">
        <v>78</v>
      </c>
      <c r="AV104">
        <v>0</v>
      </c>
      <c r="AW104">
        <v>2</v>
      </c>
      <c r="AX104">
        <v>55986047</v>
      </c>
      <c r="AY104">
        <v>1</v>
      </c>
      <c r="AZ104">
        <v>0</v>
      </c>
      <c r="BA104">
        <v>136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ROUND(Y104*Source!I56*DO104,9)</f>
        <v>9.0863999999999997E-3</v>
      </c>
      <c r="CX104">
        <f>ROUND(Y104*Source!I56,9)</f>
        <v>7.2000000000000005E-4</v>
      </c>
      <c r="CY104">
        <f>AB104</f>
        <v>88.67</v>
      </c>
      <c r="CZ104">
        <f>AF104</f>
        <v>83.1</v>
      </c>
      <c r="DA104">
        <f>AJ104</f>
        <v>1</v>
      </c>
      <c r="DB104">
        <f>ROUND((((ROUND(AT104*CZ104,2)*1.25)*1.2)*0.6),6)</f>
        <v>1.494</v>
      </c>
      <c r="DC104">
        <f>ROUND((((ROUND(AT104*AG104,2)*1.25)*1.2)*0.6),6)</f>
        <v>0.22500000000000001</v>
      </c>
      <c r="DD104" t="s">
        <v>3</v>
      </c>
      <c r="DE104" t="s">
        <v>3</v>
      </c>
      <c r="DF104">
        <f t="shared" si="42"/>
        <v>0</v>
      </c>
      <c r="DG104">
        <f t="shared" si="41"/>
        <v>0.06</v>
      </c>
      <c r="DH104">
        <f t="shared" si="40"/>
        <v>0.01</v>
      </c>
      <c r="DI104">
        <f t="shared" si="32"/>
        <v>0</v>
      </c>
      <c r="DJ104">
        <f>DG104</f>
        <v>0.06</v>
      </c>
      <c r="DK104">
        <v>0</v>
      </c>
      <c r="DL104" t="s">
        <v>492</v>
      </c>
      <c r="DM104">
        <v>0</v>
      </c>
      <c r="DN104" t="s">
        <v>451</v>
      </c>
      <c r="DO104">
        <v>12.62</v>
      </c>
    </row>
    <row r="105" spans="1:119" x14ac:dyDescent="0.2">
      <c r="A105">
        <f>ROW(Source!A56)</f>
        <v>56</v>
      </c>
      <c r="B105">
        <v>55937296</v>
      </c>
      <c r="C105">
        <v>55986040</v>
      </c>
      <c r="D105">
        <v>55490263</v>
      </c>
      <c r="E105">
        <v>1</v>
      </c>
      <c r="F105">
        <v>1</v>
      </c>
      <c r="G105">
        <v>1081</v>
      </c>
      <c r="H105">
        <v>2</v>
      </c>
      <c r="I105" t="s">
        <v>502</v>
      </c>
      <c r="J105" t="s">
        <v>503</v>
      </c>
      <c r="K105" t="s">
        <v>504</v>
      </c>
      <c r="L105">
        <v>1368</v>
      </c>
      <c r="N105">
        <v>1011</v>
      </c>
      <c r="O105" t="s">
        <v>455</v>
      </c>
      <c r="P105" t="s">
        <v>455</v>
      </c>
      <c r="Q105">
        <v>1</v>
      </c>
      <c r="W105">
        <v>0</v>
      </c>
      <c r="X105">
        <v>-1895752648</v>
      </c>
      <c r="Y105">
        <f>(((AT105*1.25)*1.2)*0.6)</f>
        <v>7.1999999999999993</v>
      </c>
      <c r="AA105">
        <v>0</v>
      </c>
      <c r="AB105">
        <v>0.82</v>
      </c>
      <c r="AC105">
        <v>0</v>
      </c>
      <c r="AD105">
        <v>0</v>
      </c>
      <c r="AE105">
        <v>0</v>
      </c>
      <c r="AF105">
        <v>0.77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8</v>
      </c>
      <c r="AU105" t="s">
        <v>78</v>
      </c>
      <c r="AV105">
        <v>0</v>
      </c>
      <c r="AW105">
        <v>2</v>
      </c>
      <c r="AX105">
        <v>55986048</v>
      </c>
      <c r="AY105">
        <v>1</v>
      </c>
      <c r="AZ105">
        <v>0</v>
      </c>
      <c r="BA105">
        <v>137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ROUND(Y105*Source!I56*DO105,9)</f>
        <v>0</v>
      </c>
      <c r="CX105">
        <f>ROUND(Y105*Source!I56,9)</f>
        <v>0.28799999999999998</v>
      </c>
      <c r="CY105">
        <f>AB105</f>
        <v>0.82</v>
      </c>
      <c r="CZ105">
        <f>AF105</f>
        <v>0.77</v>
      </c>
      <c r="DA105">
        <f>AJ105</f>
        <v>1</v>
      </c>
      <c r="DB105">
        <f>ROUND((((ROUND(AT105*CZ105,2)*1.25)*1.2)*0.6),6)</f>
        <v>5.5439999999999996</v>
      </c>
      <c r="DC105">
        <f>ROUND((((ROUND(AT105*AG105,2)*1.25)*1.2)*0.6),6)</f>
        <v>0</v>
      </c>
      <c r="DD105" t="s">
        <v>3</v>
      </c>
      <c r="DE105" t="s">
        <v>3</v>
      </c>
      <c r="DF105">
        <f t="shared" si="42"/>
        <v>0</v>
      </c>
      <c r="DG105">
        <f t="shared" si="41"/>
        <v>0.22</v>
      </c>
      <c r="DH105">
        <f t="shared" si="40"/>
        <v>0</v>
      </c>
      <c r="DI105">
        <f t="shared" si="32"/>
        <v>0</v>
      </c>
      <c r="DJ105">
        <f>DG105</f>
        <v>0.22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ROW(Source!A56)</f>
        <v>56</v>
      </c>
      <c r="B106">
        <v>55937296</v>
      </c>
      <c r="C106">
        <v>55986040</v>
      </c>
      <c r="D106">
        <v>55460658</v>
      </c>
      <c r="E106">
        <v>1</v>
      </c>
      <c r="F106">
        <v>1</v>
      </c>
      <c r="G106">
        <v>1081</v>
      </c>
      <c r="H106">
        <v>3</v>
      </c>
      <c r="I106" t="s">
        <v>527</v>
      </c>
      <c r="J106" t="s">
        <v>528</v>
      </c>
      <c r="K106" t="s">
        <v>529</v>
      </c>
      <c r="L106">
        <v>1296</v>
      </c>
      <c r="N106">
        <v>1002</v>
      </c>
      <c r="O106" t="s">
        <v>514</v>
      </c>
      <c r="P106" t="s">
        <v>514</v>
      </c>
      <c r="Q106">
        <v>1</v>
      </c>
      <c r="W106">
        <v>0</v>
      </c>
      <c r="X106">
        <v>1977302506</v>
      </c>
      <c r="Y106">
        <f>(((AT106*1)*1)*0.6)</f>
        <v>1.2760199999999999</v>
      </c>
      <c r="AA106">
        <v>84.21</v>
      </c>
      <c r="AB106">
        <v>0</v>
      </c>
      <c r="AC106">
        <v>0</v>
      </c>
      <c r="AD106">
        <v>0</v>
      </c>
      <c r="AE106">
        <v>84.21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2.1267</v>
      </c>
      <c r="AU106" t="s">
        <v>77</v>
      </c>
      <c r="AV106">
        <v>0</v>
      </c>
      <c r="AW106">
        <v>2</v>
      </c>
      <c r="AX106">
        <v>55986049</v>
      </c>
      <c r="AY106">
        <v>1</v>
      </c>
      <c r="AZ106">
        <v>0</v>
      </c>
      <c r="BA106">
        <v>138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ROUND(Y106*Source!I56,9)</f>
        <v>5.1040799999999997E-2</v>
      </c>
      <c r="CY106">
        <f>AA106</f>
        <v>84.21</v>
      </c>
      <c r="CZ106">
        <f>AE106</f>
        <v>84.21</v>
      </c>
      <c r="DA106">
        <f>AI106</f>
        <v>1</v>
      </c>
      <c r="DB106">
        <f>ROUND((((ROUND(AT106*CZ106,2)*1)*1)*0.6),6)</f>
        <v>107.45399999999999</v>
      </c>
      <c r="DC106">
        <f>ROUND((((ROUND(AT106*AG106,2)*1)*1)*0.6),6)</f>
        <v>0</v>
      </c>
      <c r="DD106" t="s">
        <v>3</v>
      </c>
      <c r="DE106" t="s">
        <v>3</v>
      </c>
      <c r="DF106">
        <f t="shared" si="42"/>
        <v>4.3</v>
      </c>
      <c r="DG106">
        <f t="shared" si="41"/>
        <v>0</v>
      </c>
      <c r="DH106">
        <f t="shared" si="40"/>
        <v>0</v>
      </c>
      <c r="DI106">
        <f t="shared" si="32"/>
        <v>0</v>
      </c>
      <c r="DJ106">
        <f>DF106</f>
        <v>4.3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ROW(Source!A56)</f>
        <v>56</v>
      </c>
      <c r="B107">
        <v>55937296</v>
      </c>
      <c r="C107">
        <v>55986040</v>
      </c>
      <c r="D107">
        <v>55461822</v>
      </c>
      <c r="E107">
        <v>1</v>
      </c>
      <c r="F107">
        <v>1</v>
      </c>
      <c r="G107">
        <v>1081</v>
      </c>
      <c r="H107">
        <v>3</v>
      </c>
      <c r="I107" t="s">
        <v>530</v>
      </c>
      <c r="J107" t="s">
        <v>531</v>
      </c>
      <c r="K107" t="s">
        <v>532</v>
      </c>
      <c r="L107">
        <v>1355</v>
      </c>
      <c r="N107">
        <v>1010</v>
      </c>
      <c r="O107" t="s">
        <v>60</v>
      </c>
      <c r="P107" t="s">
        <v>60</v>
      </c>
      <c r="Q107">
        <v>100</v>
      </c>
      <c r="W107">
        <v>0</v>
      </c>
      <c r="X107">
        <v>-1633148487</v>
      </c>
      <c r="Y107">
        <f>(((AT107*1)*1)*0.6)</f>
        <v>2.4239999999999999</v>
      </c>
      <c r="AA107">
        <v>43.8</v>
      </c>
      <c r="AB107">
        <v>0</v>
      </c>
      <c r="AC107">
        <v>0</v>
      </c>
      <c r="AD107">
        <v>0</v>
      </c>
      <c r="AE107">
        <v>43.8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4.04</v>
      </c>
      <c r="AU107" t="s">
        <v>77</v>
      </c>
      <c r="AV107">
        <v>0</v>
      </c>
      <c r="AW107">
        <v>2</v>
      </c>
      <c r="AX107">
        <v>55986050</v>
      </c>
      <c r="AY107">
        <v>1</v>
      </c>
      <c r="AZ107">
        <v>0</v>
      </c>
      <c r="BA107">
        <v>139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ROUND(Y107*Source!I56,9)</f>
        <v>9.6960000000000005E-2</v>
      </c>
      <c r="CY107">
        <f>AA107</f>
        <v>43.8</v>
      </c>
      <c r="CZ107">
        <f>AE107</f>
        <v>43.8</v>
      </c>
      <c r="DA107">
        <f>AI107</f>
        <v>1</v>
      </c>
      <c r="DB107">
        <f>ROUND((((ROUND(AT107*CZ107,2)*1)*1)*0.6),6)</f>
        <v>106.17</v>
      </c>
      <c r="DC107">
        <f>ROUND((((ROUND(AT107*AG107,2)*1)*1)*0.6),6)</f>
        <v>0</v>
      </c>
      <c r="DD107" t="s">
        <v>3</v>
      </c>
      <c r="DE107" t="s">
        <v>3</v>
      </c>
      <c r="DF107">
        <f t="shared" si="42"/>
        <v>4.25</v>
      </c>
      <c r="DG107">
        <f t="shared" si="41"/>
        <v>0</v>
      </c>
      <c r="DH107">
        <f t="shared" si="40"/>
        <v>0</v>
      </c>
      <c r="DI107">
        <f t="shared" si="32"/>
        <v>0</v>
      </c>
      <c r="DJ107">
        <f>DF107</f>
        <v>4.25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ROW(Source!A57)</f>
        <v>57</v>
      </c>
      <c r="B108">
        <v>55937298</v>
      </c>
      <c r="C108">
        <v>55986040</v>
      </c>
      <c r="D108">
        <v>55424304</v>
      </c>
      <c r="E108">
        <v>1081</v>
      </c>
      <c r="F108">
        <v>1</v>
      </c>
      <c r="G108">
        <v>1081</v>
      </c>
      <c r="H108">
        <v>1</v>
      </c>
      <c r="I108" t="s">
        <v>449</v>
      </c>
      <c r="J108" t="s">
        <v>3</v>
      </c>
      <c r="K108" t="s">
        <v>450</v>
      </c>
      <c r="L108">
        <v>1191</v>
      </c>
      <c r="N108">
        <v>1013</v>
      </c>
      <c r="O108" t="s">
        <v>451</v>
      </c>
      <c r="P108" t="s">
        <v>451</v>
      </c>
      <c r="Q108">
        <v>1</v>
      </c>
      <c r="W108">
        <v>0</v>
      </c>
      <c r="X108">
        <v>476480486</v>
      </c>
      <c r="Y108">
        <f>(((AT108*1.15)*1.2)*0.6)</f>
        <v>20.534399999999998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5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24.8</v>
      </c>
      <c r="AU108" t="s">
        <v>79</v>
      </c>
      <c r="AV108">
        <v>1</v>
      </c>
      <c r="AW108">
        <v>2</v>
      </c>
      <c r="AX108">
        <v>55986046</v>
      </c>
      <c r="AY108">
        <v>1</v>
      </c>
      <c r="AZ108">
        <v>0</v>
      </c>
      <c r="BA108">
        <v>142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U108">
        <f>ROUND(AT108*Source!I57*AH108*AL108,2)</f>
        <v>0</v>
      </c>
      <c r="CV108">
        <f>ROUND(Y108*Source!I57,9)</f>
        <v>0.821376</v>
      </c>
      <c r="CW108">
        <v>0</v>
      </c>
      <c r="CX108">
        <f>ROUND(Y108*Source!I57,9)</f>
        <v>0.821376</v>
      </c>
      <c r="CY108">
        <f>AD108</f>
        <v>0</v>
      </c>
      <c r="CZ108">
        <f>AH108</f>
        <v>0</v>
      </c>
      <c r="DA108">
        <f>AL108</f>
        <v>1</v>
      </c>
      <c r="DB108">
        <f>ROUND((((ROUND(AT108*CZ108,2)*1.15)*1.2)*0.6),6)</f>
        <v>0</v>
      </c>
      <c r="DC108">
        <f>ROUND((((ROUND(AT108*AG108,2)*1.15)*1.2)*0.6),6)</f>
        <v>0</v>
      </c>
      <c r="DD108" t="s">
        <v>3</v>
      </c>
      <c r="DE108" t="s">
        <v>3</v>
      </c>
      <c r="DF108">
        <f t="shared" si="42"/>
        <v>0</v>
      </c>
      <c r="DG108">
        <f t="shared" si="41"/>
        <v>0</v>
      </c>
      <c r="DH108">
        <f t="shared" si="40"/>
        <v>0</v>
      </c>
      <c r="DI108">
        <f t="shared" si="32"/>
        <v>0</v>
      </c>
      <c r="DJ108">
        <f>DI108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ROW(Source!A57)</f>
        <v>57</v>
      </c>
      <c r="B109">
        <v>55937298</v>
      </c>
      <c r="C109">
        <v>55986040</v>
      </c>
      <c r="D109">
        <v>55490209</v>
      </c>
      <c r="E109">
        <v>1</v>
      </c>
      <c r="F109">
        <v>1</v>
      </c>
      <c r="G109">
        <v>1081</v>
      </c>
      <c r="H109">
        <v>2</v>
      </c>
      <c r="I109" t="s">
        <v>489</v>
      </c>
      <c r="J109" t="s">
        <v>490</v>
      </c>
      <c r="K109" t="s">
        <v>491</v>
      </c>
      <c r="L109">
        <v>1368</v>
      </c>
      <c r="N109">
        <v>1011</v>
      </c>
      <c r="O109" t="s">
        <v>455</v>
      </c>
      <c r="P109" t="s">
        <v>455</v>
      </c>
      <c r="Q109">
        <v>1</v>
      </c>
      <c r="W109">
        <v>0</v>
      </c>
      <c r="X109">
        <v>874612079</v>
      </c>
      <c r="Y109">
        <f>(((AT109*1.25)*1.2)*0.6)</f>
        <v>1.7999999999999999E-2</v>
      </c>
      <c r="AA109">
        <v>0</v>
      </c>
      <c r="AB109">
        <v>1513.56</v>
      </c>
      <c r="AC109">
        <v>758.78</v>
      </c>
      <c r="AD109">
        <v>0</v>
      </c>
      <c r="AE109">
        <v>0</v>
      </c>
      <c r="AF109">
        <v>83.1</v>
      </c>
      <c r="AG109">
        <v>12.62</v>
      </c>
      <c r="AH109">
        <v>0</v>
      </c>
      <c r="AI109">
        <v>1</v>
      </c>
      <c r="AJ109">
        <v>17.07</v>
      </c>
      <c r="AK109">
        <v>56.35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0.02</v>
      </c>
      <c r="AU109" t="s">
        <v>78</v>
      </c>
      <c r="AV109">
        <v>0</v>
      </c>
      <c r="AW109">
        <v>2</v>
      </c>
      <c r="AX109">
        <v>55986047</v>
      </c>
      <c r="AY109">
        <v>1</v>
      </c>
      <c r="AZ109">
        <v>0</v>
      </c>
      <c r="BA109">
        <v>143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f>ROUND(Y109*Source!I57*DO109,9)</f>
        <v>9.0863999999999997E-3</v>
      </c>
      <c r="CX109">
        <f>ROUND(Y109*Source!I57,9)</f>
        <v>7.2000000000000005E-4</v>
      </c>
      <c r="CY109">
        <f>AB109</f>
        <v>1513.56</v>
      </c>
      <c r="CZ109">
        <f>AF109</f>
        <v>83.1</v>
      </c>
      <c r="DA109">
        <f>AJ109</f>
        <v>17.07</v>
      </c>
      <c r="DB109">
        <f>ROUND((((ROUND(AT109*CZ109,2)*1.25)*1.2)*0.6),6)</f>
        <v>1.494</v>
      </c>
      <c r="DC109">
        <f>ROUND((((ROUND(AT109*AG109,2)*1.25)*1.2)*0.6),6)</f>
        <v>0.22500000000000001</v>
      </c>
      <c r="DD109" t="s">
        <v>3</v>
      </c>
      <c r="DE109" t="s">
        <v>3</v>
      </c>
      <c r="DF109">
        <f t="shared" si="42"/>
        <v>0</v>
      </c>
      <c r="DG109">
        <f>ROUND(ROUND(AF109*AJ109,2)*CX109,2)</f>
        <v>1.02</v>
      </c>
      <c r="DH109">
        <f>ROUND(ROUND(AG109*AK109,2)*CX109,2)</f>
        <v>0.51</v>
      </c>
      <c r="DI109">
        <f t="shared" si="32"/>
        <v>0</v>
      </c>
      <c r="DJ109">
        <f>DG109</f>
        <v>1.02</v>
      </c>
      <c r="DK109">
        <v>0</v>
      </c>
      <c r="DL109" t="s">
        <v>492</v>
      </c>
      <c r="DM109">
        <v>0</v>
      </c>
      <c r="DN109" t="s">
        <v>451</v>
      </c>
      <c r="DO109">
        <v>12.62</v>
      </c>
    </row>
    <row r="110" spans="1:119" x14ac:dyDescent="0.2">
      <c r="A110">
        <f>ROW(Source!A57)</f>
        <v>57</v>
      </c>
      <c r="B110">
        <v>55937298</v>
      </c>
      <c r="C110">
        <v>55986040</v>
      </c>
      <c r="D110">
        <v>55490263</v>
      </c>
      <c r="E110">
        <v>1</v>
      </c>
      <c r="F110">
        <v>1</v>
      </c>
      <c r="G110">
        <v>1081</v>
      </c>
      <c r="H110">
        <v>2</v>
      </c>
      <c r="I110" t="s">
        <v>502</v>
      </c>
      <c r="J110" t="s">
        <v>503</v>
      </c>
      <c r="K110" t="s">
        <v>504</v>
      </c>
      <c r="L110">
        <v>1368</v>
      </c>
      <c r="N110">
        <v>1011</v>
      </c>
      <c r="O110" t="s">
        <v>455</v>
      </c>
      <c r="P110" t="s">
        <v>455</v>
      </c>
      <c r="Q110">
        <v>1</v>
      </c>
      <c r="W110">
        <v>0</v>
      </c>
      <c r="X110">
        <v>-1895752648</v>
      </c>
      <c r="Y110">
        <f>(((AT110*1.25)*1.2)*0.6)</f>
        <v>7.1999999999999993</v>
      </c>
      <c r="AA110">
        <v>0</v>
      </c>
      <c r="AB110">
        <v>7.85</v>
      </c>
      <c r="AC110">
        <v>0</v>
      </c>
      <c r="AD110">
        <v>0</v>
      </c>
      <c r="AE110">
        <v>0</v>
      </c>
      <c r="AF110">
        <v>0.77</v>
      </c>
      <c r="AG110">
        <v>0</v>
      </c>
      <c r="AH110">
        <v>0</v>
      </c>
      <c r="AI110">
        <v>1</v>
      </c>
      <c r="AJ110">
        <v>9.56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8</v>
      </c>
      <c r="AU110" t="s">
        <v>78</v>
      </c>
      <c r="AV110">
        <v>0</v>
      </c>
      <c r="AW110">
        <v>2</v>
      </c>
      <c r="AX110">
        <v>55986048</v>
      </c>
      <c r="AY110">
        <v>1</v>
      </c>
      <c r="AZ110">
        <v>0</v>
      </c>
      <c r="BA110">
        <v>144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ROUND(Y110*Source!I57*DO110,9)</f>
        <v>0</v>
      </c>
      <c r="CX110">
        <f>ROUND(Y110*Source!I57,9)</f>
        <v>0.28799999999999998</v>
      </c>
      <c r="CY110">
        <f>AB110</f>
        <v>7.85</v>
      </c>
      <c r="CZ110">
        <f>AF110</f>
        <v>0.77</v>
      </c>
      <c r="DA110">
        <f>AJ110</f>
        <v>9.56</v>
      </c>
      <c r="DB110">
        <f>ROUND((((ROUND(AT110*CZ110,2)*1.25)*1.2)*0.6),6)</f>
        <v>5.5439999999999996</v>
      </c>
      <c r="DC110">
        <f>ROUND((((ROUND(AT110*AG110,2)*1.25)*1.2)*0.6),6)</f>
        <v>0</v>
      </c>
      <c r="DD110" t="s">
        <v>3</v>
      </c>
      <c r="DE110" t="s">
        <v>3</v>
      </c>
      <c r="DF110">
        <f t="shared" si="42"/>
        <v>0</v>
      </c>
      <c r="DG110">
        <f>ROUND(ROUND(AF110*AJ110,2)*CX110,2)</f>
        <v>2.12</v>
      </c>
      <c r="DH110">
        <f t="shared" ref="DH110:DH141" si="43">ROUND(ROUND(AG110,2)*CX110,2)</f>
        <v>0</v>
      </c>
      <c r="DI110">
        <f t="shared" si="32"/>
        <v>0</v>
      </c>
      <c r="DJ110">
        <f>DG110</f>
        <v>2.12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ROW(Source!A57)</f>
        <v>57</v>
      </c>
      <c r="B111">
        <v>55937298</v>
      </c>
      <c r="C111">
        <v>55986040</v>
      </c>
      <c r="D111">
        <v>55460658</v>
      </c>
      <c r="E111">
        <v>1</v>
      </c>
      <c r="F111">
        <v>1</v>
      </c>
      <c r="G111">
        <v>1081</v>
      </c>
      <c r="H111">
        <v>3</v>
      </c>
      <c r="I111" t="s">
        <v>527</v>
      </c>
      <c r="J111" t="s">
        <v>528</v>
      </c>
      <c r="K111" t="s">
        <v>529</v>
      </c>
      <c r="L111">
        <v>1296</v>
      </c>
      <c r="N111">
        <v>1002</v>
      </c>
      <c r="O111" t="s">
        <v>514</v>
      </c>
      <c r="P111" t="s">
        <v>514</v>
      </c>
      <c r="Q111">
        <v>1</v>
      </c>
      <c r="W111">
        <v>0</v>
      </c>
      <c r="X111">
        <v>1977302506</v>
      </c>
      <c r="Y111">
        <f>(((AT111*1)*1)*0.6)</f>
        <v>1.2760199999999999</v>
      </c>
      <c r="AA111">
        <v>410.94</v>
      </c>
      <c r="AB111">
        <v>0</v>
      </c>
      <c r="AC111">
        <v>0</v>
      </c>
      <c r="AD111">
        <v>0</v>
      </c>
      <c r="AE111">
        <v>84.21</v>
      </c>
      <c r="AF111">
        <v>0</v>
      </c>
      <c r="AG111">
        <v>0</v>
      </c>
      <c r="AH111">
        <v>0</v>
      </c>
      <c r="AI111">
        <v>4.88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2.1267</v>
      </c>
      <c r="AU111" t="s">
        <v>77</v>
      </c>
      <c r="AV111">
        <v>0</v>
      </c>
      <c r="AW111">
        <v>2</v>
      </c>
      <c r="AX111">
        <v>55986049</v>
      </c>
      <c r="AY111">
        <v>1</v>
      </c>
      <c r="AZ111">
        <v>0</v>
      </c>
      <c r="BA111">
        <v>145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ROUND(Y111*Source!I57,9)</f>
        <v>5.1040799999999997E-2</v>
      </c>
      <c r="CY111">
        <f>AA111</f>
        <v>410.94</v>
      </c>
      <c r="CZ111">
        <f>AE111</f>
        <v>84.21</v>
      </c>
      <c r="DA111">
        <f>AI111</f>
        <v>4.88</v>
      </c>
      <c r="DB111">
        <f>ROUND((((ROUND(AT111*CZ111,2)*1)*1)*0.6),6)</f>
        <v>107.45399999999999</v>
      </c>
      <c r="DC111">
        <f>ROUND((((ROUND(AT111*AG111,2)*1)*1)*0.6),6)</f>
        <v>0</v>
      </c>
      <c r="DD111" t="s">
        <v>3</v>
      </c>
      <c r="DE111" t="s">
        <v>3</v>
      </c>
      <c r="DF111">
        <f>ROUND(ROUND(AE111*AI111,2)*CX111,2)</f>
        <v>20.97</v>
      </c>
      <c r="DG111">
        <f t="shared" ref="DG111:DG133" si="44">ROUND(ROUND(AF111,2)*CX111,2)</f>
        <v>0</v>
      </c>
      <c r="DH111">
        <f t="shared" si="43"/>
        <v>0</v>
      </c>
      <c r="DI111">
        <f t="shared" si="32"/>
        <v>0</v>
      </c>
      <c r="DJ111">
        <f>DF111</f>
        <v>20.97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ROW(Source!A57)</f>
        <v>57</v>
      </c>
      <c r="B112">
        <v>55937298</v>
      </c>
      <c r="C112">
        <v>55986040</v>
      </c>
      <c r="D112">
        <v>55461822</v>
      </c>
      <c r="E112">
        <v>1</v>
      </c>
      <c r="F112">
        <v>1</v>
      </c>
      <c r="G112">
        <v>1081</v>
      </c>
      <c r="H112">
        <v>3</v>
      </c>
      <c r="I112" t="s">
        <v>530</v>
      </c>
      <c r="J112" t="s">
        <v>531</v>
      </c>
      <c r="K112" t="s">
        <v>532</v>
      </c>
      <c r="L112">
        <v>1355</v>
      </c>
      <c r="N112">
        <v>1010</v>
      </c>
      <c r="O112" t="s">
        <v>60</v>
      </c>
      <c r="P112" t="s">
        <v>60</v>
      </c>
      <c r="Q112">
        <v>100</v>
      </c>
      <c r="W112">
        <v>0</v>
      </c>
      <c r="X112">
        <v>-1633148487</v>
      </c>
      <c r="Y112">
        <f>(((AT112*1)*1)*0.6)</f>
        <v>2.4239999999999999</v>
      </c>
      <c r="AA112">
        <v>84.97</v>
      </c>
      <c r="AB112">
        <v>0</v>
      </c>
      <c r="AC112">
        <v>0</v>
      </c>
      <c r="AD112">
        <v>0</v>
      </c>
      <c r="AE112">
        <v>43.8</v>
      </c>
      <c r="AF112">
        <v>0</v>
      </c>
      <c r="AG112">
        <v>0</v>
      </c>
      <c r="AH112">
        <v>0</v>
      </c>
      <c r="AI112">
        <v>1.94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4.04</v>
      </c>
      <c r="AU112" t="s">
        <v>77</v>
      </c>
      <c r="AV112">
        <v>0</v>
      </c>
      <c r="AW112">
        <v>2</v>
      </c>
      <c r="AX112">
        <v>55986050</v>
      </c>
      <c r="AY112">
        <v>1</v>
      </c>
      <c r="AZ112">
        <v>0</v>
      </c>
      <c r="BA112">
        <v>146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ROUND(Y112*Source!I57,9)</f>
        <v>9.6960000000000005E-2</v>
      </c>
      <c r="CY112">
        <f>AA112</f>
        <v>84.97</v>
      </c>
      <c r="CZ112">
        <f>AE112</f>
        <v>43.8</v>
      </c>
      <c r="DA112">
        <f>AI112</f>
        <v>1.94</v>
      </c>
      <c r="DB112">
        <f>ROUND((((ROUND(AT112*CZ112,2)*1)*1)*0.6),6)</f>
        <v>106.17</v>
      </c>
      <c r="DC112">
        <f>ROUND((((ROUND(AT112*AG112,2)*1)*1)*0.6),6)</f>
        <v>0</v>
      </c>
      <c r="DD112" t="s">
        <v>3</v>
      </c>
      <c r="DE112" t="s">
        <v>3</v>
      </c>
      <c r="DF112">
        <f>ROUND(ROUND(AE112*AI112,2)*CX112,2)</f>
        <v>8.24</v>
      </c>
      <c r="DG112">
        <f t="shared" si="44"/>
        <v>0</v>
      </c>
      <c r="DH112">
        <f t="shared" si="43"/>
        <v>0</v>
      </c>
      <c r="DI112">
        <f t="shared" si="32"/>
        <v>0</v>
      </c>
      <c r="DJ112">
        <f>DF112</f>
        <v>8.24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ROW(Source!A58)</f>
        <v>58</v>
      </c>
      <c r="B113">
        <v>55937296</v>
      </c>
      <c r="C113">
        <v>55986053</v>
      </c>
      <c r="D113">
        <v>55424304</v>
      </c>
      <c r="E113">
        <v>1081</v>
      </c>
      <c r="F113">
        <v>1</v>
      </c>
      <c r="G113">
        <v>1081</v>
      </c>
      <c r="H113">
        <v>1</v>
      </c>
      <c r="I113" t="s">
        <v>449</v>
      </c>
      <c r="J113" t="s">
        <v>3</v>
      </c>
      <c r="K113" t="s">
        <v>450</v>
      </c>
      <c r="L113">
        <v>1191</v>
      </c>
      <c r="N113">
        <v>1013</v>
      </c>
      <c r="O113" t="s">
        <v>451</v>
      </c>
      <c r="P113" t="s">
        <v>451</v>
      </c>
      <c r="Q113">
        <v>1</v>
      </c>
      <c r="W113">
        <v>0</v>
      </c>
      <c r="X113">
        <v>476480486</v>
      </c>
      <c r="Y113">
        <f>(AT113*1.2)</f>
        <v>11.568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9.64</v>
      </c>
      <c r="AU113" t="s">
        <v>114</v>
      </c>
      <c r="AV113">
        <v>1</v>
      </c>
      <c r="AW113">
        <v>2</v>
      </c>
      <c r="AX113">
        <v>55986055</v>
      </c>
      <c r="AY113">
        <v>1</v>
      </c>
      <c r="AZ113">
        <v>0</v>
      </c>
      <c r="BA113">
        <v>149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ROUND(AT113*Source!I58*AH113*AL113,2)</f>
        <v>0</v>
      </c>
      <c r="CV113">
        <f>ROUND(Y113*Source!I58,9)</f>
        <v>102.49248</v>
      </c>
      <c r="CW113">
        <v>0</v>
      </c>
      <c r="CX113">
        <f>ROUND(Y113*Source!I58,9)</f>
        <v>102.49248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ROUND((ROUND(AT113*CZ113,2)*1.2),6)</f>
        <v>0</v>
      </c>
      <c r="DC113">
        <f>ROUND((ROUND(AT113*AG113,2)*1.2),6)</f>
        <v>0</v>
      </c>
      <c r="DD113" t="s">
        <v>3</v>
      </c>
      <c r="DE113" t="s">
        <v>3</v>
      </c>
      <c r="DF113">
        <f>ROUND(ROUND(AE113,2)*CX113,2)</f>
        <v>0</v>
      </c>
      <c r="DG113">
        <f t="shared" si="44"/>
        <v>0</v>
      </c>
      <c r="DH113">
        <f t="shared" si="43"/>
        <v>0</v>
      </c>
      <c r="DI113">
        <f t="shared" si="32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ROW(Source!A59)</f>
        <v>59</v>
      </c>
      <c r="B114">
        <v>55937298</v>
      </c>
      <c r="C114">
        <v>55986053</v>
      </c>
      <c r="D114">
        <v>55424304</v>
      </c>
      <c r="E114">
        <v>1081</v>
      </c>
      <c r="F114">
        <v>1</v>
      </c>
      <c r="G114">
        <v>1081</v>
      </c>
      <c r="H114">
        <v>1</v>
      </c>
      <c r="I114" t="s">
        <v>449</v>
      </c>
      <c r="J114" t="s">
        <v>3</v>
      </c>
      <c r="K114" t="s">
        <v>450</v>
      </c>
      <c r="L114">
        <v>1191</v>
      </c>
      <c r="N114">
        <v>1013</v>
      </c>
      <c r="O114" t="s">
        <v>451</v>
      </c>
      <c r="P114" t="s">
        <v>451</v>
      </c>
      <c r="Q114">
        <v>1</v>
      </c>
      <c r="W114">
        <v>0</v>
      </c>
      <c r="X114">
        <v>476480486</v>
      </c>
      <c r="Y114">
        <f>(AT114*1.2)</f>
        <v>11.568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5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9.64</v>
      </c>
      <c r="AU114" t="s">
        <v>114</v>
      </c>
      <c r="AV114">
        <v>1</v>
      </c>
      <c r="AW114">
        <v>2</v>
      </c>
      <c r="AX114">
        <v>55986055</v>
      </c>
      <c r="AY114">
        <v>1</v>
      </c>
      <c r="AZ114">
        <v>0</v>
      </c>
      <c r="BA114">
        <v>150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ROUND(AT114*Source!I59*AH114*AL114,2)</f>
        <v>0</v>
      </c>
      <c r="CV114">
        <f>ROUND(Y114*Source!I59,9)</f>
        <v>102.49248</v>
      </c>
      <c r="CW114">
        <v>0</v>
      </c>
      <c r="CX114">
        <f>ROUND(Y114*Source!I59,9)</f>
        <v>102.49248</v>
      </c>
      <c r="CY114">
        <f>AD114</f>
        <v>0</v>
      </c>
      <c r="CZ114">
        <f>AH114</f>
        <v>0</v>
      </c>
      <c r="DA114">
        <f>AL114</f>
        <v>1</v>
      </c>
      <c r="DB114">
        <f>ROUND((ROUND(AT114*CZ114,2)*1.2),6)</f>
        <v>0</v>
      </c>
      <c r="DC114">
        <f>ROUND((ROUND(AT114*AG114,2)*1.2),6)</f>
        <v>0</v>
      </c>
      <c r="DD114" t="s">
        <v>3</v>
      </c>
      <c r="DE114" t="s">
        <v>3</v>
      </c>
      <c r="DF114">
        <f>ROUND(ROUND(AE114,2)*CX114,2)</f>
        <v>0</v>
      </c>
      <c r="DG114">
        <f t="shared" si="44"/>
        <v>0</v>
      </c>
      <c r="DH114">
        <f t="shared" si="43"/>
        <v>0</v>
      </c>
      <c r="DI114">
        <f t="shared" si="32"/>
        <v>0</v>
      </c>
      <c r="DJ114">
        <f>DI114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ROW(Source!A60)</f>
        <v>60</v>
      </c>
      <c r="B115">
        <v>55937296</v>
      </c>
      <c r="C115">
        <v>55986056</v>
      </c>
      <c r="D115">
        <v>55424304</v>
      </c>
      <c r="E115">
        <v>1081</v>
      </c>
      <c r="F115">
        <v>1</v>
      </c>
      <c r="G115">
        <v>1081</v>
      </c>
      <c r="H115">
        <v>1</v>
      </c>
      <c r="I115" t="s">
        <v>449</v>
      </c>
      <c r="J115" t="s">
        <v>3</v>
      </c>
      <c r="K115" t="s">
        <v>450</v>
      </c>
      <c r="L115">
        <v>1191</v>
      </c>
      <c r="N115">
        <v>1013</v>
      </c>
      <c r="O115" t="s">
        <v>451</v>
      </c>
      <c r="P115" t="s">
        <v>451</v>
      </c>
      <c r="Q115">
        <v>1</v>
      </c>
      <c r="W115">
        <v>0</v>
      </c>
      <c r="X115">
        <v>476480486</v>
      </c>
      <c r="Y115">
        <f>(AT115*1.2)</f>
        <v>36.527999999999999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30.44</v>
      </c>
      <c r="AU115" t="s">
        <v>114</v>
      </c>
      <c r="AV115">
        <v>1</v>
      </c>
      <c r="AW115">
        <v>2</v>
      </c>
      <c r="AX115">
        <v>55986059</v>
      </c>
      <c r="AY115">
        <v>1</v>
      </c>
      <c r="AZ115">
        <v>0</v>
      </c>
      <c r="BA115">
        <v>151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ROUND(AT115*Source!I60*AH115*AL115,2)</f>
        <v>0</v>
      </c>
      <c r="CV115">
        <f>ROUND(Y115*Source!I60,9)</f>
        <v>290.03232000000003</v>
      </c>
      <c r="CW115">
        <v>0</v>
      </c>
      <c r="CX115">
        <f>ROUND(Y115*Source!I60,9)</f>
        <v>290.03232000000003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ROUND((ROUND(AT115*CZ115,2)*1.2),6)</f>
        <v>0</v>
      </c>
      <c r="DC115">
        <f>ROUND((ROUND(AT115*AG115,2)*1.2),6)</f>
        <v>0</v>
      </c>
      <c r="DD115" t="s">
        <v>3</v>
      </c>
      <c r="DE115" t="s">
        <v>3</v>
      </c>
      <c r="DF115">
        <f>ROUND(ROUND(AE115,2)*CX115,2)</f>
        <v>0</v>
      </c>
      <c r="DG115">
        <f t="shared" si="44"/>
        <v>0</v>
      </c>
      <c r="DH115">
        <f t="shared" si="43"/>
        <v>0</v>
      </c>
      <c r="DI115">
        <f t="shared" si="32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ROW(Source!A60)</f>
        <v>60</v>
      </c>
      <c r="B116">
        <v>55937296</v>
      </c>
      <c r="C116">
        <v>55986056</v>
      </c>
      <c r="D116">
        <v>55424288</v>
      </c>
      <c r="E116">
        <v>1081</v>
      </c>
      <c r="F116">
        <v>1</v>
      </c>
      <c r="G116">
        <v>1081</v>
      </c>
      <c r="H116">
        <v>3</v>
      </c>
      <c r="I116" t="s">
        <v>533</v>
      </c>
      <c r="J116" t="s">
        <v>3</v>
      </c>
      <c r="K116" t="s">
        <v>534</v>
      </c>
      <c r="L116">
        <v>1348</v>
      </c>
      <c r="N116">
        <v>1009</v>
      </c>
      <c r="O116" t="s">
        <v>287</v>
      </c>
      <c r="P116" t="s">
        <v>287</v>
      </c>
      <c r="Q116">
        <v>1000</v>
      </c>
      <c r="W116">
        <v>0</v>
      </c>
      <c r="X116">
        <v>1489638031</v>
      </c>
      <c r="Y116">
        <f>(AT116*1)</f>
        <v>0.247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0.247</v>
      </c>
      <c r="AU116" t="s">
        <v>113</v>
      </c>
      <c r="AV116">
        <v>0</v>
      </c>
      <c r="AW116">
        <v>2</v>
      </c>
      <c r="AX116">
        <v>55986060</v>
      </c>
      <c r="AY116">
        <v>1</v>
      </c>
      <c r="AZ116">
        <v>0</v>
      </c>
      <c r="BA116">
        <v>152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ROUND(Y116*Source!I60,9)</f>
        <v>1.9611799999999999</v>
      </c>
      <c r="CY116">
        <f>AA116</f>
        <v>0</v>
      </c>
      <c r="CZ116">
        <f>AE116</f>
        <v>0</v>
      </c>
      <c r="DA116">
        <f>AI116</f>
        <v>1</v>
      </c>
      <c r="DB116">
        <f>ROUND((ROUND(AT116*CZ116,2)*1),6)</f>
        <v>0</v>
      </c>
      <c r="DC116">
        <f>ROUND((ROUND(AT116*AG116,2)*1),6)</f>
        <v>0</v>
      </c>
      <c r="DD116" t="s">
        <v>3</v>
      </c>
      <c r="DE116" t="s">
        <v>3</v>
      </c>
      <c r="DF116">
        <f>ROUND(ROUND(AE116,2)*CX116,2)</f>
        <v>0</v>
      </c>
      <c r="DG116">
        <f t="shared" si="44"/>
        <v>0</v>
      </c>
      <c r="DH116">
        <f t="shared" si="43"/>
        <v>0</v>
      </c>
      <c r="DI116">
        <f t="shared" si="32"/>
        <v>0</v>
      </c>
      <c r="DJ116">
        <f>DF116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ROW(Source!A61)</f>
        <v>61</v>
      </c>
      <c r="B117">
        <v>55937298</v>
      </c>
      <c r="C117">
        <v>55986056</v>
      </c>
      <c r="D117">
        <v>55424304</v>
      </c>
      <c r="E117">
        <v>1081</v>
      </c>
      <c r="F117">
        <v>1</v>
      </c>
      <c r="G117">
        <v>1081</v>
      </c>
      <c r="H117">
        <v>1</v>
      </c>
      <c r="I117" t="s">
        <v>449</v>
      </c>
      <c r="J117" t="s">
        <v>3</v>
      </c>
      <c r="K117" t="s">
        <v>450</v>
      </c>
      <c r="L117">
        <v>1191</v>
      </c>
      <c r="N117">
        <v>1013</v>
      </c>
      <c r="O117" t="s">
        <v>451</v>
      </c>
      <c r="P117" t="s">
        <v>451</v>
      </c>
      <c r="Q117">
        <v>1</v>
      </c>
      <c r="W117">
        <v>0</v>
      </c>
      <c r="X117">
        <v>476480486</v>
      </c>
      <c r="Y117">
        <f>(AT117*1.2)</f>
        <v>36.527999999999999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5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30.44</v>
      </c>
      <c r="AU117" t="s">
        <v>114</v>
      </c>
      <c r="AV117">
        <v>1</v>
      </c>
      <c r="AW117">
        <v>2</v>
      </c>
      <c r="AX117">
        <v>55986059</v>
      </c>
      <c r="AY117">
        <v>1</v>
      </c>
      <c r="AZ117">
        <v>0</v>
      </c>
      <c r="BA117">
        <v>153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ROUND(AT117*Source!I61*AH117*AL117,2)</f>
        <v>0</v>
      </c>
      <c r="CV117">
        <f>ROUND(Y117*Source!I61,9)</f>
        <v>290.03232000000003</v>
      </c>
      <c r="CW117">
        <v>0</v>
      </c>
      <c r="CX117">
        <f>ROUND(Y117*Source!I61,9)</f>
        <v>290.03232000000003</v>
      </c>
      <c r="CY117">
        <f>AD117</f>
        <v>0</v>
      </c>
      <c r="CZ117">
        <f>AH117</f>
        <v>0</v>
      </c>
      <c r="DA117">
        <f>AL117</f>
        <v>1</v>
      </c>
      <c r="DB117">
        <f>ROUND((ROUND(AT117*CZ117,2)*1.2),6)</f>
        <v>0</v>
      </c>
      <c r="DC117">
        <f>ROUND((ROUND(AT117*AG117,2)*1.2),6)</f>
        <v>0</v>
      </c>
      <c r="DD117" t="s">
        <v>3</v>
      </c>
      <c r="DE117" t="s">
        <v>3</v>
      </c>
      <c r="DF117">
        <f>ROUND(ROUND(AE117,2)*CX117,2)</f>
        <v>0</v>
      </c>
      <c r="DG117">
        <f t="shared" si="44"/>
        <v>0</v>
      </c>
      <c r="DH117">
        <f t="shared" si="43"/>
        <v>0</v>
      </c>
      <c r="DI117">
        <f t="shared" si="32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ROW(Source!A61)</f>
        <v>61</v>
      </c>
      <c r="B118">
        <v>55937298</v>
      </c>
      <c r="C118">
        <v>55986056</v>
      </c>
      <c r="D118">
        <v>55424288</v>
      </c>
      <c r="E118">
        <v>1081</v>
      </c>
      <c r="F118">
        <v>1</v>
      </c>
      <c r="G118">
        <v>1081</v>
      </c>
      <c r="H118">
        <v>3</v>
      </c>
      <c r="I118" t="s">
        <v>533</v>
      </c>
      <c r="J118" t="s">
        <v>3</v>
      </c>
      <c r="K118" t="s">
        <v>534</v>
      </c>
      <c r="L118">
        <v>1348</v>
      </c>
      <c r="N118">
        <v>1009</v>
      </c>
      <c r="O118" t="s">
        <v>287</v>
      </c>
      <c r="P118" t="s">
        <v>287</v>
      </c>
      <c r="Q118">
        <v>1000</v>
      </c>
      <c r="W118">
        <v>0</v>
      </c>
      <c r="X118">
        <v>1489638031</v>
      </c>
      <c r="Y118">
        <f>(AT118*1)</f>
        <v>0.247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9.86</v>
      </c>
      <c r="AJ118">
        <v>1</v>
      </c>
      <c r="AK118">
        <v>1</v>
      </c>
      <c r="AL118">
        <v>1</v>
      </c>
      <c r="AM118">
        <v>5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0.247</v>
      </c>
      <c r="AU118" t="s">
        <v>113</v>
      </c>
      <c r="AV118">
        <v>0</v>
      </c>
      <c r="AW118">
        <v>2</v>
      </c>
      <c r="AX118">
        <v>55986060</v>
      </c>
      <c r="AY118">
        <v>1</v>
      </c>
      <c r="AZ118">
        <v>0</v>
      </c>
      <c r="BA118">
        <v>154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ROUND(Y118*Source!I61,9)</f>
        <v>1.9611799999999999</v>
      </c>
      <c r="CY118">
        <f>AA118</f>
        <v>0</v>
      </c>
      <c r="CZ118">
        <f>AE118</f>
        <v>0</v>
      </c>
      <c r="DA118">
        <f>AI118</f>
        <v>9.86</v>
      </c>
      <c r="DB118">
        <f>ROUND((ROUND(AT118*CZ118,2)*1),6)</f>
        <v>0</v>
      </c>
      <c r="DC118">
        <f>ROUND((ROUND(AT118*AG118,2)*1),6)</f>
        <v>0</v>
      </c>
      <c r="DD118" t="s">
        <v>3</v>
      </c>
      <c r="DE118" t="s">
        <v>3</v>
      </c>
      <c r="DF118">
        <f>ROUND(ROUND(AE118*AI118,2)*CX118,2)</f>
        <v>0</v>
      </c>
      <c r="DG118">
        <f t="shared" si="44"/>
        <v>0</v>
      </c>
      <c r="DH118">
        <f t="shared" si="43"/>
        <v>0</v>
      </c>
      <c r="DI118">
        <f t="shared" si="32"/>
        <v>0</v>
      </c>
      <c r="DJ118">
        <f>DF118</f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ROW(Source!A97)</f>
        <v>97</v>
      </c>
      <c r="B119">
        <v>55937296</v>
      </c>
      <c r="C119">
        <v>55937478</v>
      </c>
      <c r="D119">
        <v>55424304</v>
      </c>
      <c r="E119">
        <v>1081</v>
      </c>
      <c r="F119">
        <v>1</v>
      </c>
      <c r="G119">
        <v>1081</v>
      </c>
      <c r="H119">
        <v>1</v>
      </c>
      <c r="I119" t="s">
        <v>449</v>
      </c>
      <c r="J119" t="s">
        <v>3</v>
      </c>
      <c r="K119" t="s">
        <v>450</v>
      </c>
      <c r="L119">
        <v>1191</v>
      </c>
      <c r="N119">
        <v>1013</v>
      </c>
      <c r="O119" t="s">
        <v>451</v>
      </c>
      <c r="P119" t="s">
        <v>451</v>
      </c>
      <c r="Q119">
        <v>1</v>
      </c>
      <c r="W119">
        <v>0</v>
      </c>
      <c r="X119">
        <v>476480486</v>
      </c>
      <c r="Y119">
        <f t="shared" ref="Y119:Y125" si="45">(AT119*1.2)</f>
        <v>2.16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1.8</v>
      </c>
      <c r="AU119" t="s">
        <v>114</v>
      </c>
      <c r="AV119">
        <v>1</v>
      </c>
      <c r="AW119">
        <v>2</v>
      </c>
      <c r="AX119">
        <v>55937479</v>
      </c>
      <c r="AY119">
        <v>1</v>
      </c>
      <c r="AZ119">
        <v>0</v>
      </c>
      <c r="BA119">
        <v>155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ROUND(AT119*Source!I97*AH119*AL119,2)</f>
        <v>0</v>
      </c>
      <c r="CV119">
        <f>ROUND(Y119*Source!I97,9)</f>
        <v>17.28</v>
      </c>
      <c r="CW119">
        <v>0</v>
      </c>
      <c r="CX119">
        <f>ROUND(Y119*Source!I97,9)</f>
        <v>17.28</v>
      </c>
      <c r="CY119">
        <f>AD119</f>
        <v>0</v>
      </c>
      <c r="CZ119">
        <f>AH119</f>
        <v>0</v>
      </c>
      <c r="DA119">
        <f>AL119</f>
        <v>1</v>
      </c>
      <c r="DB119">
        <f t="shared" ref="DB119:DB125" si="46">ROUND((ROUND(AT119*CZ119,2)*1.2),6)</f>
        <v>0</v>
      </c>
      <c r="DC119">
        <f t="shared" ref="DC119:DC125" si="47">ROUND((ROUND(AT119*AG119,2)*1.2),6)</f>
        <v>0</v>
      </c>
      <c r="DD119" t="s">
        <v>3</v>
      </c>
      <c r="DE119" t="s">
        <v>3</v>
      </c>
      <c r="DF119">
        <f t="shared" ref="DF119:DF135" si="48">ROUND(ROUND(AE119,2)*CX119,2)</f>
        <v>0</v>
      </c>
      <c r="DG119">
        <f t="shared" si="44"/>
        <v>0</v>
      </c>
      <c r="DH119">
        <f t="shared" si="43"/>
        <v>0</v>
      </c>
      <c r="DI119">
        <f t="shared" si="32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ROW(Source!A98)</f>
        <v>98</v>
      </c>
      <c r="B120">
        <v>55937298</v>
      </c>
      <c r="C120">
        <v>55937478</v>
      </c>
      <c r="D120">
        <v>55424304</v>
      </c>
      <c r="E120">
        <v>1081</v>
      </c>
      <c r="F120">
        <v>1</v>
      </c>
      <c r="G120">
        <v>1081</v>
      </c>
      <c r="H120">
        <v>1</v>
      </c>
      <c r="I120" t="s">
        <v>449</v>
      </c>
      <c r="J120" t="s">
        <v>3</v>
      </c>
      <c r="K120" t="s">
        <v>450</v>
      </c>
      <c r="L120">
        <v>1191</v>
      </c>
      <c r="N120">
        <v>1013</v>
      </c>
      <c r="O120" t="s">
        <v>451</v>
      </c>
      <c r="P120" t="s">
        <v>451</v>
      </c>
      <c r="Q120">
        <v>1</v>
      </c>
      <c r="W120">
        <v>0</v>
      </c>
      <c r="X120">
        <v>476480486</v>
      </c>
      <c r="Y120">
        <f t="shared" si="45"/>
        <v>2.16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5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1.8</v>
      </c>
      <c r="AU120" t="s">
        <v>114</v>
      </c>
      <c r="AV120">
        <v>1</v>
      </c>
      <c r="AW120">
        <v>2</v>
      </c>
      <c r="AX120">
        <v>55937479</v>
      </c>
      <c r="AY120">
        <v>1</v>
      </c>
      <c r="AZ120">
        <v>0</v>
      </c>
      <c r="BA120">
        <v>156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U120">
        <f>ROUND(AT120*Source!I98*AH120*AL120,2)</f>
        <v>0</v>
      </c>
      <c r="CV120">
        <f>ROUND(Y120*Source!I98,9)</f>
        <v>17.28</v>
      </c>
      <c r="CW120">
        <v>0</v>
      </c>
      <c r="CX120">
        <f>ROUND(Y120*Source!I98,9)</f>
        <v>17.28</v>
      </c>
      <c r="CY120">
        <f>AD120</f>
        <v>0</v>
      </c>
      <c r="CZ120">
        <f>AH120</f>
        <v>0</v>
      </c>
      <c r="DA120">
        <f>AL120</f>
        <v>1</v>
      </c>
      <c r="DB120">
        <f t="shared" si="46"/>
        <v>0</v>
      </c>
      <c r="DC120">
        <f t="shared" si="47"/>
        <v>0</v>
      </c>
      <c r="DD120" t="s">
        <v>3</v>
      </c>
      <c r="DE120" t="s">
        <v>3</v>
      </c>
      <c r="DF120">
        <f t="shared" si="48"/>
        <v>0</v>
      </c>
      <c r="DG120">
        <f t="shared" si="44"/>
        <v>0</v>
      </c>
      <c r="DH120">
        <f t="shared" si="43"/>
        <v>0</v>
      </c>
      <c r="DI120">
        <f t="shared" si="32"/>
        <v>0</v>
      </c>
      <c r="DJ120">
        <f>DI120</f>
        <v>0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ROW(Source!A101)</f>
        <v>101</v>
      </c>
      <c r="B121">
        <v>55937296</v>
      </c>
      <c r="C121">
        <v>55937488</v>
      </c>
      <c r="D121">
        <v>55424304</v>
      </c>
      <c r="E121">
        <v>1081</v>
      </c>
      <c r="F121">
        <v>1</v>
      </c>
      <c r="G121">
        <v>1081</v>
      </c>
      <c r="H121">
        <v>1</v>
      </c>
      <c r="I121" t="s">
        <v>449</v>
      </c>
      <c r="J121" t="s">
        <v>3</v>
      </c>
      <c r="K121" t="s">
        <v>450</v>
      </c>
      <c r="L121">
        <v>1191</v>
      </c>
      <c r="N121">
        <v>1013</v>
      </c>
      <c r="O121" t="s">
        <v>451</v>
      </c>
      <c r="P121" t="s">
        <v>451</v>
      </c>
      <c r="Q121">
        <v>1</v>
      </c>
      <c r="W121">
        <v>0</v>
      </c>
      <c r="X121">
        <v>476480486</v>
      </c>
      <c r="Y121">
        <f t="shared" si="45"/>
        <v>14.04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11.7</v>
      </c>
      <c r="AU121" t="s">
        <v>114</v>
      </c>
      <c r="AV121">
        <v>1</v>
      </c>
      <c r="AW121">
        <v>2</v>
      </c>
      <c r="AX121">
        <v>55937489</v>
      </c>
      <c r="AY121">
        <v>1</v>
      </c>
      <c r="AZ121">
        <v>0</v>
      </c>
      <c r="BA121">
        <v>157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U121">
        <f>ROUND(AT121*Source!I101*AH121*AL121,2)</f>
        <v>0</v>
      </c>
      <c r="CV121">
        <f>ROUND(Y121*Source!I101,9)</f>
        <v>14.04</v>
      </c>
      <c r="CW121">
        <v>0</v>
      </c>
      <c r="CX121">
        <f>ROUND(Y121*Source!I101,9)</f>
        <v>14.04</v>
      </c>
      <c r="CY121">
        <f>AD121</f>
        <v>0</v>
      </c>
      <c r="CZ121">
        <f>AH121</f>
        <v>0</v>
      </c>
      <c r="DA121">
        <f>AL121</f>
        <v>1</v>
      </c>
      <c r="DB121">
        <f t="shared" si="46"/>
        <v>0</v>
      </c>
      <c r="DC121">
        <f t="shared" si="47"/>
        <v>0</v>
      </c>
      <c r="DD121" t="s">
        <v>3</v>
      </c>
      <c r="DE121" t="s">
        <v>3</v>
      </c>
      <c r="DF121">
        <f t="shared" si="48"/>
        <v>0</v>
      </c>
      <c r="DG121">
        <f t="shared" si="44"/>
        <v>0</v>
      </c>
      <c r="DH121">
        <f t="shared" si="43"/>
        <v>0</v>
      </c>
      <c r="DI121">
        <f t="shared" si="32"/>
        <v>0</v>
      </c>
      <c r="DJ121">
        <f>DI121</f>
        <v>0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ROW(Source!A102)</f>
        <v>102</v>
      </c>
      <c r="B122">
        <v>55937298</v>
      </c>
      <c r="C122">
        <v>55937488</v>
      </c>
      <c r="D122">
        <v>55424304</v>
      </c>
      <c r="E122">
        <v>1081</v>
      </c>
      <c r="F122">
        <v>1</v>
      </c>
      <c r="G122">
        <v>1081</v>
      </c>
      <c r="H122">
        <v>1</v>
      </c>
      <c r="I122" t="s">
        <v>449</v>
      </c>
      <c r="J122" t="s">
        <v>3</v>
      </c>
      <c r="K122" t="s">
        <v>450</v>
      </c>
      <c r="L122">
        <v>1191</v>
      </c>
      <c r="N122">
        <v>1013</v>
      </c>
      <c r="O122" t="s">
        <v>451</v>
      </c>
      <c r="P122" t="s">
        <v>451</v>
      </c>
      <c r="Q122">
        <v>1</v>
      </c>
      <c r="W122">
        <v>0</v>
      </c>
      <c r="X122">
        <v>476480486</v>
      </c>
      <c r="Y122">
        <f t="shared" si="45"/>
        <v>14.04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5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11.7</v>
      </c>
      <c r="AU122" t="s">
        <v>114</v>
      </c>
      <c r="AV122">
        <v>1</v>
      </c>
      <c r="AW122">
        <v>2</v>
      </c>
      <c r="AX122">
        <v>55937489</v>
      </c>
      <c r="AY122">
        <v>1</v>
      </c>
      <c r="AZ122">
        <v>0</v>
      </c>
      <c r="BA122">
        <v>158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U122">
        <f>ROUND(AT122*Source!I102*AH122*AL122,2)</f>
        <v>0</v>
      </c>
      <c r="CV122">
        <f>ROUND(Y122*Source!I102,9)</f>
        <v>14.04</v>
      </c>
      <c r="CW122">
        <v>0</v>
      </c>
      <c r="CX122">
        <f>ROUND(Y122*Source!I102,9)</f>
        <v>14.04</v>
      </c>
      <c r="CY122">
        <f>AD122</f>
        <v>0</v>
      </c>
      <c r="CZ122">
        <f>AH122</f>
        <v>0</v>
      </c>
      <c r="DA122">
        <f>AL122</f>
        <v>1</v>
      </c>
      <c r="DB122">
        <f t="shared" si="46"/>
        <v>0</v>
      </c>
      <c r="DC122">
        <f t="shared" si="47"/>
        <v>0</v>
      </c>
      <c r="DD122" t="s">
        <v>3</v>
      </c>
      <c r="DE122" t="s">
        <v>3</v>
      </c>
      <c r="DF122">
        <f t="shared" si="48"/>
        <v>0</v>
      </c>
      <c r="DG122">
        <f t="shared" si="44"/>
        <v>0</v>
      </c>
      <c r="DH122">
        <f t="shared" si="43"/>
        <v>0</v>
      </c>
      <c r="DI122">
        <f t="shared" si="32"/>
        <v>0</v>
      </c>
      <c r="DJ122">
        <f>DI122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ROW(Source!A105)</f>
        <v>105</v>
      </c>
      <c r="B123">
        <v>55937296</v>
      </c>
      <c r="C123">
        <v>55937497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449</v>
      </c>
      <c r="J123" t="s">
        <v>3</v>
      </c>
      <c r="K123" t="s">
        <v>450</v>
      </c>
      <c r="L123">
        <v>1191</v>
      </c>
      <c r="N123">
        <v>1013</v>
      </c>
      <c r="O123" t="s">
        <v>451</v>
      </c>
      <c r="P123" t="s">
        <v>451</v>
      </c>
      <c r="Q123">
        <v>1</v>
      </c>
      <c r="W123">
        <v>0</v>
      </c>
      <c r="X123">
        <v>476480486</v>
      </c>
      <c r="Y123">
        <f t="shared" si="45"/>
        <v>7.2119999999999997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6.01</v>
      </c>
      <c r="AU123" t="s">
        <v>114</v>
      </c>
      <c r="AV123">
        <v>1</v>
      </c>
      <c r="AW123">
        <v>2</v>
      </c>
      <c r="AX123">
        <v>55937498</v>
      </c>
      <c r="AY123">
        <v>1</v>
      </c>
      <c r="AZ123">
        <v>0</v>
      </c>
      <c r="BA123">
        <v>159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ROUND(AT123*Source!I105*AH123*AL123,2)</f>
        <v>0</v>
      </c>
      <c r="CV123">
        <f>ROUND(Y123*Source!I105,9)</f>
        <v>7.2119999999999997</v>
      </c>
      <c r="CW123">
        <v>0</v>
      </c>
      <c r="CX123">
        <f>ROUND(Y123*Source!I105,9)</f>
        <v>7.2119999999999997</v>
      </c>
      <c r="CY123">
        <f>AD123</f>
        <v>0</v>
      </c>
      <c r="CZ123">
        <f>AH123</f>
        <v>0</v>
      </c>
      <c r="DA123">
        <f>AL123</f>
        <v>1</v>
      </c>
      <c r="DB123">
        <f t="shared" si="46"/>
        <v>0</v>
      </c>
      <c r="DC123">
        <f t="shared" si="47"/>
        <v>0</v>
      </c>
      <c r="DD123" t="s">
        <v>3</v>
      </c>
      <c r="DE123" t="s">
        <v>3</v>
      </c>
      <c r="DF123">
        <f t="shared" si="48"/>
        <v>0</v>
      </c>
      <c r="DG123">
        <f t="shared" si="44"/>
        <v>0</v>
      </c>
      <c r="DH123">
        <f t="shared" si="43"/>
        <v>0</v>
      </c>
      <c r="DI123">
        <f t="shared" si="32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ROW(Source!A105)</f>
        <v>105</v>
      </c>
      <c r="B124">
        <v>55937296</v>
      </c>
      <c r="C124">
        <v>55937497</v>
      </c>
      <c r="D124">
        <v>55490330</v>
      </c>
      <c r="E124">
        <v>1</v>
      </c>
      <c r="F124">
        <v>1</v>
      </c>
      <c r="G124">
        <v>1081</v>
      </c>
      <c r="H124">
        <v>2</v>
      </c>
      <c r="I124" t="s">
        <v>452</v>
      </c>
      <c r="J124" t="s">
        <v>453</v>
      </c>
      <c r="K124" t="s">
        <v>454</v>
      </c>
      <c r="L124">
        <v>1368</v>
      </c>
      <c r="N124">
        <v>1011</v>
      </c>
      <c r="O124" t="s">
        <v>455</v>
      </c>
      <c r="P124" t="s">
        <v>455</v>
      </c>
      <c r="Q124">
        <v>1</v>
      </c>
      <c r="W124">
        <v>0</v>
      </c>
      <c r="X124">
        <v>-2083101341</v>
      </c>
      <c r="Y124">
        <f t="shared" si="45"/>
        <v>0.3</v>
      </c>
      <c r="AA124">
        <v>0</v>
      </c>
      <c r="AB124">
        <v>0.84</v>
      </c>
      <c r="AC124">
        <v>0</v>
      </c>
      <c r="AD124">
        <v>0</v>
      </c>
      <c r="AE124">
        <v>0</v>
      </c>
      <c r="AF124">
        <v>0.8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0.25</v>
      </c>
      <c r="AU124" t="s">
        <v>114</v>
      </c>
      <c r="AV124">
        <v>0</v>
      </c>
      <c r="AW124">
        <v>2</v>
      </c>
      <c r="AX124">
        <v>55937499</v>
      </c>
      <c r="AY124">
        <v>1</v>
      </c>
      <c r="AZ124">
        <v>0</v>
      </c>
      <c r="BA124">
        <v>160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ROUND(Y124*Source!I105*DO124,9)</f>
        <v>0</v>
      </c>
      <c r="CX124">
        <f>ROUND(Y124*Source!I105,9)</f>
        <v>0.3</v>
      </c>
      <c r="CY124">
        <f>AB124</f>
        <v>0.84</v>
      </c>
      <c r="CZ124">
        <f>AF124</f>
        <v>0.8</v>
      </c>
      <c r="DA124">
        <f>AJ124</f>
        <v>1</v>
      </c>
      <c r="DB124">
        <f t="shared" si="46"/>
        <v>0.24</v>
      </c>
      <c r="DC124">
        <f t="shared" si="47"/>
        <v>0</v>
      </c>
      <c r="DD124" t="s">
        <v>3</v>
      </c>
      <c r="DE124" t="s">
        <v>3</v>
      </c>
      <c r="DF124">
        <f t="shared" si="48"/>
        <v>0</v>
      </c>
      <c r="DG124">
        <f t="shared" si="44"/>
        <v>0.24</v>
      </c>
      <c r="DH124">
        <f t="shared" si="43"/>
        <v>0</v>
      </c>
      <c r="DI124">
        <f t="shared" si="32"/>
        <v>0</v>
      </c>
      <c r="DJ124">
        <f>DG124</f>
        <v>0.24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ROW(Source!A105)</f>
        <v>105</v>
      </c>
      <c r="B125">
        <v>55937296</v>
      </c>
      <c r="C125">
        <v>55937497</v>
      </c>
      <c r="D125">
        <v>55490331</v>
      </c>
      <c r="E125">
        <v>1</v>
      </c>
      <c r="F125">
        <v>1</v>
      </c>
      <c r="G125">
        <v>1081</v>
      </c>
      <c r="H125">
        <v>2</v>
      </c>
      <c r="I125" t="s">
        <v>456</v>
      </c>
      <c r="J125" t="s">
        <v>457</v>
      </c>
      <c r="K125" t="s">
        <v>458</v>
      </c>
      <c r="L125">
        <v>1368</v>
      </c>
      <c r="N125">
        <v>1011</v>
      </c>
      <c r="O125" t="s">
        <v>455</v>
      </c>
      <c r="P125" t="s">
        <v>455</v>
      </c>
      <c r="Q125">
        <v>1</v>
      </c>
      <c r="W125">
        <v>0</v>
      </c>
      <c r="X125">
        <v>1043446422</v>
      </c>
      <c r="Y125">
        <f t="shared" si="45"/>
        <v>0.67200000000000004</v>
      </c>
      <c r="AA125">
        <v>0</v>
      </c>
      <c r="AB125">
        <v>1.1599999999999999</v>
      </c>
      <c r="AC125">
        <v>0</v>
      </c>
      <c r="AD125">
        <v>0</v>
      </c>
      <c r="AE125">
        <v>0</v>
      </c>
      <c r="AF125">
        <v>1.1100000000000001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0.56000000000000005</v>
      </c>
      <c r="AU125" t="s">
        <v>114</v>
      </c>
      <c r="AV125">
        <v>0</v>
      </c>
      <c r="AW125">
        <v>2</v>
      </c>
      <c r="AX125">
        <v>55937500</v>
      </c>
      <c r="AY125">
        <v>1</v>
      </c>
      <c r="AZ125">
        <v>0</v>
      </c>
      <c r="BA125">
        <v>161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ROUND(Y125*Source!I105*DO125,9)</f>
        <v>0</v>
      </c>
      <c r="CX125">
        <f>ROUND(Y125*Source!I105,9)</f>
        <v>0.67200000000000004</v>
      </c>
      <c r="CY125">
        <f>AB125</f>
        <v>1.1599999999999999</v>
      </c>
      <c r="CZ125">
        <f>AF125</f>
        <v>1.1100000000000001</v>
      </c>
      <c r="DA125">
        <f>AJ125</f>
        <v>1</v>
      </c>
      <c r="DB125">
        <f t="shared" si="46"/>
        <v>0.74399999999999999</v>
      </c>
      <c r="DC125">
        <f t="shared" si="47"/>
        <v>0</v>
      </c>
      <c r="DD125" t="s">
        <v>3</v>
      </c>
      <c r="DE125" t="s">
        <v>3</v>
      </c>
      <c r="DF125">
        <f t="shared" si="48"/>
        <v>0</v>
      </c>
      <c r="DG125">
        <f t="shared" si="44"/>
        <v>0.75</v>
      </c>
      <c r="DH125">
        <f t="shared" si="43"/>
        <v>0</v>
      </c>
      <c r="DI125">
        <f t="shared" si="32"/>
        <v>0</v>
      </c>
      <c r="DJ125">
        <f>DG125</f>
        <v>0.75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ROW(Source!A105)</f>
        <v>105</v>
      </c>
      <c r="B126">
        <v>55937296</v>
      </c>
      <c r="C126">
        <v>55937497</v>
      </c>
      <c r="D126">
        <v>55459340</v>
      </c>
      <c r="E126">
        <v>1</v>
      </c>
      <c r="F126">
        <v>1</v>
      </c>
      <c r="G126">
        <v>1081</v>
      </c>
      <c r="H126">
        <v>3</v>
      </c>
      <c r="I126" t="s">
        <v>459</v>
      </c>
      <c r="J126" t="s">
        <v>460</v>
      </c>
      <c r="K126" t="s">
        <v>461</v>
      </c>
      <c r="L126">
        <v>1354</v>
      </c>
      <c r="N126">
        <v>1010</v>
      </c>
      <c r="O126" t="s">
        <v>217</v>
      </c>
      <c r="P126" t="s">
        <v>217</v>
      </c>
      <c r="Q126">
        <v>1</v>
      </c>
      <c r="W126">
        <v>0</v>
      </c>
      <c r="X126">
        <v>-1352077490</v>
      </c>
      <c r="Y126">
        <f t="shared" ref="Y126:Y132" si="49">(AT126*1)</f>
        <v>7</v>
      </c>
      <c r="AA126">
        <v>0.89</v>
      </c>
      <c r="AB126">
        <v>0</v>
      </c>
      <c r="AC126">
        <v>0</v>
      </c>
      <c r="AD126">
        <v>0</v>
      </c>
      <c r="AE126">
        <v>0.89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7</v>
      </c>
      <c r="AU126" t="s">
        <v>113</v>
      </c>
      <c r="AV126">
        <v>0</v>
      </c>
      <c r="AW126">
        <v>2</v>
      </c>
      <c r="AX126">
        <v>55937501</v>
      </c>
      <c r="AY126">
        <v>1</v>
      </c>
      <c r="AZ126">
        <v>0</v>
      </c>
      <c r="BA126">
        <v>162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ROUND(Y126*Source!I105,9)</f>
        <v>7</v>
      </c>
      <c r="CY126">
        <f t="shared" ref="CY126:CY132" si="50">AA126</f>
        <v>0.89</v>
      </c>
      <c r="CZ126">
        <f t="shared" ref="CZ126:CZ132" si="51">AE126</f>
        <v>0.89</v>
      </c>
      <c r="DA126">
        <f t="shared" ref="DA126:DA132" si="52">AI126</f>
        <v>1</v>
      </c>
      <c r="DB126">
        <f t="shared" ref="DB126:DB132" si="53">ROUND((ROUND(AT126*CZ126,2)*1),6)</f>
        <v>6.23</v>
      </c>
      <c r="DC126">
        <f t="shared" ref="DC126:DC132" si="54">ROUND((ROUND(AT126*AG126,2)*1),6)</f>
        <v>0</v>
      </c>
      <c r="DD126" t="s">
        <v>3</v>
      </c>
      <c r="DE126" t="s">
        <v>3</v>
      </c>
      <c r="DF126">
        <f t="shared" si="48"/>
        <v>6.23</v>
      </c>
      <c r="DG126">
        <f t="shared" si="44"/>
        <v>0</v>
      </c>
      <c r="DH126">
        <f t="shared" si="43"/>
        <v>0</v>
      </c>
      <c r="DI126">
        <f t="shared" si="32"/>
        <v>0</v>
      </c>
      <c r="DJ126">
        <f t="shared" ref="DJ126:DJ132" si="55">DF126</f>
        <v>6.23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ROW(Source!A105)</f>
        <v>105</v>
      </c>
      <c r="B127">
        <v>55937296</v>
      </c>
      <c r="C127">
        <v>55937497</v>
      </c>
      <c r="D127">
        <v>55460882</v>
      </c>
      <c r="E127">
        <v>1</v>
      </c>
      <c r="F127">
        <v>1</v>
      </c>
      <c r="G127">
        <v>1081</v>
      </c>
      <c r="H127">
        <v>3</v>
      </c>
      <c r="I127" t="s">
        <v>462</v>
      </c>
      <c r="J127" t="s">
        <v>463</v>
      </c>
      <c r="K127" t="s">
        <v>464</v>
      </c>
      <c r="L127">
        <v>1348</v>
      </c>
      <c r="N127">
        <v>1009</v>
      </c>
      <c r="O127" t="s">
        <v>287</v>
      </c>
      <c r="P127" t="s">
        <v>287</v>
      </c>
      <c r="Q127">
        <v>1000</v>
      </c>
      <c r="W127">
        <v>0</v>
      </c>
      <c r="X127">
        <v>-1448166212</v>
      </c>
      <c r="Y127">
        <f t="shared" si="49"/>
        <v>1.0000000000000001E-5</v>
      </c>
      <c r="AA127">
        <v>14327.51</v>
      </c>
      <c r="AB127">
        <v>0</v>
      </c>
      <c r="AC127">
        <v>0</v>
      </c>
      <c r="AD127">
        <v>0</v>
      </c>
      <c r="AE127">
        <v>14327.51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1.0000000000000001E-5</v>
      </c>
      <c r="AU127" t="s">
        <v>113</v>
      </c>
      <c r="AV127">
        <v>0</v>
      </c>
      <c r="AW127">
        <v>2</v>
      </c>
      <c r="AX127">
        <v>55937502</v>
      </c>
      <c r="AY127">
        <v>1</v>
      </c>
      <c r="AZ127">
        <v>0</v>
      </c>
      <c r="BA127">
        <v>163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ROUND(Y127*Source!I105,9)</f>
        <v>1.0000000000000001E-5</v>
      </c>
      <c r="CY127">
        <f t="shared" si="50"/>
        <v>14327.51</v>
      </c>
      <c r="CZ127">
        <f t="shared" si="51"/>
        <v>14327.51</v>
      </c>
      <c r="DA127">
        <f t="shared" si="52"/>
        <v>1</v>
      </c>
      <c r="DB127">
        <f t="shared" si="53"/>
        <v>0.14000000000000001</v>
      </c>
      <c r="DC127">
        <f t="shared" si="54"/>
        <v>0</v>
      </c>
      <c r="DD127" t="s">
        <v>3</v>
      </c>
      <c r="DE127" t="s">
        <v>3</v>
      </c>
      <c r="DF127">
        <f t="shared" si="48"/>
        <v>0.14000000000000001</v>
      </c>
      <c r="DG127">
        <f t="shared" si="44"/>
        <v>0</v>
      </c>
      <c r="DH127">
        <f t="shared" si="43"/>
        <v>0</v>
      </c>
      <c r="DI127">
        <f t="shared" si="32"/>
        <v>0</v>
      </c>
      <c r="DJ127">
        <f t="shared" si="55"/>
        <v>0.14000000000000001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ROW(Source!A105)</f>
        <v>105</v>
      </c>
      <c r="B128">
        <v>55937296</v>
      </c>
      <c r="C128">
        <v>55937497</v>
      </c>
      <c r="D128">
        <v>55461127</v>
      </c>
      <c r="E128">
        <v>1</v>
      </c>
      <c r="F128">
        <v>1</v>
      </c>
      <c r="G128">
        <v>1081</v>
      </c>
      <c r="H128">
        <v>3</v>
      </c>
      <c r="I128" t="s">
        <v>465</v>
      </c>
      <c r="J128" t="s">
        <v>466</v>
      </c>
      <c r="K128" t="s">
        <v>467</v>
      </c>
      <c r="L128">
        <v>1355</v>
      </c>
      <c r="N128">
        <v>1010</v>
      </c>
      <c r="O128" t="s">
        <v>60</v>
      </c>
      <c r="P128" t="s">
        <v>60</v>
      </c>
      <c r="Q128">
        <v>100</v>
      </c>
      <c r="W128">
        <v>0</v>
      </c>
      <c r="X128">
        <v>-1635357480</v>
      </c>
      <c r="Y128">
        <f t="shared" si="49"/>
        <v>7.0000000000000007E-2</v>
      </c>
      <c r="AA128">
        <v>4.6100000000000003</v>
      </c>
      <c r="AB128">
        <v>0</v>
      </c>
      <c r="AC128">
        <v>0</v>
      </c>
      <c r="AD128">
        <v>0</v>
      </c>
      <c r="AE128">
        <v>4.6100000000000003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7.0000000000000007E-2</v>
      </c>
      <c r="AU128" t="s">
        <v>113</v>
      </c>
      <c r="AV128">
        <v>0</v>
      </c>
      <c r="AW128">
        <v>2</v>
      </c>
      <c r="AX128">
        <v>55937503</v>
      </c>
      <c r="AY128">
        <v>1</v>
      </c>
      <c r="AZ128">
        <v>0</v>
      </c>
      <c r="BA128">
        <v>164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ROUND(Y128*Source!I105,9)</f>
        <v>7.0000000000000007E-2</v>
      </c>
      <c r="CY128">
        <f t="shared" si="50"/>
        <v>4.6100000000000003</v>
      </c>
      <c r="CZ128">
        <f t="shared" si="51"/>
        <v>4.6100000000000003</v>
      </c>
      <c r="DA128">
        <f t="shared" si="52"/>
        <v>1</v>
      </c>
      <c r="DB128">
        <f t="shared" si="53"/>
        <v>0.32</v>
      </c>
      <c r="DC128">
        <f t="shared" si="54"/>
        <v>0</v>
      </c>
      <c r="DD128" t="s">
        <v>3</v>
      </c>
      <c r="DE128" t="s">
        <v>3</v>
      </c>
      <c r="DF128">
        <f t="shared" si="48"/>
        <v>0.32</v>
      </c>
      <c r="DG128">
        <f t="shared" si="44"/>
        <v>0</v>
      </c>
      <c r="DH128">
        <f t="shared" si="43"/>
        <v>0</v>
      </c>
      <c r="DI128">
        <f t="shared" si="32"/>
        <v>0</v>
      </c>
      <c r="DJ128">
        <f t="shared" si="55"/>
        <v>0.32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ROW(Source!A105)</f>
        <v>105</v>
      </c>
      <c r="B129">
        <v>55937296</v>
      </c>
      <c r="C129">
        <v>55937497</v>
      </c>
      <c r="D129">
        <v>55459554</v>
      </c>
      <c r="E129">
        <v>1</v>
      </c>
      <c r="F129">
        <v>1</v>
      </c>
      <c r="G129">
        <v>1081</v>
      </c>
      <c r="H129">
        <v>3</v>
      </c>
      <c r="I129" t="s">
        <v>468</v>
      </c>
      <c r="J129" t="s">
        <v>469</v>
      </c>
      <c r="K129" t="s">
        <v>470</v>
      </c>
      <c r="L129">
        <v>1346</v>
      </c>
      <c r="N129">
        <v>1009</v>
      </c>
      <c r="O129" t="s">
        <v>311</v>
      </c>
      <c r="P129" t="s">
        <v>311</v>
      </c>
      <c r="Q129">
        <v>1</v>
      </c>
      <c r="W129">
        <v>0</v>
      </c>
      <c r="X129">
        <v>-210355400</v>
      </c>
      <c r="Y129">
        <f t="shared" si="49"/>
        <v>4.3999999999999997E-2</v>
      </c>
      <c r="AA129">
        <v>5.01</v>
      </c>
      <c r="AB129">
        <v>0</v>
      </c>
      <c r="AC129">
        <v>0</v>
      </c>
      <c r="AD129">
        <v>0</v>
      </c>
      <c r="AE129">
        <v>5.01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-2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4.3999999999999997E-2</v>
      </c>
      <c r="AU129" t="s">
        <v>113</v>
      </c>
      <c r="AV129">
        <v>0</v>
      </c>
      <c r="AW129">
        <v>2</v>
      </c>
      <c r="AX129">
        <v>55937504</v>
      </c>
      <c r="AY129">
        <v>1</v>
      </c>
      <c r="AZ129">
        <v>0</v>
      </c>
      <c r="BA129">
        <v>165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ROUND(Y129*Source!I105,9)</f>
        <v>4.3999999999999997E-2</v>
      </c>
      <c r="CY129">
        <f t="shared" si="50"/>
        <v>5.01</v>
      </c>
      <c r="CZ129">
        <f t="shared" si="51"/>
        <v>5.01</v>
      </c>
      <c r="DA129">
        <f t="shared" si="52"/>
        <v>1</v>
      </c>
      <c r="DB129">
        <f t="shared" si="53"/>
        <v>0.22</v>
      </c>
      <c r="DC129">
        <f t="shared" si="54"/>
        <v>0</v>
      </c>
      <c r="DD129" t="s">
        <v>3</v>
      </c>
      <c r="DE129" t="s">
        <v>3</v>
      </c>
      <c r="DF129">
        <f t="shared" si="48"/>
        <v>0.22</v>
      </c>
      <c r="DG129">
        <f t="shared" si="44"/>
        <v>0</v>
      </c>
      <c r="DH129">
        <f t="shared" si="43"/>
        <v>0</v>
      </c>
      <c r="DI129">
        <f t="shared" ref="DI129:DI192" si="56">ROUND(ROUND(AH129,2)*CX129,2)</f>
        <v>0</v>
      </c>
      <c r="DJ129">
        <f t="shared" si="55"/>
        <v>0.22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ROW(Source!A105)</f>
        <v>105</v>
      </c>
      <c r="B130">
        <v>55937296</v>
      </c>
      <c r="C130">
        <v>55937497</v>
      </c>
      <c r="D130">
        <v>55459793</v>
      </c>
      <c r="E130">
        <v>1</v>
      </c>
      <c r="F130">
        <v>1</v>
      </c>
      <c r="G130">
        <v>1081</v>
      </c>
      <c r="H130">
        <v>3</v>
      </c>
      <c r="I130" t="s">
        <v>471</v>
      </c>
      <c r="J130" t="s">
        <v>472</v>
      </c>
      <c r="K130" t="s">
        <v>473</v>
      </c>
      <c r="L130">
        <v>1348</v>
      </c>
      <c r="N130">
        <v>1009</v>
      </c>
      <c r="O130" t="s">
        <v>287</v>
      </c>
      <c r="P130" t="s">
        <v>287</v>
      </c>
      <c r="Q130">
        <v>1000</v>
      </c>
      <c r="W130">
        <v>0</v>
      </c>
      <c r="X130">
        <v>-761454284</v>
      </c>
      <c r="Y130">
        <f t="shared" si="49"/>
        <v>2.0000000000000002E-5</v>
      </c>
      <c r="AA130">
        <v>64123.05</v>
      </c>
      <c r="AB130">
        <v>0</v>
      </c>
      <c r="AC130">
        <v>0</v>
      </c>
      <c r="AD130">
        <v>0</v>
      </c>
      <c r="AE130">
        <v>64123.05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-2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2.0000000000000002E-5</v>
      </c>
      <c r="AU130" t="s">
        <v>113</v>
      </c>
      <c r="AV130">
        <v>0</v>
      </c>
      <c r="AW130">
        <v>2</v>
      </c>
      <c r="AX130">
        <v>55937505</v>
      </c>
      <c r="AY130">
        <v>1</v>
      </c>
      <c r="AZ130">
        <v>0</v>
      </c>
      <c r="BA130">
        <v>166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ROUND(Y130*Source!I105,9)</f>
        <v>2.0000000000000002E-5</v>
      </c>
      <c r="CY130">
        <f t="shared" si="50"/>
        <v>64123.05</v>
      </c>
      <c r="CZ130">
        <f t="shared" si="51"/>
        <v>64123.05</v>
      </c>
      <c r="DA130">
        <f t="shared" si="52"/>
        <v>1</v>
      </c>
      <c r="DB130">
        <f t="shared" si="53"/>
        <v>1.28</v>
      </c>
      <c r="DC130">
        <f t="shared" si="54"/>
        <v>0</v>
      </c>
      <c r="DD130" t="s">
        <v>3</v>
      </c>
      <c r="DE130" t="s">
        <v>3</v>
      </c>
      <c r="DF130">
        <f t="shared" si="48"/>
        <v>1.28</v>
      </c>
      <c r="DG130">
        <f t="shared" si="44"/>
        <v>0</v>
      </c>
      <c r="DH130">
        <f t="shared" si="43"/>
        <v>0</v>
      </c>
      <c r="DI130">
        <f t="shared" si="56"/>
        <v>0</v>
      </c>
      <c r="DJ130">
        <f t="shared" si="55"/>
        <v>1.28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ROW(Source!A105)</f>
        <v>105</v>
      </c>
      <c r="B131">
        <v>55937296</v>
      </c>
      <c r="C131">
        <v>55937497</v>
      </c>
      <c r="D131">
        <v>55469262</v>
      </c>
      <c r="E131">
        <v>1</v>
      </c>
      <c r="F131">
        <v>1</v>
      </c>
      <c r="G131">
        <v>1081</v>
      </c>
      <c r="H131">
        <v>3</v>
      </c>
      <c r="I131" t="s">
        <v>474</v>
      </c>
      <c r="J131" t="s">
        <v>475</v>
      </c>
      <c r="K131" t="s">
        <v>476</v>
      </c>
      <c r="L131">
        <v>1354</v>
      </c>
      <c r="N131">
        <v>1010</v>
      </c>
      <c r="O131" t="s">
        <v>217</v>
      </c>
      <c r="P131" t="s">
        <v>217</v>
      </c>
      <c r="Q131">
        <v>1</v>
      </c>
      <c r="W131">
        <v>0</v>
      </c>
      <c r="X131">
        <v>-407007888</v>
      </c>
      <c r="Y131">
        <f t="shared" si="49"/>
        <v>0.09</v>
      </c>
      <c r="AA131">
        <v>10.53</v>
      </c>
      <c r="AB131">
        <v>0</v>
      </c>
      <c r="AC131">
        <v>0</v>
      </c>
      <c r="AD131">
        <v>0</v>
      </c>
      <c r="AE131">
        <v>10.53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0.09</v>
      </c>
      <c r="AU131" t="s">
        <v>113</v>
      </c>
      <c r="AV131">
        <v>0</v>
      </c>
      <c r="AW131">
        <v>2</v>
      </c>
      <c r="AX131">
        <v>55937506</v>
      </c>
      <c r="AY131">
        <v>1</v>
      </c>
      <c r="AZ131">
        <v>0</v>
      </c>
      <c r="BA131">
        <v>167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v>0</v>
      </c>
      <c r="CX131">
        <f>ROUND(Y131*Source!I105,9)</f>
        <v>0.09</v>
      </c>
      <c r="CY131">
        <f t="shared" si="50"/>
        <v>10.53</v>
      </c>
      <c r="CZ131">
        <f t="shared" si="51"/>
        <v>10.53</v>
      </c>
      <c r="DA131">
        <f t="shared" si="52"/>
        <v>1</v>
      </c>
      <c r="DB131">
        <f t="shared" si="53"/>
        <v>0.95</v>
      </c>
      <c r="DC131">
        <f t="shared" si="54"/>
        <v>0</v>
      </c>
      <c r="DD131" t="s">
        <v>3</v>
      </c>
      <c r="DE131" t="s">
        <v>3</v>
      </c>
      <c r="DF131">
        <f t="shared" si="48"/>
        <v>0.95</v>
      </c>
      <c r="DG131">
        <f t="shared" si="44"/>
        <v>0</v>
      </c>
      <c r="DH131">
        <f t="shared" si="43"/>
        <v>0</v>
      </c>
      <c r="DI131">
        <f t="shared" si="56"/>
        <v>0</v>
      </c>
      <c r="DJ131">
        <f t="shared" si="55"/>
        <v>0.95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ROW(Source!A105)</f>
        <v>105</v>
      </c>
      <c r="B132">
        <v>55937296</v>
      </c>
      <c r="C132">
        <v>55937497</v>
      </c>
      <c r="D132">
        <v>0</v>
      </c>
      <c r="E132">
        <v>0</v>
      </c>
      <c r="F132">
        <v>1</v>
      </c>
      <c r="G132">
        <v>1081</v>
      </c>
      <c r="H132">
        <v>3</v>
      </c>
      <c r="I132" t="s">
        <v>535</v>
      </c>
      <c r="J132" t="s">
        <v>535</v>
      </c>
      <c r="K132" t="s">
        <v>198</v>
      </c>
      <c r="L132">
        <v>1371</v>
      </c>
      <c r="N132">
        <v>1013</v>
      </c>
      <c r="O132" t="s">
        <v>183</v>
      </c>
      <c r="P132" t="s">
        <v>183</v>
      </c>
      <c r="Q132">
        <v>1</v>
      </c>
      <c r="W132">
        <v>0</v>
      </c>
      <c r="X132">
        <v>144102843</v>
      </c>
      <c r="Y132">
        <f t="shared" si="49"/>
        <v>1</v>
      </c>
      <c r="AA132">
        <v>2357.06</v>
      </c>
      <c r="AB132">
        <v>0</v>
      </c>
      <c r="AC132">
        <v>0</v>
      </c>
      <c r="AD132">
        <v>0</v>
      </c>
      <c r="AE132">
        <v>2357.06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 t="s">
        <v>3</v>
      </c>
      <c r="AT132">
        <v>1</v>
      </c>
      <c r="AU132" t="s">
        <v>113</v>
      </c>
      <c r="AV132">
        <v>0</v>
      </c>
      <c r="AW132">
        <v>1</v>
      </c>
      <c r="AX132">
        <v>-1</v>
      </c>
      <c r="AY132">
        <v>0</v>
      </c>
      <c r="AZ132">
        <v>0</v>
      </c>
      <c r="BA132" t="s">
        <v>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v>0</v>
      </c>
      <c r="CX132">
        <f>ROUND(Y132*Source!I105,9)</f>
        <v>1</v>
      </c>
      <c r="CY132">
        <f t="shared" si="50"/>
        <v>2357.06</v>
      </c>
      <c r="CZ132">
        <f t="shared" si="51"/>
        <v>2357.06</v>
      </c>
      <c r="DA132">
        <f t="shared" si="52"/>
        <v>1</v>
      </c>
      <c r="DB132">
        <f t="shared" si="53"/>
        <v>2357.06</v>
      </c>
      <c r="DC132">
        <f t="shared" si="54"/>
        <v>0</v>
      </c>
      <c r="DD132" t="s">
        <v>3</v>
      </c>
      <c r="DE132" t="s">
        <v>3</v>
      </c>
      <c r="DF132">
        <f t="shared" si="48"/>
        <v>2357.06</v>
      </c>
      <c r="DG132">
        <f t="shared" si="44"/>
        <v>0</v>
      </c>
      <c r="DH132">
        <f t="shared" si="43"/>
        <v>0</v>
      </c>
      <c r="DI132">
        <f t="shared" si="56"/>
        <v>0</v>
      </c>
      <c r="DJ132">
        <f t="shared" si="55"/>
        <v>2357.06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ROW(Source!A106)</f>
        <v>106</v>
      </c>
      <c r="B133">
        <v>55937298</v>
      </c>
      <c r="C133">
        <v>55937497</v>
      </c>
      <c r="D133">
        <v>55424304</v>
      </c>
      <c r="E133">
        <v>1081</v>
      </c>
      <c r="F133">
        <v>1</v>
      </c>
      <c r="G133">
        <v>1081</v>
      </c>
      <c r="H133">
        <v>1</v>
      </c>
      <c r="I133" t="s">
        <v>449</v>
      </c>
      <c r="J133" t="s">
        <v>3</v>
      </c>
      <c r="K133" t="s">
        <v>450</v>
      </c>
      <c r="L133">
        <v>1191</v>
      </c>
      <c r="N133">
        <v>1013</v>
      </c>
      <c r="O133" t="s">
        <v>451</v>
      </c>
      <c r="P133" t="s">
        <v>451</v>
      </c>
      <c r="Q133">
        <v>1</v>
      </c>
      <c r="W133">
        <v>0</v>
      </c>
      <c r="X133">
        <v>476480486</v>
      </c>
      <c r="Y133">
        <f>(AT133*1.2)</f>
        <v>7.2119999999999997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5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6.01</v>
      </c>
      <c r="AU133" t="s">
        <v>114</v>
      </c>
      <c r="AV133">
        <v>1</v>
      </c>
      <c r="AW133">
        <v>2</v>
      </c>
      <c r="AX133">
        <v>55937498</v>
      </c>
      <c r="AY133">
        <v>1</v>
      </c>
      <c r="AZ133">
        <v>0</v>
      </c>
      <c r="BA133">
        <v>173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ROUND(AT133*Source!I106*AH133*AL133,2)</f>
        <v>0</v>
      </c>
      <c r="CV133">
        <f>ROUND(Y133*Source!I106,9)</f>
        <v>7.2119999999999997</v>
      </c>
      <c r="CW133">
        <v>0</v>
      </c>
      <c r="CX133">
        <f>ROUND(Y133*Source!I106,9)</f>
        <v>7.2119999999999997</v>
      </c>
      <c r="CY133">
        <f>AD133</f>
        <v>0</v>
      </c>
      <c r="CZ133">
        <f>AH133</f>
        <v>0</v>
      </c>
      <c r="DA133">
        <f>AL133</f>
        <v>1</v>
      </c>
      <c r="DB133">
        <f>ROUND((ROUND(AT133*CZ133,2)*1.2),6)</f>
        <v>0</v>
      </c>
      <c r="DC133">
        <f>ROUND((ROUND(AT133*AG133,2)*1.2),6)</f>
        <v>0</v>
      </c>
      <c r="DD133" t="s">
        <v>3</v>
      </c>
      <c r="DE133" t="s">
        <v>3</v>
      </c>
      <c r="DF133">
        <f t="shared" si="48"/>
        <v>0</v>
      </c>
      <c r="DG133">
        <f t="shared" si="44"/>
        <v>0</v>
      </c>
      <c r="DH133">
        <f t="shared" si="43"/>
        <v>0</v>
      </c>
      <c r="DI133">
        <f t="shared" si="56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ROW(Source!A106)</f>
        <v>106</v>
      </c>
      <c r="B134">
        <v>55937298</v>
      </c>
      <c r="C134">
        <v>55937497</v>
      </c>
      <c r="D134">
        <v>55490330</v>
      </c>
      <c r="E134">
        <v>1</v>
      </c>
      <c r="F134">
        <v>1</v>
      </c>
      <c r="G134">
        <v>1081</v>
      </c>
      <c r="H134">
        <v>2</v>
      </c>
      <c r="I134" t="s">
        <v>452</v>
      </c>
      <c r="J134" t="s">
        <v>453</v>
      </c>
      <c r="K134" t="s">
        <v>454</v>
      </c>
      <c r="L134">
        <v>1368</v>
      </c>
      <c r="N134">
        <v>1011</v>
      </c>
      <c r="O134" t="s">
        <v>455</v>
      </c>
      <c r="P134" t="s">
        <v>455</v>
      </c>
      <c r="Q134">
        <v>1</v>
      </c>
      <c r="W134">
        <v>0</v>
      </c>
      <c r="X134">
        <v>-2083101341</v>
      </c>
      <c r="Y134">
        <f>(AT134*1.2)</f>
        <v>0.3</v>
      </c>
      <c r="AA134">
        <v>0</v>
      </c>
      <c r="AB134">
        <v>7.92</v>
      </c>
      <c r="AC134">
        <v>0</v>
      </c>
      <c r="AD134">
        <v>0</v>
      </c>
      <c r="AE134">
        <v>0</v>
      </c>
      <c r="AF134">
        <v>0.8</v>
      </c>
      <c r="AG134">
        <v>0</v>
      </c>
      <c r="AH134">
        <v>0</v>
      </c>
      <c r="AI134">
        <v>1</v>
      </c>
      <c r="AJ134">
        <v>9.4600000000000009</v>
      </c>
      <c r="AK134">
        <v>1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0.25</v>
      </c>
      <c r="AU134" t="s">
        <v>114</v>
      </c>
      <c r="AV134">
        <v>0</v>
      </c>
      <c r="AW134">
        <v>2</v>
      </c>
      <c r="AX134">
        <v>55937499</v>
      </c>
      <c r="AY134">
        <v>1</v>
      </c>
      <c r="AZ134">
        <v>0</v>
      </c>
      <c r="BA134">
        <v>174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ROUND(Y134*Source!I106*DO134,9)</f>
        <v>0</v>
      </c>
      <c r="CX134">
        <f>ROUND(Y134*Source!I106,9)</f>
        <v>0.3</v>
      </c>
      <c r="CY134">
        <f>AB134</f>
        <v>7.92</v>
      </c>
      <c r="CZ134">
        <f>AF134</f>
        <v>0.8</v>
      </c>
      <c r="DA134">
        <f>AJ134</f>
        <v>9.4600000000000009</v>
      </c>
      <c r="DB134">
        <f>ROUND((ROUND(AT134*CZ134,2)*1.2),6)</f>
        <v>0.24</v>
      </c>
      <c r="DC134">
        <f>ROUND((ROUND(AT134*AG134,2)*1.2),6)</f>
        <v>0</v>
      </c>
      <c r="DD134" t="s">
        <v>3</v>
      </c>
      <c r="DE134" t="s">
        <v>3</v>
      </c>
      <c r="DF134">
        <f t="shared" si="48"/>
        <v>0</v>
      </c>
      <c r="DG134">
        <f>ROUND(ROUND(AF134*AJ134,2)*CX134,2)</f>
        <v>2.27</v>
      </c>
      <c r="DH134">
        <f t="shared" si="43"/>
        <v>0</v>
      </c>
      <c r="DI134">
        <f t="shared" si="56"/>
        <v>0</v>
      </c>
      <c r="DJ134">
        <f>DG134</f>
        <v>2.27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ROW(Source!A106)</f>
        <v>106</v>
      </c>
      <c r="B135">
        <v>55937298</v>
      </c>
      <c r="C135">
        <v>55937497</v>
      </c>
      <c r="D135">
        <v>55490331</v>
      </c>
      <c r="E135">
        <v>1</v>
      </c>
      <c r="F135">
        <v>1</v>
      </c>
      <c r="G135">
        <v>1081</v>
      </c>
      <c r="H135">
        <v>2</v>
      </c>
      <c r="I135" t="s">
        <v>456</v>
      </c>
      <c r="J135" t="s">
        <v>457</v>
      </c>
      <c r="K135" t="s">
        <v>458</v>
      </c>
      <c r="L135">
        <v>1368</v>
      </c>
      <c r="N135">
        <v>1011</v>
      </c>
      <c r="O135" t="s">
        <v>455</v>
      </c>
      <c r="P135" t="s">
        <v>455</v>
      </c>
      <c r="Q135">
        <v>1</v>
      </c>
      <c r="W135">
        <v>0</v>
      </c>
      <c r="X135">
        <v>1043446422</v>
      </c>
      <c r="Y135">
        <f>(AT135*1.2)</f>
        <v>0.67200000000000004</v>
      </c>
      <c r="AA135">
        <v>0</v>
      </c>
      <c r="AB135">
        <v>11.06</v>
      </c>
      <c r="AC135">
        <v>0</v>
      </c>
      <c r="AD135">
        <v>0</v>
      </c>
      <c r="AE135">
        <v>0</v>
      </c>
      <c r="AF135">
        <v>1.1100000000000001</v>
      </c>
      <c r="AG135">
        <v>0</v>
      </c>
      <c r="AH135">
        <v>0</v>
      </c>
      <c r="AI135">
        <v>1</v>
      </c>
      <c r="AJ135">
        <v>9.52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0.56000000000000005</v>
      </c>
      <c r="AU135" t="s">
        <v>114</v>
      </c>
      <c r="AV135">
        <v>0</v>
      </c>
      <c r="AW135">
        <v>2</v>
      </c>
      <c r="AX135">
        <v>55937500</v>
      </c>
      <c r="AY135">
        <v>1</v>
      </c>
      <c r="AZ135">
        <v>0</v>
      </c>
      <c r="BA135">
        <v>175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f>ROUND(Y135*Source!I106*DO135,9)</f>
        <v>0</v>
      </c>
      <c r="CX135">
        <f>ROUND(Y135*Source!I106,9)</f>
        <v>0.67200000000000004</v>
      </c>
      <c r="CY135">
        <f>AB135</f>
        <v>11.06</v>
      </c>
      <c r="CZ135">
        <f>AF135</f>
        <v>1.1100000000000001</v>
      </c>
      <c r="DA135">
        <f>AJ135</f>
        <v>9.52</v>
      </c>
      <c r="DB135">
        <f>ROUND((ROUND(AT135*CZ135,2)*1.2),6)</f>
        <v>0.74399999999999999</v>
      </c>
      <c r="DC135">
        <f>ROUND((ROUND(AT135*AG135,2)*1.2),6)</f>
        <v>0</v>
      </c>
      <c r="DD135" t="s">
        <v>3</v>
      </c>
      <c r="DE135" t="s">
        <v>3</v>
      </c>
      <c r="DF135">
        <f t="shared" si="48"/>
        <v>0</v>
      </c>
      <c r="DG135">
        <f>ROUND(ROUND(AF135*AJ135,2)*CX135,2)</f>
        <v>7.1</v>
      </c>
      <c r="DH135">
        <f t="shared" si="43"/>
        <v>0</v>
      </c>
      <c r="DI135">
        <f t="shared" si="56"/>
        <v>0</v>
      </c>
      <c r="DJ135">
        <f>DG135</f>
        <v>7.1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ROW(Source!A106)</f>
        <v>106</v>
      </c>
      <c r="B136">
        <v>55937298</v>
      </c>
      <c r="C136">
        <v>55937497</v>
      </c>
      <c r="D136">
        <v>55459340</v>
      </c>
      <c r="E136">
        <v>1</v>
      </c>
      <c r="F136">
        <v>1</v>
      </c>
      <c r="G136">
        <v>1081</v>
      </c>
      <c r="H136">
        <v>3</v>
      </c>
      <c r="I136" t="s">
        <v>459</v>
      </c>
      <c r="J136" t="s">
        <v>460</v>
      </c>
      <c r="K136" t="s">
        <v>461</v>
      </c>
      <c r="L136">
        <v>1354</v>
      </c>
      <c r="N136">
        <v>1010</v>
      </c>
      <c r="O136" t="s">
        <v>217</v>
      </c>
      <c r="P136" t="s">
        <v>217</v>
      </c>
      <c r="Q136">
        <v>1</v>
      </c>
      <c r="W136">
        <v>0</v>
      </c>
      <c r="X136">
        <v>-1352077490</v>
      </c>
      <c r="Y136">
        <f t="shared" ref="Y136:Y142" si="57">(AT136*1)</f>
        <v>7</v>
      </c>
      <c r="AA136">
        <v>0.83</v>
      </c>
      <c r="AB136">
        <v>0</v>
      </c>
      <c r="AC136">
        <v>0</v>
      </c>
      <c r="AD136">
        <v>0</v>
      </c>
      <c r="AE136">
        <v>0.89</v>
      </c>
      <c r="AF136">
        <v>0</v>
      </c>
      <c r="AG136">
        <v>0</v>
      </c>
      <c r="AH136">
        <v>0</v>
      </c>
      <c r="AI136">
        <v>0.93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7</v>
      </c>
      <c r="AU136" t="s">
        <v>113</v>
      </c>
      <c r="AV136">
        <v>0</v>
      </c>
      <c r="AW136">
        <v>2</v>
      </c>
      <c r="AX136">
        <v>55937501</v>
      </c>
      <c r="AY136">
        <v>1</v>
      </c>
      <c r="AZ136">
        <v>0</v>
      </c>
      <c r="BA136">
        <v>176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ROUND(Y136*Source!I106,9)</f>
        <v>7</v>
      </c>
      <c r="CY136">
        <f t="shared" ref="CY136:CY142" si="58">AA136</f>
        <v>0.83</v>
      </c>
      <c r="CZ136">
        <f t="shared" ref="CZ136:CZ142" si="59">AE136</f>
        <v>0.89</v>
      </c>
      <c r="DA136">
        <f t="shared" ref="DA136:DA142" si="60">AI136</f>
        <v>0.93</v>
      </c>
      <c r="DB136">
        <f t="shared" ref="DB136:DB142" si="61">ROUND((ROUND(AT136*CZ136,2)*1),6)</f>
        <v>6.23</v>
      </c>
      <c r="DC136">
        <f t="shared" ref="DC136:DC142" si="62">ROUND((ROUND(AT136*AG136,2)*1),6)</f>
        <v>0</v>
      </c>
      <c r="DD136" t="s">
        <v>3</v>
      </c>
      <c r="DE136" t="s">
        <v>3</v>
      </c>
      <c r="DF136">
        <f t="shared" ref="DF136:DF142" si="63">ROUND(ROUND(AE136*AI136,2)*CX136,2)</f>
        <v>5.81</v>
      </c>
      <c r="DG136">
        <f t="shared" ref="DG136:DG149" si="64">ROUND(ROUND(AF136,2)*CX136,2)</f>
        <v>0</v>
      </c>
      <c r="DH136">
        <f t="shared" si="43"/>
        <v>0</v>
      </c>
      <c r="DI136">
        <f t="shared" si="56"/>
        <v>0</v>
      </c>
      <c r="DJ136">
        <f t="shared" ref="DJ136:DJ142" si="65">DF136</f>
        <v>5.81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ROW(Source!A106)</f>
        <v>106</v>
      </c>
      <c r="B137">
        <v>55937298</v>
      </c>
      <c r="C137">
        <v>55937497</v>
      </c>
      <c r="D137">
        <v>55460882</v>
      </c>
      <c r="E137">
        <v>1</v>
      </c>
      <c r="F137">
        <v>1</v>
      </c>
      <c r="G137">
        <v>1081</v>
      </c>
      <c r="H137">
        <v>3</v>
      </c>
      <c r="I137" t="s">
        <v>462</v>
      </c>
      <c r="J137" t="s">
        <v>463</v>
      </c>
      <c r="K137" t="s">
        <v>464</v>
      </c>
      <c r="L137">
        <v>1348</v>
      </c>
      <c r="N137">
        <v>1009</v>
      </c>
      <c r="O137" t="s">
        <v>287</v>
      </c>
      <c r="P137" t="s">
        <v>287</v>
      </c>
      <c r="Q137">
        <v>1000</v>
      </c>
      <c r="W137">
        <v>0</v>
      </c>
      <c r="X137">
        <v>-1448166212</v>
      </c>
      <c r="Y137">
        <f t="shared" si="57"/>
        <v>1.0000000000000001E-5</v>
      </c>
      <c r="AA137">
        <v>109175.63</v>
      </c>
      <c r="AB137">
        <v>0</v>
      </c>
      <c r="AC137">
        <v>0</v>
      </c>
      <c r="AD137">
        <v>0</v>
      </c>
      <c r="AE137">
        <v>14327.51</v>
      </c>
      <c r="AF137">
        <v>0</v>
      </c>
      <c r="AG137">
        <v>0</v>
      </c>
      <c r="AH137">
        <v>0</v>
      </c>
      <c r="AI137">
        <v>7.62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1.0000000000000001E-5</v>
      </c>
      <c r="AU137" t="s">
        <v>113</v>
      </c>
      <c r="AV137">
        <v>0</v>
      </c>
      <c r="AW137">
        <v>2</v>
      </c>
      <c r="AX137">
        <v>55937502</v>
      </c>
      <c r="AY137">
        <v>1</v>
      </c>
      <c r="AZ137">
        <v>0</v>
      </c>
      <c r="BA137">
        <v>177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ROUND(Y137*Source!I106,9)</f>
        <v>1.0000000000000001E-5</v>
      </c>
      <c r="CY137">
        <f t="shared" si="58"/>
        <v>109175.63</v>
      </c>
      <c r="CZ137">
        <f t="shared" si="59"/>
        <v>14327.51</v>
      </c>
      <c r="DA137">
        <f t="shared" si="60"/>
        <v>7.62</v>
      </c>
      <c r="DB137">
        <f t="shared" si="61"/>
        <v>0.14000000000000001</v>
      </c>
      <c r="DC137">
        <f t="shared" si="62"/>
        <v>0</v>
      </c>
      <c r="DD137" t="s">
        <v>3</v>
      </c>
      <c r="DE137" t="s">
        <v>3</v>
      </c>
      <c r="DF137">
        <f t="shared" si="63"/>
        <v>1.0900000000000001</v>
      </c>
      <c r="DG137">
        <f t="shared" si="64"/>
        <v>0</v>
      </c>
      <c r="DH137">
        <f t="shared" si="43"/>
        <v>0</v>
      </c>
      <c r="DI137">
        <f t="shared" si="56"/>
        <v>0</v>
      </c>
      <c r="DJ137">
        <f t="shared" si="65"/>
        <v>1.0900000000000001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ROW(Source!A106)</f>
        <v>106</v>
      </c>
      <c r="B138">
        <v>55937298</v>
      </c>
      <c r="C138">
        <v>55937497</v>
      </c>
      <c r="D138">
        <v>55461127</v>
      </c>
      <c r="E138">
        <v>1</v>
      </c>
      <c r="F138">
        <v>1</v>
      </c>
      <c r="G138">
        <v>1081</v>
      </c>
      <c r="H138">
        <v>3</v>
      </c>
      <c r="I138" t="s">
        <v>465</v>
      </c>
      <c r="J138" t="s">
        <v>466</v>
      </c>
      <c r="K138" t="s">
        <v>467</v>
      </c>
      <c r="L138">
        <v>1355</v>
      </c>
      <c r="N138">
        <v>1010</v>
      </c>
      <c r="O138" t="s">
        <v>60</v>
      </c>
      <c r="P138" t="s">
        <v>60</v>
      </c>
      <c r="Q138">
        <v>100</v>
      </c>
      <c r="W138">
        <v>0</v>
      </c>
      <c r="X138">
        <v>-1635357480</v>
      </c>
      <c r="Y138">
        <f t="shared" si="57"/>
        <v>7.0000000000000007E-2</v>
      </c>
      <c r="AA138">
        <v>18.21</v>
      </c>
      <c r="AB138">
        <v>0</v>
      </c>
      <c r="AC138">
        <v>0</v>
      </c>
      <c r="AD138">
        <v>0</v>
      </c>
      <c r="AE138">
        <v>4.6100000000000003</v>
      </c>
      <c r="AF138">
        <v>0</v>
      </c>
      <c r="AG138">
        <v>0</v>
      </c>
      <c r="AH138">
        <v>0</v>
      </c>
      <c r="AI138">
        <v>3.95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7.0000000000000007E-2</v>
      </c>
      <c r="AU138" t="s">
        <v>113</v>
      </c>
      <c r="AV138">
        <v>0</v>
      </c>
      <c r="AW138">
        <v>2</v>
      </c>
      <c r="AX138">
        <v>55937503</v>
      </c>
      <c r="AY138">
        <v>1</v>
      </c>
      <c r="AZ138">
        <v>0</v>
      </c>
      <c r="BA138">
        <v>178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ROUND(Y138*Source!I106,9)</f>
        <v>7.0000000000000007E-2</v>
      </c>
      <c r="CY138">
        <f t="shared" si="58"/>
        <v>18.21</v>
      </c>
      <c r="CZ138">
        <f t="shared" si="59"/>
        <v>4.6100000000000003</v>
      </c>
      <c r="DA138">
        <f t="shared" si="60"/>
        <v>3.95</v>
      </c>
      <c r="DB138">
        <f t="shared" si="61"/>
        <v>0.32</v>
      </c>
      <c r="DC138">
        <f t="shared" si="62"/>
        <v>0</v>
      </c>
      <c r="DD138" t="s">
        <v>3</v>
      </c>
      <c r="DE138" t="s">
        <v>3</v>
      </c>
      <c r="DF138">
        <f t="shared" si="63"/>
        <v>1.27</v>
      </c>
      <c r="DG138">
        <f t="shared" si="64"/>
        <v>0</v>
      </c>
      <c r="DH138">
        <f t="shared" si="43"/>
        <v>0</v>
      </c>
      <c r="DI138">
        <f t="shared" si="56"/>
        <v>0</v>
      </c>
      <c r="DJ138">
        <f t="shared" si="65"/>
        <v>1.27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ROW(Source!A106)</f>
        <v>106</v>
      </c>
      <c r="B139">
        <v>55937298</v>
      </c>
      <c r="C139">
        <v>55937497</v>
      </c>
      <c r="D139">
        <v>55459554</v>
      </c>
      <c r="E139">
        <v>1</v>
      </c>
      <c r="F139">
        <v>1</v>
      </c>
      <c r="G139">
        <v>1081</v>
      </c>
      <c r="H139">
        <v>3</v>
      </c>
      <c r="I139" t="s">
        <v>468</v>
      </c>
      <c r="J139" t="s">
        <v>469</v>
      </c>
      <c r="K139" t="s">
        <v>470</v>
      </c>
      <c r="L139">
        <v>1346</v>
      </c>
      <c r="N139">
        <v>1009</v>
      </c>
      <c r="O139" t="s">
        <v>311</v>
      </c>
      <c r="P139" t="s">
        <v>311</v>
      </c>
      <c r="Q139">
        <v>1</v>
      </c>
      <c r="W139">
        <v>0</v>
      </c>
      <c r="X139">
        <v>-210355400</v>
      </c>
      <c r="Y139">
        <f t="shared" si="57"/>
        <v>4.3999999999999997E-2</v>
      </c>
      <c r="AA139">
        <v>58.52</v>
      </c>
      <c r="AB139">
        <v>0</v>
      </c>
      <c r="AC139">
        <v>0</v>
      </c>
      <c r="AD139">
        <v>0</v>
      </c>
      <c r="AE139">
        <v>5.01</v>
      </c>
      <c r="AF139">
        <v>0</v>
      </c>
      <c r="AG139">
        <v>0</v>
      </c>
      <c r="AH139">
        <v>0</v>
      </c>
      <c r="AI139">
        <v>11.68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4.3999999999999997E-2</v>
      </c>
      <c r="AU139" t="s">
        <v>113</v>
      </c>
      <c r="AV139">
        <v>0</v>
      </c>
      <c r="AW139">
        <v>2</v>
      </c>
      <c r="AX139">
        <v>55937504</v>
      </c>
      <c r="AY139">
        <v>1</v>
      </c>
      <c r="AZ139">
        <v>0</v>
      </c>
      <c r="BA139">
        <v>179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ROUND(Y139*Source!I106,9)</f>
        <v>4.3999999999999997E-2</v>
      </c>
      <c r="CY139">
        <f t="shared" si="58"/>
        <v>58.52</v>
      </c>
      <c r="CZ139">
        <f t="shared" si="59"/>
        <v>5.01</v>
      </c>
      <c r="DA139">
        <f t="shared" si="60"/>
        <v>11.68</v>
      </c>
      <c r="DB139">
        <f t="shared" si="61"/>
        <v>0.22</v>
      </c>
      <c r="DC139">
        <f t="shared" si="62"/>
        <v>0</v>
      </c>
      <c r="DD139" t="s">
        <v>3</v>
      </c>
      <c r="DE139" t="s">
        <v>3</v>
      </c>
      <c r="DF139">
        <f t="shared" si="63"/>
        <v>2.57</v>
      </c>
      <c r="DG139">
        <f t="shared" si="64"/>
        <v>0</v>
      </c>
      <c r="DH139">
        <f t="shared" si="43"/>
        <v>0</v>
      </c>
      <c r="DI139">
        <f t="shared" si="56"/>
        <v>0</v>
      </c>
      <c r="DJ139">
        <f t="shared" si="65"/>
        <v>2.57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ROW(Source!A106)</f>
        <v>106</v>
      </c>
      <c r="B140">
        <v>55937298</v>
      </c>
      <c r="C140">
        <v>55937497</v>
      </c>
      <c r="D140">
        <v>55459793</v>
      </c>
      <c r="E140">
        <v>1</v>
      </c>
      <c r="F140">
        <v>1</v>
      </c>
      <c r="G140">
        <v>1081</v>
      </c>
      <c r="H140">
        <v>3</v>
      </c>
      <c r="I140" t="s">
        <v>471</v>
      </c>
      <c r="J140" t="s">
        <v>472</v>
      </c>
      <c r="K140" t="s">
        <v>473</v>
      </c>
      <c r="L140">
        <v>1348</v>
      </c>
      <c r="N140">
        <v>1009</v>
      </c>
      <c r="O140" t="s">
        <v>287</v>
      </c>
      <c r="P140" t="s">
        <v>287</v>
      </c>
      <c r="Q140">
        <v>1000</v>
      </c>
      <c r="W140">
        <v>0</v>
      </c>
      <c r="X140">
        <v>-761454284</v>
      </c>
      <c r="Y140">
        <f t="shared" si="57"/>
        <v>2.0000000000000002E-5</v>
      </c>
      <c r="AA140">
        <v>1930745.04</v>
      </c>
      <c r="AB140">
        <v>0</v>
      </c>
      <c r="AC140">
        <v>0</v>
      </c>
      <c r="AD140">
        <v>0</v>
      </c>
      <c r="AE140">
        <v>64123.05</v>
      </c>
      <c r="AF140">
        <v>0</v>
      </c>
      <c r="AG140">
        <v>0</v>
      </c>
      <c r="AH140">
        <v>0</v>
      </c>
      <c r="AI140">
        <v>30.11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2.0000000000000002E-5</v>
      </c>
      <c r="AU140" t="s">
        <v>113</v>
      </c>
      <c r="AV140">
        <v>0</v>
      </c>
      <c r="AW140">
        <v>2</v>
      </c>
      <c r="AX140">
        <v>55937505</v>
      </c>
      <c r="AY140">
        <v>1</v>
      </c>
      <c r="AZ140">
        <v>0</v>
      </c>
      <c r="BA140">
        <v>180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ROUND(Y140*Source!I106,9)</f>
        <v>2.0000000000000002E-5</v>
      </c>
      <c r="CY140">
        <f t="shared" si="58"/>
        <v>1930745.04</v>
      </c>
      <c r="CZ140">
        <f t="shared" si="59"/>
        <v>64123.05</v>
      </c>
      <c r="DA140">
        <f t="shared" si="60"/>
        <v>30.11</v>
      </c>
      <c r="DB140">
        <f t="shared" si="61"/>
        <v>1.28</v>
      </c>
      <c r="DC140">
        <f t="shared" si="62"/>
        <v>0</v>
      </c>
      <c r="DD140" t="s">
        <v>3</v>
      </c>
      <c r="DE140" t="s">
        <v>3</v>
      </c>
      <c r="DF140">
        <f t="shared" si="63"/>
        <v>38.61</v>
      </c>
      <c r="DG140">
        <f t="shared" si="64"/>
        <v>0</v>
      </c>
      <c r="DH140">
        <f t="shared" si="43"/>
        <v>0</v>
      </c>
      <c r="DI140">
        <f t="shared" si="56"/>
        <v>0</v>
      </c>
      <c r="DJ140">
        <f t="shared" si="65"/>
        <v>38.61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ROW(Source!A106)</f>
        <v>106</v>
      </c>
      <c r="B141">
        <v>55937298</v>
      </c>
      <c r="C141">
        <v>55937497</v>
      </c>
      <c r="D141">
        <v>55469262</v>
      </c>
      <c r="E141">
        <v>1</v>
      </c>
      <c r="F141">
        <v>1</v>
      </c>
      <c r="G141">
        <v>1081</v>
      </c>
      <c r="H141">
        <v>3</v>
      </c>
      <c r="I141" t="s">
        <v>474</v>
      </c>
      <c r="J141" t="s">
        <v>475</v>
      </c>
      <c r="K141" t="s">
        <v>476</v>
      </c>
      <c r="L141">
        <v>1354</v>
      </c>
      <c r="N141">
        <v>1010</v>
      </c>
      <c r="O141" t="s">
        <v>217</v>
      </c>
      <c r="P141" t="s">
        <v>217</v>
      </c>
      <c r="Q141">
        <v>1</v>
      </c>
      <c r="W141">
        <v>0</v>
      </c>
      <c r="X141">
        <v>-407007888</v>
      </c>
      <c r="Y141">
        <f t="shared" si="57"/>
        <v>0.09</v>
      </c>
      <c r="AA141">
        <v>103.72</v>
      </c>
      <c r="AB141">
        <v>0</v>
      </c>
      <c r="AC141">
        <v>0</v>
      </c>
      <c r="AD141">
        <v>0</v>
      </c>
      <c r="AE141">
        <v>10.53</v>
      </c>
      <c r="AF141">
        <v>0</v>
      </c>
      <c r="AG141">
        <v>0</v>
      </c>
      <c r="AH141">
        <v>0</v>
      </c>
      <c r="AI141">
        <v>9.85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0.09</v>
      </c>
      <c r="AU141" t="s">
        <v>113</v>
      </c>
      <c r="AV141">
        <v>0</v>
      </c>
      <c r="AW141">
        <v>2</v>
      </c>
      <c r="AX141">
        <v>55937506</v>
      </c>
      <c r="AY141">
        <v>1</v>
      </c>
      <c r="AZ141">
        <v>0</v>
      </c>
      <c r="BA141">
        <v>181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ROUND(Y141*Source!I106,9)</f>
        <v>0.09</v>
      </c>
      <c r="CY141">
        <f t="shared" si="58"/>
        <v>103.72</v>
      </c>
      <c r="CZ141">
        <f t="shared" si="59"/>
        <v>10.53</v>
      </c>
      <c r="DA141">
        <f t="shared" si="60"/>
        <v>9.85</v>
      </c>
      <c r="DB141">
        <f t="shared" si="61"/>
        <v>0.95</v>
      </c>
      <c r="DC141">
        <f t="shared" si="62"/>
        <v>0</v>
      </c>
      <c r="DD141" t="s">
        <v>3</v>
      </c>
      <c r="DE141" t="s">
        <v>3</v>
      </c>
      <c r="DF141">
        <f t="shared" si="63"/>
        <v>9.33</v>
      </c>
      <c r="DG141">
        <f t="shared" si="64"/>
        <v>0</v>
      </c>
      <c r="DH141">
        <f t="shared" si="43"/>
        <v>0</v>
      </c>
      <c r="DI141">
        <f t="shared" si="56"/>
        <v>0</v>
      </c>
      <c r="DJ141">
        <f t="shared" si="65"/>
        <v>9.33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ROW(Source!A106)</f>
        <v>106</v>
      </c>
      <c r="B142">
        <v>55937298</v>
      </c>
      <c r="C142">
        <v>55937497</v>
      </c>
      <c r="D142">
        <v>0</v>
      </c>
      <c r="E142">
        <v>0</v>
      </c>
      <c r="F142">
        <v>1</v>
      </c>
      <c r="G142">
        <v>1081</v>
      </c>
      <c r="H142">
        <v>3</v>
      </c>
      <c r="I142" t="s">
        <v>535</v>
      </c>
      <c r="J142" t="s">
        <v>535</v>
      </c>
      <c r="K142" t="s">
        <v>198</v>
      </c>
      <c r="L142">
        <v>1371</v>
      </c>
      <c r="N142">
        <v>1013</v>
      </c>
      <c r="O142" t="s">
        <v>183</v>
      </c>
      <c r="P142" t="s">
        <v>183</v>
      </c>
      <c r="Q142">
        <v>1</v>
      </c>
      <c r="W142">
        <v>0</v>
      </c>
      <c r="X142">
        <v>144102843</v>
      </c>
      <c r="Y142">
        <f t="shared" si="57"/>
        <v>1</v>
      </c>
      <c r="AA142">
        <v>18055.080000000002</v>
      </c>
      <c r="AB142">
        <v>0</v>
      </c>
      <c r="AC142">
        <v>0</v>
      </c>
      <c r="AD142">
        <v>0</v>
      </c>
      <c r="AE142">
        <v>2357.06</v>
      </c>
      <c r="AF142">
        <v>0</v>
      </c>
      <c r="AG142">
        <v>0</v>
      </c>
      <c r="AH142">
        <v>0</v>
      </c>
      <c r="AI142">
        <v>7.66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 t="s">
        <v>3</v>
      </c>
      <c r="AT142">
        <v>1</v>
      </c>
      <c r="AU142" t="s">
        <v>113</v>
      </c>
      <c r="AV142">
        <v>0</v>
      </c>
      <c r="AW142">
        <v>1</v>
      </c>
      <c r="AX142">
        <v>-1</v>
      </c>
      <c r="AY142">
        <v>0</v>
      </c>
      <c r="AZ142">
        <v>0</v>
      </c>
      <c r="BA142" t="s">
        <v>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ROUND(Y142*Source!I106,9)</f>
        <v>1</v>
      </c>
      <c r="CY142">
        <f t="shared" si="58"/>
        <v>18055.080000000002</v>
      </c>
      <c r="CZ142">
        <f t="shared" si="59"/>
        <v>2357.06</v>
      </c>
      <c r="DA142">
        <f t="shared" si="60"/>
        <v>7.66</v>
      </c>
      <c r="DB142">
        <f t="shared" si="61"/>
        <v>2357.06</v>
      </c>
      <c r="DC142">
        <f t="shared" si="62"/>
        <v>0</v>
      </c>
      <c r="DD142" t="s">
        <v>3</v>
      </c>
      <c r="DE142" t="s">
        <v>3</v>
      </c>
      <c r="DF142">
        <f t="shared" si="63"/>
        <v>18055.080000000002</v>
      </c>
      <c r="DG142">
        <f t="shared" si="64"/>
        <v>0</v>
      </c>
      <c r="DH142">
        <f t="shared" ref="DH142:DH171" si="66">ROUND(ROUND(AG142,2)*CX142,2)</f>
        <v>0</v>
      </c>
      <c r="DI142">
        <f t="shared" si="56"/>
        <v>0</v>
      </c>
      <c r="DJ142">
        <f t="shared" si="65"/>
        <v>18055.080000000002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ROW(Source!A109)</f>
        <v>109</v>
      </c>
      <c r="B143">
        <v>55937296</v>
      </c>
      <c r="C143">
        <v>55937522</v>
      </c>
      <c r="D143">
        <v>55424304</v>
      </c>
      <c r="E143">
        <v>1081</v>
      </c>
      <c r="F143">
        <v>1</v>
      </c>
      <c r="G143">
        <v>1081</v>
      </c>
      <c r="H143">
        <v>1</v>
      </c>
      <c r="I143" t="s">
        <v>449</v>
      </c>
      <c r="J143" t="s">
        <v>3</v>
      </c>
      <c r="K143" t="s">
        <v>450</v>
      </c>
      <c r="L143">
        <v>1191</v>
      </c>
      <c r="N143">
        <v>1013</v>
      </c>
      <c r="O143" t="s">
        <v>451</v>
      </c>
      <c r="P143" t="s">
        <v>451</v>
      </c>
      <c r="Q143">
        <v>1</v>
      </c>
      <c r="W143">
        <v>0</v>
      </c>
      <c r="X143">
        <v>476480486</v>
      </c>
      <c r="Y143">
        <f>(AT143*1.2)</f>
        <v>1.6320000000000001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1.36</v>
      </c>
      <c r="AU143" t="s">
        <v>114</v>
      </c>
      <c r="AV143">
        <v>1</v>
      </c>
      <c r="AW143">
        <v>2</v>
      </c>
      <c r="AX143">
        <v>55937523</v>
      </c>
      <c r="AY143">
        <v>1</v>
      </c>
      <c r="AZ143">
        <v>0</v>
      </c>
      <c r="BA143">
        <v>187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U143">
        <f>ROUND(AT143*Source!I109*AH143*AL143,2)</f>
        <v>0</v>
      </c>
      <c r="CV143">
        <f>ROUND(Y143*Source!I109,9)</f>
        <v>26.111999999999998</v>
      </c>
      <c r="CW143">
        <v>0</v>
      </c>
      <c r="CX143">
        <f>ROUND(Y143*Source!I109,9)</f>
        <v>26.111999999999998</v>
      </c>
      <c r="CY143">
        <f>AD143</f>
        <v>0</v>
      </c>
      <c r="CZ143">
        <f>AH143</f>
        <v>0</v>
      </c>
      <c r="DA143">
        <f>AL143</f>
        <v>1</v>
      </c>
      <c r="DB143">
        <f>ROUND((ROUND(AT143*CZ143,2)*1.2),6)</f>
        <v>0</v>
      </c>
      <c r="DC143">
        <f>ROUND((ROUND(AT143*AG143,2)*1.2),6)</f>
        <v>0</v>
      </c>
      <c r="DD143" t="s">
        <v>3</v>
      </c>
      <c r="DE143" t="s">
        <v>3</v>
      </c>
      <c r="DF143">
        <f t="shared" ref="DF143:DF151" si="67">ROUND(ROUND(AE143,2)*CX143,2)</f>
        <v>0</v>
      </c>
      <c r="DG143">
        <f t="shared" si="64"/>
        <v>0</v>
      </c>
      <c r="DH143">
        <f t="shared" si="66"/>
        <v>0</v>
      </c>
      <c r="DI143">
        <f t="shared" si="56"/>
        <v>0</v>
      </c>
      <c r="DJ143">
        <f>DI143</f>
        <v>0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ROW(Source!A109)</f>
        <v>109</v>
      </c>
      <c r="B144">
        <v>55937296</v>
      </c>
      <c r="C144">
        <v>55937522</v>
      </c>
      <c r="D144">
        <v>55490330</v>
      </c>
      <c r="E144">
        <v>1</v>
      </c>
      <c r="F144">
        <v>1</v>
      </c>
      <c r="G144">
        <v>1081</v>
      </c>
      <c r="H144">
        <v>2</v>
      </c>
      <c r="I144" t="s">
        <v>452</v>
      </c>
      <c r="J144" t="s">
        <v>453</v>
      </c>
      <c r="K144" t="s">
        <v>454</v>
      </c>
      <c r="L144">
        <v>1368</v>
      </c>
      <c r="N144">
        <v>1011</v>
      </c>
      <c r="O144" t="s">
        <v>455</v>
      </c>
      <c r="P144" t="s">
        <v>455</v>
      </c>
      <c r="Q144">
        <v>1</v>
      </c>
      <c r="W144">
        <v>0</v>
      </c>
      <c r="X144">
        <v>-2083101341</v>
      </c>
      <c r="Y144">
        <f>(AT144*1.2)</f>
        <v>2.0400000000000001E-2</v>
      </c>
      <c r="AA144">
        <v>0</v>
      </c>
      <c r="AB144">
        <v>0.84</v>
      </c>
      <c r="AC144">
        <v>0</v>
      </c>
      <c r="AD144">
        <v>0</v>
      </c>
      <c r="AE144">
        <v>0</v>
      </c>
      <c r="AF144">
        <v>0.8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-2</v>
      </c>
      <c r="AN144">
        <v>0</v>
      </c>
      <c r="AO144">
        <v>1</v>
      </c>
      <c r="AP144">
        <v>1</v>
      </c>
      <c r="AQ144">
        <v>0</v>
      </c>
      <c r="AR144">
        <v>0</v>
      </c>
      <c r="AS144" t="s">
        <v>3</v>
      </c>
      <c r="AT144">
        <v>1.7000000000000001E-2</v>
      </c>
      <c r="AU144" t="s">
        <v>114</v>
      </c>
      <c r="AV144">
        <v>0</v>
      </c>
      <c r="AW144">
        <v>2</v>
      </c>
      <c r="AX144">
        <v>55937524</v>
      </c>
      <c r="AY144">
        <v>1</v>
      </c>
      <c r="AZ144">
        <v>0</v>
      </c>
      <c r="BA144">
        <v>188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f>ROUND(Y144*Source!I109*DO144,9)</f>
        <v>0</v>
      </c>
      <c r="CX144">
        <f>ROUND(Y144*Source!I109,9)</f>
        <v>0.32640000000000002</v>
      </c>
      <c r="CY144">
        <f>AB144</f>
        <v>0.84</v>
      </c>
      <c r="CZ144">
        <f>AF144</f>
        <v>0.8</v>
      </c>
      <c r="DA144">
        <f>AJ144</f>
        <v>1</v>
      </c>
      <c r="DB144">
        <f>ROUND((ROUND(AT144*CZ144,2)*1.2),6)</f>
        <v>1.2E-2</v>
      </c>
      <c r="DC144">
        <f>ROUND((ROUND(AT144*AG144,2)*1.2),6)</f>
        <v>0</v>
      </c>
      <c r="DD144" t="s">
        <v>3</v>
      </c>
      <c r="DE144" t="s">
        <v>3</v>
      </c>
      <c r="DF144">
        <f t="shared" si="67"/>
        <v>0</v>
      </c>
      <c r="DG144">
        <f t="shared" si="64"/>
        <v>0.26</v>
      </c>
      <c r="DH144">
        <f t="shared" si="66"/>
        <v>0</v>
      </c>
      <c r="DI144">
        <f t="shared" si="56"/>
        <v>0</v>
      </c>
      <c r="DJ144">
        <f>DG144</f>
        <v>0.26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ROW(Source!A109)</f>
        <v>109</v>
      </c>
      <c r="B145">
        <v>55937296</v>
      </c>
      <c r="C145">
        <v>55937522</v>
      </c>
      <c r="D145">
        <v>55490296</v>
      </c>
      <c r="E145">
        <v>1</v>
      </c>
      <c r="F145">
        <v>1</v>
      </c>
      <c r="G145">
        <v>1081</v>
      </c>
      <c r="H145">
        <v>2</v>
      </c>
      <c r="I145" t="s">
        <v>477</v>
      </c>
      <c r="J145" t="s">
        <v>478</v>
      </c>
      <c r="K145" t="s">
        <v>479</v>
      </c>
      <c r="L145">
        <v>1368</v>
      </c>
      <c r="N145">
        <v>1011</v>
      </c>
      <c r="O145" t="s">
        <v>455</v>
      </c>
      <c r="P145" t="s">
        <v>455</v>
      </c>
      <c r="Q145">
        <v>1</v>
      </c>
      <c r="W145">
        <v>0</v>
      </c>
      <c r="X145">
        <v>-643591644</v>
      </c>
      <c r="Y145">
        <f>(AT145*1.2)</f>
        <v>2.4E-2</v>
      </c>
      <c r="AA145">
        <v>0</v>
      </c>
      <c r="AB145">
        <v>0.49</v>
      </c>
      <c r="AC145">
        <v>0</v>
      </c>
      <c r="AD145">
        <v>0</v>
      </c>
      <c r="AE145">
        <v>0</v>
      </c>
      <c r="AF145">
        <v>0.47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0.02</v>
      </c>
      <c r="AU145" t="s">
        <v>114</v>
      </c>
      <c r="AV145">
        <v>0</v>
      </c>
      <c r="AW145">
        <v>2</v>
      </c>
      <c r="AX145">
        <v>55937525</v>
      </c>
      <c r="AY145">
        <v>1</v>
      </c>
      <c r="AZ145">
        <v>0</v>
      </c>
      <c r="BA145">
        <v>189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V145">
        <v>0</v>
      </c>
      <c r="CW145">
        <f>ROUND(Y145*Source!I109*DO145,9)</f>
        <v>0</v>
      </c>
      <c r="CX145">
        <f>ROUND(Y145*Source!I109,9)</f>
        <v>0.38400000000000001</v>
      </c>
      <c r="CY145">
        <f>AB145</f>
        <v>0.49</v>
      </c>
      <c r="CZ145">
        <f>AF145</f>
        <v>0.47</v>
      </c>
      <c r="DA145">
        <f>AJ145</f>
        <v>1</v>
      </c>
      <c r="DB145">
        <f>ROUND((ROUND(AT145*CZ145,2)*1.2),6)</f>
        <v>1.2E-2</v>
      </c>
      <c r="DC145">
        <f>ROUND((ROUND(AT145*AG145,2)*1.2),6)</f>
        <v>0</v>
      </c>
      <c r="DD145" t="s">
        <v>3</v>
      </c>
      <c r="DE145" t="s">
        <v>3</v>
      </c>
      <c r="DF145">
        <f t="shared" si="67"/>
        <v>0</v>
      </c>
      <c r="DG145">
        <f t="shared" si="64"/>
        <v>0.18</v>
      </c>
      <c r="DH145">
        <f t="shared" si="66"/>
        <v>0</v>
      </c>
      <c r="DI145">
        <f t="shared" si="56"/>
        <v>0</v>
      </c>
      <c r="DJ145">
        <f>DG145</f>
        <v>0.18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ROW(Source!A109)</f>
        <v>109</v>
      </c>
      <c r="B146">
        <v>55937296</v>
      </c>
      <c r="C146">
        <v>55937522</v>
      </c>
      <c r="D146">
        <v>55461074</v>
      </c>
      <c r="E146">
        <v>1</v>
      </c>
      <c r="F146">
        <v>1</v>
      </c>
      <c r="G146">
        <v>1081</v>
      </c>
      <c r="H146">
        <v>3</v>
      </c>
      <c r="I146" t="s">
        <v>480</v>
      </c>
      <c r="J146" t="s">
        <v>481</v>
      </c>
      <c r="K146" t="s">
        <v>482</v>
      </c>
      <c r="L146">
        <v>1346</v>
      </c>
      <c r="N146">
        <v>1009</v>
      </c>
      <c r="O146" t="s">
        <v>311</v>
      </c>
      <c r="P146" t="s">
        <v>311</v>
      </c>
      <c r="Q146">
        <v>1</v>
      </c>
      <c r="W146">
        <v>0</v>
      </c>
      <c r="X146">
        <v>-861631226</v>
      </c>
      <c r="Y146">
        <f>(AT146*1)</f>
        <v>6.2700000000000004E-3</v>
      </c>
      <c r="AA146">
        <v>27.62</v>
      </c>
      <c r="AB146">
        <v>0</v>
      </c>
      <c r="AC146">
        <v>0</v>
      </c>
      <c r="AD146">
        <v>0</v>
      </c>
      <c r="AE146">
        <v>27.62</v>
      </c>
      <c r="AF146">
        <v>0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6.2700000000000004E-3</v>
      </c>
      <c r="AU146" t="s">
        <v>113</v>
      </c>
      <c r="AV146">
        <v>0</v>
      </c>
      <c r="AW146">
        <v>2</v>
      </c>
      <c r="AX146">
        <v>55937526</v>
      </c>
      <c r="AY146">
        <v>1</v>
      </c>
      <c r="AZ146">
        <v>0</v>
      </c>
      <c r="BA146">
        <v>190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v>0</v>
      </c>
      <c r="CX146">
        <f>ROUND(Y146*Source!I109,9)</f>
        <v>0.10032000000000001</v>
      </c>
      <c r="CY146">
        <f>AA146</f>
        <v>27.62</v>
      </c>
      <c r="CZ146">
        <f>AE146</f>
        <v>27.62</v>
      </c>
      <c r="DA146">
        <f>AI146</f>
        <v>1</v>
      </c>
      <c r="DB146">
        <f>ROUND((ROUND(AT146*CZ146,2)*1),6)</f>
        <v>0.17</v>
      </c>
      <c r="DC146">
        <f>ROUND((ROUND(AT146*AG146,2)*1),6)</f>
        <v>0</v>
      </c>
      <c r="DD146" t="s">
        <v>3</v>
      </c>
      <c r="DE146" t="s">
        <v>3</v>
      </c>
      <c r="DF146">
        <f t="shared" si="67"/>
        <v>2.77</v>
      </c>
      <c r="DG146">
        <f t="shared" si="64"/>
        <v>0</v>
      </c>
      <c r="DH146">
        <f t="shared" si="66"/>
        <v>0</v>
      </c>
      <c r="DI146">
        <f t="shared" si="56"/>
        <v>0</v>
      </c>
      <c r="DJ146">
        <f>DF146</f>
        <v>2.77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ROW(Source!A109)</f>
        <v>109</v>
      </c>
      <c r="B147">
        <v>55937296</v>
      </c>
      <c r="C147">
        <v>55937522</v>
      </c>
      <c r="D147">
        <v>55459793</v>
      </c>
      <c r="E147">
        <v>1</v>
      </c>
      <c r="F147">
        <v>1</v>
      </c>
      <c r="G147">
        <v>1081</v>
      </c>
      <c r="H147">
        <v>3</v>
      </c>
      <c r="I147" t="s">
        <v>471</v>
      </c>
      <c r="J147" t="s">
        <v>472</v>
      </c>
      <c r="K147" t="s">
        <v>473</v>
      </c>
      <c r="L147">
        <v>1348</v>
      </c>
      <c r="N147">
        <v>1009</v>
      </c>
      <c r="O147" t="s">
        <v>287</v>
      </c>
      <c r="P147" t="s">
        <v>287</v>
      </c>
      <c r="Q147">
        <v>1000</v>
      </c>
      <c r="W147">
        <v>0</v>
      </c>
      <c r="X147">
        <v>-761454284</v>
      </c>
      <c r="Y147">
        <f>(AT147*1)</f>
        <v>1.0000000000000001E-5</v>
      </c>
      <c r="AA147">
        <v>64123.05</v>
      </c>
      <c r="AB147">
        <v>0</v>
      </c>
      <c r="AC147">
        <v>0</v>
      </c>
      <c r="AD147">
        <v>0</v>
      </c>
      <c r="AE147">
        <v>64123.05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1.0000000000000001E-5</v>
      </c>
      <c r="AU147" t="s">
        <v>113</v>
      </c>
      <c r="AV147">
        <v>0</v>
      </c>
      <c r="AW147">
        <v>2</v>
      </c>
      <c r="AX147">
        <v>55937527</v>
      </c>
      <c r="AY147">
        <v>1</v>
      </c>
      <c r="AZ147">
        <v>0</v>
      </c>
      <c r="BA147">
        <v>191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v>0</v>
      </c>
      <c r="CX147">
        <f>ROUND(Y147*Source!I109,9)</f>
        <v>1.6000000000000001E-4</v>
      </c>
      <c r="CY147">
        <f>AA147</f>
        <v>64123.05</v>
      </c>
      <c r="CZ147">
        <f>AE147</f>
        <v>64123.05</v>
      </c>
      <c r="DA147">
        <f>AI147</f>
        <v>1</v>
      </c>
      <c r="DB147">
        <f>ROUND((ROUND(AT147*CZ147,2)*1),6)</f>
        <v>0.64</v>
      </c>
      <c r="DC147">
        <f>ROUND((ROUND(AT147*AG147,2)*1),6)</f>
        <v>0</v>
      </c>
      <c r="DD147" t="s">
        <v>3</v>
      </c>
      <c r="DE147" t="s">
        <v>3</v>
      </c>
      <c r="DF147">
        <f t="shared" si="67"/>
        <v>10.26</v>
      </c>
      <c r="DG147">
        <f t="shared" si="64"/>
        <v>0</v>
      </c>
      <c r="DH147">
        <f t="shared" si="66"/>
        <v>0</v>
      </c>
      <c r="DI147">
        <f t="shared" si="56"/>
        <v>0</v>
      </c>
      <c r="DJ147">
        <f>DF147</f>
        <v>10.26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ROW(Source!A109)</f>
        <v>109</v>
      </c>
      <c r="B148">
        <v>55937296</v>
      </c>
      <c r="C148">
        <v>55937522</v>
      </c>
      <c r="D148">
        <v>55469253</v>
      </c>
      <c r="E148">
        <v>1</v>
      </c>
      <c r="F148">
        <v>1</v>
      </c>
      <c r="G148">
        <v>1081</v>
      </c>
      <c r="H148">
        <v>3</v>
      </c>
      <c r="I148" t="s">
        <v>483</v>
      </c>
      <c r="J148" t="s">
        <v>484</v>
      </c>
      <c r="K148" t="s">
        <v>485</v>
      </c>
      <c r="L148">
        <v>1354</v>
      </c>
      <c r="N148">
        <v>1010</v>
      </c>
      <c r="O148" t="s">
        <v>217</v>
      </c>
      <c r="P148" t="s">
        <v>217</v>
      </c>
      <c r="Q148">
        <v>1</v>
      </c>
      <c r="W148">
        <v>0</v>
      </c>
      <c r="X148">
        <v>-32785108</v>
      </c>
      <c r="Y148">
        <f>(AT148*1)</f>
        <v>0.1</v>
      </c>
      <c r="AA148">
        <v>15.25</v>
      </c>
      <c r="AB148">
        <v>0</v>
      </c>
      <c r="AC148">
        <v>0</v>
      </c>
      <c r="AD148">
        <v>0</v>
      </c>
      <c r="AE148">
        <v>15.25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0.1</v>
      </c>
      <c r="AU148" t="s">
        <v>113</v>
      </c>
      <c r="AV148">
        <v>0</v>
      </c>
      <c r="AW148">
        <v>2</v>
      </c>
      <c r="AX148">
        <v>55937528</v>
      </c>
      <c r="AY148">
        <v>1</v>
      </c>
      <c r="AZ148">
        <v>0</v>
      </c>
      <c r="BA148">
        <v>192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ROUND(Y148*Source!I109,9)</f>
        <v>1.6</v>
      </c>
      <c r="CY148">
        <f>AA148</f>
        <v>15.25</v>
      </c>
      <c r="CZ148">
        <f>AE148</f>
        <v>15.25</v>
      </c>
      <c r="DA148">
        <f>AI148</f>
        <v>1</v>
      </c>
      <c r="DB148">
        <f>ROUND((ROUND(AT148*CZ148,2)*1),6)</f>
        <v>1.53</v>
      </c>
      <c r="DC148">
        <f>ROUND((ROUND(AT148*AG148,2)*1),6)</f>
        <v>0</v>
      </c>
      <c r="DD148" t="s">
        <v>3</v>
      </c>
      <c r="DE148" t="s">
        <v>3</v>
      </c>
      <c r="DF148">
        <f t="shared" si="67"/>
        <v>24.4</v>
      </c>
      <c r="DG148">
        <f t="shared" si="64"/>
        <v>0</v>
      </c>
      <c r="DH148">
        <f t="shared" si="66"/>
        <v>0</v>
      </c>
      <c r="DI148">
        <f t="shared" si="56"/>
        <v>0</v>
      </c>
      <c r="DJ148">
        <f>DF148</f>
        <v>24.4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ROW(Source!A110)</f>
        <v>110</v>
      </c>
      <c r="B149">
        <v>55937298</v>
      </c>
      <c r="C149">
        <v>55937522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449</v>
      </c>
      <c r="J149" t="s">
        <v>3</v>
      </c>
      <c r="K149" t="s">
        <v>450</v>
      </c>
      <c r="L149">
        <v>1191</v>
      </c>
      <c r="N149">
        <v>1013</v>
      </c>
      <c r="O149" t="s">
        <v>451</v>
      </c>
      <c r="P149" t="s">
        <v>451</v>
      </c>
      <c r="Q149">
        <v>1</v>
      </c>
      <c r="W149">
        <v>0</v>
      </c>
      <c r="X149">
        <v>476480486</v>
      </c>
      <c r="Y149">
        <f>(AT149*1.2)</f>
        <v>1.6320000000000001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5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1.36</v>
      </c>
      <c r="AU149" t="s">
        <v>114</v>
      </c>
      <c r="AV149">
        <v>1</v>
      </c>
      <c r="AW149">
        <v>2</v>
      </c>
      <c r="AX149">
        <v>55937523</v>
      </c>
      <c r="AY149">
        <v>1</v>
      </c>
      <c r="AZ149">
        <v>0</v>
      </c>
      <c r="BA149">
        <v>194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U149">
        <f>ROUND(AT149*Source!I110*AH149*AL149,2)</f>
        <v>0</v>
      </c>
      <c r="CV149">
        <f>ROUND(Y149*Source!I110,9)</f>
        <v>26.111999999999998</v>
      </c>
      <c r="CW149">
        <v>0</v>
      </c>
      <c r="CX149">
        <f>ROUND(Y149*Source!I110,9)</f>
        <v>26.111999999999998</v>
      </c>
      <c r="CY149">
        <f>AD149</f>
        <v>0</v>
      </c>
      <c r="CZ149">
        <f>AH149</f>
        <v>0</v>
      </c>
      <c r="DA149">
        <f>AL149</f>
        <v>1</v>
      </c>
      <c r="DB149">
        <f>ROUND((ROUND(AT149*CZ149,2)*1.2),6)</f>
        <v>0</v>
      </c>
      <c r="DC149">
        <f>ROUND((ROUND(AT149*AG149,2)*1.2),6)</f>
        <v>0</v>
      </c>
      <c r="DD149" t="s">
        <v>3</v>
      </c>
      <c r="DE149" t="s">
        <v>3</v>
      </c>
      <c r="DF149">
        <f t="shared" si="67"/>
        <v>0</v>
      </c>
      <c r="DG149">
        <f t="shared" si="64"/>
        <v>0</v>
      </c>
      <c r="DH149">
        <f t="shared" si="66"/>
        <v>0</v>
      </c>
      <c r="DI149">
        <f t="shared" si="56"/>
        <v>0</v>
      </c>
      <c r="DJ149">
        <f>DI149</f>
        <v>0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ROW(Source!A110)</f>
        <v>110</v>
      </c>
      <c r="B150">
        <v>55937298</v>
      </c>
      <c r="C150">
        <v>55937522</v>
      </c>
      <c r="D150">
        <v>55490330</v>
      </c>
      <c r="E150">
        <v>1</v>
      </c>
      <c r="F150">
        <v>1</v>
      </c>
      <c r="G150">
        <v>1081</v>
      </c>
      <c r="H150">
        <v>2</v>
      </c>
      <c r="I150" t="s">
        <v>452</v>
      </c>
      <c r="J150" t="s">
        <v>453</v>
      </c>
      <c r="K150" t="s">
        <v>454</v>
      </c>
      <c r="L150">
        <v>1368</v>
      </c>
      <c r="N150">
        <v>1011</v>
      </c>
      <c r="O150" t="s">
        <v>455</v>
      </c>
      <c r="P150" t="s">
        <v>455</v>
      </c>
      <c r="Q150">
        <v>1</v>
      </c>
      <c r="W150">
        <v>0</v>
      </c>
      <c r="X150">
        <v>-2083101341</v>
      </c>
      <c r="Y150">
        <f>(AT150*1.2)</f>
        <v>2.0400000000000001E-2</v>
      </c>
      <c r="AA150">
        <v>0</v>
      </c>
      <c r="AB150">
        <v>7.92</v>
      </c>
      <c r="AC150">
        <v>0</v>
      </c>
      <c r="AD150">
        <v>0</v>
      </c>
      <c r="AE150">
        <v>0</v>
      </c>
      <c r="AF150">
        <v>0.8</v>
      </c>
      <c r="AG150">
        <v>0</v>
      </c>
      <c r="AH150">
        <v>0</v>
      </c>
      <c r="AI150">
        <v>1</v>
      </c>
      <c r="AJ150">
        <v>9.4600000000000009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1.7000000000000001E-2</v>
      </c>
      <c r="AU150" t="s">
        <v>114</v>
      </c>
      <c r="AV150">
        <v>0</v>
      </c>
      <c r="AW150">
        <v>2</v>
      </c>
      <c r="AX150">
        <v>55937524</v>
      </c>
      <c r="AY150">
        <v>1</v>
      </c>
      <c r="AZ150">
        <v>0</v>
      </c>
      <c r="BA150">
        <v>195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f>ROUND(Y150*Source!I110*DO150,9)</f>
        <v>0</v>
      </c>
      <c r="CX150">
        <f>ROUND(Y150*Source!I110,9)</f>
        <v>0.32640000000000002</v>
      </c>
      <c r="CY150">
        <f>AB150</f>
        <v>7.92</v>
      </c>
      <c r="CZ150">
        <f>AF150</f>
        <v>0.8</v>
      </c>
      <c r="DA150">
        <f>AJ150</f>
        <v>9.4600000000000009</v>
      </c>
      <c r="DB150">
        <f>ROUND((ROUND(AT150*CZ150,2)*1.2),6)</f>
        <v>1.2E-2</v>
      </c>
      <c r="DC150">
        <f>ROUND((ROUND(AT150*AG150,2)*1.2),6)</f>
        <v>0</v>
      </c>
      <c r="DD150" t="s">
        <v>3</v>
      </c>
      <c r="DE150" t="s">
        <v>3</v>
      </c>
      <c r="DF150">
        <f t="shared" si="67"/>
        <v>0</v>
      </c>
      <c r="DG150">
        <f>ROUND(ROUND(AF150*AJ150,2)*CX150,2)</f>
        <v>2.4700000000000002</v>
      </c>
      <c r="DH150">
        <f t="shared" si="66"/>
        <v>0</v>
      </c>
      <c r="DI150">
        <f t="shared" si="56"/>
        <v>0</v>
      </c>
      <c r="DJ150">
        <f>DG150</f>
        <v>2.4700000000000002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ROW(Source!A110)</f>
        <v>110</v>
      </c>
      <c r="B151">
        <v>55937298</v>
      </c>
      <c r="C151">
        <v>55937522</v>
      </c>
      <c r="D151">
        <v>55490296</v>
      </c>
      <c r="E151">
        <v>1</v>
      </c>
      <c r="F151">
        <v>1</v>
      </c>
      <c r="G151">
        <v>1081</v>
      </c>
      <c r="H151">
        <v>2</v>
      </c>
      <c r="I151" t="s">
        <v>477</v>
      </c>
      <c r="J151" t="s">
        <v>478</v>
      </c>
      <c r="K151" t="s">
        <v>479</v>
      </c>
      <c r="L151">
        <v>1368</v>
      </c>
      <c r="N151">
        <v>1011</v>
      </c>
      <c r="O151" t="s">
        <v>455</v>
      </c>
      <c r="P151" t="s">
        <v>455</v>
      </c>
      <c r="Q151">
        <v>1</v>
      </c>
      <c r="W151">
        <v>0</v>
      </c>
      <c r="X151">
        <v>-643591644</v>
      </c>
      <c r="Y151">
        <f>(AT151*1.2)</f>
        <v>2.4E-2</v>
      </c>
      <c r="AA151">
        <v>0</v>
      </c>
      <c r="AB151">
        <v>4.75</v>
      </c>
      <c r="AC151">
        <v>0</v>
      </c>
      <c r="AD151">
        <v>0</v>
      </c>
      <c r="AE151">
        <v>0</v>
      </c>
      <c r="AF151">
        <v>0.47</v>
      </c>
      <c r="AG151">
        <v>0</v>
      </c>
      <c r="AH151">
        <v>0</v>
      </c>
      <c r="AI151">
        <v>1</v>
      </c>
      <c r="AJ151">
        <v>9.66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0.02</v>
      </c>
      <c r="AU151" t="s">
        <v>114</v>
      </c>
      <c r="AV151">
        <v>0</v>
      </c>
      <c r="AW151">
        <v>2</v>
      </c>
      <c r="AX151">
        <v>55937525</v>
      </c>
      <c r="AY151">
        <v>1</v>
      </c>
      <c r="AZ151">
        <v>0</v>
      </c>
      <c r="BA151">
        <v>196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f>ROUND(Y151*Source!I110*DO151,9)</f>
        <v>0</v>
      </c>
      <c r="CX151">
        <f>ROUND(Y151*Source!I110,9)</f>
        <v>0.38400000000000001</v>
      </c>
      <c r="CY151">
        <f>AB151</f>
        <v>4.75</v>
      </c>
      <c r="CZ151">
        <f>AF151</f>
        <v>0.47</v>
      </c>
      <c r="DA151">
        <f>AJ151</f>
        <v>9.66</v>
      </c>
      <c r="DB151">
        <f>ROUND((ROUND(AT151*CZ151,2)*1.2),6)</f>
        <v>1.2E-2</v>
      </c>
      <c r="DC151">
        <f>ROUND((ROUND(AT151*AG151,2)*1.2),6)</f>
        <v>0</v>
      </c>
      <c r="DD151" t="s">
        <v>3</v>
      </c>
      <c r="DE151" t="s">
        <v>3</v>
      </c>
      <c r="DF151">
        <f t="shared" si="67"/>
        <v>0</v>
      </c>
      <c r="DG151">
        <f>ROUND(ROUND(AF151*AJ151,2)*CX151,2)</f>
        <v>1.74</v>
      </c>
      <c r="DH151">
        <f t="shared" si="66"/>
        <v>0</v>
      </c>
      <c r="DI151">
        <f t="shared" si="56"/>
        <v>0</v>
      </c>
      <c r="DJ151">
        <f>DG151</f>
        <v>1.74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ROW(Source!A110)</f>
        <v>110</v>
      </c>
      <c r="B152">
        <v>55937298</v>
      </c>
      <c r="C152">
        <v>55937522</v>
      </c>
      <c r="D152">
        <v>55461074</v>
      </c>
      <c r="E152">
        <v>1</v>
      </c>
      <c r="F152">
        <v>1</v>
      </c>
      <c r="G152">
        <v>1081</v>
      </c>
      <c r="H152">
        <v>3</v>
      </c>
      <c r="I152" t="s">
        <v>480</v>
      </c>
      <c r="J152" t="s">
        <v>481</v>
      </c>
      <c r="K152" t="s">
        <v>482</v>
      </c>
      <c r="L152">
        <v>1346</v>
      </c>
      <c r="N152">
        <v>1009</v>
      </c>
      <c r="O152" t="s">
        <v>311</v>
      </c>
      <c r="P152" t="s">
        <v>311</v>
      </c>
      <c r="Q152">
        <v>1</v>
      </c>
      <c r="W152">
        <v>0</v>
      </c>
      <c r="X152">
        <v>-861631226</v>
      </c>
      <c r="Y152">
        <f>(AT152*1)</f>
        <v>6.2700000000000004E-3</v>
      </c>
      <c r="AA152">
        <v>163.51</v>
      </c>
      <c r="AB152">
        <v>0</v>
      </c>
      <c r="AC152">
        <v>0</v>
      </c>
      <c r="AD152">
        <v>0</v>
      </c>
      <c r="AE152">
        <v>27.62</v>
      </c>
      <c r="AF152">
        <v>0</v>
      </c>
      <c r="AG152">
        <v>0</v>
      </c>
      <c r="AH152">
        <v>0</v>
      </c>
      <c r="AI152">
        <v>5.92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6.2700000000000004E-3</v>
      </c>
      <c r="AU152" t="s">
        <v>113</v>
      </c>
      <c r="AV152">
        <v>0</v>
      </c>
      <c r="AW152">
        <v>2</v>
      </c>
      <c r="AX152">
        <v>55937526</v>
      </c>
      <c r="AY152">
        <v>1</v>
      </c>
      <c r="AZ152">
        <v>0</v>
      </c>
      <c r="BA152">
        <v>197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ROUND(Y152*Source!I110,9)</f>
        <v>0.10032000000000001</v>
      </c>
      <c r="CY152">
        <f>AA152</f>
        <v>163.51</v>
      </c>
      <c r="CZ152">
        <f>AE152</f>
        <v>27.62</v>
      </c>
      <c r="DA152">
        <f>AI152</f>
        <v>5.92</v>
      </c>
      <c r="DB152">
        <f>ROUND((ROUND(AT152*CZ152,2)*1),6)</f>
        <v>0.17</v>
      </c>
      <c r="DC152">
        <f>ROUND((ROUND(AT152*AG152,2)*1),6)</f>
        <v>0</v>
      </c>
      <c r="DD152" t="s">
        <v>3</v>
      </c>
      <c r="DE152" t="s">
        <v>3</v>
      </c>
      <c r="DF152">
        <f>ROUND(ROUND(AE152*AI152,2)*CX152,2)</f>
        <v>16.399999999999999</v>
      </c>
      <c r="DG152">
        <f t="shared" ref="DG152:DG171" si="68">ROUND(ROUND(AF152,2)*CX152,2)</f>
        <v>0</v>
      </c>
      <c r="DH152">
        <f t="shared" si="66"/>
        <v>0</v>
      </c>
      <c r="DI152">
        <f t="shared" si="56"/>
        <v>0</v>
      </c>
      <c r="DJ152">
        <f>DF152</f>
        <v>16.399999999999999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ROW(Source!A110)</f>
        <v>110</v>
      </c>
      <c r="B153">
        <v>55937298</v>
      </c>
      <c r="C153">
        <v>55937522</v>
      </c>
      <c r="D153">
        <v>55459793</v>
      </c>
      <c r="E153">
        <v>1</v>
      </c>
      <c r="F153">
        <v>1</v>
      </c>
      <c r="G153">
        <v>1081</v>
      </c>
      <c r="H153">
        <v>3</v>
      </c>
      <c r="I153" t="s">
        <v>471</v>
      </c>
      <c r="J153" t="s">
        <v>472</v>
      </c>
      <c r="K153" t="s">
        <v>473</v>
      </c>
      <c r="L153">
        <v>1348</v>
      </c>
      <c r="N153">
        <v>1009</v>
      </c>
      <c r="O153" t="s">
        <v>287</v>
      </c>
      <c r="P153" t="s">
        <v>287</v>
      </c>
      <c r="Q153">
        <v>1000</v>
      </c>
      <c r="W153">
        <v>0</v>
      </c>
      <c r="X153">
        <v>-761454284</v>
      </c>
      <c r="Y153">
        <f>(AT153*1)</f>
        <v>1.0000000000000001E-5</v>
      </c>
      <c r="AA153">
        <v>1930745.04</v>
      </c>
      <c r="AB153">
        <v>0</v>
      </c>
      <c r="AC153">
        <v>0</v>
      </c>
      <c r="AD153">
        <v>0</v>
      </c>
      <c r="AE153">
        <v>64123.05</v>
      </c>
      <c r="AF153">
        <v>0</v>
      </c>
      <c r="AG153">
        <v>0</v>
      </c>
      <c r="AH153">
        <v>0</v>
      </c>
      <c r="AI153">
        <v>30.11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1.0000000000000001E-5</v>
      </c>
      <c r="AU153" t="s">
        <v>113</v>
      </c>
      <c r="AV153">
        <v>0</v>
      </c>
      <c r="AW153">
        <v>2</v>
      </c>
      <c r="AX153">
        <v>55937527</v>
      </c>
      <c r="AY153">
        <v>1</v>
      </c>
      <c r="AZ153">
        <v>0</v>
      </c>
      <c r="BA153">
        <v>198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ROUND(Y153*Source!I110,9)</f>
        <v>1.6000000000000001E-4</v>
      </c>
      <c r="CY153">
        <f>AA153</f>
        <v>1930745.04</v>
      </c>
      <c r="CZ153">
        <f>AE153</f>
        <v>64123.05</v>
      </c>
      <c r="DA153">
        <f>AI153</f>
        <v>30.11</v>
      </c>
      <c r="DB153">
        <f>ROUND((ROUND(AT153*CZ153,2)*1),6)</f>
        <v>0.64</v>
      </c>
      <c r="DC153">
        <f>ROUND((ROUND(AT153*AG153,2)*1),6)</f>
        <v>0</v>
      </c>
      <c r="DD153" t="s">
        <v>3</v>
      </c>
      <c r="DE153" t="s">
        <v>3</v>
      </c>
      <c r="DF153">
        <f>ROUND(ROUND(AE153*AI153,2)*CX153,2)</f>
        <v>308.92</v>
      </c>
      <c r="DG153">
        <f t="shared" si="68"/>
        <v>0</v>
      </c>
      <c r="DH153">
        <f t="shared" si="66"/>
        <v>0</v>
      </c>
      <c r="DI153">
        <f t="shared" si="56"/>
        <v>0</v>
      </c>
      <c r="DJ153">
        <f>DF153</f>
        <v>308.92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ROW(Source!A110)</f>
        <v>110</v>
      </c>
      <c r="B154">
        <v>55937298</v>
      </c>
      <c r="C154">
        <v>55937522</v>
      </c>
      <c r="D154">
        <v>55469253</v>
      </c>
      <c r="E154">
        <v>1</v>
      </c>
      <c r="F154">
        <v>1</v>
      </c>
      <c r="G154">
        <v>1081</v>
      </c>
      <c r="H154">
        <v>3</v>
      </c>
      <c r="I154" t="s">
        <v>483</v>
      </c>
      <c r="J154" t="s">
        <v>484</v>
      </c>
      <c r="K154" t="s">
        <v>485</v>
      </c>
      <c r="L154">
        <v>1354</v>
      </c>
      <c r="N154">
        <v>1010</v>
      </c>
      <c r="O154" t="s">
        <v>217</v>
      </c>
      <c r="P154" t="s">
        <v>217</v>
      </c>
      <c r="Q154">
        <v>1</v>
      </c>
      <c r="W154">
        <v>0</v>
      </c>
      <c r="X154">
        <v>-32785108</v>
      </c>
      <c r="Y154">
        <f>(AT154*1)</f>
        <v>0.1</v>
      </c>
      <c r="AA154">
        <v>36.14</v>
      </c>
      <c r="AB154">
        <v>0</v>
      </c>
      <c r="AC154">
        <v>0</v>
      </c>
      <c r="AD154">
        <v>0</v>
      </c>
      <c r="AE154">
        <v>15.25</v>
      </c>
      <c r="AF154">
        <v>0</v>
      </c>
      <c r="AG154">
        <v>0</v>
      </c>
      <c r="AH154">
        <v>0</v>
      </c>
      <c r="AI154">
        <v>2.37</v>
      </c>
      <c r="AJ154">
        <v>1</v>
      </c>
      <c r="AK154">
        <v>1</v>
      </c>
      <c r="AL154">
        <v>1</v>
      </c>
      <c r="AM154">
        <v>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0.1</v>
      </c>
      <c r="AU154" t="s">
        <v>113</v>
      </c>
      <c r="AV154">
        <v>0</v>
      </c>
      <c r="AW154">
        <v>2</v>
      </c>
      <c r="AX154">
        <v>55937528</v>
      </c>
      <c r="AY154">
        <v>1</v>
      </c>
      <c r="AZ154">
        <v>0</v>
      </c>
      <c r="BA154">
        <v>199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ROUND(Y154*Source!I110,9)</f>
        <v>1.6</v>
      </c>
      <c r="CY154">
        <f>AA154</f>
        <v>36.14</v>
      </c>
      <c r="CZ154">
        <f>AE154</f>
        <v>15.25</v>
      </c>
      <c r="DA154">
        <f>AI154</f>
        <v>2.37</v>
      </c>
      <c r="DB154">
        <f>ROUND((ROUND(AT154*CZ154,2)*1),6)</f>
        <v>1.53</v>
      </c>
      <c r="DC154">
        <f>ROUND((ROUND(AT154*AG154,2)*1),6)</f>
        <v>0</v>
      </c>
      <c r="DD154" t="s">
        <v>3</v>
      </c>
      <c r="DE154" t="s">
        <v>3</v>
      </c>
      <c r="DF154">
        <f>ROUND(ROUND(AE154*AI154,2)*CX154,2)</f>
        <v>57.82</v>
      </c>
      <c r="DG154">
        <f t="shared" si="68"/>
        <v>0</v>
      </c>
      <c r="DH154">
        <f t="shared" si="66"/>
        <v>0</v>
      </c>
      <c r="DI154">
        <f t="shared" si="56"/>
        <v>0</v>
      </c>
      <c r="DJ154">
        <f>DF154</f>
        <v>57.82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ROW(Source!A121)</f>
        <v>121</v>
      </c>
      <c r="B155">
        <v>55937296</v>
      </c>
      <c r="C155">
        <v>55937552</v>
      </c>
      <c r="D155">
        <v>55424304</v>
      </c>
      <c r="E155">
        <v>1081</v>
      </c>
      <c r="F155">
        <v>1</v>
      </c>
      <c r="G155">
        <v>1081</v>
      </c>
      <c r="H155">
        <v>1</v>
      </c>
      <c r="I155" t="s">
        <v>449</v>
      </c>
      <c r="J155" t="s">
        <v>3</v>
      </c>
      <c r="K155" t="s">
        <v>450</v>
      </c>
      <c r="L155">
        <v>1191</v>
      </c>
      <c r="N155">
        <v>1013</v>
      </c>
      <c r="O155" t="s">
        <v>451</v>
      </c>
      <c r="P155" t="s">
        <v>451</v>
      </c>
      <c r="Q155">
        <v>1</v>
      </c>
      <c r="W155">
        <v>0</v>
      </c>
      <c r="X155">
        <v>476480486</v>
      </c>
      <c r="Y155">
        <f>(AT155*1.2)</f>
        <v>2.016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1.68</v>
      </c>
      <c r="AU155" t="s">
        <v>114</v>
      </c>
      <c r="AV155">
        <v>1</v>
      </c>
      <c r="AW155">
        <v>2</v>
      </c>
      <c r="AX155">
        <v>55937553</v>
      </c>
      <c r="AY155">
        <v>1</v>
      </c>
      <c r="AZ155">
        <v>0</v>
      </c>
      <c r="BA155">
        <v>201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U155">
        <f>ROUND(AT155*Source!I121*AH155*AL155,2)</f>
        <v>0</v>
      </c>
      <c r="CV155">
        <f>ROUND(Y155*Source!I121,9)</f>
        <v>16.128</v>
      </c>
      <c r="CW155">
        <v>0</v>
      </c>
      <c r="CX155">
        <f>ROUND(Y155*Source!I121,9)</f>
        <v>16.128</v>
      </c>
      <c r="CY155">
        <f>AD155</f>
        <v>0</v>
      </c>
      <c r="CZ155">
        <f>AH155</f>
        <v>0</v>
      </c>
      <c r="DA155">
        <f>AL155</f>
        <v>1</v>
      </c>
      <c r="DB155">
        <f>ROUND((ROUND(AT155*CZ155,2)*1.2),6)</f>
        <v>0</v>
      </c>
      <c r="DC155">
        <f>ROUND((ROUND(AT155*AG155,2)*1.2),6)</f>
        <v>0</v>
      </c>
      <c r="DD155" t="s">
        <v>3</v>
      </c>
      <c r="DE155" t="s">
        <v>3</v>
      </c>
      <c r="DF155">
        <f t="shared" ref="DF155:DF160" si="69">ROUND(ROUND(AE155,2)*CX155,2)</f>
        <v>0</v>
      </c>
      <c r="DG155">
        <f t="shared" si="68"/>
        <v>0</v>
      </c>
      <c r="DH155">
        <f t="shared" si="66"/>
        <v>0</v>
      </c>
      <c r="DI155">
        <f t="shared" si="56"/>
        <v>0</v>
      </c>
      <c r="DJ155">
        <f>DI155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ROW(Source!A122)</f>
        <v>122</v>
      </c>
      <c r="B156">
        <v>55937298</v>
      </c>
      <c r="C156">
        <v>55937552</v>
      </c>
      <c r="D156">
        <v>55424304</v>
      </c>
      <c r="E156">
        <v>1081</v>
      </c>
      <c r="F156">
        <v>1</v>
      </c>
      <c r="G156">
        <v>1081</v>
      </c>
      <c r="H156">
        <v>1</v>
      </c>
      <c r="I156" t="s">
        <v>449</v>
      </c>
      <c r="J156" t="s">
        <v>3</v>
      </c>
      <c r="K156" t="s">
        <v>450</v>
      </c>
      <c r="L156">
        <v>1191</v>
      </c>
      <c r="N156">
        <v>1013</v>
      </c>
      <c r="O156" t="s">
        <v>451</v>
      </c>
      <c r="P156" t="s">
        <v>451</v>
      </c>
      <c r="Q156">
        <v>1</v>
      </c>
      <c r="W156">
        <v>0</v>
      </c>
      <c r="X156">
        <v>476480486</v>
      </c>
      <c r="Y156">
        <f>(AT156*1.2)</f>
        <v>2.016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5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1.68</v>
      </c>
      <c r="AU156" t="s">
        <v>114</v>
      </c>
      <c r="AV156">
        <v>1</v>
      </c>
      <c r="AW156">
        <v>2</v>
      </c>
      <c r="AX156">
        <v>55937553</v>
      </c>
      <c r="AY156">
        <v>1</v>
      </c>
      <c r="AZ156">
        <v>0</v>
      </c>
      <c r="BA156">
        <v>202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U156">
        <f>ROUND(AT156*Source!I122*AH156*AL156,2)</f>
        <v>0</v>
      </c>
      <c r="CV156">
        <f>ROUND(Y156*Source!I122,9)</f>
        <v>16.128</v>
      </c>
      <c r="CW156">
        <v>0</v>
      </c>
      <c r="CX156">
        <f>ROUND(Y156*Source!I122,9)</f>
        <v>16.128</v>
      </c>
      <c r="CY156">
        <f>AD156</f>
        <v>0</v>
      </c>
      <c r="CZ156">
        <f>AH156</f>
        <v>0</v>
      </c>
      <c r="DA156">
        <f>AL156</f>
        <v>1</v>
      </c>
      <c r="DB156">
        <f>ROUND((ROUND(AT156*CZ156,2)*1.2),6)</f>
        <v>0</v>
      </c>
      <c r="DC156">
        <f>ROUND((ROUND(AT156*AG156,2)*1.2),6)</f>
        <v>0</v>
      </c>
      <c r="DD156" t="s">
        <v>3</v>
      </c>
      <c r="DE156" t="s">
        <v>3</v>
      </c>
      <c r="DF156">
        <f t="shared" si="69"/>
        <v>0</v>
      </c>
      <c r="DG156">
        <f t="shared" si="68"/>
        <v>0</v>
      </c>
      <c r="DH156">
        <f t="shared" si="66"/>
        <v>0</v>
      </c>
      <c r="DI156">
        <f t="shared" si="56"/>
        <v>0</v>
      </c>
      <c r="DJ156">
        <f>DI156</f>
        <v>0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ROW(Source!A125)</f>
        <v>125</v>
      </c>
      <c r="B157">
        <v>55937296</v>
      </c>
      <c r="C157">
        <v>55937560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449</v>
      </c>
      <c r="J157" t="s">
        <v>3</v>
      </c>
      <c r="K157" t="s">
        <v>450</v>
      </c>
      <c r="L157">
        <v>1191</v>
      </c>
      <c r="N157">
        <v>1013</v>
      </c>
      <c r="O157" t="s">
        <v>451</v>
      </c>
      <c r="P157" t="s">
        <v>451</v>
      </c>
      <c r="Q157">
        <v>1</v>
      </c>
      <c r="W157">
        <v>0</v>
      </c>
      <c r="X157">
        <v>476480486</v>
      </c>
      <c r="Y157">
        <f>(AT157*1.2)</f>
        <v>1.2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1</v>
      </c>
      <c r="AU157" t="s">
        <v>114</v>
      </c>
      <c r="AV157">
        <v>1</v>
      </c>
      <c r="AW157">
        <v>2</v>
      </c>
      <c r="AX157">
        <v>55937561</v>
      </c>
      <c r="AY157">
        <v>1</v>
      </c>
      <c r="AZ157">
        <v>0</v>
      </c>
      <c r="BA157">
        <v>203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U157">
        <f>ROUND(AT157*Source!I125*AH157*AL157,2)</f>
        <v>0</v>
      </c>
      <c r="CV157">
        <f>ROUND(Y157*Source!I125,9)</f>
        <v>4.8</v>
      </c>
      <c r="CW157">
        <v>0</v>
      </c>
      <c r="CX157">
        <f>ROUND(Y157*Source!I125,9)</f>
        <v>4.8</v>
      </c>
      <c r="CY157">
        <f>AD157</f>
        <v>0</v>
      </c>
      <c r="CZ157">
        <f>AH157</f>
        <v>0</v>
      </c>
      <c r="DA157">
        <f>AL157</f>
        <v>1</v>
      </c>
      <c r="DB157">
        <f>ROUND((ROUND(AT157*CZ157,2)*1.2),6)</f>
        <v>0</v>
      </c>
      <c r="DC157">
        <f>ROUND((ROUND(AT157*AG157,2)*1.2),6)</f>
        <v>0</v>
      </c>
      <c r="DD157" t="s">
        <v>3</v>
      </c>
      <c r="DE157" t="s">
        <v>3</v>
      </c>
      <c r="DF157">
        <f t="shared" si="69"/>
        <v>0</v>
      </c>
      <c r="DG157">
        <f t="shared" si="68"/>
        <v>0</v>
      </c>
      <c r="DH157">
        <f t="shared" si="66"/>
        <v>0</v>
      </c>
      <c r="DI157">
        <f t="shared" si="56"/>
        <v>0</v>
      </c>
      <c r="DJ157">
        <f>DI157</f>
        <v>0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ROW(Source!A125)</f>
        <v>125</v>
      </c>
      <c r="B158">
        <v>55937296</v>
      </c>
      <c r="C158">
        <v>55937560</v>
      </c>
      <c r="D158">
        <v>55459793</v>
      </c>
      <c r="E158">
        <v>1</v>
      </c>
      <c r="F158">
        <v>1</v>
      </c>
      <c r="G158">
        <v>1081</v>
      </c>
      <c r="H158">
        <v>3</v>
      </c>
      <c r="I158" t="s">
        <v>471</v>
      </c>
      <c r="J158" t="s">
        <v>472</v>
      </c>
      <c r="K158" t="s">
        <v>473</v>
      </c>
      <c r="L158">
        <v>1348</v>
      </c>
      <c r="N158">
        <v>1009</v>
      </c>
      <c r="O158" t="s">
        <v>287</v>
      </c>
      <c r="P158" t="s">
        <v>287</v>
      </c>
      <c r="Q158">
        <v>1000</v>
      </c>
      <c r="W158">
        <v>0</v>
      </c>
      <c r="X158">
        <v>-761454284</v>
      </c>
      <c r="Y158">
        <f>(AT158*1)</f>
        <v>1.0000000000000001E-5</v>
      </c>
      <c r="AA158">
        <v>64123.05</v>
      </c>
      <c r="AB158">
        <v>0</v>
      </c>
      <c r="AC158">
        <v>0</v>
      </c>
      <c r="AD158">
        <v>0</v>
      </c>
      <c r="AE158">
        <v>64123.05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1.0000000000000001E-5</v>
      </c>
      <c r="AU158" t="s">
        <v>113</v>
      </c>
      <c r="AV158">
        <v>0</v>
      </c>
      <c r="AW158">
        <v>2</v>
      </c>
      <c r="AX158">
        <v>55937562</v>
      </c>
      <c r="AY158">
        <v>1</v>
      </c>
      <c r="AZ158">
        <v>0</v>
      </c>
      <c r="BA158">
        <v>204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ROUND(Y158*Source!I125,9)</f>
        <v>4.0000000000000003E-5</v>
      </c>
      <c r="CY158">
        <f>AA158</f>
        <v>64123.05</v>
      </c>
      <c r="CZ158">
        <f>AE158</f>
        <v>64123.05</v>
      </c>
      <c r="DA158">
        <f>AI158</f>
        <v>1</v>
      </c>
      <c r="DB158">
        <f>ROUND((ROUND(AT158*CZ158,2)*1),6)</f>
        <v>0.64</v>
      </c>
      <c r="DC158">
        <f>ROUND((ROUND(AT158*AG158,2)*1),6)</f>
        <v>0</v>
      </c>
      <c r="DD158" t="s">
        <v>3</v>
      </c>
      <c r="DE158" t="s">
        <v>3</v>
      </c>
      <c r="DF158">
        <f t="shared" si="69"/>
        <v>2.56</v>
      </c>
      <c r="DG158">
        <f t="shared" si="68"/>
        <v>0</v>
      </c>
      <c r="DH158">
        <f t="shared" si="66"/>
        <v>0</v>
      </c>
      <c r="DI158">
        <f t="shared" si="56"/>
        <v>0</v>
      </c>
      <c r="DJ158">
        <f>DF158</f>
        <v>2.56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ROW(Source!A125)</f>
        <v>125</v>
      </c>
      <c r="B159">
        <v>55937296</v>
      </c>
      <c r="C159">
        <v>55937560</v>
      </c>
      <c r="D159">
        <v>55487942</v>
      </c>
      <c r="E159">
        <v>1</v>
      </c>
      <c r="F159">
        <v>1</v>
      </c>
      <c r="G159">
        <v>1081</v>
      </c>
      <c r="H159">
        <v>3</v>
      </c>
      <c r="I159" t="s">
        <v>486</v>
      </c>
      <c r="J159" t="s">
        <v>487</v>
      </c>
      <c r="K159" t="s">
        <v>488</v>
      </c>
      <c r="L159">
        <v>1303</v>
      </c>
      <c r="N159">
        <v>1003</v>
      </c>
      <c r="O159" t="s">
        <v>337</v>
      </c>
      <c r="P159" t="s">
        <v>337</v>
      </c>
      <c r="Q159">
        <v>1000</v>
      </c>
      <c r="W159">
        <v>0</v>
      </c>
      <c r="X159">
        <v>-1692873835</v>
      </c>
      <c r="Y159">
        <f>(AT159*1)</f>
        <v>2E-3</v>
      </c>
      <c r="AA159">
        <v>516.63</v>
      </c>
      <c r="AB159">
        <v>0</v>
      </c>
      <c r="AC159">
        <v>0</v>
      </c>
      <c r="AD159">
        <v>0</v>
      </c>
      <c r="AE159">
        <v>516.63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2E-3</v>
      </c>
      <c r="AU159" t="s">
        <v>113</v>
      </c>
      <c r="AV159">
        <v>0</v>
      </c>
      <c r="AW159">
        <v>2</v>
      </c>
      <c r="AX159">
        <v>55937563</v>
      </c>
      <c r="AY159">
        <v>1</v>
      </c>
      <c r="AZ159">
        <v>0</v>
      </c>
      <c r="BA159">
        <v>205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ROUND(Y159*Source!I125,9)</f>
        <v>8.0000000000000002E-3</v>
      </c>
      <c r="CY159">
        <f>AA159</f>
        <v>516.63</v>
      </c>
      <c r="CZ159">
        <f>AE159</f>
        <v>516.63</v>
      </c>
      <c r="DA159">
        <f>AI159</f>
        <v>1</v>
      </c>
      <c r="DB159">
        <f>ROUND((ROUND(AT159*CZ159,2)*1),6)</f>
        <v>1.03</v>
      </c>
      <c r="DC159">
        <f>ROUND((ROUND(AT159*AG159,2)*1),6)</f>
        <v>0</v>
      </c>
      <c r="DD159" t="s">
        <v>3</v>
      </c>
      <c r="DE159" t="s">
        <v>3</v>
      </c>
      <c r="DF159">
        <f t="shared" si="69"/>
        <v>4.13</v>
      </c>
      <c r="DG159">
        <f t="shared" si="68"/>
        <v>0</v>
      </c>
      <c r="DH159">
        <f t="shared" si="66"/>
        <v>0</v>
      </c>
      <c r="DI159">
        <f t="shared" si="56"/>
        <v>0</v>
      </c>
      <c r="DJ159">
        <f>DF159</f>
        <v>4.13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ROW(Source!A126)</f>
        <v>126</v>
      </c>
      <c r="B160">
        <v>55937298</v>
      </c>
      <c r="C160">
        <v>55937560</v>
      </c>
      <c r="D160">
        <v>55424304</v>
      </c>
      <c r="E160">
        <v>1081</v>
      </c>
      <c r="F160">
        <v>1</v>
      </c>
      <c r="G160">
        <v>1081</v>
      </c>
      <c r="H160">
        <v>1</v>
      </c>
      <c r="I160" t="s">
        <v>449</v>
      </c>
      <c r="J160" t="s">
        <v>3</v>
      </c>
      <c r="K160" t="s">
        <v>450</v>
      </c>
      <c r="L160">
        <v>1191</v>
      </c>
      <c r="N160">
        <v>1013</v>
      </c>
      <c r="O160" t="s">
        <v>451</v>
      </c>
      <c r="P160" t="s">
        <v>451</v>
      </c>
      <c r="Q160">
        <v>1</v>
      </c>
      <c r="W160">
        <v>0</v>
      </c>
      <c r="X160">
        <v>476480486</v>
      </c>
      <c r="Y160">
        <f>(AT160*1.2)</f>
        <v>1.2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5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114</v>
      </c>
      <c r="AV160">
        <v>1</v>
      </c>
      <c r="AW160">
        <v>2</v>
      </c>
      <c r="AX160">
        <v>55937561</v>
      </c>
      <c r="AY160">
        <v>1</v>
      </c>
      <c r="AZ160">
        <v>0</v>
      </c>
      <c r="BA160">
        <v>207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U160">
        <f>ROUND(AT160*Source!I126*AH160*AL160,2)</f>
        <v>0</v>
      </c>
      <c r="CV160">
        <f>ROUND(Y160*Source!I126,9)</f>
        <v>4.8</v>
      </c>
      <c r="CW160">
        <v>0</v>
      </c>
      <c r="CX160">
        <f>ROUND(Y160*Source!I126,9)</f>
        <v>4.8</v>
      </c>
      <c r="CY160">
        <f>AD160</f>
        <v>0</v>
      </c>
      <c r="CZ160">
        <f>AH160</f>
        <v>0</v>
      </c>
      <c r="DA160">
        <f>AL160</f>
        <v>1</v>
      </c>
      <c r="DB160">
        <f>ROUND((ROUND(AT160*CZ160,2)*1.2),6)</f>
        <v>0</v>
      </c>
      <c r="DC160">
        <f>ROUND((ROUND(AT160*AG160,2)*1.2),6)</f>
        <v>0</v>
      </c>
      <c r="DD160" t="s">
        <v>3</v>
      </c>
      <c r="DE160" t="s">
        <v>3</v>
      </c>
      <c r="DF160">
        <f t="shared" si="69"/>
        <v>0</v>
      </c>
      <c r="DG160">
        <f t="shared" si="68"/>
        <v>0</v>
      </c>
      <c r="DH160">
        <f t="shared" si="66"/>
        <v>0</v>
      </c>
      <c r="DI160">
        <f t="shared" si="56"/>
        <v>0</v>
      </c>
      <c r="DJ160">
        <f>DI160</f>
        <v>0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ROW(Source!A126)</f>
        <v>126</v>
      </c>
      <c r="B161">
        <v>55937298</v>
      </c>
      <c r="C161">
        <v>55937560</v>
      </c>
      <c r="D161">
        <v>55459793</v>
      </c>
      <c r="E161">
        <v>1</v>
      </c>
      <c r="F161">
        <v>1</v>
      </c>
      <c r="G161">
        <v>1081</v>
      </c>
      <c r="H161">
        <v>3</v>
      </c>
      <c r="I161" t="s">
        <v>471</v>
      </c>
      <c r="J161" t="s">
        <v>472</v>
      </c>
      <c r="K161" t="s">
        <v>473</v>
      </c>
      <c r="L161">
        <v>1348</v>
      </c>
      <c r="N161">
        <v>1009</v>
      </c>
      <c r="O161" t="s">
        <v>287</v>
      </c>
      <c r="P161" t="s">
        <v>287</v>
      </c>
      <c r="Q161">
        <v>1000</v>
      </c>
      <c r="W161">
        <v>0</v>
      </c>
      <c r="X161">
        <v>-761454284</v>
      </c>
      <c r="Y161">
        <f>(AT161*1)</f>
        <v>1.0000000000000001E-5</v>
      </c>
      <c r="AA161">
        <v>1930745.04</v>
      </c>
      <c r="AB161">
        <v>0</v>
      </c>
      <c r="AC161">
        <v>0</v>
      </c>
      <c r="AD161">
        <v>0</v>
      </c>
      <c r="AE161">
        <v>64123.05</v>
      </c>
      <c r="AF161">
        <v>0</v>
      </c>
      <c r="AG161">
        <v>0</v>
      </c>
      <c r="AH161">
        <v>0</v>
      </c>
      <c r="AI161">
        <v>30.11</v>
      </c>
      <c r="AJ161">
        <v>1</v>
      </c>
      <c r="AK161">
        <v>1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1.0000000000000001E-5</v>
      </c>
      <c r="AU161" t="s">
        <v>113</v>
      </c>
      <c r="AV161">
        <v>0</v>
      </c>
      <c r="AW161">
        <v>2</v>
      </c>
      <c r="AX161">
        <v>55937562</v>
      </c>
      <c r="AY161">
        <v>1</v>
      </c>
      <c r="AZ161">
        <v>0</v>
      </c>
      <c r="BA161">
        <v>208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v>0</v>
      </c>
      <c r="CX161">
        <f>ROUND(Y161*Source!I126,9)</f>
        <v>4.0000000000000003E-5</v>
      </c>
      <c r="CY161">
        <f>AA161</f>
        <v>1930745.04</v>
      </c>
      <c r="CZ161">
        <f>AE161</f>
        <v>64123.05</v>
      </c>
      <c r="DA161">
        <f>AI161</f>
        <v>30.11</v>
      </c>
      <c r="DB161">
        <f>ROUND((ROUND(AT161*CZ161,2)*1),6)</f>
        <v>0.64</v>
      </c>
      <c r="DC161">
        <f>ROUND((ROUND(AT161*AG161,2)*1),6)</f>
        <v>0</v>
      </c>
      <c r="DD161" t="s">
        <v>3</v>
      </c>
      <c r="DE161" t="s">
        <v>3</v>
      </c>
      <c r="DF161">
        <f>ROUND(ROUND(AE161*AI161,2)*CX161,2)</f>
        <v>77.23</v>
      </c>
      <c r="DG161">
        <f t="shared" si="68"/>
        <v>0</v>
      </c>
      <c r="DH161">
        <f t="shared" si="66"/>
        <v>0</v>
      </c>
      <c r="DI161">
        <f t="shared" si="56"/>
        <v>0</v>
      </c>
      <c r="DJ161">
        <f>DF161</f>
        <v>77.23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ROW(Source!A126)</f>
        <v>126</v>
      </c>
      <c r="B162">
        <v>55937298</v>
      </c>
      <c r="C162">
        <v>55937560</v>
      </c>
      <c r="D162">
        <v>55487942</v>
      </c>
      <c r="E162">
        <v>1</v>
      </c>
      <c r="F162">
        <v>1</v>
      </c>
      <c r="G162">
        <v>1081</v>
      </c>
      <c r="H162">
        <v>3</v>
      </c>
      <c r="I162" t="s">
        <v>486</v>
      </c>
      <c r="J162" t="s">
        <v>487</v>
      </c>
      <c r="K162" t="s">
        <v>488</v>
      </c>
      <c r="L162">
        <v>1303</v>
      </c>
      <c r="N162">
        <v>1003</v>
      </c>
      <c r="O162" t="s">
        <v>337</v>
      </c>
      <c r="P162" t="s">
        <v>337</v>
      </c>
      <c r="Q162">
        <v>1000</v>
      </c>
      <c r="W162">
        <v>0</v>
      </c>
      <c r="X162">
        <v>-1692873835</v>
      </c>
      <c r="Y162">
        <f>(AT162*1)</f>
        <v>2E-3</v>
      </c>
      <c r="AA162">
        <v>5269.63</v>
      </c>
      <c r="AB162">
        <v>0</v>
      </c>
      <c r="AC162">
        <v>0</v>
      </c>
      <c r="AD162">
        <v>0</v>
      </c>
      <c r="AE162">
        <v>516.63</v>
      </c>
      <c r="AF162">
        <v>0</v>
      </c>
      <c r="AG162">
        <v>0</v>
      </c>
      <c r="AH162">
        <v>0</v>
      </c>
      <c r="AI162">
        <v>10.199999999999999</v>
      </c>
      <c r="AJ162">
        <v>1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2E-3</v>
      </c>
      <c r="AU162" t="s">
        <v>113</v>
      </c>
      <c r="AV162">
        <v>0</v>
      </c>
      <c r="AW162">
        <v>2</v>
      </c>
      <c r="AX162">
        <v>55937563</v>
      </c>
      <c r="AY162">
        <v>1</v>
      </c>
      <c r="AZ162">
        <v>0</v>
      </c>
      <c r="BA162">
        <v>209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v>0</v>
      </c>
      <c r="CX162">
        <f>ROUND(Y162*Source!I126,9)</f>
        <v>8.0000000000000002E-3</v>
      </c>
      <c r="CY162">
        <f>AA162</f>
        <v>5269.63</v>
      </c>
      <c r="CZ162">
        <f>AE162</f>
        <v>516.63</v>
      </c>
      <c r="DA162">
        <f>AI162</f>
        <v>10.199999999999999</v>
      </c>
      <c r="DB162">
        <f>ROUND((ROUND(AT162*CZ162,2)*1),6)</f>
        <v>1.03</v>
      </c>
      <c r="DC162">
        <f>ROUND((ROUND(AT162*AG162,2)*1),6)</f>
        <v>0</v>
      </c>
      <c r="DD162" t="s">
        <v>3</v>
      </c>
      <c r="DE162" t="s">
        <v>3</v>
      </c>
      <c r="DF162">
        <f>ROUND(ROUND(AE162*AI162,2)*CX162,2)</f>
        <v>42.16</v>
      </c>
      <c r="DG162">
        <f t="shared" si="68"/>
        <v>0</v>
      </c>
      <c r="DH162">
        <f t="shared" si="66"/>
        <v>0</v>
      </c>
      <c r="DI162">
        <f t="shared" si="56"/>
        <v>0</v>
      </c>
      <c r="DJ162">
        <f>DF162</f>
        <v>42.16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ROW(Source!A129)</f>
        <v>129</v>
      </c>
      <c r="B163">
        <v>55937296</v>
      </c>
      <c r="C163">
        <v>55937578</v>
      </c>
      <c r="D163">
        <v>55424304</v>
      </c>
      <c r="E163">
        <v>1081</v>
      </c>
      <c r="F163">
        <v>1</v>
      </c>
      <c r="G163">
        <v>1081</v>
      </c>
      <c r="H163">
        <v>1</v>
      </c>
      <c r="I163" t="s">
        <v>449</v>
      </c>
      <c r="J163" t="s">
        <v>3</v>
      </c>
      <c r="K163" t="s">
        <v>450</v>
      </c>
      <c r="L163">
        <v>1191</v>
      </c>
      <c r="N163">
        <v>1013</v>
      </c>
      <c r="O163" t="s">
        <v>451</v>
      </c>
      <c r="P163" t="s">
        <v>451</v>
      </c>
      <c r="Q163">
        <v>1</v>
      </c>
      <c r="W163">
        <v>0</v>
      </c>
      <c r="X163">
        <v>476480486</v>
      </c>
      <c r="Y163">
        <f>(AT163*1.2)</f>
        <v>1.008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1</v>
      </c>
      <c r="AL163">
        <v>1</v>
      </c>
      <c r="AM163">
        <v>-2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0.84</v>
      </c>
      <c r="AU163" t="s">
        <v>114</v>
      </c>
      <c r="AV163">
        <v>1</v>
      </c>
      <c r="AW163">
        <v>2</v>
      </c>
      <c r="AX163">
        <v>55937579</v>
      </c>
      <c r="AY163">
        <v>1</v>
      </c>
      <c r="AZ163">
        <v>0</v>
      </c>
      <c r="BA163">
        <v>211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U163">
        <f>ROUND(AT163*Source!I129*AH163*AL163,2)</f>
        <v>0</v>
      </c>
      <c r="CV163">
        <f>ROUND(Y163*Source!I129,9)</f>
        <v>4.032</v>
      </c>
      <c r="CW163">
        <v>0</v>
      </c>
      <c r="CX163">
        <f>ROUND(Y163*Source!I129,9)</f>
        <v>4.032</v>
      </c>
      <c r="CY163">
        <f>AD163</f>
        <v>0</v>
      </c>
      <c r="CZ163">
        <f>AH163</f>
        <v>0</v>
      </c>
      <c r="DA163">
        <f>AL163</f>
        <v>1</v>
      </c>
      <c r="DB163">
        <f>ROUND((ROUND(AT163*CZ163,2)*1.2),6)</f>
        <v>0</v>
      </c>
      <c r="DC163">
        <f>ROUND((ROUND(AT163*AG163,2)*1.2),6)</f>
        <v>0</v>
      </c>
      <c r="DD163" t="s">
        <v>3</v>
      </c>
      <c r="DE163" t="s">
        <v>3</v>
      </c>
      <c r="DF163">
        <f t="shared" ref="DF163:DF173" si="70">ROUND(ROUND(AE163,2)*CX163,2)</f>
        <v>0</v>
      </c>
      <c r="DG163">
        <f t="shared" si="68"/>
        <v>0</v>
      </c>
      <c r="DH163">
        <f t="shared" si="66"/>
        <v>0</v>
      </c>
      <c r="DI163">
        <f t="shared" si="56"/>
        <v>0</v>
      </c>
      <c r="DJ163">
        <f>DI163</f>
        <v>0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ROW(Source!A130)</f>
        <v>130</v>
      </c>
      <c r="B164">
        <v>55937298</v>
      </c>
      <c r="C164">
        <v>55937578</v>
      </c>
      <c r="D164">
        <v>55424304</v>
      </c>
      <c r="E164">
        <v>1081</v>
      </c>
      <c r="F164">
        <v>1</v>
      </c>
      <c r="G164">
        <v>1081</v>
      </c>
      <c r="H164">
        <v>1</v>
      </c>
      <c r="I164" t="s">
        <v>449</v>
      </c>
      <c r="J164" t="s">
        <v>3</v>
      </c>
      <c r="K164" t="s">
        <v>450</v>
      </c>
      <c r="L164">
        <v>1191</v>
      </c>
      <c r="N164">
        <v>1013</v>
      </c>
      <c r="O164" t="s">
        <v>451</v>
      </c>
      <c r="P164" t="s">
        <v>451</v>
      </c>
      <c r="Q164">
        <v>1</v>
      </c>
      <c r="W164">
        <v>0</v>
      </c>
      <c r="X164">
        <v>476480486</v>
      </c>
      <c r="Y164">
        <f>(AT164*1.2)</f>
        <v>1.008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5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0.84</v>
      </c>
      <c r="AU164" t="s">
        <v>114</v>
      </c>
      <c r="AV164">
        <v>1</v>
      </c>
      <c r="AW164">
        <v>2</v>
      </c>
      <c r="AX164">
        <v>55937579</v>
      </c>
      <c r="AY164">
        <v>1</v>
      </c>
      <c r="AZ164">
        <v>0</v>
      </c>
      <c r="BA164">
        <v>212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U164">
        <f>ROUND(AT164*Source!I130*AH164*AL164,2)</f>
        <v>0</v>
      </c>
      <c r="CV164">
        <f>ROUND(Y164*Source!I130,9)</f>
        <v>4.032</v>
      </c>
      <c r="CW164">
        <v>0</v>
      </c>
      <c r="CX164">
        <f>ROUND(Y164*Source!I130,9)</f>
        <v>4.032</v>
      </c>
      <c r="CY164">
        <f>AD164</f>
        <v>0</v>
      </c>
      <c r="CZ164">
        <f>AH164</f>
        <v>0</v>
      </c>
      <c r="DA164">
        <f>AL164</f>
        <v>1</v>
      </c>
      <c r="DB164">
        <f>ROUND((ROUND(AT164*CZ164,2)*1.2),6)</f>
        <v>0</v>
      </c>
      <c r="DC164">
        <f>ROUND((ROUND(AT164*AG164,2)*1.2),6)</f>
        <v>0</v>
      </c>
      <c r="DD164" t="s">
        <v>3</v>
      </c>
      <c r="DE164" t="s">
        <v>3</v>
      </c>
      <c r="DF164">
        <f t="shared" si="70"/>
        <v>0</v>
      </c>
      <c r="DG164">
        <f t="shared" si="68"/>
        <v>0</v>
      </c>
      <c r="DH164">
        <f t="shared" si="66"/>
        <v>0</v>
      </c>
      <c r="DI164">
        <f t="shared" si="56"/>
        <v>0</v>
      </c>
      <c r="DJ164">
        <f>DI164</f>
        <v>0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ROW(Source!A133)</f>
        <v>133</v>
      </c>
      <c r="B165">
        <v>55937296</v>
      </c>
      <c r="C165">
        <v>55937580</v>
      </c>
      <c r="D165">
        <v>55424304</v>
      </c>
      <c r="E165">
        <v>1081</v>
      </c>
      <c r="F165">
        <v>1</v>
      </c>
      <c r="G165">
        <v>1081</v>
      </c>
      <c r="H165">
        <v>1</v>
      </c>
      <c r="I165" t="s">
        <v>449</v>
      </c>
      <c r="J165" t="s">
        <v>3</v>
      </c>
      <c r="K165" t="s">
        <v>450</v>
      </c>
      <c r="L165">
        <v>1191</v>
      </c>
      <c r="N165">
        <v>1013</v>
      </c>
      <c r="O165" t="s">
        <v>451</v>
      </c>
      <c r="P165" t="s">
        <v>451</v>
      </c>
      <c r="Q165">
        <v>1</v>
      </c>
      <c r="W165">
        <v>0</v>
      </c>
      <c r="X165">
        <v>476480486</v>
      </c>
      <c r="Y165">
        <f>(AT165*1.2)</f>
        <v>101.604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-2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84.67</v>
      </c>
      <c r="AU165" t="s">
        <v>114</v>
      </c>
      <c r="AV165">
        <v>1</v>
      </c>
      <c r="AW165">
        <v>2</v>
      </c>
      <c r="AX165">
        <v>55937581</v>
      </c>
      <c r="AY165">
        <v>1</v>
      </c>
      <c r="AZ165">
        <v>0</v>
      </c>
      <c r="BA165">
        <v>213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U165">
        <f>ROUND(AT165*Source!I133*AH165*AL165,2)</f>
        <v>0</v>
      </c>
      <c r="CV165">
        <f>ROUND(Y165*Source!I133,9)</f>
        <v>12.19248</v>
      </c>
      <c r="CW165">
        <v>0</v>
      </c>
      <c r="CX165">
        <f>ROUND(Y165*Source!I133,9)</f>
        <v>12.19248</v>
      </c>
      <c r="CY165">
        <f>AD165</f>
        <v>0</v>
      </c>
      <c r="CZ165">
        <f>AH165</f>
        <v>0</v>
      </c>
      <c r="DA165">
        <f>AL165</f>
        <v>1</v>
      </c>
      <c r="DB165">
        <f>ROUND((ROUND(AT165*CZ165,2)*1.2),6)</f>
        <v>0</v>
      </c>
      <c r="DC165">
        <f>ROUND((ROUND(AT165*AG165,2)*1.2),6)</f>
        <v>0</v>
      </c>
      <c r="DD165" t="s">
        <v>3</v>
      </c>
      <c r="DE165" t="s">
        <v>3</v>
      </c>
      <c r="DF165">
        <f t="shared" si="70"/>
        <v>0</v>
      </c>
      <c r="DG165">
        <f t="shared" si="68"/>
        <v>0</v>
      </c>
      <c r="DH165">
        <f t="shared" si="66"/>
        <v>0</v>
      </c>
      <c r="DI165">
        <f t="shared" si="56"/>
        <v>0</v>
      </c>
      <c r="DJ165">
        <f>DI165</f>
        <v>0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ROW(Source!A133)</f>
        <v>133</v>
      </c>
      <c r="B166">
        <v>55937296</v>
      </c>
      <c r="C166">
        <v>55937580</v>
      </c>
      <c r="D166">
        <v>55490209</v>
      </c>
      <c r="E166">
        <v>1</v>
      </c>
      <c r="F166">
        <v>1</v>
      </c>
      <c r="G166">
        <v>1081</v>
      </c>
      <c r="H166">
        <v>2</v>
      </c>
      <c r="I166" t="s">
        <v>489</v>
      </c>
      <c r="J166" t="s">
        <v>490</v>
      </c>
      <c r="K166" t="s">
        <v>491</v>
      </c>
      <c r="L166">
        <v>1368</v>
      </c>
      <c r="N166">
        <v>1011</v>
      </c>
      <c r="O166" t="s">
        <v>455</v>
      </c>
      <c r="P166" t="s">
        <v>455</v>
      </c>
      <c r="Q166">
        <v>1</v>
      </c>
      <c r="W166">
        <v>0</v>
      </c>
      <c r="X166">
        <v>874612079</v>
      </c>
      <c r="Y166">
        <f>(AT166*1.2)</f>
        <v>1.236</v>
      </c>
      <c r="AA166">
        <v>0</v>
      </c>
      <c r="AB166">
        <v>87.01</v>
      </c>
      <c r="AC166">
        <v>13.21</v>
      </c>
      <c r="AD166">
        <v>0</v>
      </c>
      <c r="AE166">
        <v>0</v>
      </c>
      <c r="AF166">
        <v>83.1</v>
      </c>
      <c r="AG166">
        <v>12.62</v>
      </c>
      <c r="AH166">
        <v>0</v>
      </c>
      <c r="AI166">
        <v>1</v>
      </c>
      <c r="AJ166">
        <v>1</v>
      </c>
      <c r="AK166">
        <v>1</v>
      </c>
      <c r="AL166">
        <v>1</v>
      </c>
      <c r="AM166">
        <v>-2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1.03</v>
      </c>
      <c r="AU166" t="s">
        <v>114</v>
      </c>
      <c r="AV166">
        <v>0</v>
      </c>
      <c r="AW166">
        <v>2</v>
      </c>
      <c r="AX166">
        <v>55937582</v>
      </c>
      <c r="AY166">
        <v>1</v>
      </c>
      <c r="AZ166">
        <v>0</v>
      </c>
      <c r="BA166">
        <v>214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f>ROUND(Y166*Source!I133*DO166,9)</f>
        <v>1.8717984000000001</v>
      </c>
      <c r="CX166">
        <f>ROUND(Y166*Source!I133,9)</f>
        <v>0.14832000000000001</v>
      </c>
      <c r="CY166">
        <f>AB166</f>
        <v>87.01</v>
      </c>
      <c r="CZ166">
        <f>AF166</f>
        <v>83.1</v>
      </c>
      <c r="DA166">
        <f>AJ166</f>
        <v>1</v>
      </c>
      <c r="DB166">
        <f>ROUND((ROUND(AT166*CZ166,2)*1.2),6)</f>
        <v>102.708</v>
      </c>
      <c r="DC166">
        <f>ROUND((ROUND(AT166*AG166,2)*1.2),6)</f>
        <v>15.6</v>
      </c>
      <c r="DD166" t="s">
        <v>3</v>
      </c>
      <c r="DE166" t="s">
        <v>3</v>
      </c>
      <c r="DF166">
        <f t="shared" si="70"/>
        <v>0</v>
      </c>
      <c r="DG166">
        <f t="shared" si="68"/>
        <v>12.33</v>
      </c>
      <c r="DH166">
        <f t="shared" si="66"/>
        <v>1.87</v>
      </c>
      <c r="DI166">
        <f t="shared" si="56"/>
        <v>0</v>
      </c>
      <c r="DJ166">
        <f>DG166</f>
        <v>12.33</v>
      </c>
      <c r="DK166">
        <v>0</v>
      </c>
      <c r="DL166" t="s">
        <v>492</v>
      </c>
      <c r="DM166">
        <v>0</v>
      </c>
      <c r="DN166" t="s">
        <v>451</v>
      </c>
      <c r="DO166">
        <v>12.62</v>
      </c>
    </row>
    <row r="167" spans="1:119" x14ac:dyDescent="0.2">
      <c r="A167">
        <f>ROW(Source!A133)</f>
        <v>133</v>
      </c>
      <c r="B167">
        <v>55937296</v>
      </c>
      <c r="C167">
        <v>55937580</v>
      </c>
      <c r="D167">
        <v>55490324</v>
      </c>
      <c r="E167">
        <v>1</v>
      </c>
      <c r="F167">
        <v>1</v>
      </c>
      <c r="G167">
        <v>1081</v>
      </c>
      <c r="H167">
        <v>2</v>
      </c>
      <c r="I167" t="s">
        <v>493</v>
      </c>
      <c r="J167" t="s">
        <v>494</v>
      </c>
      <c r="K167" t="s">
        <v>495</v>
      </c>
      <c r="L167">
        <v>1368</v>
      </c>
      <c r="N167">
        <v>1011</v>
      </c>
      <c r="O167" t="s">
        <v>455</v>
      </c>
      <c r="P167" t="s">
        <v>455</v>
      </c>
      <c r="Q167">
        <v>1</v>
      </c>
      <c r="W167">
        <v>0</v>
      </c>
      <c r="X167">
        <v>1906446486</v>
      </c>
      <c r="Y167">
        <f>(AT167*1.2)</f>
        <v>26.495999999999999</v>
      </c>
      <c r="AA167">
        <v>0</v>
      </c>
      <c r="AB167">
        <v>0.37</v>
      </c>
      <c r="AC167">
        <v>0</v>
      </c>
      <c r="AD167">
        <v>0</v>
      </c>
      <c r="AE167">
        <v>0</v>
      </c>
      <c r="AF167">
        <v>0.35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22.08</v>
      </c>
      <c r="AU167" t="s">
        <v>114</v>
      </c>
      <c r="AV167">
        <v>0</v>
      </c>
      <c r="AW167">
        <v>2</v>
      </c>
      <c r="AX167">
        <v>55937583</v>
      </c>
      <c r="AY167">
        <v>1</v>
      </c>
      <c r="AZ167">
        <v>0</v>
      </c>
      <c r="BA167">
        <v>215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f>ROUND(Y167*Source!I133*DO167,9)</f>
        <v>0</v>
      </c>
      <c r="CX167">
        <f>ROUND(Y167*Source!I133,9)</f>
        <v>3.1795200000000001</v>
      </c>
      <c r="CY167">
        <f>AB167</f>
        <v>0.37</v>
      </c>
      <c r="CZ167">
        <f>AF167</f>
        <v>0.35</v>
      </c>
      <c r="DA167">
        <f>AJ167</f>
        <v>1</v>
      </c>
      <c r="DB167">
        <f>ROUND((ROUND(AT167*CZ167,2)*1.2),6)</f>
        <v>9.2759999999999998</v>
      </c>
      <c r="DC167">
        <f>ROUND((ROUND(AT167*AG167,2)*1.2),6)</f>
        <v>0</v>
      </c>
      <c r="DD167" t="s">
        <v>3</v>
      </c>
      <c r="DE167" t="s">
        <v>3</v>
      </c>
      <c r="DF167">
        <f t="shared" si="70"/>
        <v>0</v>
      </c>
      <c r="DG167">
        <f t="shared" si="68"/>
        <v>1.1100000000000001</v>
      </c>
      <c r="DH167">
        <f t="shared" si="66"/>
        <v>0</v>
      </c>
      <c r="DI167">
        <f t="shared" si="56"/>
        <v>0</v>
      </c>
      <c r="DJ167">
        <f>DG167</f>
        <v>1.1100000000000001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ROW(Source!A133)</f>
        <v>133</v>
      </c>
      <c r="B168">
        <v>55937296</v>
      </c>
      <c r="C168">
        <v>55937580</v>
      </c>
      <c r="D168">
        <v>55460424</v>
      </c>
      <c r="E168">
        <v>1</v>
      </c>
      <c r="F168">
        <v>1</v>
      </c>
      <c r="G168">
        <v>1081</v>
      </c>
      <c r="H168">
        <v>3</v>
      </c>
      <c r="I168" t="s">
        <v>496</v>
      </c>
      <c r="J168" t="s">
        <v>497</v>
      </c>
      <c r="K168" t="s">
        <v>498</v>
      </c>
      <c r="L168">
        <v>1346</v>
      </c>
      <c r="N168">
        <v>1009</v>
      </c>
      <c r="O168" t="s">
        <v>311</v>
      </c>
      <c r="P168" t="s">
        <v>311</v>
      </c>
      <c r="Q168">
        <v>1</v>
      </c>
      <c r="W168">
        <v>0</v>
      </c>
      <c r="X168">
        <v>1309298634</v>
      </c>
      <c r="Y168">
        <f>(AT168*1)</f>
        <v>0.21</v>
      </c>
      <c r="AA168">
        <v>159.06</v>
      </c>
      <c r="AB168">
        <v>0</v>
      </c>
      <c r="AC168">
        <v>0</v>
      </c>
      <c r="AD168">
        <v>0</v>
      </c>
      <c r="AE168">
        <v>159.06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-2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0.21</v>
      </c>
      <c r="AU168" t="s">
        <v>113</v>
      </c>
      <c r="AV168">
        <v>0</v>
      </c>
      <c r="AW168">
        <v>2</v>
      </c>
      <c r="AX168">
        <v>55937584</v>
      </c>
      <c r="AY168">
        <v>1</v>
      </c>
      <c r="AZ168">
        <v>0</v>
      </c>
      <c r="BA168">
        <v>216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ROUND(Y168*Source!I133,9)</f>
        <v>2.52E-2</v>
      </c>
      <c r="CY168">
        <f>AA168</f>
        <v>159.06</v>
      </c>
      <c r="CZ168">
        <f>AE168</f>
        <v>159.06</v>
      </c>
      <c r="DA168">
        <f>AI168</f>
        <v>1</v>
      </c>
      <c r="DB168">
        <f>ROUND((ROUND(AT168*CZ168,2)*1),6)</f>
        <v>33.4</v>
      </c>
      <c r="DC168">
        <f>ROUND((ROUND(AT168*AG168,2)*1),6)</f>
        <v>0</v>
      </c>
      <c r="DD168" t="s">
        <v>3</v>
      </c>
      <c r="DE168" t="s">
        <v>3</v>
      </c>
      <c r="DF168">
        <f t="shared" si="70"/>
        <v>4.01</v>
      </c>
      <c r="DG168">
        <f t="shared" si="68"/>
        <v>0</v>
      </c>
      <c r="DH168">
        <f t="shared" si="66"/>
        <v>0</v>
      </c>
      <c r="DI168">
        <f t="shared" si="56"/>
        <v>0</v>
      </c>
      <c r="DJ168">
        <f>DF168</f>
        <v>4.01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ROW(Source!A133)</f>
        <v>133</v>
      </c>
      <c r="B169">
        <v>55937296</v>
      </c>
      <c r="C169">
        <v>55937580</v>
      </c>
      <c r="D169">
        <v>55459340</v>
      </c>
      <c r="E169">
        <v>1</v>
      </c>
      <c r="F169">
        <v>1</v>
      </c>
      <c r="G169">
        <v>1081</v>
      </c>
      <c r="H169">
        <v>3</v>
      </c>
      <c r="I169" t="s">
        <v>459</v>
      </c>
      <c r="J169" t="s">
        <v>460</v>
      </c>
      <c r="K169" t="s">
        <v>461</v>
      </c>
      <c r="L169">
        <v>1354</v>
      </c>
      <c r="N169">
        <v>1010</v>
      </c>
      <c r="O169" t="s">
        <v>217</v>
      </c>
      <c r="P169" t="s">
        <v>217</v>
      </c>
      <c r="Q169">
        <v>1</v>
      </c>
      <c r="W169">
        <v>0</v>
      </c>
      <c r="X169">
        <v>-1352077490</v>
      </c>
      <c r="Y169">
        <f>(AT169*1)</f>
        <v>4.08</v>
      </c>
      <c r="AA169">
        <v>0.89</v>
      </c>
      <c r="AB169">
        <v>0</v>
      </c>
      <c r="AC169">
        <v>0</v>
      </c>
      <c r="AD169">
        <v>0</v>
      </c>
      <c r="AE169">
        <v>0.89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4.08</v>
      </c>
      <c r="AU169" t="s">
        <v>113</v>
      </c>
      <c r="AV169">
        <v>0</v>
      </c>
      <c r="AW169">
        <v>2</v>
      </c>
      <c r="AX169">
        <v>55937585</v>
      </c>
      <c r="AY169">
        <v>1</v>
      </c>
      <c r="AZ169">
        <v>0</v>
      </c>
      <c r="BA169">
        <v>217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ROUND(Y169*Source!I133,9)</f>
        <v>0.48959999999999998</v>
      </c>
      <c r="CY169">
        <f>AA169</f>
        <v>0.89</v>
      </c>
      <c r="CZ169">
        <f>AE169</f>
        <v>0.89</v>
      </c>
      <c r="DA169">
        <f>AI169</f>
        <v>1</v>
      </c>
      <c r="DB169">
        <f>ROUND((ROUND(AT169*CZ169,2)*1),6)</f>
        <v>3.63</v>
      </c>
      <c r="DC169">
        <f>ROUND((ROUND(AT169*AG169,2)*1),6)</f>
        <v>0</v>
      </c>
      <c r="DD169" t="s">
        <v>3</v>
      </c>
      <c r="DE169" t="s">
        <v>3</v>
      </c>
      <c r="DF169">
        <f t="shared" si="70"/>
        <v>0.44</v>
      </c>
      <c r="DG169">
        <f t="shared" si="68"/>
        <v>0</v>
      </c>
      <c r="DH169">
        <f t="shared" si="66"/>
        <v>0</v>
      </c>
      <c r="DI169">
        <f t="shared" si="56"/>
        <v>0</v>
      </c>
      <c r="DJ169">
        <f>DF169</f>
        <v>0.44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ROW(Source!A133)</f>
        <v>133</v>
      </c>
      <c r="B170">
        <v>55937296</v>
      </c>
      <c r="C170">
        <v>55937580</v>
      </c>
      <c r="D170">
        <v>55487873</v>
      </c>
      <c r="E170">
        <v>1</v>
      </c>
      <c r="F170">
        <v>1</v>
      </c>
      <c r="G170">
        <v>1081</v>
      </c>
      <c r="H170">
        <v>3</v>
      </c>
      <c r="I170" t="s">
        <v>499</v>
      </c>
      <c r="J170" t="s">
        <v>500</v>
      </c>
      <c r="K170" t="s">
        <v>501</v>
      </c>
      <c r="L170">
        <v>1303</v>
      </c>
      <c r="N170">
        <v>1003</v>
      </c>
      <c r="O170" t="s">
        <v>337</v>
      </c>
      <c r="P170" t="s">
        <v>337</v>
      </c>
      <c r="Q170">
        <v>1000</v>
      </c>
      <c r="W170">
        <v>0</v>
      </c>
      <c r="X170">
        <v>1578855358</v>
      </c>
      <c r="Y170">
        <f>(AT170*1)</f>
        <v>1.5299999999999999E-2</v>
      </c>
      <c r="AA170">
        <v>2897.31</v>
      </c>
      <c r="AB170">
        <v>0</v>
      </c>
      <c r="AC170">
        <v>0</v>
      </c>
      <c r="AD170">
        <v>0</v>
      </c>
      <c r="AE170">
        <v>2897.31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1.5299999999999999E-2</v>
      </c>
      <c r="AU170" t="s">
        <v>113</v>
      </c>
      <c r="AV170">
        <v>0</v>
      </c>
      <c r="AW170">
        <v>2</v>
      </c>
      <c r="AX170">
        <v>55937586</v>
      </c>
      <c r="AY170">
        <v>1</v>
      </c>
      <c r="AZ170">
        <v>0</v>
      </c>
      <c r="BA170">
        <v>218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ROUND(Y170*Source!I133,9)</f>
        <v>1.836E-3</v>
      </c>
      <c r="CY170">
        <f>AA170</f>
        <v>2897.31</v>
      </c>
      <c r="CZ170">
        <f>AE170</f>
        <v>2897.31</v>
      </c>
      <c r="DA170">
        <f>AI170</f>
        <v>1</v>
      </c>
      <c r="DB170">
        <f>ROUND((ROUND(AT170*CZ170,2)*1),6)</f>
        <v>44.33</v>
      </c>
      <c r="DC170">
        <f>ROUND((ROUND(AT170*AG170,2)*1),6)</f>
        <v>0</v>
      </c>
      <c r="DD170" t="s">
        <v>3</v>
      </c>
      <c r="DE170" t="s">
        <v>3</v>
      </c>
      <c r="DF170">
        <f t="shared" si="70"/>
        <v>5.32</v>
      </c>
      <c r="DG170">
        <f t="shared" si="68"/>
        <v>0</v>
      </c>
      <c r="DH170">
        <f t="shared" si="66"/>
        <v>0</v>
      </c>
      <c r="DI170">
        <f t="shared" si="56"/>
        <v>0</v>
      </c>
      <c r="DJ170">
        <f>DF170</f>
        <v>5.32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ROW(Source!A134)</f>
        <v>134</v>
      </c>
      <c r="B171">
        <v>55937298</v>
      </c>
      <c r="C171">
        <v>55937580</v>
      </c>
      <c r="D171">
        <v>55424304</v>
      </c>
      <c r="E171">
        <v>1081</v>
      </c>
      <c r="F171">
        <v>1</v>
      </c>
      <c r="G171">
        <v>1081</v>
      </c>
      <c r="H171">
        <v>1</v>
      </c>
      <c r="I171" t="s">
        <v>449</v>
      </c>
      <c r="J171" t="s">
        <v>3</v>
      </c>
      <c r="K171" t="s">
        <v>450</v>
      </c>
      <c r="L171">
        <v>1191</v>
      </c>
      <c r="N171">
        <v>1013</v>
      </c>
      <c r="O171" t="s">
        <v>451</v>
      </c>
      <c r="P171" t="s">
        <v>451</v>
      </c>
      <c r="Q171">
        <v>1</v>
      </c>
      <c r="W171">
        <v>0</v>
      </c>
      <c r="X171">
        <v>476480486</v>
      </c>
      <c r="Y171">
        <f>(AT171*1.2)</f>
        <v>101.604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5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84.67</v>
      </c>
      <c r="AU171" t="s">
        <v>114</v>
      </c>
      <c r="AV171">
        <v>1</v>
      </c>
      <c r="AW171">
        <v>2</v>
      </c>
      <c r="AX171">
        <v>55937581</v>
      </c>
      <c r="AY171">
        <v>1</v>
      </c>
      <c r="AZ171">
        <v>0</v>
      </c>
      <c r="BA171">
        <v>221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U171">
        <f>ROUND(AT171*Source!I134*AH171*AL171,2)</f>
        <v>0</v>
      </c>
      <c r="CV171">
        <f>ROUND(Y171*Source!I134,9)</f>
        <v>12.19248</v>
      </c>
      <c r="CW171">
        <v>0</v>
      </c>
      <c r="CX171">
        <f>ROUND(Y171*Source!I134,9)</f>
        <v>12.19248</v>
      </c>
      <c r="CY171">
        <f>AD171</f>
        <v>0</v>
      </c>
      <c r="CZ171">
        <f>AH171</f>
        <v>0</v>
      </c>
      <c r="DA171">
        <f>AL171</f>
        <v>1</v>
      </c>
      <c r="DB171">
        <f>ROUND((ROUND(AT171*CZ171,2)*1.2),6)</f>
        <v>0</v>
      </c>
      <c r="DC171">
        <f>ROUND((ROUND(AT171*AG171,2)*1.2),6)</f>
        <v>0</v>
      </c>
      <c r="DD171" t="s">
        <v>3</v>
      </c>
      <c r="DE171" t="s">
        <v>3</v>
      </c>
      <c r="DF171">
        <f t="shared" si="70"/>
        <v>0</v>
      </c>
      <c r="DG171">
        <f t="shared" si="68"/>
        <v>0</v>
      </c>
      <c r="DH171">
        <f t="shared" si="66"/>
        <v>0</v>
      </c>
      <c r="DI171">
        <f t="shared" si="56"/>
        <v>0</v>
      </c>
      <c r="DJ171">
        <f>DI171</f>
        <v>0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ROW(Source!A134)</f>
        <v>134</v>
      </c>
      <c r="B172">
        <v>55937298</v>
      </c>
      <c r="C172">
        <v>55937580</v>
      </c>
      <c r="D172">
        <v>55490209</v>
      </c>
      <c r="E172">
        <v>1</v>
      </c>
      <c r="F172">
        <v>1</v>
      </c>
      <c r="G172">
        <v>1081</v>
      </c>
      <c r="H172">
        <v>2</v>
      </c>
      <c r="I172" t="s">
        <v>489</v>
      </c>
      <c r="J172" t="s">
        <v>490</v>
      </c>
      <c r="K172" t="s">
        <v>491</v>
      </c>
      <c r="L172">
        <v>1368</v>
      </c>
      <c r="N172">
        <v>1011</v>
      </c>
      <c r="O172" t="s">
        <v>455</v>
      </c>
      <c r="P172" t="s">
        <v>455</v>
      </c>
      <c r="Q172">
        <v>1</v>
      </c>
      <c r="W172">
        <v>0</v>
      </c>
      <c r="X172">
        <v>874612079</v>
      </c>
      <c r="Y172">
        <f>(AT172*1.2)</f>
        <v>1.236</v>
      </c>
      <c r="AA172">
        <v>0</v>
      </c>
      <c r="AB172">
        <v>1485.19</v>
      </c>
      <c r="AC172">
        <v>744.56</v>
      </c>
      <c r="AD172">
        <v>0</v>
      </c>
      <c r="AE172">
        <v>0</v>
      </c>
      <c r="AF172">
        <v>83.1</v>
      </c>
      <c r="AG172">
        <v>12.62</v>
      </c>
      <c r="AH172">
        <v>0</v>
      </c>
      <c r="AI172">
        <v>1</v>
      </c>
      <c r="AJ172">
        <v>17.07</v>
      </c>
      <c r="AK172">
        <v>56.35</v>
      </c>
      <c r="AL172">
        <v>1</v>
      </c>
      <c r="AM172">
        <v>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1.03</v>
      </c>
      <c r="AU172" t="s">
        <v>114</v>
      </c>
      <c r="AV172">
        <v>0</v>
      </c>
      <c r="AW172">
        <v>2</v>
      </c>
      <c r="AX172">
        <v>55937582</v>
      </c>
      <c r="AY172">
        <v>1</v>
      </c>
      <c r="AZ172">
        <v>0</v>
      </c>
      <c r="BA172">
        <v>222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f>ROUND(Y172*Source!I134*DO172,9)</f>
        <v>1.8717984000000001</v>
      </c>
      <c r="CX172">
        <f>ROUND(Y172*Source!I134,9)</f>
        <v>0.14832000000000001</v>
      </c>
      <c r="CY172">
        <f>AB172</f>
        <v>1485.19</v>
      </c>
      <c r="CZ172">
        <f>AF172</f>
        <v>83.1</v>
      </c>
      <c r="DA172">
        <f>AJ172</f>
        <v>17.07</v>
      </c>
      <c r="DB172">
        <f>ROUND((ROUND(AT172*CZ172,2)*1.2),6)</f>
        <v>102.708</v>
      </c>
      <c r="DC172">
        <f>ROUND((ROUND(AT172*AG172,2)*1.2),6)</f>
        <v>15.6</v>
      </c>
      <c r="DD172" t="s">
        <v>3</v>
      </c>
      <c r="DE172" t="s">
        <v>3</v>
      </c>
      <c r="DF172">
        <f t="shared" si="70"/>
        <v>0</v>
      </c>
      <c r="DG172">
        <f>ROUND(ROUND(AF172*AJ172,2)*CX172,2)</f>
        <v>210.39</v>
      </c>
      <c r="DH172">
        <f>ROUND(ROUND(AG172*AK172,2)*CX172,2)</f>
        <v>105.48</v>
      </c>
      <c r="DI172">
        <f t="shared" si="56"/>
        <v>0</v>
      </c>
      <c r="DJ172">
        <f>DG172</f>
        <v>210.39</v>
      </c>
      <c r="DK172">
        <v>0</v>
      </c>
      <c r="DL172" t="s">
        <v>492</v>
      </c>
      <c r="DM172">
        <v>0</v>
      </c>
      <c r="DN172" t="s">
        <v>451</v>
      </c>
      <c r="DO172">
        <v>12.62</v>
      </c>
    </row>
    <row r="173" spans="1:119" x14ac:dyDescent="0.2">
      <c r="A173">
        <f>ROW(Source!A134)</f>
        <v>134</v>
      </c>
      <c r="B173">
        <v>55937298</v>
      </c>
      <c r="C173">
        <v>55937580</v>
      </c>
      <c r="D173">
        <v>55490324</v>
      </c>
      <c r="E173">
        <v>1</v>
      </c>
      <c r="F173">
        <v>1</v>
      </c>
      <c r="G173">
        <v>1081</v>
      </c>
      <c r="H173">
        <v>2</v>
      </c>
      <c r="I173" t="s">
        <v>493</v>
      </c>
      <c r="J173" t="s">
        <v>494</v>
      </c>
      <c r="K173" t="s">
        <v>495</v>
      </c>
      <c r="L173">
        <v>1368</v>
      </c>
      <c r="N173">
        <v>1011</v>
      </c>
      <c r="O173" t="s">
        <v>455</v>
      </c>
      <c r="P173" t="s">
        <v>455</v>
      </c>
      <c r="Q173">
        <v>1</v>
      </c>
      <c r="W173">
        <v>0</v>
      </c>
      <c r="X173">
        <v>1906446486</v>
      </c>
      <c r="Y173">
        <f>(AT173*1.2)</f>
        <v>26.495999999999999</v>
      </c>
      <c r="AA173">
        <v>0</v>
      </c>
      <c r="AB173">
        <v>3.37</v>
      </c>
      <c r="AC173">
        <v>0</v>
      </c>
      <c r="AD173">
        <v>0</v>
      </c>
      <c r="AE173">
        <v>0</v>
      </c>
      <c r="AF173">
        <v>0.35</v>
      </c>
      <c r="AG173">
        <v>0</v>
      </c>
      <c r="AH173">
        <v>0</v>
      </c>
      <c r="AI173">
        <v>1</v>
      </c>
      <c r="AJ173">
        <v>9.1999999999999993</v>
      </c>
      <c r="AK173">
        <v>1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22.08</v>
      </c>
      <c r="AU173" t="s">
        <v>114</v>
      </c>
      <c r="AV173">
        <v>0</v>
      </c>
      <c r="AW173">
        <v>2</v>
      </c>
      <c r="AX173">
        <v>55937583</v>
      </c>
      <c r="AY173">
        <v>1</v>
      </c>
      <c r="AZ173">
        <v>0</v>
      </c>
      <c r="BA173">
        <v>223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f>ROUND(Y173*Source!I134*DO173,9)</f>
        <v>0</v>
      </c>
      <c r="CX173">
        <f>ROUND(Y173*Source!I134,9)</f>
        <v>3.1795200000000001</v>
      </c>
      <c r="CY173">
        <f>AB173</f>
        <v>3.37</v>
      </c>
      <c r="CZ173">
        <f>AF173</f>
        <v>0.35</v>
      </c>
      <c r="DA173">
        <f>AJ173</f>
        <v>9.1999999999999993</v>
      </c>
      <c r="DB173">
        <f>ROUND((ROUND(AT173*CZ173,2)*1.2),6)</f>
        <v>9.2759999999999998</v>
      </c>
      <c r="DC173">
        <f>ROUND((ROUND(AT173*AG173,2)*1.2),6)</f>
        <v>0</v>
      </c>
      <c r="DD173" t="s">
        <v>3</v>
      </c>
      <c r="DE173" t="s">
        <v>3</v>
      </c>
      <c r="DF173">
        <f t="shared" si="70"/>
        <v>0</v>
      </c>
      <c r="DG173">
        <f>ROUND(ROUND(AF173*AJ173,2)*CX173,2)</f>
        <v>10.24</v>
      </c>
      <c r="DH173">
        <f t="shared" ref="DH173:DH195" si="71">ROUND(ROUND(AG173,2)*CX173,2)</f>
        <v>0</v>
      </c>
      <c r="DI173">
        <f t="shared" si="56"/>
        <v>0</v>
      </c>
      <c r="DJ173">
        <f>DG173</f>
        <v>10.24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ROW(Source!A134)</f>
        <v>134</v>
      </c>
      <c r="B174">
        <v>55937298</v>
      </c>
      <c r="C174">
        <v>55937580</v>
      </c>
      <c r="D174">
        <v>55460424</v>
      </c>
      <c r="E174">
        <v>1</v>
      </c>
      <c r="F174">
        <v>1</v>
      </c>
      <c r="G174">
        <v>1081</v>
      </c>
      <c r="H174">
        <v>3</v>
      </c>
      <c r="I174" t="s">
        <v>496</v>
      </c>
      <c r="J174" t="s">
        <v>497</v>
      </c>
      <c r="K174" t="s">
        <v>498</v>
      </c>
      <c r="L174">
        <v>1346</v>
      </c>
      <c r="N174">
        <v>1009</v>
      </c>
      <c r="O174" t="s">
        <v>311</v>
      </c>
      <c r="P174" t="s">
        <v>311</v>
      </c>
      <c r="Q174">
        <v>1</v>
      </c>
      <c r="W174">
        <v>0</v>
      </c>
      <c r="X174">
        <v>1309298634</v>
      </c>
      <c r="Y174">
        <f>(AT174*1)</f>
        <v>0.21</v>
      </c>
      <c r="AA174">
        <v>286.31</v>
      </c>
      <c r="AB174">
        <v>0</v>
      </c>
      <c r="AC174">
        <v>0</v>
      </c>
      <c r="AD174">
        <v>0</v>
      </c>
      <c r="AE174">
        <v>159.06</v>
      </c>
      <c r="AF174">
        <v>0</v>
      </c>
      <c r="AG174">
        <v>0</v>
      </c>
      <c r="AH174">
        <v>0</v>
      </c>
      <c r="AI174">
        <v>1.8</v>
      </c>
      <c r="AJ174">
        <v>1</v>
      </c>
      <c r="AK174">
        <v>1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0.21</v>
      </c>
      <c r="AU174" t="s">
        <v>113</v>
      </c>
      <c r="AV174">
        <v>0</v>
      </c>
      <c r="AW174">
        <v>2</v>
      </c>
      <c r="AX174">
        <v>55937584</v>
      </c>
      <c r="AY174">
        <v>1</v>
      </c>
      <c r="AZ174">
        <v>0</v>
      </c>
      <c r="BA174">
        <v>224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ROUND(Y174*Source!I134,9)</f>
        <v>2.52E-2</v>
      </c>
      <c r="CY174">
        <f>AA174</f>
        <v>286.31</v>
      </c>
      <c r="CZ174">
        <f>AE174</f>
        <v>159.06</v>
      </c>
      <c r="DA174">
        <f>AI174</f>
        <v>1.8</v>
      </c>
      <c r="DB174">
        <f>ROUND((ROUND(AT174*CZ174,2)*1),6)</f>
        <v>33.4</v>
      </c>
      <c r="DC174">
        <f>ROUND((ROUND(AT174*AG174,2)*1),6)</f>
        <v>0</v>
      </c>
      <c r="DD174" t="s">
        <v>3</v>
      </c>
      <c r="DE174" t="s">
        <v>3</v>
      </c>
      <c r="DF174">
        <f>ROUND(ROUND(AE174*AI174,2)*CX174,2)</f>
        <v>7.22</v>
      </c>
      <c r="DG174">
        <f t="shared" ref="DG174:DG183" si="72">ROUND(ROUND(AF174,2)*CX174,2)</f>
        <v>0</v>
      </c>
      <c r="DH174">
        <f t="shared" si="71"/>
        <v>0</v>
      </c>
      <c r="DI174">
        <f t="shared" si="56"/>
        <v>0</v>
      </c>
      <c r="DJ174">
        <f>DF174</f>
        <v>7.22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ROW(Source!A134)</f>
        <v>134</v>
      </c>
      <c r="B175">
        <v>55937298</v>
      </c>
      <c r="C175">
        <v>55937580</v>
      </c>
      <c r="D175">
        <v>55459340</v>
      </c>
      <c r="E175">
        <v>1</v>
      </c>
      <c r="F175">
        <v>1</v>
      </c>
      <c r="G175">
        <v>1081</v>
      </c>
      <c r="H175">
        <v>3</v>
      </c>
      <c r="I175" t="s">
        <v>459</v>
      </c>
      <c r="J175" t="s">
        <v>460</v>
      </c>
      <c r="K175" t="s">
        <v>461</v>
      </c>
      <c r="L175">
        <v>1354</v>
      </c>
      <c r="N175">
        <v>1010</v>
      </c>
      <c r="O175" t="s">
        <v>217</v>
      </c>
      <c r="P175" t="s">
        <v>217</v>
      </c>
      <c r="Q175">
        <v>1</v>
      </c>
      <c r="W175">
        <v>0</v>
      </c>
      <c r="X175">
        <v>-1352077490</v>
      </c>
      <c r="Y175">
        <f>(AT175*1)</f>
        <v>4.08</v>
      </c>
      <c r="AA175">
        <v>0.83</v>
      </c>
      <c r="AB175">
        <v>0</v>
      </c>
      <c r="AC175">
        <v>0</v>
      </c>
      <c r="AD175">
        <v>0</v>
      </c>
      <c r="AE175">
        <v>0.89</v>
      </c>
      <c r="AF175">
        <v>0</v>
      </c>
      <c r="AG175">
        <v>0</v>
      </c>
      <c r="AH175">
        <v>0</v>
      </c>
      <c r="AI175">
        <v>0.93</v>
      </c>
      <c r="AJ175">
        <v>1</v>
      </c>
      <c r="AK175">
        <v>1</v>
      </c>
      <c r="AL175">
        <v>1</v>
      </c>
      <c r="AM175">
        <v>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4.08</v>
      </c>
      <c r="AU175" t="s">
        <v>113</v>
      </c>
      <c r="AV175">
        <v>0</v>
      </c>
      <c r="AW175">
        <v>2</v>
      </c>
      <c r="AX175">
        <v>55937585</v>
      </c>
      <c r="AY175">
        <v>1</v>
      </c>
      <c r="AZ175">
        <v>0</v>
      </c>
      <c r="BA175">
        <v>225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ROUND(Y175*Source!I134,9)</f>
        <v>0.48959999999999998</v>
      </c>
      <c r="CY175">
        <f>AA175</f>
        <v>0.83</v>
      </c>
      <c r="CZ175">
        <f>AE175</f>
        <v>0.89</v>
      </c>
      <c r="DA175">
        <f>AI175</f>
        <v>0.93</v>
      </c>
      <c r="DB175">
        <f>ROUND((ROUND(AT175*CZ175,2)*1),6)</f>
        <v>3.63</v>
      </c>
      <c r="DC175">
        <f>ROUND((ROUND(AT175*AG175,2)*1),6)</f>
        <v>0</v>
      </c>
      <c r="DD175" t="s">
        <v>3</v>
      </c>
      <c r="DE175" t="s">
        <v>3</v>
      </c>
      <c r="DF175">
        <f>ROUND(ROUND(AE175*AI175,2)*CX175,2)</f>
        <v>0.41</v>
      </c>
      <c r="DG175">
        <f t="shared" si="72"/>
        <v>0</v>
      </c>
      <c r="DH175">
        <f t="shared" si="71"/>
        <v>0</v>
      </c>
      <c r="DI175">
        <f t="shared" si="56"/>
        <v>0</v>
      </c>
      <c r="DJ175">
        <f>DF175</f>
        <v>0.41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ROW(Source!A134)</f>
        <v>134</v>
      </c>
      <c r="B176">
        <v>55937298</v>
      </c>
      <c r="C176">
        <v>55937580</v>
      </c>
      <c r="D176">
        <v>55487873</v>
      </c>
      <c r="E176">
        <v>1</v>
      </c>
      <c r="F176">
        <v>1</v>
      </c>
      <c r="G176">
        <v>1081</v>
      </c>
      <c r="H176">
        <v>3</v>
      </c>
      <c r="I176" t="s">
        <v>499</v>
      </c>
      <c r="J176" t="s">
        <v>500</v>
      </c>
      <c r="K176" t="s">
        <v>501</v>
      </c>
      <c r="L176">
        <v>1303</v>
      </c>
      <c r="N176">
        <v>1003</v>
      </c>
      <c r="O176" t="s">
        <v>337</v>
      </c>
      <c r="P176" t="s">
        <v>337</v>
      </c>
      <c r="Q176">
        <v>1000</v>
      </c>
      <c r="W176">
        <v>0</v>
      </c>
      <c r="X176">
        <v>1578855358</v>
      </c>
      <c r="Y176">
        <f>(AT176*1)</f>
        <v>1.5299999999999999E-2</v>
      </c>
      <c r="AA176">
        <v>52499.26</v>
      </c>
      <c r="AB176">
        <v>0</v>
      </c>
      <c r="AC176">
        <v>0</v>
      </c>
      <c r="AD176">
        <v>0</v>
      </c>
      <c r="AE176">
        <v>2897.31</v>
      </c>
      <c r="AF176">
        <v>0</v>
      </c>
      <c r="AG176">
        <v>0</v>
      </c>
      <c r="AH176">
        <v>0</v>
      </c>
      <c r="AI176">
        <v>18.12</v>
      </c>
      <c r="AJ176">
        <v>1</v>
      </c>
      <c r="AK176">
        <v>1</v>
      </c>
      <c r="AL176">
        <v>1</v>
      </c>
      <c r="AM176">
        <v>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1.5299999999999999E-2</v>
      </c>
      <c r="AU176" t="s">
        <v>113</v>
      </c>
      <c r="AV176">
        <v>0</v>
      </c>
      <c r="AW176">
        <v>2</v>
      </c>
      <c r="AX176">
        <v>55937586</v>
      </c>
      <c r="AY176">
        <v>1</v>
      </c>
      <c r="AZ176">
        <v>0</v>
      </c>
      <c r="BA176">
        <v>226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v>0</v>
      </c>
      <c r="CX176">
        <f>ROUND(Y176*Source!I134,9)</f>
        <v>1.836E-3</v>
      </c>
      <c r="CY176">
        <f>AA176</f>
        <v>52499.26</v>
      </c>
      <c r="CZ176">
        <f>AE176</f>
        <v>2897.31</v>
      </c>
      <c r="DA176">
        <f>AI176</f>
        <v>18.12</v>
      </c>
      <c r="DB176">
        <f>ROUND((ROUND(AT176*CZ176,2)*1),6)</f>
        <v>44.33</v>
      </c>
      <c r="DC176">
        <f>ROUND((ROUND(AT176*AG176,2)*1),6)</f>
        <v>0</v>
      </c>
      <c r="DD176" t="s">
        <v>3</v>
      </c>
      <c r="DE176" t="s">
        <v>3</v>
      </c>
      <c r="DF176">
        <f>ROUND(ROUND(AE176*AI176,2)*CX176,2)</f>
        <v>96.39</v>
      </c>
      <c r="DG176">
        <f t="shared" si="72"/>
        <v>0</v>
      </c>
      <c r="DH176">
        <f t="shared" si="71"/>
        <v>0</v>
      </c>
      <c r="DI176">
        <f t="shared" si="56"/>
        <v>0</v>
      </c>
      <c r="DJ176">
        <f>DF176</f>
        <v>96.39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ROW(Source!A137)</f>
        <v>137</v>
      </c>
      <c r="B177">
        <v>55937296</v>
      </c>
      <c r="C177">
        <v>55937592</v>
      </c>
      <c r="D177">
        <v>55424304</v>
      </c>
      <c r="E177">
        <v>1081</v>
      </c>
      <c r="F177">
        <v>1</v>
      </c>
      <c r="G177">
        <v>1081</v>
      </c>
      <c r="H177">
        <v>1</v>
      </c>
      <c r="I177" t="s">
        <v>449</v>
      </c>
      <c r="J177" t="s">
        <v>3</v>
      </c>
      <c r="K177" t="s">
        <v>450</v>
      </c>
      <c r="L177">
        <v>1191</v>
      </c>
      <c r="N177">
        <v>1013</v>
      </c>
      <c r="O177" t="s">
        <v>451</v>
      </c>
      <c r="P177" t="s">
        <v>451</v>
      </c>
      <c r="Q177">
        <v>1</v>
      </c>
      <c r="W177">
        <v>0</v>
      </c>
      <c r="X177">
        <v>476480486</v>
      </c>
      <c r="Y177">
        <f>(AT177*1.2)</f>
        <v>2.016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1.68</v>
      </c>
      <c r="AU177" t="s">
        <v>114</v>
      </c>
      <c r="AV177">
        <v>1</v>
      </c>
      <c r="AW177">
        <v>2</v>
      </c>
      <c r="AX177">
        <v>55937593</v>
      </c>
      <c r="AY177">
        <v>1</v>
      </c>
      <c r="AZ177">
        <v>0</v>
      </c>
      <c r="BA177">
        <v>229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ROUND(AT177*Source!I137*AH177*AL177,2)</f>
        <v>0</v>
      </c>
      <c r="CV177">
        <f>ROUND(Y177*Source!I137,9)</f>
        <v>8.0640000000000001</v>
      </c>
      <c r="CW177">
        <v>0</v>
      </c>
      <c r="CX177">
        <f>ROUND(Y177*Source!I137,9)</f>
        <v>8.0640000000000001</v>
      </c>
      <c r="CY177">
        <f>AD177</f>
        <v>0</v>
      </c>
      <c r="CZ177">
        <f>AH177</f>
        <v>0</v>
      </c>
      <c r="DA177">
        <f>AL177</f>
        <v>1</v>
      </c>
      <c r="DB177">
        <f>ROUND((ROUND(AT177*CZ177,2)*1.2),6)</f>
        <v>0</v>
      </c>
      <c r="DC177">
        <f>ROUND((ROUND(AT177*AG177,2)*1.2),6)</f>
        <v>0</v>
      </c>
      <c r="DD177" t="s">
        <v>3</v>
      </c>
      <c r="DE177" t="s">
        <v>3</v>
      </c>
      <c r="DF177">
        <f t="shared" ref="DF177:DF184" si="73">ROUND(ROUND(AE177,2)*CX177,2)</f>
        <v>0</v>
      </c>
      <c r="DG177">
        <f t="shared" si="72"/>
        <v>0</v>
      </c>
      <c r="DH177">
        <f t="shared" si="71"/>
        <v>0</v>
      </c>
      <c r="DI177">
        <f t="shared" si="56"/>
        <v>0</v>
      </c>
      <c r="DJ177">
        <f>DI177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ROW(Source!A138)</f>
        <v>138</v>
      </c>
      <c r="B178">
        <v>55937298</v>
      </c>
      <c r="C178">
        <v>55937592</v>
      </c>
      <c r="D178">
        <v>55424304</v>
      </c>
      <c r="E178">
        <v>1081</v>
      </c>
      <c r="F178">
        <v>1</v>
      </c>
      <c r="G178">
        <v>1081</v>
      </c>
      <c r="H178">
        <v>1</v>
      </c>
      <c r="I178" t="s">
        <v>449</v>
      </c>
      <c r="J178" t="s">
        <v>3</v>
      </c>
      <c r="K178" t="s">
        <v>450</v>
      </c>
      <c r="L178">
        <v>1191</v>
      </c>
      <c r="N178">
        <v>1013</v>
      </c>
      <c r="O178" t="s">
        <v>451</v>
      </c>
      <c r="P178" t="s">
        <v>451</v>
      </c>
      <c r="Q178">
        <v>1</v>
      </c>
      <c r="W178">
        <v>0</v>
      </c>
      <c r="X178">
        <v>476480486</v>
      </c>
      <c r="Y178">
        <f>(AT178*1.2)</f>
        <v>2.016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5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1.68</v>
      </c>
      <c r="AU178" t="s">
        <v>114</v>
      </c>
      <c r="AV178">
        <v>1</v>
      </c>
      <c r="AW178">
        <v>2</v>
      </c>
      <c r="AX178">
        <v>55937593</v>
      </c>
      <c r="AY178">
        <v>1</v>
      </c>
      <c r="AZ178">
        <v>0</v>
      </c>
      <c r="BA178">
        <v>230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U178">
        <f>ROUND(AT178*Source!I138*AH178*AL178,2)</f>
        <v>0</v>
      </c>
      <c r="CV178">
        <f>ROUND(Y178*Source!I138,9)</f>
        <v>8.0640000000000001</v>
      </c>
      <c r="CW178">
        <v>0</v>
      </c>
      <c r="CX178">
        <f>ROUND(Y178*Source!I138,9)</f>
        <v>8.0640000000000001</v>
      </c>
      <c r="CY178">
        <f>AD178</f>
        <v>0</v>
      </c>
      <c r="CZ178">
        <f>AH178</f>
        <v>0</v>
      </c>
      <c r="DA178">
        <f>AL178</f>
        <v>1</v>
      </c>
      <c r="DB178">
        <f>ROUND((ROUND(AT178*CZ178,2)*1.2),6)</f>
        <v>0</v>
      </c>
      <c r="DC178">
        <f>ROUND((ROUND(AT178*AG178,2)*1.2),6)</f>
        <v>0</v>
      </c>
      <c r="DD178" t="s">
        <v>3</v>
      </c>
      <c r="DE178" t="s">
        <v>3</v>
      </c>
      <c r="DF178">
        <f t="shared" si="73"/>
        <v>0</v>
      </c>
      <c r="DG178">
        <f t="shared" si="72"/>
        <v>0</v>
      </c>
      <c r="DH178">
        <f t="shared" si="71"/>
        <v>0</v>
      </c>
      <c r="DI178">
        <f t="shared" si="56"/>
        <v>0</v>
      </c>
      <c r="DJ178">
        <f>DI178</f>
        <v>0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ROW(Source!A141)</f>
        <v>141</v>
      </c>
      <c r="B179">
        <v>55937296</v>
      </c>
      <c r="C179">
        <v>55937600</v>
      </c>
      <c r="D179">
        <v>55424304</v>
      </c>
      <c r="E179">
        <v>1081</v>
      </c>
      <c r="F179">
        <v>1</v>
      </c>
      <c r="G179">
        <v>1081</v>
      </c>
      <c r="H179">
        <v>1</v>
      </c>
      <c r="I179" t="s">
        <v>449</v>
      </c>
      <c r="J179" t="s">
        <v>3</v>
      </c>
      <c r="K179" t="s">
        <v>450</v>
      </c>
      <c r="L179">
        <v>1191</v>
      </c>
      <c r="N179">
        <v>1013</v>
      </c>
      <c r="O179" t="s">
        <v>451</v>
      </c>
      <c r="P179" t="s">
        <v>451</v>
      </c>
      <c r="Q179">
        <v>1</v>
      </c>
      <c r="W179">
        <v>0</v>
      </c>
      <c r="X179">
        <v>476480486</v>
      </c>
      <c r="Y179">
        <f>(AT179*1.2)</f>
        <v>0.72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0.6</v>
      </c>
      <c r="AU179" t="s">
        <v>114</v>
      </c>
      <c r="AV179">
        <v>1</v>
      </c>
      <c r="AW179">
        <v>2</v>
      </c>
      <c r="AX179">
        <v>55937609</v>
      </c>
      <c r="AY179">
        <v>1</v>
      </c>
      <c r="AZ179">
        <v>0</v>
      </c>
      <c r="BA179">
        <v>231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U179">
        <f>ROUND(AT179*Source!I141*AH179*AL179,2)</f>
        <v>0</v>
      </c>
      <c r="CV179">
        <f>ROUND(Y179*Source!I141,9)</f>
        <v>6.48</v>
      </c>
      <c r="CW179">
        <v>0</v>
      </c>
      <c r="CX179">
        <f>ROUND(Y179*Source!I141,9)</f>
        <v>6.48</v>
      </c>
      <c r="CY179">
        <f>AD179</f>
        <v>0</v>
      </c>
      <c r="CZ179">
        <f>AH179</f>
        <v>0</v>
      </c>
      <c r="DA179">
        <f>AL179</f>
        <v>1</v>
      </c>
      <c r="DB179">
        <f>ROUND((ROUND(AT179*CZ179,2)*1.2),6)</f>
        <v>0</v>
      </c>
      <c r="DC179">
        <f>ROUND((ROUND(AT179*AG179,2)*1.2),6)</f>
        <v>0</v>
      </c>
      <c r="DD179" t="s">
        <v>3</v>
      </c>
      <c r="DE179" t="s">
        <v>3</v>
      </c>
      <c r="DF179">
        <f t="shared" si="73"/>
        <v>0</v>
      </c>
      <c r="DG179">
        <f t="shared" si="72"/>
        <v>0</v>
      </c>
      <c r="DH179">
        <f t="shared" si="71"/>
        <v>0</v>
      </c>
      <c r="DI179">
        <f t="shared" si="56"/>
        <v>0</v>
      </c>
      <c r="DJ179">
        <f>DI179</f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ROW(Source!A141)</f>
        <v>141</v>
      </c>
      <c r="B180">
        <v>55937296</v>
      </c>
      <c r="C180">
        <v>55937600</v>
      </c>
      <c r="D180">
        <v>55490263</v>
      </c>
      <c r="E180">
        <v>1</v>
      </c>
      <c r="F180">
        <v>1</v>
      </c>
      <c r="G180">
        <v>1081</v>
      </c>
      <c r="H180">
        <v>2</v>
      </c>
      <c r="I180" t="s">
        <v>502</v>
      </c>
      <c r="J180" t="s">
        <v>503</v>
      </c>
      <c r="K180" t="s">
        <v>504</v>
      </c>
      <c r="L180">
        <v>1368</v>
      </c>
      <c r="N180">
        <v>1011</v>
      </c>
      <c r="O180" t="s">
        <v>455</v>
      </c>
      <c r="P180" t="s">
        <v>455</v>
      </c>
      <c r="Q180">
        <v>1</v>
      </c>
      <c r="W180">
        <v>0</v>
      </c>
      <c r="X180">
        <v>-1895752648</v>
      </c>
      <c r="Y180">
        <f>(AT180*1.2)</f>
        <v>7.1999999999999995E-2</v>
      </c>
      <c r="AA180">
        <v>0</v>
      </c>
      <c r="AB180">
        <v>0.82</v>
      </c>
      <c r="AC180">
        <v>0</v>
      </c>
      <c r="AD180">
        <v>0</v>
      </c>
      <c r="AE180">
        <v>0</v>
      </c>
      <c r="AF180">
        <v>0.77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0.06</v>
      </c>
      <c r="AU180" t="s">
        <v>114</v>
      </c>
      <c r="AV180">
        <v>0</v>
      </c>
      <c r="AW180">
        <v>2</v>
      </c>
      <c r="AX180">
        <v>55937610</v>
      </c>
      <c r="AY180">
        <v>1</v>
      </c>
      <c r="AZ180">
        <v>0</v>
      </c>
      <c r="BA180">
        <v>232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f>ROUND(Y180*Source!I141*DO180,9)</f>
        <v>0</v>
      </c>
      <c r="CX180">
        <f>ROUND(Y180*Source!I141,9)</f>
        <v>0.64800000000000002</v>
      </c>
      <c r="CY180">
        <f>AB180</f>
        <v>0.82</v>
      </c>
      <c r="CZ180">
        <f>AF180</f>
        <v>0.77</v>
      </c>
      <c r="DA180">
        <f>AJ180</f>
        <v>1</v>
      </c>
      <c r="DB180">
        <f>ROUND((ROUND(AT180*CZ180,2)*1.2),6)</f>
        <v>0.06</v>
      </c>
      <c r="DC180">
        <f>ROUND((ROUND(AT180*AG180,2)*1.2),6)</f>
        <v>0</v>
      </c>
      <c r="DD180" t="s">
        <v>3</v>
      </c>
      <c r="DE180" t="s">
        <v>3</v>
      </c>
      <c r="DF180">
        <f t="shared" si="73"/>
        <v>0</v>
      </c>
      <c r="DG180">
        <f t="shared" si="72"/>
        <v>0.5</v>
      </c>
      <c r="DH180">
        <f t="shared" si="71"/>
        <v>0</v>
      </c>
      <c r="DI180">
        <f t="shared" si="56"/>
        <v>0</v>
      </c>
      <c r="DJ180">
        <f>DG180</f>
        <v>0.5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ROW(Source!A141)</f>
        <v>141</v>
      </c>
      <c r="B181">
        <v>55937296</v>
      </c>
      <c r="C181">
        <v>55937600</v>
      </c>
      <c r="D181">
        <v>55461072</v>
      </c>
      <c r="E181">
        <v>1</v>
      </c>
      <c r="F181">
        <v>1</v>
      </c>
      <c r="G181">
        <v>1081</v>
      </c>
      <c r="H181">
        <v>3</v>
      </c>
      <c r="I181" t="s">
        <v>505</v>
      </c>
      <c r="J181" t="s">
        <v>506</v>
      </c>
      <c r="K181" t="s">
        <v>507</v>
      </c>
      <c r="L181">
        <v>1348</v>
      </c>
      <c r="N181">
        <v>1009</v>
      </c>
      <c r="O181" t="s">
        <v>287</v>
      </c>
      <c r="P181" t="s">
        <v>287</v>
      </c>
      <c r="Q181">
        <v>1000</v>
      </c>
      <c r="W181">
        <v>0</v>
      </c>
      <c r="X181">
        <v>895851324</v>
      </c>
      <c r="Y181">
        <f>(AT181*1)</f>
        <v>3.0000000000000001E-5</v>
      </c>
      <c r="AA181">
        <v>38894.449999999997</v>
      </c>
      <c r="AB181">
        <v>0</v>
      </c>
      <c r="AC181">
        <v>0</v>
      </c>
      <c r="AD181">
        <v>0</v>
      </c>
      <c r="AE181">
        <v>37835.07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3.0000000000000001E-5</v>
      </c>
      <c r="AU181" t="s">
        <v>113</v>
      </c>
      <c r="AV181">
        <v>0</v>
      </c>
      <c r="AW181">
        <v>2</v>
      </c>
      <c r="AX181">
        <v>55937612</v>
      </c>
      <c r="AY181">
        <v>1</v>
      </c>
      <c r="AZ181">
        <v>0</v>
      </c>
      <c r="BA181">
        <v>234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ROUND(Y181*Source!I141,9)</f>
        <v>2.7E-4</v>
      </c>
      <c r="CY181">
        <f>AA181</f>
        <v>38894.449999999997</v>
      </c>
      <c r="CZ181">
        <f>AE181</f>
        <v>37835.07</v>
      </c>
      <c r="DA181">
        <f>AI181</f>
        <v>1</v>
      </c>
      <c r="DB181">
        <f>ROUND((ROUND(AT181*CZ181,2)*1),6)</f>
        <v>1.1399999999999999</v>
      </c>
      <c r="DC181">
        <f>ROUND((ROUND(AT181*AG181,2)*1),6)</f>
        <v>0</v>
      </c>
      <c r="DD181" t="s">
        <v>3</v>
      </c>
      <c r="DE181" t="s">
        <v>3</v>
      </c>
      <c r="DF181">
        <f t="shared" si="73"/>
        <v>10.220000000000001</v>
      </c>
      <c r="DG181">
        <f t="shared" si="72"/>
        <v>0</v>
      </c>
      <c r="DH181">
        <f t="shared" si="71"/>
        <v>0</v>
      </c>
      <c r="DI181">
        <f t="shared" si="56"/>
        <v>0</v>
      </c>
      <c r="DJ181">
        <f>DF181</f>
        <v>10.220000000000001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ROW(Source!A141)</f>
        <v>141</v>
      </c>
      <c r="B182">
        <v>55937296</v>
      </c>
      <c r="C182">
        <v>55937600</v>
      </c>
      <c r="D182">
        <v>55461761</v>
      </c>
      <c r="E182">
        <v>1</v>
      </c>
      <c r="F182">
        <v>1</v>
      </c>
      <c r="G182">
        <v>1081</v>
      </c>
      <c r="H182">
        <v>3</v>
      </c>
      <c r="I182" t="s">
        <v>508</v>
      </c>
      <c r="J182" t="s">
        <v>509</v>
      </c>
      <c r="K182" t="s">
        <v>510</v>
      </c>
      <c r="L182">
        <v>1348</v>
      </c>
      <c r="N182">
        <v>1009</v>
      </c>
      <c r="O182" t="s">
        <v>287</v>
      </c>
      <c r="P182" t="s">
        <v>287</v>
      </c>
      <c r="Q182">
        <v>1000</v>
      </c>
      <c r="W182">
        <v>0</v>
      </c>
      <c r="X182">
        <v>893353442</v>
      </c>
      <c r="Y182">
        <f>(AT182*1)</f>
        <v>1.0000000000000001E-5</v>
      </c>
      <c r="AA182">
        <v>17525.23</v>
      </c>
      <c r="AB182">
        <v>0</v>
      </c>
      <c r="AC182">
        <v>0</v>
      </c>
      <c r="AD182">
        <v>0</v>
      </c>
      <c r="AE182">
        <v>17047.89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1.0000000000000001E-5</v>
      </c>
      <c r="AU182" t="s">
        <v>113</v>
      </c>
      <c r="AV182">
        <v>0</v>
      </c>
      <c r="AW182">
        <v>2</v>
      </c>
      <c r="AX182">
        <v>55937613</v>
      </c>
      <c r="AY182">
        <v>1</v>
      </c>
      <c r="AZ182">
        <v>0</v>
      </c>
      <c r="BA182">
        <v>235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ROUND(Y182*Source!I141,9)</f>
        <v>9.0000000000000006E-5</v>
      </c>
      <c r="CY182">
        <f>AA182</f>
        <v>17525.23</v>
      </c>
      <c r="CZ182">
        <f>AE182</f>
        <v>17047.89</v>
      </c>
      <c r="DA182">
        <f>AI182</f>
        <v>1</v>
      </c>
      <c r="DB182">
        <f>ROUND((ROUND(AT182*CZ182,2)*1),6)</f>
        <v>0.17</v>
      </c>
      <c r="DC182">
        <f>ROUND((ROUND(AT182*AG182,2)*1),6)</f>
        <v>0</v>
      </c>
      <c r="DD182" t="s">
        <v>3</v>
      </c>
      <c r="DE182" t="s">
        <v>3</v>
      </c>
      <c r="DF182">
        <f t="shared" si="73"/>
        <v>1.53</v>
      </c>
      <c r="DG182">
        <f t="shared" si="72"/>
        <v>0</v>
      </c>
      <c r="DH182">
        <f t="shared" si="71"/>
        <v>0</v>
      </c>
      <c r="DI182">
        <f t="shared" si="56"/>
        <v>0</v>
      </c>
      <c r="DJ182">
        <f>DF182</f>
        <v>1.53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ROW(Source!A142)</f>
        <v>142</v>
      </c>
      <c r="B183">
        <v>55937298</v>
      </c>
      <c r="C183">
        <v>55937600</v>
      </c>
      <c r="D183">
        <v>55424304</v>
      </c>
      <c r="E183">
        <v>1081</v>
      </c>
      <c r="F183">
        <v>1</v>
      </c>
      <c r="G183">
        <v>1081</v>
      </c>
      <c r="H183">
        <v>1</v>
      </c>
      <c r="I183" t="s">
        <v>449</v>
      </c>
      <c r="J183" t="s">
        <v>3</v>
      </c>
      <c r="K183" t="s">
        <v>450</v>
      </c>
      <c r="L183">
        <v>1191</v>
      </c>
      <c r="N183">
        <v>1013</v>
      </c>
      <c r="O183" t="s">
        <v>451</v>
      </c>
      <c r="P183" t="s">
        <v>451</v>
      </c>
      <c r="Q183">
        <v>1</v>
      </c>
      <c r="W183">
        <v>0</v>
      </c>
      <c r="X183">
        <v>476480486</v>
      </c>
      <c r="Y183">
        <f>(AT183*1.2)</f>
        <v>0.72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5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0.6</v>
      </c>
      <c r="AU183" t="s">
        <v>114</v>
      </c>
      <c r="AV183">
        <v>1</v>
      </c>
      <c r="AW183">
        <v>2</v>
      </c>
      <c r="AX183">
        <v>55937609</v>
      </c>
      <c r="AY183">
        <v>1</v>
      </c>
      <c r="AZ183">
        <v>0</v>
      </c>
      <c r="BA183">
        <v>237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ROUND(AT183*Source!I142*AH183*AL183,2)</f>
        <v>0</v>
      </c>
      <c r="CV183">
        <f>ROUND(Y183*Source!I142,9)</f>
        <v>6.48</v>
      </c>
      <c r="CW183">
        <v>0</v>
      </c>
      <c r="CX183">
        <f>ROUND(Y183*Source!I142,9)</f>
        <v>6.48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 t="shared" si="73"/>
        <v>0</v>
      </c>
      <c r="DG183">
        <f t="shared" si="72"/>
        <v>0</v>
      </c>
      <c r="DH183">
        <f t="shared" si="71"/>
        <v>0</v>
      </c>
      <c r="DI183">
        <f t="shared" si="56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ROW(Source!A142)</f>
        <v>142</v>
      </c>
      <c r="B184">
        <v>55937298</v>
      </c>
      <c r="C184">
        <v>55937600</v>
      </c>
      <c r="D184">
        <v>55490263</v>
      </c>
      <c r="E184">
        <v>1</v>
      </c>
      <c r="F184">
        <v>1</v>
      </c>
      <c r="G184">
        <v>1081</v>
      </c>
      <c r="H184">
        <v>2</v>
      </c>
      <c r="I184" t="s">
        <v>502</v>
      </c>
      <c r="J184" t="s">
        <v>503</v>
      </c>
      <c r="K184" t="s">
        <v>504</v>
      </c>
      <c r="L184">
        <v>1368</v>
      </c>
      <c r="N184">
        <v>1011</v>
      </c>
      <c r="O184" t="s">
        <v>455</v>
      </c>
      <c r="P184" t="s">
        <v>455</v>
      </c>
      <c r="Q184">
        <v>1</v>
      </c>
      <c r="W184">
        <v>0</v>
      </c>
      <c r="X184">
        <v>-1895752648</v>
      </c>
      <c r="Y184">
        <f>(AT184*1.2)</f>
        <v>7.1999999999999995E-2</v>
      </c>
      <c r="AA184">
        <v>0</v>
      </c>
      <c r="AB184">
        <v>7.85</v>
      </c>
      <c r="AC184">
        <v>0</v>
      </c>
      <c r="AD184">
        <v>0</v>
      </c>
      <c r="AE184">
        <v>0</v>
      </c>
      <c r="AF184">
        <v>0.77</v>
      </c>
      <c r="AG184">
        <v>0</v>
      </c>
      <c r="AH184">
        <v>0</v>
      </c>
      <c r="AI184">
        <v>1</v>
      </c>
      <c r="AJ184">
        <v>9.56</v>
      </c>
      <c r="AK184">
        <v>1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0.06</v>
      </c>
      <c r="AU184" t="s">
        <v>114</v>
      </c>
      <c r="AV184">
        <v>0</v>
      </c>
      <c r="AW184">
        <v>2</v>
      </c>
      <c r="AX184">
        <v>55937610</v>
      </c>
      <c r="AY184">
        <v>1</v>
      </c>
      <c r="AZ184">
        <v>0</v>
      </c>
      <c r="BA184">
        <v>238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ROUND(Y184*Source!I142*DO184,9)</f>
        <v>0</v>
      </c>
      <c r="CX184">
        <f>ROUND(Y184*Source!I142,9)</f>
        <v>0.64800000000000002</v>
      </c>
      <c r="CY184">
        <f>AB184</f>
        <v>7.85</v>
      </c>
      <c r="CZ184">
        <f>AF184</f>
        <v>0.77</v>
      </c>
      <c r="DA184">
        <f>AJ184</f>
        <v>9.56</v>
      </c>
      <c r="DB184">
        <f>ROUND((ROUND(AT184*CZ184,2)*1.2),6)</f>
        <v>0.06</v>
      </c>
      <c r="DC184">
        <f>ROUND((ROUND(AT184*AG184,2)*1.2),6)</f>
        <v>0</v>
      </c>
      <c r="DD184" t="s">
        <v>3</v>
      </c>
      <c r="DE184" t="s">
        <v>3</v>
      </c>
      <c r="DF184">
        <f t="shared" si="73"/>
        <v>0</v>
      </c>
      <c r="DG184">
        <f>ROUND(ROUND(AF184*AJ184,2)*CX184,2)</f>
        <v>4.7699999999999996</v>
      </c>
      <c r="DH184">
        <f t="shared" si="71"/>
        <v>0</v>
      </c>
      <c r="DI184">
        <f t="shared" si="56"/>
        <v>0</v>
      </c>
      <c r="DJ184">
        <f>DG184</f>
        <v>4.7699999999999996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ROW(Source!A142)</f>
        <v>142</v>
      </c>
      <c r="B185">
        <v>55937298</v>
      </c>
      <c r="C185">
        <v>55937600</v>
      </c>
      <c r="D185">
        <v>55461072</v>
      </c>
      <c r="E185">
        <v>1</v>
      </c>
      <c r="F185">
        <v>1</v>
      </c>
      <c r="G185">
        <v>1081</v>
      </c>
      <c r="H185">
        <v>3</v>
      </c>
      <c r="I185" t="s">
        <v>505</v>
      </c>
      <c r="J185" t="s">
        <v>506</v>
      </c>
      <c r="K185" t="s">
        <v>507</v>
      </c>
      <c r="L185">
        <v>1348</v>
      </c>
      <c r="N185">
        <v>1009</v>
      </c>
      <c r="O185" t="s">
        <v>287</v>
      </c>
      <c r="P185" t="s">
        <v>287</v>
      </c>
      <c r="Q185">
        <v>1000</v>
      </c>
      <c r="W185">
        <v>0</v>
      </c>
      <c r="X185">
        <v>895851324</v>
      </c>
      <c r="Y185">
        <f>(AT185*1)</f>
        <v>3.0000000000000001E-5</v>
      </c>
      <c r="AA185">
        <v>95680.35</v>
      </c>
      <c r="AB185">
        <v>0</v>
      </c>
      <c r="AC185">
        <v>0</v>
      </c>
      <c r="AD185">
        <v>0</v>
      </c>
      <c r="AE185">
        <v>37835.07</v>
      </c>
      <c r="AF185">
        <v>0</v>
      </c>
      <c r="AG185">
        <v>0</v>
      </c>
      <c r="AH185">
        <v>0</v>
      </c>
      <c r="AI185">
        <v>2.46</v>
      </c>
      <c r="AJ185">
        <v>1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3.0000000000000001E-5</v>
      </c>
      <c r="AU185" t="s">
        <v>113</v>
      </c>
      <c r="AV185">
        <v>0</v>
      </c>
      <c r="AW185">
        <v>2</v>
      </c>
      <c r="AX185">
        <v>55937612</v>
      </c>
      <c r="AY185">
        <v>1</v>
      </c>
      <c r="AZ185">
        <v>0</v>
      </c>
      <c r="BA185">
        <v>240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ROUND(Y185*Source!I142,9)</f>
        <v>2.7E-4</v>
      </c>
      <c r="CY185">
        <f>AA185</f>
        <v>95680.35</v>
      </c>
      <c r="CZ185">
        <f>AE185</f>
        <v>37835.07</v>
      </c>
      <c r="DA185">
        <f>AI185</f>
        <v>2.46</v>
      </c>
      <c r="DB185">
        <f>ROUND((ROUND(AT185*CZ185,2)*1),6)</f>
        <v>1.1399999999999999</v>
      </c>
      <c r="DC185">
        <f>ROUND((ROUND(AT185*AG185,2)*1),6)</f>
        <v>0</v>
      </c>
      <c r="DD185" t="s">
        <v>3</v>
      </c>
      <c r="DE185" t="s">
        <v>3</v>
      </c>
      <c r="DF185">
        <f>ROUND(ROUND(AE185*AI185,2)*CX185,2)</f>
        <v>25.13</v>
      </c>
      <c r="DG185">
        <f t="shared" ref="DG185:DG195" si="74">ROUND(ROUND(AF185,2)*CX185,2)</f>
        <v>0</v>
      </c>
      <c r="DH185">
        <f t="shared" si="71"/>
        <v>0</v>
      </c>
      <c r="DI185">
        <f t="shared" si="56"/>
        <v>0</v>
      </c>
      <c r="DJ185">
        <f>DF185</f>
        <v>25.13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ROW(Source!A142)</f>
        <v>142</v>
      </c>
      <c r="B186">
        <v>55937298</v>
      </c>
      <c r="C186">
        <v>55937600</v>
      </c>
      <c r="D186">
        <v>55461761</v>
      </c>
      <c r="E186">
        <v>1</v>
      </c>
      <c r="F186">
        <v>1</v>
      </c>
      <c r="G186">
        <v>1081</v>
      </c>
      <c r="H186">
        <v>3</v>
      </c>
      <c r="I186" t="s">
        <v>508</v>
      </c>
      <c r="J186" t="s">
        <v>509</v>
      </c>
      <c r="K186" t="s">
        <v>510</v>
      </c>
      <c r="L186">
        <v>1348</v>
      </c>
      <c r="N186">
        <v>1009</v>
      </c>
      <c r="O186" t="s">
        <v>287</v>
      </c>
      <c r="P186" t="s">
        <v>287</v>
      </c>
      <c r="Q186">
        <v>1000</v>
      </c>
      <c r="W186">
        <v>0</v>
      </c>
      <c r="X186">
        <v>893353442</v>
      </c>
      <c r="Y186">
        <f>(AT186*1)</f>
        <v>1.0000000000000001E-5</v>
      </c>
      <c r="AA186">
        <v>103223.61</v>
      </c>
      <c r="AB186">
        <v>0</v>
      </c>
      <c r="AC186">
        <v>0</v>
      </c>
      <c r="AD186">
        <v>0</v>
      </c>
      <c r="AE186">
        <v>17047.89</v>
      </c>
      <c r="AF186">
        <v>0</v>
      </c>
      <c r="AG186">
        <v>0</v>
      </c>
      <c r="AH186">
        <v>0</v>
      </c>
      <c r="AI186">
        <v>5.89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1.0000000000000001E-5</v>
      </c>
      <c r="AU186" t="s">
        <v>113</v>
      </c>
      <c r="AV186">
        <v>0</v>
      </c>
      <c r="AW186">
        <v>2</v>
      </c>
      <c r="AX186">
        <v>55937613</v>
      </c>
      <c r="AY186">
        <v>1</v>
      </c>
      <c r="AZ186">
        <v>0</v>
      </c>
      <c r="BA186">
        <v>241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ROUND(Y186*Source!I142,9)</f>
        <v>9.0000000000000006E-5</v>
      </c>
      <c r="CY186">
        <f>AA186</f>
        <v>103223.61</v>
      </c>
      <c r="CZ186">
        <f>AE186</f>
        <v>17047.89</v>
      </c>
      <c r="DA186">
        <f>AI186</f>
        <v>5.89</v>
      </c>
      <c r="DB186">
        <f>ROUND((ROUND(AT186*CZ186,2)*1),6)</f>
        <v>0.17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9.0399999999999991</v>
      </c>
      <c r="DG186">
        <f t="shared" si="74"/>
        <v>0</v>
      </c>
      <c r="DH186">
        <f t="shared" si="71"/>
        <v>0</v>
      </c>
      <c r="DI186">
        <f t="shared" si="56"/>
        <v>0</v>
      </c>
      <c r="DJ186">
        <f>DF186</f>
        <v>9.0399999999999991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ROW(Source!A155)</f>
        <v>155</v>
      </c>
      <c r="B187">
        <v>55937296</v>
      </c>
      <c r="C187">
        <v>55937671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449</v>
      </c>
      <c r="J187" t="s">
        <v>3</v>
      </c>
      <c r="K187" t="s">
        <v>450</v>
      </c>
      <c r="L187">
        <v>1191</v>
      </c>
      <c r="N187">
        <v>1013</v>
      </c>
      <c r="O187" t="s">
        <v>451</v>
      </c>
      <c r="P187" t="s">
        <v>451</v>
      </c>
      <c r="Q187">
        <v>1</v>
      </c>
      <c r="W187">
        <v>0</v>
      </c>
      <c r="X187">
        <v>476480486</v>
      </c>
      <c r="Y187">
        <f>((AT187*1.15)*1.2)</f>
        <v>25.364399999999996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18.38</v>
      </c>
      <c r="AU187" t="s">
        <v>282</v>
      </c>
      <c r="AV187">
        <v>1</v>
      </c>
      <c r="AW187">
        <v>2</v>
      </c>
      <c r="AX187">
        <v>55937672</v>
      </c>
      <c r="AY187">
        <v>1</v>
      </c>
      <c r="AZ187">
        <v>0</v>
      </c>
      <c r="BA187">
        <v>243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ROUND(AT187*Source!I155*AH187*AL187,2)</f>
        <v>0</v>
      </c>
      <c r="CV187">
        <f>ROUND(Y187*Source!I155,9)</f>
        <v>10.145759999999999</v>
      </c>
      <c r="CW187">
        <v>0</v>
      </c>
      <c r="CX187">
        <f>ROUND(Y187*Source!I155,9)</f>
        <v>10.145759999999999</v>
      </c>
      <c r="CY187">
        <f>AD187</f>
        <v>0</v>
      </c>
      <c r="CZ187">
        <f>AH187</f>
        <v>0</v>
      </c>
      <c r="DA187">
        <f>AL187</f>
        <v>1</v>
      </c>
      <c r="DB187">
        <f>ROUND(((ROUND(AT187*CZ187,2)*1.15)*1.2),6)</f>
        <v>0</v>
      </c>
      <c r="DC187">
        <f>ROUND(((ROUND(AT187*AG187,2)*1.15)*1.2),6)</f>
        <v>0</v>
      </c>
      <c r="DD187" t="s">
        <v>3</v>
      </c>
      <c r="DE187" t="s">
        <v>3</v>
      </c>
      <c r="DF187">
        <f t="shared" ref="DF187:DF198" si="75">ROUND(ROUND(AE187,2)*CX187,2)</f>
        <v>0</v>
      </c>
      <c r="DG187">
        <f t="shared" si="74"/>
        <v>0</v>
      </c>
      <c r="DH187">
        <f t="shared" si="71"/>
        <v>0</v>
      </c>
      <c r="DI187">
        <f t="shared" si="56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ROW(Source!A155)</f>
        <v>155</v>
      </c>
      <c r="B188">
        <v>55937296</v>
      </c>
      <c r="C188">
        <v>55937671</v>
      </c>
      <c r="D188">
        <v>55490209</v>
      </c>
      <c r="E188">
        <v>1</v>
      </c>
      <c r="F188">
        <v>1</v>
      </c>
      <c r="G188">
        <v>1081</v>
      </c>
      <c r="H188">
        <v>2</v>
      </c>
      <c r="I188" t="s">
        <v>489</v>
      </c>
      <c r="J188" t="s">
        <v>490</v>
      </c>
      <c r="K188" t="s">
        <v>491</v>
      </c>
      <c r="L188">
        <v>1368</v>
      </c>
      <c r="N188">
        <v>1011</v>
      </c>
      <c r="O188" t="s">
        <v>455</v>
      </c>
      <c r="P188" t="s">
        <v>455</v>
      </c>
      <c r="Q188">
        <v>1</v>
      </c>
      <c r="W188">
        <v>0</v>
      </c>
      <c r="X188">
        <v>874612079</v>
      </c>
      <c r="Y188">
        <f>((AT188*1.25)*1.2)</f>
        <v>2.04</v>
      </c>
      <c r="AA188">
        <v>0</v>
      </c>
      <c r="AB188">
        <v>90.33</v>
      </c>
      <c r="AC188">
        <v>13.72</v>
      </c>
      <c r="AD188">
        <v>0</v>
      </c>
      <c r="AE188">
        <v>0</v>
      </c>
      <c r="AF188">
        <v>83.1</v>
      </c>
      <c r="AG188">
        <v>12.62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1.36</v>
      </c>
      <c r="AU188" t="s">
        <v>281</v>
      </c>
      <c r="AV188">
        <v>0</v>
      </c>
      <c r="AW188">
        <v>2</v>
      </c>
      <c r="AX188">
        <v>55937673</v>
      </c>
      <c r="AY188">
        <v>1</v>
      </c>
      <c r="AZ188">
        <v>0</v>
      </c>
      <c r="BA188">
        <v>244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ROUND(Y188*Source!I155*DO188,9)</f>
        <v>10.29792</v>
      </c>
      <c r="CX188">
        <f>ROUND(Y188*Source!I155,9)</f>
        <v>0.81599999999999995</v>
      </c>
      <c r="CY188">
        <f>AB188</f>
        <v>90.33</v>
      </c>
      <c r="CZ188">
        <f>AF188</f>
        <v>83.1</v>
      </c>
      <c r="DA188">
        <f>AJ188</f>
        <v>1</v>
      </c>
      <c r="DB188">
        <f>ROUND(((ROUND(AT188*CZ188,2)*1.25)*1.2),6)</f>
        <v>169.53</v>
      </c>
      <c r="DC188">
        <f>ROUND(((ROUND(AT188*AG188,2)*1.25)*1.2),6)</f>
        <v>25.74</v>
      </c>
      <c r="DD188" t="s">
        <v>3</v>
      </c>
      <c r="DE188" t="s">
        <v>3</v>
      </c>
      <c r="DF188">
        <f t="shared" si="75"/>
        <v>0</v>
      </c>
      <c r="DG188">
        <f t="shared" si="74"/>
        <v>67.81</v>
      </c>
      <c r="DH188">
        <f t="shared" si="71"/>
        <v>10.3</v>
      </c>
      <c r="DI188">
        <f t="shared" si="56"/>
        <v>0</v>
      </c>
      <c r="DJ188">
        <f>DG188</f>
        <v>67.81</v>
      </c>
      <c r="DK188">
        <v>0</v>
      </c>
      <c r="DL188" t="s">
        <v>492</v>
      </c>
      <c r="DM188">
        <v>0</v>
      </c>
      <c r="DN188" t="s">
        <v>451</v>
      </c>
      <c r="DO188">
        <v>12.62</v>
      </c>
    </row>
    <row r="189" spans="1:119" x14ac:dyDescent="0.2">
      <c r="A189">
        <f>ROW(Source!A155)</f>
        <v>155</v>
      </c>
      <c r="B189">
        <v>55937296</v>
      </c>
      <c r="C189">
        <v>55937671</v>
      </c>
      <c r="D189">
        <v>55490331</v>
      </c>
      <c r="E189">
        <v>1</v>
      </c>
      <c r="F189">
        <v>1</v>
      </c>
      <c r="G189">
        <v>1081</v>
      </c>
      <c r="H189">
        <v>2</v>
      </c>
      <c r="I189" t="s">
        <v>456</v>
      </c>
      <c r="J189" t="s">
        <v>457</v>
      </c>
      <c r="K189" t="s">
        <v>458</v>
      </c>
      <c r="L189">
        <v>1368</v>
      </c>
      <c r="N189">
        <v>1011</v>
      </c>
      <c r="O189" t="s">
        <v>455</v>
      </c>
      <c r="P189" t="s">
        <v>455</v>
      </c>
      <c r="Q189">
        <v>1</v>
      </c>
      <c r="W189">
        <v>0</v>
      </c>
      <c r="X189">
        <v>1043446422</v>
      </c>
      <c r="Y189">
        <f>((AT189*1.25)*1.2)</f>
        <v>0.81</v>
      </c>
      <c r="AA189">
        <v>0</v>
      </c>
      <c r="AB189">
        <v>1.21</v>
      </c>
      <c r="AC189">
        <v>0</v>
      </c>
      <c r="AD189">
        <v>0</v>
      </c>
      <c r="AE189">
        <v>0</v>
      </c>
      <c r="AF189">
        <v>1.1100000000000001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0.54</v>
      </c>
      <c r="AU189" t="s">
        <v>281</v>
      </c>
      <c r="AV189">
        <v>0</v>
      </c>
      <c r="AW189">
        <v>2</v>
      </c>
      <c r="AX189">
        <v>55937674</v>
      </c>
      <c r="AY189">
        <v>1</v>
      </c>
      <c r="AZ189">
        <v>0</v>
      </c>
      <c r="BA189">
        <v>245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ROUND(Y189*Source!I155*DO189,9)</f>
        <v>0</v>
      </c>
      <c r="CX189">
        <f>ROUND(Y189*Source!I155,9)</f>
        <v>0.32400000000000001</v>
      </c>
      <c r="CY189">
        <f>AB189</f>
        <v>1.21</v>
      </c>
      <c r="CZ189">
        <f>AF189</f>
        <v>1.1100000000000001</v>
      </c>
      <c r="DA189">
        <f>AJ189</f>
        <v>1</v>
      </c>
      <c r="DB189">
        <f>ROUND(((ROUND(AT189*CZ189,2)*1.25)*1.2),6)</f>
        <v>0.9</v>
      </c>
      <c r="DC189">
        <f>ROUND(((ROUND(AT189*AG189,2)*1.25)*1.2),6)</f>
        <v>0</v>
      </c>
      <c r="DD189" t="s">
        <v>3</v>
      </c>
      <c r="DE189" t="s">
        <v>3</v>
      </c>
      <c r="DF189">
        <f t="shared" si="75"/>
        <v>0</v>
      </c>
      <c r="DG189">
        <f t="shared" si="74"/>
        <v>0.36</v>
      </c>
      <c r="DH189">
        <f t="shared" si="71"/>
        <v>0</v>
      </c>
      <c r="DI189">
        <f t="shared" si="56"/>
        <v>0</v>
      </c>
      <c r="DJ189">
        <f>DG189</f>
        <v>0.36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ROW(Source!A155)</f>
        <v>155</v>
      </c>
      <c r="B190">
        <v>55937296</v>
      </c>
      <c r="C190">
        <v>55937671</v>
      </c>
      <c r="D190">
        <v>55490296</v>
      </c>
      <c r="E190">
        <v>1</v>
      </c>
      <c r="F190">
        <v>1</v>
      </c>
      <c r="G190">
        <v>1081</v>
      </c>
      <c r="H190">
        <v>2</v>
      </c>
      <c r="I190" t="s">
        <v>477</v>
      </c>
      <c r="J190" t="s">
        <v>478</v>
      </c>
      <c r="K190" t="s">
        <v>479</v>
      </c>
      <c r="L190">
        <v>1368</v>
      </c>
      <c r="N190">
        <v>1011</v>
      </c>
      <c r="O190" t="s">
        <v>455</v>
      </c>
      <c r="P190" t="s">
        <v>455</v>
      </c>
      <c r="Q190">
        <v>1</v>
      </c>
      <c r="W190">
        <v>0</v>
      </c>
      <c r="X190">
        <v>-643591644</v>
      </c>
      <c r="Y190">
        <f>((AT190*1.25)*1.2)</f>
        <v>0.36</v>
      </c>
      <c r="AA190">
        <v>0</v>
      </c>
      <c r="AB190">
        <v>0.51</v>
      </c>
      <c r="AC190">
        <v>0</v>
      </c>
      <c r="AD190">
        <v>0</v>
      </c>
      <c r="AE190">
        <v>0</v>
      </c>
      <c r="AF190">
        <v>0.47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-2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0.24</v>
      </c>
      <c r="AU190" t="s">
        <v>281</v>
      </c>
      <c r="AV190">
        <v>0</v>
      </c>
      <c r="AW190">
        <v>2</v>
      </c>
      <c r="AX190">
        <v>55937675</v>
      </c>
      <c r="AY190">
        <v>1</v>
      </c>
      <c r="AZ190">
        <v>0</v>
      </c>
      <c r="BA190">
        <v>246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ROUND(Y190*Source!I155*DO190,9)</f>
        <v>0</v>
      </c>
      <c r="CX190">
        <f>ROUND(Y190*Source!I155,9)</f>
        <v>0.14399999999999999</v>
      </c>
      <c r="CY190">
        <f>AB190</f>
        <v>0.51</v>
      </c>
      <c r="CZ190">
        <f>AF190</f>
        <v>0.47</v>
      </c>
      <c r="DA190">
        <f>AJ190</f>
        <v>1</v>
      </c>
      <c r="DB190">
        <f>ROUND(((ROUND(AT190*CZ190,2)*1.25)*1.2),6)</f>
        <v>0.16500000000000001</v>
      </c>
      <c r="DC190">
        <f>ROUND(((ROUND(AT190*AG190,2)*1.25)*1.2),6)</f>
        <v>0</v>
      </c>
      <c r="DD190" t="s">
        <v>3</v>
      </c>
      <c r="DE190" t="s">
        <v>3</v>
      </c>
      <c r="DF190">
        <f t="shared" si="75"/>
        <v>0</v>
      </c>
      <c r="DG190">
        <f t="shared" si="74"/>
        <v>7.0000000000000007E-2</v>
      </c>
      <c r="DH190">
        <f t="shared" si="71"/>
        <v>0</v>
      </c>
      <c r="DI190">
        <f t="shared" si="56"/>
        <v>0</v>
      </c>
      <c r="DJ190">
        <f>DG190</f>
        <v>7.0000000000000007E-2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ROW(Source!A155)</f>
        <v>155</v>
      </c>
      <c r="B191">
        <v>55937296</v>
      </c>
      <c r="C191">
        <v>55937671</v>
      </c>
      <c r="D191">
        <v>55461690</v>
      </c>
      <c r="E191">
        <v>1</v>
      </c>
      <c r="F191">
        <v>1</v>
      </c>
      <c r="G191">
        <v>1081</v>
      </c>
      <c r="H191">
        <v>3</v>
      </c>
      <c r="I191" t="s">
        <v>511</v>
      </c>
      <c r="J191" t="s">
        <v>512</v>
      </c>
      <c r="K191" t="s">
        <v>513</v>
      </c>
      <c r="L191">
        <v>1296</v>
      </c>
      <c r="N191">
        <v>1002</v>
      </c>
      <c r="O191" t="s">
        <v>514</v>
      </c>
      <c r="P191" t="s">
        <v>514</v>
      </c>
      <c r="Q191">
        <v>1</v>
      </c>
      <c r="W191">
        <v>0</v>
      </c>
      <c r="X191">
        <v>-770347070</v>
      </c>
      <c r="Y191">
        <f>((AT191*1)*1)</f>
        <v>2.52</v>
      </c>
      <c r="AA191">
        <v>125.73</v>
      </c>
      <c r="AB191">
        <v>0</v>
      </c>
      <c r="AC191">
        <v>0</v>
      </c>
      <c r="AD191">
        <v>0</v>
      </c>
      <c r="AE191">
        <v>125.73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2.52</v>
      </c>
      <c r="AU191" t="s">
        <v>280</v>
      </c>
      <c r="AV191">
        <v>0</v>
      </c>
      <c r="AW191">
        <v>2</v>
      </c>
      <c r="AX191">
        <v>55937676</v>
      </c>
      <c r="AY191">
        <v>1</v>
      </c>
      <c r="AZ191">
        <v>0</v>
      </c>
      <c r="BA191">
        <v>247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ROUND(Y191*Source!I155,9)</f>
        <v>1.008</v>
      </c>
      <c r="CY191">
        <f>AA191</f>
        <v>125.73</v>
      </c>
      <c r="CZ191">
        <f>AE191</f>
        <v>125.73</v>
      </c>
      <c r="DA191">
        <f>AI191</f>
        <v>1</v>
      </c>
      <c r="DB191">
        <f>ROUND(((ROUND(AT191*CZ191,2)*1)*1),6)</f>
        <v>316.83999999999997</v>
      </c>
      <c r="DC191">
        <f>ROUND(((ROUND(AT191*AG191,2)*1)*1),6)</f>
        <v>0</v>
      </c>
      <c r="DD191" t="s">
        <v>3</v>
      </c>
      <c r="DE191" t="s">
        <v>3</v>
      </c>
      <c r="DF191">
        <f t="shared" si="75"/>
        <v>126.74</v>
      </c>
      <c r="DG191">
        <f t="shared" si="74"/>
        <v>0</v>
      </c>
      <c r="DH191">
        <f t="shared" si="71"/>
        <v>0</v>
      </c>
      <c r="DI191">
        <f t="shared" si="56"/>
        <v>0</v>
      </c>
      <c r="DJ191">
        <f>DF191</f>
        <v>126.74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ROW(Source!A155)</f>
        <v>155</v>
      </c>
      <c r="B192">
        <v>55937296</v>
      </c>
      <c r="C192">
        <v>55937671</v>
      </c>
      <c r="D192">
        <v>55469069</v>
      </c>
      <c r="E192">
        <v>1</v>
      </c>
      <c r="F192">
        <v>1</v>
      </c>
      <c r="G192">
        <v>1081</v>
      </c>
      <c r="H192">
        <v>3</v>
      </c>
      <c r="I192" t="s">
        <v>285</v>
      </c>
      <c r="J192" t="s">
        <v>288</v>
      </c>
      <c r="K192" t="s">
        <v>286</v>
      </c>
      <c r="L192">
        <v>1348</v>
      </c>
      <c r="N192">
        <v>1009</v>
      </c>
      <c r="O192" t="s">
        <v>287</v>
      </c>
      <c r="P192" t="s">
        <v>287</v>
      </c>
      <c r="Q192">
        <v>1000</v>
      </c>
      <c r="W192">
        <v>0</v>
      </c>
      <c r="X192">
        <v>-1373885699</v>
      </c>
      <c r="Y192">
        <f>AT192</f>
        <v>1.127</v>
      </c>
      <c r="AA192">
        <v>45481.31</v>
      </c>
      <c r="AB192">
        <v>0</v>
      </c>
      <c r="AC192">
        <v>0</v>
      </c>
      <c r="AD192">
        <v>0</v>
      </c>
      <c r="AE192">
        <v>45481.31</v>
      </c>
      <c r="AF192">
        <v>0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 t="s">
        <v>3</v>
      </c>
      <c r="AT192">
        <v>1.127</v>
      </c>
      <c r="AU192" t="s">
        <v>3</v>
      </c>
      <c r="AV192">
        <v>0</v>
      </c>
      <c r="AW192">
        <v>1</v>
      </c>
      <c r="AX192">
        <v>-1</v>
      </c>
      <c r="AY192">
        <v>0</v>
      </c>
      <c r="AZ192">
        <v>0</v>
      </c>
      <c r="BA192" t="s">
        <v>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ROUND(Y192*Source!I155,9)</f>
        <v>0.45079999999999998</v>
      </c>
      <c r="CY192">
        <f>AA192</f>
        <v>45481.31</v>
      </c>
      <c r="CZ192">
        <f>AE192</f>
        <v>45481.31</v>
      </c>
      <c r="DA192">
        <f>AI192</f>
        <v>1</v>
      </c>
      <c r="DB192">
        <f>ROUND(ROUND(AT192*CZ192,2),6)</f>
        <v>51257.440000000002</v>
      </c>
      <c r="DC192">
        <f>ROUND(ROUND(AT192*AG192,2),6)</f>
        <v>0</v>
      </c>
      <c r="DD192" t="s">
        <v>3</v>
      </c>
      <c r="DE192" t="s">
        <v>3</v>
      </c>
      <c r="DF192">
        <f t="shared" si="75"/>
        <v>20502.97</v>
      </c>
      <c r="DG192">
        <f t="shared" si="74"/>
        <v>0</v>
      </c>
      <c r="DH192">
        <f t="shared" si="71"/>
        <v>0</v>
      </c>
      <c r="DI192">
        <f t="shared" si="56"/>
        <v>0</v>
      </c>
      <c r="DJ192">
        <f>DF192</f>
        <v>20502.97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ROW(Source!A155)</f>
        <v>155</v>
      </c>
      <c r="B193">
        <v>55937296</v>
      </c>
      <c r="C193">
        <v>55937671</v>
      </c>
      <c r="D193">
        <v>55469262</v>
      </c>
      <c r="E193">
        <v>1</v>
      </c>
      <c r="F193">
        <v>1</v>
      </c>
      <c r="G193">
        <v>1081</v>
      </c>
      <c r="H193">
        <v>3</v>
      </c>
      <c r="I193" t="s">
        <v>474</v>
      </c>
      <c r="J193" t="s">
        <v>475</v>
      </c>
      <c r="K193" t="s">
        <v>476</v>
      </c>
      <c r="L193">
        <v>1354</v>
      </c>
      <c r="N193">
        <v>1010</v>
      </c>
      <c r="O193" t="s">
        <v>217</v>
      </c>
      <c r="P193" t="s">
        <v>217</v>
      </c>
      <c r="Q193">
        <v>1</v>
      </c>
      <c r="W193">
        <v>0</v>
      </c>
      <c r="X193">
        <v>-407007888</v>
      </c>
      <c r="Y193">
        <f>((AT193*1)*1)</f>
        <v>9.6000000000000002E-2</v>
      </c>
      <c r="AA193">
        <v>10.53</v>
      </c>
      <c r="AB193">
        <v>0</v>
      </c>
      <c r="AC193">
        <v>0</v>
      </c>
      <c r="AD193">
        <v>0</v>
      </c>
      <c r="AE193">
        <v>10.53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9.6000000000000002E-2</v>
      </c>
      <c r="AU193" t="s">
        <v>280</v>
      </c>
      <c r="AV193">
        <v>0</v>
      </c>
      <c r="AW193">
        <v>2</v>
      </c>
      <c r="AX193">
        <v>55937677</v>
      </c>
      <c r="AY193">
        <v>1</v>
      </c>
      <c r="AZ193">
        <v>0</v>
      </c>
      <c r="BA193">
        <v>248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ROUND(Y193*Source!I155,9)</f>
        <v>3.8399999999999997E-2</v>
      </c>
      <c r="CY193">
        <f>AA193</f>
        <v>10.53</v>
      </c>
      <c r="CZ193">
        <f>AE193</f>
        <v>10.53</v>
      </c>
      <c r="DA193">
        <f>AI193</f>
        <v>1</v>
      </c>
      <c r="DB193">
        <f>ROUND(((ROUND(AT193*CZ193,2)*1)*1),6)</f>
        <v>1.01</v>
      </c>
      <c r="DC193">
        <f>ROUND(((ROUND(AT193*AG193,2)*1)*1),6)</f>
        <v>0</v>
      </c>
      <c r="DD193" t="s">
        <v>3</v>
      </c>
      <c r="DE193" t="s">
        <v>3</v>
      </c>
      <c r="DF193">
        <f t="shared" si="75"/>
        <v>0.4</v>
      </c>
      <c r="DG193">
        <f t="shared" si="74"/>
        <v>0</v>
      </c>
      <c r="DH193">
        <f t="shared" si="71"/>
        <v>0</v>
      </c>
      <c r="DI193">
        <f t="shared" ref="DI193:DI256" si="76">ROUND(ROUND(AH193,2)*CX193,2)</f>
        <v>0</v>
      </c>
      <c r="DJ193">
        <f>DF193</f>
        <v>0.4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ROW(Source!A155)</f>
        <v>155</v>
      </c>
      <c r="B194">
        <v>55937296</v>
      </c>
      <c r="C194">
        <v>55937671</v>
      </c>
      <c r="D194">
        <v>55469472</v>
      </c>
      <c r="E194">
        <v>1</v>
      </c>
      <c r="F194">
        <v>1</v>
      </c>
      <c r="G194">
        <v>1081</v>
      </c>
      <c r="H194">
        <v>3</v>
      </c>
      <c r="I194" t="s">
        <v>515</v>
      </c>
      <c r="J194" t="s">
        <v>516</v>
      </c>
      <c r="K194" t="s">
        <v>517</v>
      </c>
      <c r="L194">
        <v>1355</v>
      </c>
      <c r="N194">
        <v>1010</v>
      </c>
      <c r="O194" t="s">
        <v>60</v>
      </c>
      <c r="P194" t="s">
        <v>60</v>
      </c>
      <c r="Q194">
        <v>100</v>
      </c>
      <c r="W194">
        <v>0</v>
      </c>
      <c r="X194">
        <v>-106825780</v>
      </c>
      <c r="Y194">
        <f>((AT194*1)*1)</f>
        <v>0.61</v>
      </c>
      <c r="AA194">
        <v>278.73</v>
      </c>
      <c r="AB194">
        <v>0</v>
      </c>
      <c r="AC194">
        <v>0</v>
      </c>
      <c r="AD194">
        <v>0</v>
      </c>
      <c r="AE194">
        <v>278.73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0.61</v>
      </c>
      <c r="AU194" t="s">
        <v>280</v>
      </c>
      <c r="AV194">
        <v>0</v>
      </c>
      <c r="AW194">
        <v>2</v>
      </c>
      <c r="AX194">
        <v>55937678</v>
      </c>
      <c r="AY194">
        <v>1</v>
      </c>
      <c r="AZ194">
        <v>0</v>
      </c>
      <c r="BA194">
        <v>249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ROUND(Y194*Source!I155,9)</f>
        <v>0.24399999999999999</v>
      </c>
      <c r="CY194">
        <f>AA194</f>
        <v>278.73</v>
      </c>
      <c r="CZ194">
        <f>AE194</f>
        <v>278.73</v>
      </c>
      <c r="DA194">
        <f>AI194</f>
        <v>1</v>
      </c>
      <c r="DB194">
        <f>ROUND(((ROUND(AT194*CZ194,2)*1)*1),6)</f>
        <v>170.03</v>
      </c>
      <c r="DC194">
        <f>ROUND(((ROUND(AT194*AG194,2)*1)*1),6)</f>
        <v>0</v>
      </c>
      <c r="DD194" t="s">
        <v>3</v>
      </c>
      <c r="DE194" t="s">
        <v>3</v>
      </c>
      <c r="DF194">
        <f t="shared" si="75"/>
        <v>68.010000000000005</v>
      </c>
      <c r="DG194">
        <f t="shared" si="74"/>
        <v>0</v>
      </c>
      <c r="DH194">
        <f t="shared" si="71"/>
        <v>0</v>
      </c>
      <c r="DI194">
        <f t="shared" si="76"/>
        <v>0</v>
      </c>
      <c r="DJ194">
        <f>DF194</f>
        <v>68.010000000000005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ROW(Source!A156)</f>
        <v>156</v>
      </c>
      <c r="B195">
        <v>55937298</v>
      </c>
      <c r="C195">
        <v>55937671</v>
      </c>
      <c r="D195">
        <v>55424304</v>
      </c>
      <c r="E195">
        <v>1081</v>
      </c>
      <c r="F195">
        <v>1</v>
      </c>
      <c r="G195">
        <v>1081</v>
      </c>
      <c r="H195">
        <v>1</v>
      </c>
      <c r="I195" t="s">
        <v>449</v>
      </c>
      <c r="J195" t="s">
        <v>3</v>
      </c>
      <c r="K195" t="s">
        <v>450</v>
      </c>
      <c r="L195">
        <v>1191</v>
      </c>
      <c r="N195">
        <v>1013</v>
      </c>
      <c r="O195" t="s">
        <v>451</v>
      </c>
      <c r="P195" t="s">
        <v>451</v>
      </c>
      <c r="Q195">
        <v>1</v>
      </c>
      <c r="W195">
        <v>0</v>
      </c>
      <c r="X195">
        <v>476480486</v>
      </c>
      <c r="Y195">
        <f>((AT195*1.15)*1.2)</f>
        <v>25.364399999999996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5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18.38</v>
      </c>
      <c r="AU195" t="s">
        <v>282</v>
      </c>
      <c r="AV195">
        <v>1</v>
      </c>
      <c r="AW195">
        <v>2</v>
      </c>
      <c r="AX195">
        <v>55937672</v>
      </c>
      <c r="AY195">
        <v>1</v>
      </c>
      <c r="AZ195">
        <v>0</v>
      </c>
      <c r="BA195">
        <v>251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U195">
        <f>ROUND(AT195*Source!I156*AH195*AL195,2)</f>
        <v>0</v>
      </c>
      <c r="CV195">
        <f>ROUND(Y195*Source!I156,9)</f>
        <v>10.145759999999999</v>
      </c>
      <c r="CW195">
        <v>0</v>
      </c>
      <c r="CX195">
        <f>ROUND(Y195*Source!I156,9)</f>
        <v>10.145759999999999</v>
      </c>
      <c r="CY195">
        <f>AD195</f>
        <v>0</v>
      </c>
      <c r="CZ195">
        <f>AH195</f>
        <v>0</v>
      </c>
      <c r="DA195">
        <f>AL195</f>
        <v>1</v>
      </c>
      <c r="DB195">
        <f>ROUND(((ROUND(AT195*CZ195,2)*1.15)*1.2),6)</f>
        <v>0</v>
      </c>
      <c r="DC195">
        <f>ROUND(((ROUND(AT195*AG195,2)*1.15)*1.2),6)</f>
        <v>0</v>
      </c>
      <c r="DD195" t="s">
        <v>3</v>
      </c>
      <c r="DE195" t="s">
        <v>3</v>
      </c>
      <c r="DF195">
        <f t="shared" si="75"/>
        <v>0</v>
      </c>
      <c r="DG195">
        <f t="shared" si="74"/>
        <v>0</v>
      </c>
      <c r="DH195">
        <f t="shared" si="71"/>
        <v>0</v>
      </c>
      <c r="DI195">
        <f t="shared" si="76"/>
        <v>0</v>
      </c>
      <c r="DJ195">
        <f>DI195</f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ROW(Source!A156)</f>
        <v>156</v>
      </c>
      <c r="B196">
        <v>55937298</v>
      </c>
      <c r="C196">
        <v>55937671</v>
      </c>
      <c r="D196">
        <v>55490209</v>
      </c>
      <c r="E196">
        <v>1</v>
      </c>
      <c r="F196">
        <v>1</v>
      </c>
      <c r="G196">
        <v>1081</v>
      </c>
      <c r="H196">
        <v>2</v>
      </c>
      <c r="I196" t="s">
        <v>489</v>
      </c>
      <c r="J196" t="s">
        <v>490</v>
      </c>
      <c r="K196" t="s">
        <v>491</v>
      </c>
      <c r="L196">
        <v>1368</v>
      </c>
      <c r="N196">
        <v>1011</v>
      </c>
      <c r="O196" t="s">
        <v>455</v>
      </c>
      <c r="P196" t="s">
        <v>455</v>
      </c>
      <c r="Q196">
        <v>1</v>
      </c>
      <c r="W196">
        <v>0</v>
      </c>
      <c r="X196">
        <v>874612079</v>
      </c>
      <c r="Y196">
        <f>((AT196*1.25)*1.2)</f>
        <v>2.04</v>
      </c>
      <c r="AA196">
        <v>0</v>
      </c>
      <c r="AB196">
        <v>1541.93</v>
      </c>
      <c r="AC196">
        <v>773.01</v>
      </c>
      <c r="AD196">
        <v>0</v>
      </c>
      <c r="AE196">
        <v>0</v>
      </c>
      <c r="AF196">
        <v>83.1</v>
      </c>
      <c r="AG196">
        <v>12.62</v>
      </c>
      <c r="AH196">
        <v>0</v>
      </c>
      <c r="AI196">
        <v>1</v>
      </c>
      <c r="AJ196">
        <v>17.07</v>
      </c>
      <c r="AK196">
        <v>56.35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1.36</v>
      </c>
      <c r="AU196" t="s">
        <v>281</v>
      </c>
      <c r="AV196">
        <v>0</v>
      </c>
      <c r="AW196">
        <v>2</v>
      </c>
      <c r="AX196">
        <v>55937673</v>
      </c>
      <c r="AY196">
        <v>1</v>
      </c>
      <c r="AZ196">
        <v>0</v>
      </c>
      <c r="BA196">
        <v>252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ROUND(Y196*Source!I156*DO196,9)</f>
        <v>10.29792</v>
      </c>
      <c r="CX196">
        <f>ROUND(Y196*Source!I156,9)</f>
        <v>0.81599999999999995</v>
      </c>
      <c r="CY196">
        <f>AB196</f>
        <v>1541.93</v>
      </c>
      <c r="CZ196">
        <f>AF196</f>
        <v>83.1</v>
      </c>
      <c r="DA196">
        <f>AJ196</f>
        <v>17.07</v>
      </c>
      <c r="DB196">
        <f>ROUND(((ROUND(AT196*CZ196,2)*1.25)*1.2),6)</f>
        <v>169.53</v>
      </c>
      <c r="DC196">
        <f>ROUND(((ROUND(AT196*AG196,2)*1.25)*1.2),6)</f>
        <v>25.74</v>
      </c>
      <c r="DD196" t="s">
        <v>3</v>
      </c>
      <c r="DE196" t="s">
        <v>3</v>
      </c>
      <c r="DF196">
        <f t="shared" si="75"/>
        <v>0</v>
      </c>
      <c r="DG196">
        <f>ROUND(ROUND(AF196*AJ196,2)*CX196,2)</f>
        <v>1157.51</v>
      </c>
      <c r="DH196">
        <f>ROUND(ROUND(AG196*AK196,2)*CX196,2)</f>
        <v>580.29</v>
      </c>
      <c r="DI196">
        <f t="shared" si="76"/>
        <v>0</v>
      </c>
      <c r="DJ196">
        <f>DG196</f>
        <v>1157.51</v>
      </c>
      <c r="DK196">
        <v>0</v>
      </c>
      <c r="DL196" t="s">
        <v>492</v>
      </c>
      <c r="DM196">
        <v>0</v>
      </c>
      <c r="DN196" t="s">
        <v>451</v>
      </c>
      <c r="DO196">
        <v>12.62</v>
      </c>
    </row>
    <row r="197" spans="1:119" x14ac:dyDescent="0.2">
      <c r="A197">
        <f>ROW(Source!A156)</f>
        <v>156</v>
      </c>
      <c r="B197">
        <v>55937298</v>
      </c>
      <c r="C197">
        <v>55937671</v>
      </c>
      <c r="D197">
        <v>55490331</v>
      </c>
      <c r="E197">
        <v>1</v>
      </c>
      <c r="F197">
        <v>1</v>
      </c>
      <c r="G197">
        <v>1081</v>
      </c>
      <c r="H197">
        <v>2</v>
      </c>
      <c r="I197" t="s">
        <v>456</v>
      </c>
      <c r="J197" t="s">
        <v>457</v>
      </c>
      <c r="K197" t="s">
        <v>458</v>
      </c>
      <c r="L197">
        <v>1368</v>
      </c>
      <c r="N197">
        <v>1011</v>
      </c>
      <c r="O197" t="s">
        <v>455</v>
      </c>
      <c r="P197" t="s">
        <v>455</v>
      </c>
      <c r="Q197">
        <v>1</v>
      </c>
      <c r="W197">
        <v>0</v>
      </c>
      <c r="X197">
        <v>1043446422</v>
      </c>
      <c r="Y197">
        <f>((AT197*1.25)*1.2)</f>
        <v>0.81</v>
      </c>
      <c r="AA197">
        <v>0</v>
      </c>
      <c r="AB197">
        <v>11.49</v>
      </c>
      <c r="AC197">
        <v>0</v>
      </c>
      <c r="AD197">
        <v>0</v>
      </c>
      <c r="AE197">
        <v>0</v>
      </c>
      <c r="AF197">
        <v>1.1100000000000001</v>
      </c>
      <c r="AG197">
        <v>0</v>
      </c>
      <c r="AH197">
        <v>0</v>
      </c>
      <c r="AI197">
        <v>1</v>
      </c>
      <c r="AJ197">
        <v>9.52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0.54</v>
      </c>
      <c r="AU197" t="s">
        <v>281</v>
      </c>
      <c r="AV197">
        <v>0</v>
      </c>
      <c r="AW197">
        <v>2</v>
      </c>
      <c r="AX197">
        <v>55937674</v>
      </c>
      <c r="AY197">
        <v>1</v>
      </c>
      <c r="AZ197">
        <v>0</v>
      </c>
      <c r="BA197">
        <v>253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f>ROUND(Y197*Source!I156*DO197,9)</f>
        <v>0</v>
      </c>
      <c r="CX197">
        <f>ROUND(Y197*Source!I156,9)</f>
        <v>0.32400000000000001</v>
      </c>
      <c r="CY197">
        <f>AB197</f>
        <v>11.49</v>
      </c>
      <c r="CZ197">
        <f>AF197</f>
        <v>1.1100000000000001</v>
      </c>
      <c r="DA197">
        <f>AJ197</f>
        <v>9.52</v>
      </c>
      <c r="DB197">
        <f>ROUND(((ROUND(AT197*CZ197,2)*1.25)*1.2),6)</f>
        <v>0.9</v>
      </c>
      <c r="DC197">
        <f>ROUND(((ROUND(AT197*AG197,2)*1.25)*1.2),6)</f>
        <v>0</v>
      </c>
      <c r="DD197" t="s">
        <v>3</v>
      </c>
      <c r="DE197" t="s">
        <v>3</v>
      </c>
      <c r="DF197">
        <f t="shared" si="75"/>
        <v>0</v>
      </c>
      <c r="DG197">
        <f>ROUND(ROUND(AF197*AJ197,2)*CX197,2)</f>
        <v>3.42</v>
      </c>
      <c r="DH197">
        <f t="shared" ref="DH197:DH214" si="77">ROUND(ROUND(AG197,2)*CX197,2)</f>
        <v>0</v>
      </c>
      <c r="DI197">
        <f t="shared" si="76"/>
        <v>0</v>
      </c>
      <c r="DJ197">
        <f>DG197</f>
        <v>3.42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ROW(Source!A156)</f>
        <v>156</v>
      </c>
      <c r="B198">
        <v>55937298</v>
      </c>
      <c r="C198">
        <v>55937671</v>
      </c>
      <c r="D198">
        <v>55490296</v>
      </c>
      <c r="E198">
        <v>1</v>
      </c>
      <c r="F198">
        <v>1</v>
      </c>
      <c r="G198">
        <v>1081</v>
      </c>
      <c r="H198">
        <v>2</v>
      </c>
      <c r="I198" t="s">
        <v>477</v>
      </c>
      <c r="J198" t="s">
        <v>478</v>
      </c>
      <c r="K198" t="s">
        <v>479</v>
      </c>
      <c r="L198">
        <v>1368</v>
      </c>
      <c r="N198">
        <v>1011</v>
      </c>
      <c r="O198" t="s">
        <v>455</v>
      </c>
      <c r="P198" t="s">
        <v>455</v>
      </c>
      <c r="Q198">
        <v>1</v>
      </c>
      <c r="W198">
        <v>0</v>
      </c>
      <c r="X198">
        <v>-643591644</v>
      </c>
      <c r="Y198">
        <f>((AT198*1.25)*1.2)</f>
        <v>0.36</v>
      </c>
      <c r="AA198">
        <v>0</v>
      </c>
      <c r="AB198">
        <v>4.9400000000000004</v>
      </c>
      <c r="AC198">
        <v>0</v>
      </c>
      <c r="AD198">
        <v>0</v>
      </c>
      <c r="AE198">
        <v>0</v>
      </c>
      <c r="AF198">
        <v>0.47</v>
      </c>
      <c r="AG198">
        <v>0</v>
      </c>
      <c r="AH198">
        <v>0</v>
      </c>
      <c r="AI198">
        <v>1</v>
      </c>
      <c r="AJ198">
        <v>9.66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0.24</v>
      </c>
      <c r="AU198" t="s">
        <v>281</v>
      </c>
      <c r="AV198">
        <v>0</v>
      </c>
      <c r="AW198">
        <v>2</v>
      </c>
      <c r="AX198">
        <v>55937675</v>
      </c>
      <c r="AY198">
        <v>1</v>
      </c>
      <c r="AZ198">
        <v>0</v>
      </c>
      <c r="BA198">
        <v>254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f>ROUND(Y198*Source!I156*DO198,9)</f>
        <v>0</v>
      </c>
      <c r="CX198">
        <f>ROUND(Y198*Source!I156,9)</f>
        <v>0.14399999999999999</v>
      </c>
      <c r="CY198">
        <f>AB198</f>
        <v>4.9400000000000004</v>
      </c>
      <c r="CZ198">
        <f>AF198</f>
        <v>0.47</v>
      </c>
      <c r="DA198">
        <f>AJ198</f>
        <v>9.66</v>
      </c>
      <c r="DB198">
        <f>ROUND(((ROUND(AT198*CZ198,2)*1.25)*1.2),6)</f>
        <v>0.16500000000000001</v>
      </c>
      <c r="DC198">
        <f>ROUND(((ROUND(AT198*AG198,2)*1.25)*1.2),6)</f>
        <v>0</v>
      </c>
      <c r="DD198" t="s">
        <v>3</v>
      </c>
      <c r="DE198" t="s">
        <v>3</v>
      </c>
      <c r="DF198">
        <f t="shared" si="75"/>
        <v>0</v>
      </c>
      <c r="DG198">
        <f>ROUND(ROUND(AF198*AJ198,2)*CX198,2)</f>
        <v>0.65</v>
      </c>
      <c r="DH198">
        <f t="shared" si="77"/>
        <v>0</v>
      </c>
      <c r="DI198">
        <f t="shared" si="76"/>
        <v>0</v>
      </c>
      <c r="DJ198">
        <f>DG198</f>
        <v>0.65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ROW(Source!A156)</f>
        <v>156</v>
      </c>
      <c r="B199">
        <v>55937298</v>
      </c>
      <c r="C199">
        <v>55937671</v>
      </c>
      <c r="D199">
        <v>55461690</v>
      </c>
      <c r="E199">
        <v>1</v>
      </c>
      <c r="F199">
        <v>1</v>
      </c>
      <c r="G199">
        <v>1081</v>
      </c>
      <c r="H199">
        <v>3</v>
      </c>
      <c r="I199" t="s">
        <v>511</v>
      </c>
      <c r="J199" t="s">
        <v>512</v>
      </c>
      <c r="K199" t="s">
        <v>513</v>
      </c>
      <c r="L199">
        <v>1296</v>
      </c>
      <c r="N199">
        <v>1002</v>
      </c>
      <c r="O199" t="s">
        <v>514</v>
      </c>
      <c r="P199" t="s">
        <v>514</v>
      </c>
      <c r="Q199">
        <v>1</v>
      </c>
      <c r="W199">
        <v>0</v>
      </c>
      <c r="X199">
        <v>-770347070</v>
      </c>
      <c r="Y199">
        <f>((AT199*1)*1)</f>
        <v>2.52</v>
      </c>
      <c r="AA199">
        <v>350.79</v>
      </c>
      <c r="AB199">
        <v>0</v>
      </c>
      <c r="AC199">
        <v>0</v>
      </c>
      <c r="AD199">
        <v>0</v>
      </c>
      <c r="AE199">
        <v>125.73</v>
      </c>
      <c r="AF199">
        <v>0</v>
      </c>
      <c r="AG199">
        <v>0</v>
      </c>
      <c r="AH199">
        <v>0</v>
      </c>
      <c r="AI199">
        <v>2.79</v>
      </c>
      <c r="AJ199">
        <v>1</v>
      </c>
      <c r="AK199">
        <v>1</v>
      </c>
      <c r="AL199">
        <v>1</v>
      </c>
      <c r="AM199">
        <v>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2.52</v>
      </c>
      <c r="AU199" t="s">
        <v>280</v>
      </c>
      <c r="AV199">
        <v>0</v>
      </c>
      <c r="AW199">
        <v>2</v>
      </c>
      <c r="AX199">
        <v>55937676</v>
      </c>
      <c r="AY199">
        <v>1</v>
      </c>
      <c r="AZ199">
        <v>0</v>
      </c>
      <c r="BA199">
        <v>255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ROUND(Y199*Source!I156,9)</f>
        <v>1.008</v>
      </c>
      <c r="CY199">
        <f>AA199</f>
        <v>350.79</v>
      </c>
      <c r="CZ199">
        <f>AE199</f>
        <v>125.73</v>
      </c>
      <c r="DA199">
        <f>AI199</f>
        <v>2.79</v>
      </c>
      <c r="DB199">
        <f>ROUND(((ROUND(AT199*CZ199,2)*1)*1),6)</f>
        <v>316.83999999999997</v>
      </c>
      <c r="DC199">
        <f>ROUND(((ROUND(AT199*AG199,2)*1)*1),6)</f>
        <v>0</v>
      </c>
      <c r="DD199" t="s">
        <v>3</v>
      </c>
      <c r="DE199" t="s">
        <v>3</v>
      </c>
      <c r="DF199">
        <f>ROUND(ROUND(AE199*AI199,2)*CX199,2)</f>
        <v>353.6</v>
      </c>
      <c r="DG199">
        <f t="shared" ref="DG199:DG214" si="78">ROUND(ROUND(AF199,2)*CX199,2)</f>
        <v>0</v>
      </c>
      <c r="DH199">
        <f t="shared" si="77"/>
        <v>0</v>
      </c>
      <c r="DI199">
        <f t="shared" si="76"/>
        <v>0</v>
      </c>
      <c r="DJ199">
        <f>DF199</f>
        <v>353.6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ROW(Source!A156)</f>
        <v>156</v>
      </c>
      <c r="B200">
        <v>55937298</v>
      </c>
      <c r="C200">
        <v>55937671</v>
      </c>
      <c r="D200">
        <v>55469069</v>
      </c>
      <c r="E200">
        <v>1</v>
      </c>
      <c r="F200">
        <v>1</v>
      </c>
      <c r="G200">
        <v>1081</v>
      </c>
      <c r="H200">
        <v>3</v>
      </c>
      <c r="I200" t="s">
        <v>285</v>
      </c>
      <c r="J200" t="s">
        <v>288</v>
      </c>
      <c r="K200" t="s">
        <v>286</v>
      </c>
      <c r="L200">
        <v>1348</v>
      </c>
      <c r="N200">
        <v>1009</v>
      </c>
      <c r="O200" t="s">
        <v>287</v>
      </c>
      <c r="P200" t="s">
        <v>287</v>
      </c>
      <c r="Q200">
        <v>1000</v>
      </c>
      <c r="W200">
        <v>0</v>
      </c>
      <c r="X200">
        <v>-1373885699</v>
      </c>
      <c r="Y200">
        <f>AT200</f>
        <v>1.127</v>
      </c>
      <c r="AA200">
        <v>115522.53</v>
      </c>
      <c r="AB200">
        <v>0</v>
      </c>
      <c r="AC200">
        <v>0</v>
      </c>
      <c r="AD200">
        <v>0</v>
      </c>
      <c r="AE200">
        <v>45481.31</v>
      </c>
      <c r="AF200">
        <v>0</v>
      </c>
      <c r="AG200">
        <v>0</v>
      </c>
      <c r="AH200">
        <v>0</v>
      </c>
      <c r="AI200">
        <v>2.54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1.127</v>
      </c>
      <c r="AU200" t="s">
        <v>3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ROUND(Y200*Source!I156,9)</f>
        <v>0.45079999999999998</v>
      </c>
      <c r="CY200">
        <f>AA200</f>
        <v>115522.53</v>
      </c>
      <c r="CZ200">
        <f>AE200</f>
        <v>45481.31</v>
      </c>
      <c r="DA200">
        <f>AI200</f>
        <v>2.54</v>
      </c>
      <c r="DB200">
        <f>ROUND(ROUND(AT200*CZ200,2),6)</f>
        <v>51257.440000000002</v>
      </c>
      <c r="DC200">
        <f>ROUND(ROUND(AT200*AG200,2),6)</f>
        <v>0</v>
      </c>
      <c r="DD200" t="s">
        <v>3</v>
      </c>
      <c r="DE200" t="s">
        <v>3</v>
      </c>
      <c r="DF200">
        <f>ROUND(ROUND(AE200*AI200,2)*CX200,2)</f>
        <v>52077.56</v>
      </c>
      <c r="DG200">
        <f t="shared" si="78"/>
        <v>0</v>
      </c>
      <c r="DH200">
        <f t="shared" si="77"/>
        <v>0</v>
      </c>
      <c r="DI200">
        <f t="shared" si="76"/>
        <v>0</v>
      </c>
      <c r="DJ200">
        <f>DF200</f>
        <v>52077.56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ROW(Source!A156)</f>
        <v>156</v>
      </c>
      <c r="B201">
        <v>55937298</v>
      </c>
      <c r="C201">
        <v>55937671</v>
      </c>
      <c r="D201">
        <v>55469262</v>
      </c>
      <c r="E201">
        <v>1</v>
      </c>
      <c r="F201">
        <v>1</v>
      </c>
      <c r="G201">
        <v>1081</v>
      </c>
      <c r="H201">
        <v>3</v>
      </c>
      <c r="I201" t="s">
        <v>474</v>
      </c>
      <c r="J201" t="s">
        <v>475</v>
      </c>
      <c r="K201" t="s">
        <v>476</v>
      </c>
      <c r="L201">
        <v>1354</v>
      </c>
      <c r="N201">
        <v>1010</v>
      </c>
      <c r="O201" t="s">
        <v>217</v>
      </c>
      <c r="P201" t="s">
        <v>217</v>
      </c>
      <c r="Q201">
        <v>1</v>
      </c>
      <c r="W201">
        <v>0</v>
      </c>
      <c r="X201">
        <v>-407007888</v>
      </c>
      <c r="Y201">
        <f>((AT201*1)*1)</f>
        <v>9.6000000000000002E-2</v>
      </c>
      <c r="AA201">
        <v>103.72</v>
      </c>
      <c r="AB201">
        <v>0</v>
      </c>
      <c r="AC201">
        <v>0</v>
      </c>
      <c r="AD201">
        <v>0</v>
      </c>
      <c r="AE201">
        <v>10.53</v>
      </c>
      <c r="AF201">
        <v>0</v>
      </c>
      <c r="AG201">
        <v>0</v>
      </c>
      <c r="AH201">
        <v>0</v>
      </c>
      <c r="AI201">
        <v>9.85</v>
      </c>
      <c r="AJ201">
        <v>1</v>
      </c>
      <c r="AK201">
        <v>1</v>
      </c>
      <c r="AL201">
        <v>1</v>
      </c>
      <c r="AM201">
        <v>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9.6000000000000002E-2</v>
      </c>
      <c r="AU201" t="s">
        <v>280</v>
      </c>
      <c r="AV201">
        <v>0</v>
      </c>
      <c r="AW201">
        <v>2</v>
      </c>
      <c r="AX201">
        <v>55937677</v>
      </c>
      <c r="AY201">
        <v>1</v>
      </c>
      <c r="AZ201">
        <v>0</v>
      </c>
      <c r="BA201">
        <v>256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v>0</v>
      </c>
      <c r="CX201">
        <f>ROUND(Y201*Source!I156,9)</f>
        <v>3.8399999999999997E-2</v>
      </c>
      <c r="CY201">
        <f>AA201</f>
        <v>103.72</v>
      </c>
      <c r="CZ201">
        <f>AE201</f>
        <v>10.53</v>
      </c>
      <c r="DA201">
        <f>AI201</f>
        <v>9.85</v>
      </c>
      <c r="DB201">
        <f>ROUND(((ROUND(AT201*CZ201,2)*1)*1),6)</f>
        <v>1.01</v>
      </c>
      <c r="DC201">
        <f>ROUND(((ROUND(AT201*AG201,2)*1)*1),6)</f>
        <v>0</v>
      </c>
      <c r="DD201" t="s">
        <v>3</v>
      </c>
      <c r="DE201" t="s">
        <v>3</v>
      </c>
      <c r="DF201">
        <f>ROUND(ROUND(AE201*AI201,2)*CX201,2)</f>
        <v>3.98</v>
      </c>
      <c r="DG201">
        <f t="shared" si="78"/>
        <v>0</v>
      </c>
      <c r="DH201">
        <f t="shared" si="77"/>
        <v>0</v>
      </c>
      <c r="DI201">
        <f t="shared" si="76"/>
        <v>0</v>
      </c>
      <c r="DJ201">
        <f>DF201</f>
        <v>3.98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ROW(Source!A156)</f>
        <v>156</v>
      </c>
      <c r="B202">
        <v>55937298</v>
      </c>
      <c r="C202">
        <v>55937671</v>
      </c>
      <c r="D202">
        <v>55469472</v>
      </c>
      <c r="E202">
        <v>1</v>
      </c>
      <c r="F202">
        <v>1</v>
      </c>
      <c r="G202">
        <v>1081</v>
      </c>
      <c r="H202">
        <v>3</v>
      </c>
      <c r="I202" t="s">
        <v>515</v>
      </c>
      <c r="J202" t="s">
        <v>516</v>
      </c>
      <c r="K202" t="s">
        <v>517</v>
      </c>
      <c r="L202">
        <v>1355</v>
      </c>
      <c r="N202">
        <v>1010</v>
      </c>
      <c r="O202" t="s">
        <v>60</v>
      </c>
      <c r="P202" t="s">
        <v>60</v>
      </c>
      <c r="Q202">
        <v>100</v>
      </c>
      <c r="W202">
        <v>0</v>
      </c>
      <c r="X202">
        <v>-106825780</v>
      </c>
      <c r="Y202">
        <f>((AT202*1)*1)</f>
        <v>0.61</v>
      </c>
      <c r="AA202">
        <v>3654.15</v>
      </c>
      <c r="AB202">
        <v>0</v>
      </c>
      <c r="AC202">
        <v>0</v>
      </c>
      <c r="AD202">
        <v>0</v>
      </c>
      <c r="AE202">
        <v>278.73</v>
      </c>
      <c r="AF202">
        <v>0</v>
      </c>
      <c r="AG202">
        <v>0</v>
      </c>
      <c r="AH202">
        <v>0</v>
      </c>
      <c r="AI202">
        <v>13.11</v>
      </c>
      <c r="AJ202">
        <v>1</v>
      </c>
      <c r="AK202">
        <v>1</v>
      </c>
      <c r="AL202">
        <v>1</v>
      </c>
      <c r="AM202">
        <v>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0.61</v>
      </c>
      <c r="AU202" t="s">
        <v>280</v>
      </c>
      <c r="AV202">
        <v>0</v>
      </c>
      <c r="AW202">
        <v>2</v>
      </c>
      <c r="AX202">
        <v>55937678</v>
      </c>
      <c r="AY202">
        <v>1</v>
      </c>
      <c r="AZ202">
        <v>0</v>
      </c>
      <c r="BA202">
        <v>257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v>0</v>
      </c>
      <c r="CX202">
        <f>ROUND(Y202*Source!I156,9)</f>
        <v>0.24399999999999999</v>
      </c>
      <c r="CY202">
        <f>AA202</f>
        <v>3654.15</v>
      </c>
      <c r="CZ202">
        <f>AE202</f>
        <v>278.73</v>
      </c>
      <c r="DA202">
        <f>AI202</f>
        <v>13.11</v>
      </c>
      <c r="DB202">
        <f>ROUND(((ROUND(AT202*CZ202,2)*1)*1),6)</f>
        <v>170.03</v>
      </c>
      <c r="DC202">
        <f>ROUND(((ROUND(AT202*AG202,2)*1)*1),6)</f>
        <v>0</v>
      </c>
      <c r="DD202" t="s">
        <v>3</v>
      </c>
      <c r="DE202" t="s">
        <v>3</v>
      </c>
      <c r="DF202">
        <f>ROUND(ROUND(AE202*AI202,2)*CX202,2)</f>
        <v>891.61</v>
      </c>
      <c r="DG202">
        <f t="shared" si="78"/>
        <v>0</v>
      </c>
      <c r="DH202">
        <f t="shared" si="77"/>
        <v>0</v>
      </c>
      <c r="DI202">
        <f t="shared" si="76"/>
        <v>0</v>
      </c>
      <c r="DJ202">
        <f>DF202</f>
        <v>891.61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ROW(Source!A159)</f>
        <v>159</v>
      </c>
      <c r="B203">
        <v>55937296</v>
      </c>
      <c r="C203">
        <v>55937681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449</v>
      </c>
      <c r="J203" t="s">
        <v>3</v>
      </c>
      <c r="K203" t="s">
        <v>450</v>
      </c>
      <c r="L203">
        <v>1191</v>
      </c>
      <c r="N203">
        <v>1013</v>
      </c>
      <c r="O203" t="s">
        <v>451</v>
      </c>
      <c r="P203" t="s">
        <v>451</v>
      </c>
      <c r="Q203">
        <v>1</v>
      </c>
      <c r="W203">
        <v>0</v>
      </c>
      <c r="X203">
        <v>476480486</v>
      </c>
      <c r="Y203">
        <f>(AT203*1.2)</f>
        <v>8.4000000000000005E-2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7.0000000000000007E-2</v>
      </c>
      <c r="AU203" t="s">
        <v>114</v>
      </c>
      <c r="AV203">
        <v>1</v>
      </c>
      <c r="AW203">
        <v>2</v>
      </c>
      <c r="AX203">
        <v>55937682</v>
      </c>
      <c r="AY203">
        <v>1</v>
      </c>
      <c r="AZ203">
        <v>0</v>
      </c>
      <c r="BA203">
        <v>259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U203">
        <f>ROUND(AT203*Source!I159*AH203*AL203,2)</f>
        <v>0</v>
      </c>
      <c r="CV203">
        <f>ROUND(Y203*Source!I159,9)</f>
        <v>0.67200000000000004</v>
      </c>
      <c r="CW203">
        <v>0</v>
      </c>
      <c r="CX203">
        <f>ROUND(Y203*Source!I159,9)</f>
        <v>0.67200000000000004</v>
      </c>
      <c r="CY203">
        <f>AD203</f>
        <v>0</v>
      </c>
      <c r="CZ203">
        <f>AH203</f>
        <v>0</v>
      </c>
      <c r="DA203">
        <f>AL203</f>
        <v>1</v>
      </c>
      <c r="DB203">
        <f>ROUND((ROUND(AT203*CZ203,2)*1.2),6)</f>
        <v>0</v>
      </c>
      <c r="DC203">
        <f>ROUND((ROUND(AT203*AG203,2)*1.2),6)</f>
        <v>0</v>
      </c>
      <c r="DD203" t="s">
        <v>3</v>
      </c>
      <c r="DE203" t="s">
        <v>3</v>
      </c>
      <c r="DF203">
        <f>ROUND(ROUND(AE203,2)*CX203,2)</f>
        <v>0</v>
      </c>
      <c r="DG203">
        <f t="shared" si="78"/>
        <v>0</v>
      </c>
      <c r="DH203">
        <f t="shared" si="77"/>
        <v>0</v>
      </c>
      <c r="DI203">
        <f t="shared" si="76"/>
        <v>0</v>
      </c>
      <c r="DJ203">
        <f>DI203</f>
        <v>0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ROW(Source!A159)</f>
        <v>159</v>
      </c>
      <c r="B204">
        <v>55937296</v>
      </c>
      <c r="C204">
        <v>55937681</v>
      </c>
      <c r="D204">
        <v>55480432</v>
      </c>
      <c r="E204">
        <v>1</v>
      </c>
      <c r="F204">
        <v>1</v>
      </c>
      <c r="G204">
        <v>1081</v>
      </c>
      <c r="H204">
        <v>3</v>
      </c>
      <c r="I204" t="s">
        <v>293</v>
      </c>
      <c r="J204" t="s">
        <v>295</v>
      </c>
      <c r="K204" t="s">
        <v>294</v>
      </c>
      <c r="L204">
        <v>1354</v>
      </c>
      <c r="N204">
        <v>1010</v>
      </c>
      <c r="O204" t="s">
        <v>217</v>
      </c>
      <c r="P204" t="s">
        <v>217</v>
      </c>
      <c r="Q204">
        <v>1</v>
      </c>
      <c r="W204">
        <v>0</v>
      </c>
      <c r="X204">
        <v>-1253698249</v>
      </c>
      <c r="Y204">
        <f>(AT204*1)</f>
        <v>1</v>
      </c>
      <c r="AA204">
        <v>2740.08</v>
      </c>
      <c r="AB204">
        <v>0</v>
      </c>
      <c r="AC204">
        <v>0</v>
      </c>
      <c r="AD204">
        <v>0</v>
      </c>
      <c r="AE204">
        <v>2740.08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1</v>
      </c>
      <c r="AU204" t="s">
        <v>113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ROUND(Y204*Source!I159,9)</f>
        <v>8</v>
      </c>
      <c r="CY204">
        <f>AA204</f>
        <v>2740.08</v>
      </c>
      <c r="CZ204">
        <f>AE204</f>
        <v>2740.08</v>
      </c>
      <c r="DA204">
        <f>AI204</f>
        <v>1</v>
      </c>
      <c r="DB204">
        <f>ROUND((ROUND(AT204*CZ204,2)*1),6)</f>
        <v>2740.08</v>
      </c>
      <c r="DC204">
        <f>ROUND((ROUND(AT204*AG204,2)*1),6)</f>
        <v>0</v>
      </c>
      <c r="DD204" t="s">
        <v>3</v>
      </c>
      <c r="DE204" t="s">
        <v>3</v>
      </c>
      <c r="DF204">
        <f>ROUND(ROUND(AE204,2)*CX204,2)</f>
        <v>21920.639999999999</v>
      </c>
      <c r="DG204">
        <f t="shared" si="78"/>
        <v>0</v>
      </c>
      <c r="DH204">
        <f t="shared" si="77"/>
        <v>0</v>
      </c>
      <c r="DI204">
        <f t="shared" si="76"/>
        <v>0</v>
      </c>
      <c r="DJ204">
        <f>DF204</f>
        <v>21920.639999999999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ROW(Source!A160)</f>
        <v>160</v>
      </c>
      <c r="B205">
        <v>55937298</v>
      </c>
      <c r="C205">
        <v>55937681</v>
      </c>
      <c r="D205">
        <v>55424304</v>
      </c>
      <c r="E205">
        <v>1081</v>
      </c>
      <c r="F205">
        <v>1</v>
      </c>
      <c r="G205">
        <v>1081</v>
      </c>
      <c r="H205">
        <v>1</v>
      </c>
      <c r="I205" t="s">
        <v>449</v>
      </c>
      <c r="J205" t="s">
        <v>3</v>
      </c>
      <c r="K205" t="s">
        <v>450</v>
      </c>
      <c r="L205">
        <v>1191</v>
      </c>
      <c r="N205">
        <v>1013</v>
      </c>
      <c r="O205" t="s">
        <v>451</v>
      </c>
      <c r="P205" t="s">
        <v>451</v>
      </c>
      <c r="Q205">
        <v>1</v>
      </c>
      <c r="W205">
        <v>0</v>
      </c>
      <c r="X205">
        <v>476480486</v>
      </c>
      <c r="Y205">
        <f>(AT205*1.2)</f>
        <v>8.4000000000000005E-2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5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7.0000000000000007E-2</v>
      </c>
      <c r="AU205" t="s">
        <v>114</v>
      </c>
      <c r="AV205">
        <v>1</v>
      </c>
      <c r="AW205">
        <v>2</v>
      </c>
      <c r="AX205">
        <v>55937682</v>
      </c>
      <c r="AY205">
        <v>1</v>
      </c>
      <c r="AZ205">
        <v>0</v>
      </c>
      <c r="BA205">
        <v>261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U205">
        <f>ROUND(AT205*Source!I160*AH205*AL205,2)</f>
        <v>0</v>
      </c>
      <c r="CV205">
        <f>ROUND(Y205*Source!I160,9)</f>
        <v>0.67200000000000004</v>
      </c>
      <c r="CW205">
        <v>0</v>
      </c>
      <c r="CX205">
        <f>ROUND(Y205*Source!I160,9)</f>
        <v>0.67200000000000004</v>
      </c>
      <c r="CY205">
        <f>AD205</f>
        <v>0</v>
      </c>
      <c r="CZ205">
        <f>AH205</f>
        <v>0</v>
      </c>
      <c r="DA205">
        <f>AL205</f>
        <v>1</v>
      </c>
      <c r="DB205">
        <f>ROUND((ROUND(AT205*CZ205,2)*1.2),6)</f>
        <v>0</v>
      </c>
      <c r="DC205">
        <f>ROUND((ROUND(AT205*AG205,2)*1.2),6)</f>
        <v>0</v>
      </c>
      <c r="DD205" t="s">
        <v>3</v>
      </c>
      <c r="DE205" t="s">
        <v>3</v>
      </c>
      <c r="DF205">
        <f>ROUND(ROUND(AE205,2)*CX205,2)</f>
        <v>0</v>
      </c>
      <c r="DG205">
        <f t="shared" si="78"/>
        <v>0</v>
      </c>
      <c r="DH205">
        <f t="shared" si="77"/>
        <v>0</v>
      </c>
      <c r="DI205">
        <f t="shared" si="76"/>
        <v>0</v>
      </c>
      <c r="DJ205">
        <f>DI205</f>
        <v>0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ROW(Source!A160)</f>
        <v>160</v>
      </c>
      <c r="B206">
        <v>55937298</v>
      </c>
      <c r="C206">
        <v>55937681</v>
      </c>
      <c r="D206">
        <v>55480432</v>
      </c>
      <c r="E206">
        <v>1</v>
      </c>
      <c r="F206">
        <v>1</v>
      </c>
      <c r="G206">
        <v>1081</v>
      </c>
      <c r="H206">
        <v>3</v>
      </c>
      <c r="I206" t="s">
        <v>293</v>
      </c>
      <c r="J206" t="s">
        <v>295</v>
      </c>
      <c r="K206" t="s">
        <v>294</v>
      </c>
      <c r="L206">
        <v>1354</v>
      </c>
      <c r="N206">
        <v>1010</v>
      </c>
      <c r="O206" t="s">
        <v>217</v>
      </c>
      <c r="P206" t="s">
        <v>217</v>
      </c>
      <c r="Q206">
        <v>1</v>
      </c>
      <c r="W206">
        <v>0</v>
      </c>
      <c r="X206">
        <v>-1253698249</v>
      </c>
      <c r="Y206">
        <f>(AT206*1)</f>
        <v>1</v>
      </c>
      <c r="AA206">
        <v>16330.88</v>
      </c>
      <c r="AB206">
        <v>0</v>
      </c>
      <c r="AC206">
        <v>0</v>
      </c>
      <c r="AD206">
        <v>0</v>
      </c>
      <c r="AE206">
        <v>2740.08</v>
      </c>
      <c r="AF206">
        <v>0</v>
      </c>
      <c r="AG206">
        <v>0</v>
      </c>
      <c r="AH206">
        <v>0</v>
      </c>
      <c r="AI206">
        <v>5.96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 t="s">
        <v>3</v>
      </c>
      <c r="AT206">
        <v>1</v>
      </c>
      <c r="AU206" t="s">
        <v>113</v>
      </c>
      <c r="AV206">
        <v>0</v>
      </c>
      <c r="AW206">
        <v>1</v>
      </c>
      <c r="AX206">
        <v>-1</v>
      </c>
      <c r="AY206">
        <v>0</v>
      </c>
      <c r="AZ206">
        <v>0</v>
      </c>
      <c r="BA206" t="s">
        <v>3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ROUND(Y206*Source!I160,9)</f>
        <v>8</v>
      </c>
      <c r="CY206">
        <f>AA206</f>
        <v>16330.88</v>
      </c>
      <c r="CZ206">
        <f>AE206</f>
        <v>2740.08</v>
      </c>
      <c r="DA206">
        <f>AI206</f>
        <v>5.96</v>
      </c>
      <c r="DB206">
        <f>ROUND((ROUND(AT206*CZ206,2)*1),6)</f>
        <v>2740.08</v>
      </c>
      <c r="DC206">
        <f>ROUND((ROUND(AT206*AG206,2)*1),6)</f>
        <v>0</v>
      </c>
      <c r="DD206" t="s">
        <v>3</v>
      </c>
      <c r="DE206" t="s">
        <v>3</v>
      </c>
      <c r="DF206">
        <f>ROUND(ROUND(AE206*AI206,2)*CX206,2)</f>
        <v>130647.03999999999</v>
      </c>
      <c r="DG206">
        <f t="shared" si="78"/>
        <v>0</v>
      </c>
      <c r="DH206">
        <f t="shared" si="77"/>
        <v>0</v>
      </c>
      <c r="DI206">
        <f t="shared" si="76"/>
        <v>0</v>
      </c>
      <c r="DJ206">
        <f>DF206</f>
        <v>130647.03999999999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ROW(Source!A163)</f>
        <v>163</v>
      </c>
      <c r="B207">
        <v>55937296</v>
      </c>
      <c r="C207">
        <v>55937685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449</v>
      </c>
      <c r="J207" t="s">
        <v>3</v>
      </c>
      <c r="K207" t="s">
        <v>450</v>
      </c>
      <c r="L207">
        <v>1191</v>
      </c>
      <c r="N207">
        <v>1013</v>
      </c>
      <c r="O207" t="s">
        <v>451</v>
      </c>
      <c r="P207" t="s">
        <v>451</v>
      </c>
      <c r="Q207">
        <v>1</v>
      </c>
      <c r="W207">
        <v>0</v>
      </c>
      <c r="X207">
        <v>476480486</v>
      </c>
      <c r="Y207">
        <f>((AT207*1.15)*1.2)</f>
        <v>15.966599999999998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11.57</v>
      </c>
      <c r="AU207" t="s">
        <v>282</v>
      </c>
      <c r="AV207">
        <v>1</v>
      </c>
      <c r="AW207">
        <v>2</v>
      </c>
      <c r="AX207">
        <v>55937686</v>
      </c>
      <c r="AY207">
        <v>1</v>
      </c>
      <c r="AZ207">
        <v>0</v>
      </c>
      <c r="BA207">
        <v>263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U207">
        <f>ROUND(AT207*Source!I163*AH207*AL207,2)</f>
        <v>0</v>
      </c>
      <c r="CV207">
        <f>ROUND(Y207*Source!I163,9)</f>
        <v>0.63866400000000001</v>
      </c>
      <c r="CW207">
        <v>0</v>
      </c>
      <c r="CX207">
        <f>ROUND(Y207*Source!I163,9)</f>
        <v>0.63866400000000001</v>
      </c>
      <c r="CY207">
        <f>AD207</f>
        <v>0</v>
      </c>
      <c r="CZ207">
        <f>AH207</f>
        <v>0</v>
      </c>
      <c r="DA207">
        <f>AL207</f>
        <v>1</v>
      </c>
      <c r="DB207">
        <f>ROUND(((ROUND(AT207*CZ207,2)*1.15)*1.2),6)</f>
        <v>0</v>
      </c>
      <c r="DC207">
        <f>ROUND(((ROUND(AT207*AG207,2)*1.15)*1.2),6)</f>
        <v>0</v>
      </c>
      <c r="DD207" t="s">
        <v>3</v>
      </c>
      <c r="DE207" t="s">
        <v>3</v>
      </c>
      <c r="DF207">
        <f t="shared" ref="DF207:DF217" si="79">ROUND(ROUND(AE207,2)*CX207,2)</f>
        <v>0</v>
      </c>
      <c r="DG207">
        <f t="shared" si="78"/>
        <v>0</v>
      </c>
      <c r="DH207">
        <f t="shared" si="77"/>
        <v>0</v>
      </c>
      <c r="DI207">
        <f t="shared" si="76"/>
        <v>0</v>
      </c>
      <c r="DJ207">
        <f>DI207</f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ROW(Source!A163)</f>
        <v>163</v>
      </c>
      <c r="B208">
        <v>55937296</v>
      </c>
      <c r="C208">
        <v>55937685</v>
      </c>
      <c r="D208">
        <v>55490209</v>
      </c>
      <c r="E208">
        <v>1</v>
      </c>
      <c r="F208">
        <v>1</v>
      </c>
      <c r="G208">
        <v>1081</v>
      </c>
      <c r="H208">
        <v>2</v>
      </c>
      <c r="I208" t="s">
        <v>489</v>
      </c>
      <c r="J208" t="s">
        <v>490</v>
      </c>
      <c r="K208" t="s">
        <v>491</v>
      </c>
      <c r="L208">
        <v>1368</v>
      </c>
      <c r="N208">
        <v>1011</v>
      </c>
      <c r="O208" t="s">
        <v>455</v>
      </c>
      <c r="P208" t="s">
        <v>455</v>
      </c>
      <c r="Q208">
        <v>1</v>
      </c>
      <c r="W208">
        <v>0</v>
      </c>
      <c r="X208">
        <v>874612079</v>
      </c>
      <c r="Y208">
        <f>((AT208*1.25)*1.2)</f>
        <v>0.26999999999999996</v>
      </c>
      <c r="AA208">
        <v>0</v>
      </c>
      <c r="AB208">
        <v>90.33</v>
      </c>
      <c r="AC208">
        <v>13.72</v>
      </c>
      <c r="AD208">
        <v>0</v>
      </c>
      <c r="AE208">
        <v>0</v>
      </c>
      <c r="AF208">
        <v>83.1</v>
      </c>
      <c r="AG208">
        <v>12.62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0.18</v>
      </c>
      <c r="AU208" t="s">
        <v>281</v>
      </c>
      <c r="AV208">
        <v>0</v>
      </c>
      <c r="AW208">
        <v>2</v>
      </c>
      <c r="AX208">
        <v>55937687</v>
      </c>
      <c r="AY208">
        <v>1</v>
      </c>
      <c r="AZ208">
        <v>0</v>
      </c>
      <c r="BA208">
        <v>264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f>ROUND(Y208*Source!I163*DO208,9)</f>
        <v>0.136296</v>
      </c>
      <c r="CX208">
        <f>ROUND(Y208*Source!I163,9)</f>
        <v>1.0800000000000001E-2</v>
      </c>
      <c r="CY208">
        <f>AB208</f>
        <v>90.33</v>
      </c>
      <c r="CZ208">
        <f>AF208</f>
        <v>83.1</v>
      </c>
      <c r="DA208">
        <f>AJ208</f>
        <v>1</v>
      </c>
      <c r="DB208">
        <f>ROUND(((ROUND(AT208*CZ208,2)*1.25)*1.2),6)</f>
        <v>22.44</v>
      </c>
      <c r="DC208">
        <f>ROUND(((ROUND(AT208*AG208,2)*1.25)*1.2),6)</f>
        <v>3.4049999999999998</v>
      </c>
      <c r="DD208" t="s">
        <v>3</v>
      </c>
      <c r="DE208" t="s">
        <v>3</v>
      </c>
      <c r="DF208">
        <f t="shared" si="79"/>
        <v>0</v>
      </c>
      <c r="DG208">
        <f t="shared" si="78"/>
        <v>0.9</v>
      </c>
      <c r="DH208">
        <f t="shared" si="77"/>
        <v>0.14000000000000001</v>
      </c>
      <c r="DI208">
        <f t="shared" si="76"/>
        <v>0</v>
      </c>
      <c r="DJ208">
        <f>DG208</f>
        <v>0.9</v>
      </c>
      <c r="DK208">
        <v>0</v>
      </c>
      <c r="DL208" t="s">
        <v>492</v>
      </c>
      <c r="DM208">
        <v>0</v>
      </c>
      <c r="DN208" t="s">
        <v>451</v>
      </c>
      <c r="DO208">
        <v>12.62</v>
      </c>
    </row>
    <row r="209" spans="1:119" x14ac:dyDescent="0.2">
      <c r="A209">
        <f>ROW(Source!A163)</f>
        <v>163</v>
      </c>
      <c r="B209">
        <v>55937296</v>
      </c>
      <c r="C209">
        <v>55937685</v>
      </c>
      <c r="D209">
        <v>55490330</v>
      </c>
      <c r="E209">
        <v>1</v>
      </c>
      <c r="F209">
        <v>1</v>
      </c>
      <c r="G209">
        <v>1081</v>
      </c>
      <c r="H209">
        <v>2</v>
      </c>
      <c r="I209" t="s">
        <v>452</v>
      </c>
      <c r="J209" t="s">
        <v>453</v>
      </c>
      <c r="K209" t="s">
        <v>454</v>
      </c>
      <c r="L209">
        <v>1368</v>
      </c>
      <c r="N209">
        <v>1011</v>
      </c>
      <c r="O209" t="s">
        <v>455</v>
      </c>
      <c r="P209" t="s">
        <v>455</v>
      </c>
      <c r="Q209">
        <v>1</v>
      </c>
      <c r="W209">
        <v>0</v>
      </c>
      <c r="X209">
        <v>-2083101341</v>
      </c>
      <c r="Y209">
        <f>((AT209*1.25)*1.2)</f>
        <v>2.0699999999999998</v>
      </c>
      <c r="AA209">
        <v>0</v>
      </c>
      <c r="AB209">
        <v>0.87</v>
      </c>
      <c r="AC209">
        <v>0</v>
      </c>
      <c r="AD209">
        <v>0</v>
      </c>
      <c r="AE209">
        <v>0</v>
      </c>
      <c r="AF209">
        <v>0.8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1.38</v>
      </c>
      <c r="AU209" t="s">
        <v>281</v>
      </c>
      <c r="AV209">
        <v>0</v>
      </c>
      <c r="AW209">
        <v>2</v>
      </c>
      <c r="AX209">
        <v>55937688</v>
      </c>
      <c r="AY209">
        <v>1</v>
      </c>
      <c r="AZ209">
        <v>0</v>
      </c>
      <c r="BA209">
        <v>265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f>ROUND(Y209*Source!I163*DO209,9)</f>
        <v>0</v>
      </c>
      <c r="CX209">
        <f>ROUND(Y209*Source!I163,9)</f>
        <v>8.2799999999999999E-2</v>
      </c>
      <c r="CY209">
        <f>AB209</f>
        <v>0.87</v>
      </c>
      <c r="CZ209">
        <f>AF209</f>
        <v>0.8</v>
      </c>
      <c r="DA209">
        <f>AJ209</f>
        <v>1</v>
      </c>
      <c r="DB209">
        <f>ROUND(((ROUND(AT209*CZ209,2)*1.25)*1.2),6)</f>
        <v>1.65</v>
      </c>
      <c r="DC209">
        <f>ROUND(((ROUND(AT209*AG209,2)*1.25)*1.2),6)</f>
        <v>0</v>
      </c>
      <c r="DD209" t="s">
        <v>3</v>
      </c>
      <c r="DE209" t="s">
        <v>3</v>
      </c>
      <c r="DF209">
        <f t="shared" si="79"/>
        <v>0</v>
      </c>
      <c r="DG209">
        <f t="shared" si="78"/>
        <v>7.0000000000000007E-2</v>
      </c>
      <c r="DH209">
        <f t="shared" si="77"/>
        <v>0</v>
      </c>
      <c r="DI209">
        <f t="shared" si="76"/>
        <v>0</v>
      </c>
      <c r="DJ209">
        <f>DG209</f>
        <v>7.0000000000000007E-2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ROW(Source!A163)</f>
        <v>163</v>
      </c>
      <c r="B210">
        <v>55937296</v>
      </c>
      <c r="C210">
        <v>55937685</v>
      </c>
      <c r="D210">
        <v>55490296</v>
      </c>
      <c r="E210">
        <v>1</v>
      </c>
      <c r="F210">
        <v>1</v>
      </c>
      <c r="G210">
        <v>1081</v>
      </c>
      <c r="H210">
        <v>2</v>
      </c>
      <c r="I210" t="s">
        <v>477</v>
      </c>
      <c r="J210" t="s">
        <v>478</v>
      </c>
      <c r="K210" t="s">
        <v>479</v>
      </c>
      <c r="L210">
        <v>1368</v>
      </c>
      <c r="N210">
        <v>1011</v>
      </c>
      <c r="O210" t="s">
        <v>455</v>
      </c>
      <c r="P210" t="s">
        <v>455</v>
      </c>
      <c r="Q210">
        <v>1</v>
      </c>
      <c r="W210">
        <v>0</v>
      </c>
      <c r="X210">
        <v>-643591644</v>
      </c>
      <c r="Y210">
        <f>((AT210*1.25)*1.2)</f>
        <v>8.4</v>
      </c>
      <c r="AA210">
        <v>0</v>
      </c>
      <c r="AB210">
        <v>0.51</v>
      </c>
      <c r="AC210">
        <v>0</v>
      </c>
      <c r="AD210">
        <v>0</v>
      </c>
      <c r="AE210">
        <v>0</v>
      </c>
      <c r="AF210">
        <v>0.47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5.6</v>
      </c>
      <c r="AU210" t="s">
        <v>281</v>
      </c>
      <c r="AV210">
        <v>0</v>
      </c>
      <c r="AW210">
        <v>2</v>
      </c>
      <c r="AX210">
        <v>55937689</v>
      </c>
      <c r="AY210">
        <v>1</v>
      </c>
      <c r="AZ210">
        <v>0</v>
      </c>
      <c r="BA210">
        <v>266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ROUND(Y210*Source!I163*DO210,9)</f>
        <v>0</v>
      </c>
      <c r="CX210">
        <f>ROUND(Y210*Source!I163,9)</f>
        <v>0.33600000000000002</v>
      </c>
      <c r="CY210">
        <f>AB210</f>
        <v>0.51</v>
      </c>
      <c r="CZ210">
        <f>AF210</f>
        <v>0.47</v>
      </c>
      <c r="DA210">
        <f>AJ210</f>
        <v>1</v>
      </c>
      <c r="DB210">
        <f>ROUND(((ROUND(AT210*CZ210,2)*1.25)*1.2),6)</f>
        <v>3.9449999999999998</v>
      </c>
      <c r="DC210">
        <f>ROUND(((ROUND(AT210*AG210,2)*1.25)*1.2),6)</f>
        <v>0</v>
      </c>
      <c r="DD210" t="s">
        <v>3</v>
      </c>
      <c r="DE210" t="s">
        <v>3</v>
      </c>
      <c r="DF210">
        <f t="shared" si="79"/>
        <v>0</v>
      </c>
      <c r="DG210">
        <f t="shared" si="78"/>
        <v>0.16</v>
      </c>
      <c r="DH210">
        <f t="shared" si="77"/>
        <v>0</v>
      </c>
      <c r="DI210">
        <f t="shared" si="76"/>
        <v>0</v>
      </c>
      <c r="DJ210">
        <f>DG210</f>
        <v>0.16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ROW(Source!A163)</f>
        <v>163</v>
      </c>
      <c r="B211">
        <v>55937296</v>
      </c>
      <c r="C211">
        <v>55937685</v>
      </c>
      <c r="D211">
        <v>55461073</v>
      </c>
      <c r="E211">
        <v>1</v>
      </c>
      <c r="F211">
        <v>1</v>
      </c>
      <c r="G211">
        <v>1081</v>
      </c>
      <c r="H211">
        <v>3</v>
      </c>
      <c r="I211" t="s">
        <v>518</v>
      </c>
      <c r="J211" t="s">
        <v>519</v>
      </c>
      <c r="K211" t="s">
        <v>520</v>
      </c>
      <c r="L211">
        <v>1346</v>
      </c>
      <c r="N211">
        <v>1009</v>
      </c>
      <c r="O211" t="s">
        <v>311</v>
      </c>
      <c r="P211" t="s">
        <v>311</v>
      </c>
      <c r="Q211">
        <v>1</v>
      </c>
      <c r="W211">
        <v>0</v>
      </c>
      <c r="X211">
        <v>383020592</v>
      </c>
      <c r="Y211">
        <f>((AT211*1)*1)</f>
        <v>2.72</v>
      </c>
      <c r="AA211">
        <v>20.62</v>
      </c>
      <c r="AB211">
        <v>0</v>
      </c>
      <c r="AC211">
        <v>0</v>
      </c>
      <c r="AD211">
        <v>0</v>
      </c>
      <c r="AE211">
        <v>20.62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2.72</v>
      </c>
      <c r="AU211" t="s">
        <v>280</v>
      </c>
      <c r="AV211">
        <v>0</v>
      </c>
      <c r="AW211">
        <v>2</v>
      </c>
      <c r="AX211">
        <v>55937690</v>
      </c>
      <c r="AY211">
        <v>1</v>
      </c>
      <c r="AZ211">
        <v>0</v>
      </c>
      <c r="BA211">
        <v>267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ROUND(Y211*Source!I163,9)</f>
        <v>0.10879999999999999</v>
      </c>
      <c r="CY211">
        <f>AA211</f>
        <v>20.62</v>
      </c>
      <c r="CZ211">
        <f>AE211</f>
        <v>20.62</v>
      </c>
      <c r="DA211">
        <f>AI211</f>
        <v>1</v>
      </c>
      <c r="DB211">
        <f>ROUND(((ROUND(AT211*CZ211,2)*1)*1),6)</f>
        <v>56.09</v>
      </c>
      <c r="DC211">
        <f>ROUND(((ROUND(AT211*AG211,2)*1)*1),6)</f>
        <v>0</v>
      </c>
      <c r="DD211" t="s">
        <v>3</v>
      </c>
      <c r="DE211" t="s">
        <v>3</v>
      </c>
      <c r="DF211">
        <f t="shared" si="79"/>
        <v>2.2400000000000002</v>
      </c>
      <c r="DG211">
        <f t="shared" si="78"/>
        <v>0</v>
      </c>
      <c r="DH211">
        <f t="shared" si="77"/>
        <v>0</v>
      </c>
      <c r="DI211">
        <f t="shared" si="76"/>
        <v>0</v>
      </c>
      <c r="DJ211">
        <f>DF211</f>
        <v>2.2400000000000002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ROW(Source!A163)</f>
        <v>163</v>
      </c>
      <c r="B212">
        <v>55937296</v>
      </c>
      <c r="C212">
        <v>55937685</v>
      </c>
      <c r="D212">
        <v>55469253</v>
      </c>
      <c r="E212">
        <v>1</v>
      </c>
      <c r="F212">
        <v>1</v>
      </c>
      <c r="G212">
        <v>1081</v>
      </c>
      <c r="H212">
        <v>3</v>
      </c>
      <c r="I212" t="s">
        <v>483</v>
      </c>
      <c r="J212" t="s">
        <v>484</v>
      </c>
      <c r="K212" t="s">
        <v>485</v>
      </c>
      <c r="L212">
        <v>1354</v>
      </c>
      <c r="N212">
        <v>1010</v>
      </c>
      <c r="O212" t="s">
        <v>217</v>
      </c>
      <c r="P212" t="s">
        <v>217</v>
      </c>
      <c r="Q212">
        <v>1</v>
      </c>
      <c r="W212">
        <v>0</v>
      </c>
      <c r="X212">
        <v>-32785108</v>
      </c>
      <c r="Y212">
        <f>((AT212*1)*1)</f>
        <v>5</v>
      </c>
      <c r="AA212">
        <v>15.25</v>
      </c>
      <c r="AB212">
        <v>0</v>
      </c>
      <c r="AC212">
        <v>0</v>
      </c>
      <c r="AD212">
        <v>0</v>
      </c>
      <c r="AE212">
        <v>15.25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5</v>
      </c>
      <c r="AU212" t="s">
        <v>280</v>
      </c>
      <c r="AV212">
        <v>0</v>
      </c>
      <c r="AW212">
        <v>2</v>
      </c>
      <c r="AX212">
        <v>55937691</v>
      </c>
      <c r="AY212">
        <v>1</v>
      </c>
      <c r="AZ212">
        <v>0</v>
      </c>
      <c r="BA212">
        <v>268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ROUND(Y212*Source!I163,9)</f>
        <v>0.2</v>
      </c>
      <c r="CY212">
        <f>AA212</f>
        <v>15.25</v>
      </c>
      <c r="CZ212">
        <f>AE212</f>
        <v>15.25</v>
      </c>
      <c r="DA212">
        <f>AI212</f>
        <v>1</v>
      </c>
      <c r="DB212">
        <f>ROUND(((ROUND(AT212*CZ212,2)*1)*1),6)</f>
        <v>76.25</v>
      </c>
      <c r="DC212">
        <f>ROUND(((ROUND(AT212*AG212,2)*1)*1),6)</f>
        <v>0</v>
      </c>
      <c r="DD212" t="s">
        <v>3</v>
      </c>
      <c r="DE212" t="s">
        <v>3</v>
      </c>
      <c r="DF212">
        <f t="shared" si="79"/>
        <v>3.05</v>
      </c>
      <c r="DG212">
        <f t="shared" si="78"/>
        <v>0</v>
      </c>
      <c r="DH212">
        <f t="shared" si="77"/>
        <v>0</v>
      </c>
      <c r="DI212">
        <f t="shared" si="76"/>
        <v>0</v>
      </c>
      <c r="DJ212">
        <f>DF212</f>
        <v>3.05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ROW(Source!A163)</f>
        <v>163</v>
      </c>
      <c r="B213">
        <v>55937296</v>
      </c>
      <c r="C213">
        <v>55937685</v>
      </c>
      <c r="D213">
        <v>55471057</v>
      </c>
      <c r="E213">
        <v>1</v>
      </c>
      <c r="F213">
        <v>1</v>
      </c>
      <c r="G213">
        <v>1081</v>
      </c>
      <c r="H213">
        <v>3</v>
      </c>
      <c r="I213" t="s">
        <v>299</v>
      </c>
      <c r="J213" t="s">
        <v>301</v>
      </c>
      <c r="K213" t="s">
        <v>300</v>
      </c>
      <c r="L213">
        <v>1354</v>
      </c>
      <c r="N213">
        <v>1010</v>
      </c>
      <c r="O213" t="s">
        <v>217</v>
      </c>
      <c r="P213" t="s">
        <v>217</v>
      </c>
      <c r="Q213">
        <v>1</v>
      </c>
      <c r="W213">
        <v>0</v>
      </c>
      <c r="X213">
        <v>1463737686</v>
      </c>
      <c r="Y213">
        <f>((AT213*1)*1)</f>
        <v>100</v>
      </c>
      <c r="AA213">
        <v>269.43</v>
      </c>
      <c r="AB213">
        <v>0</v>
      </c>
      <c r="AC213">
        <v>0</v>
      </c>
      <c r="AD213">
        <v>0</v>
      </c>
      <c r="AE213">
        <v>269.43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 t="s">
        <v>3</v>
      </c>
      <c r="AT213">
        <v>100</v>
      </c>
      <c r="AU213" t="s">
        <v>280</v>
      </c>
      <c r="AV213">
        <v>0</v>
      </c>
      <c r="AW213">
        <v>1</v>
      </c>
      <c r="AX213">
        <v>-1</v>
      </c>
      <c r="AY213">
        <v>0</v>
      </c>
      <c r="AZ213">
        <v>0</v>
      </c>
      <c r="BA213" t="s">
        <v>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ROUND(Y213*Source!I163,9)</f>
        <v>4</v>
      </c>
      <c r="CY213">
        <f>AA213</f>
        <v>269.43</v>
      </c>
      <c r="CZ213">
        <f>AE213</f>
        <v>269.43</v>
      </c>
      <c r="DA213">
        <f>AI213</f>
        <v>1</v>
      </c>
      <c r="DB213">
        <f>ROUND(((ROUND(AT213*CZ213,2)*1)*1),6)</f>
        <v>26943</v>
      </c>
      <c r="DC213">
        <f>ROUND(((ROUND(AT213*AG213,2)*1)*1),6)</f>
        <v>0</v>
      </c>
      <c r="DD213" t="s">
        <v>3</v>
      </c>
      <c r="DE213" t="s">
        <v>3</v>
      </c>
      <c r="DF213">
        <f t="shared" si="79"/>
        <v>1077.72</v>
      </c>
      <c r="DG213">
        <f t="shared" si="78"/>
        <v>0</v>
      </c>
      <c r="DH213">
        <f t="shared" si="77"/>
        <v>0</v>
      </c>
      <c r="DI213">
        <f t="shared" si="76"/>
        <v>0</v>
      </c>
      <c r="DJ213">
        <f>DF213</f>
        <v>1077.72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ROW(Source!A164)</f>
        <v>164</v>
      </c>
      <c r="B214">
        <v>55937298</v>
      </c>
      <c r="C214">
        <v>55937685</v>
      </c>
      <c r="D214">
        <v>55424304</v>
      </c>
      <c r="E214">
        <v>1081</v>
      </c>
      <c r="F214">
        <v>1</v>
      </c>
      <c r="G214">
        <v>1081</v>
      </c>
      <c r="H214">
        <v>1</v>
      </c>
      <c r="I214" t="s">
        <v>449</v>
      </c>
      <c r="J214" t="s">
        <v>3</v>
      </c>
      <c r="K214" t="s">
        <v>450</v>
      </c>
      <c r="L214">
        <v>1191</v>
      </c>
      <c r="N214">
        <v>1013</v>
      </c>
      <c r="O214" t="s">
        <v>451</v>
      </c>
      <c r="P214" t="s">
        <v>451</v>
      </c>
      <c r="Q214">
        <v>1</v>
      </c>
      <c r="W214">
        <v>0</v>
      </c>
      <c r="X214">
        <v>476480486</v>
      </c>
      <c r="Y214">
        <f>((AT214*1.15)*1.2)</f>
        <v>15.966599999999998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5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11.57</v>
      </c>
      <c r="AU214" t="s">
        <v>282</v>
      </c>
      <c r="AV214">
        <v>1</v>
      </c>
      <c r="AW214">
        <v>2</v>
      </c>
      <c r="AX214">
        <v>55937686</v>
      </c>
      <c r="AY214">
        <v>1</v>
      </c>
      <c r="AZ214">
        <v>0</v>
      </c>
      <c r="BA214">
        <v>270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U214">
        <f>ROUND(AT214*Source!I164*AH214*AL214,2)</f>
        <v>0</v>
      </c>
      <c r="CV214">
        <f>ROUND(Y214*Source!I164,9)</f>
        <v>0.63866400000000001</v>
      </c>
      <c r="CW214">
        <v>0</v>
      </c>
      <c r="CX214">
        <f>ROUND(Y214*Source!I164,9)</f>
        <v>0.63866400000000001</v>
      </c>
      <c r="CY214">
        <f>AD214</f>
        <v>0</v>
      </c>
      <c r="CZ214">
        <f>AH214</f>
        <v>0</v>
      </c>
      <c r="DA214">
        <f>AL214</f>
        <v>1</v>
      </c>
      <c r="DB214">
        <f>ROUND(((ROUND(AT214*CZ214,2)*1.15)*1.2),6)</f>
        <v>0</v>
      </c>
      <c r="DC214">
        <f>ROUND(((ROUND(AT214*AG214,2)*1.15)*1.2),6)</f>
        <v>0</v>
      </c>
      <c r="DD214" t="s">
        <v>3</v>
      </c>
      <c r="DE214" t="s">
        <v>3</v>
      </c>
      <c r="DF214">
        <f t="shared" si="79"/>
        <v>0</v>
      </c>
      <c r="DG214">
        <f t="shared" si="78"/>
        <v>0</v>
      </c>
      <c r="DH214">
        <f t="shared" si="77"/>
        <v>0</v>
      </c>
      <c r="DI214">
        <f t="shared" si="76"/>
        <v>0</v>
      </c>
      <c r="DJ214">
        <f>DI214</f>
        <v>0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ROW(Source!A164)</f>
        <v>164</v>
      </c>
      <c r="B215">
        <v>55937298</v>
      </c>
      <c r="C215">
        <v>55937685</v>
      </c>
      <c r="D215">
        <v>55490209</v>
      </c>
      <c r="E215">
        <v>1</v>
      </c>
      <c r="F215">
        <v>1</v>
      </c>
      <c r="G215">
        <v>1081</v>
      </c>
      <c r="H215">
        <v>2</v>
      </c>
      <c r="I215" t="s">
        <v>489</v>
      </c>
      <c r="J215" t="s">
        <v>490</v>
      </c>
      <c r="K215" t="s">
        <v>491</v>
      </c>
      <c r="L215">
        <v>1368</v>
      </c>
      <c r="N215">
        <v>1011</v>
      </c>
      <c r="O215" t="s">
        <v>455</v>
      </c>
      <c r="P215" t="s">
        <v>455</v>
      </c>
      <c r="Q215">
        <v>1</v>
      </c>
      <c r="W215">
        <v>0</v>
      </c>
      <c r="X215">
        <v>874612079</v>
      </c>
      <c r="Y215">
        <f>((AT215*1.25)*1.2)</f>
        <v>0.26999999999999996</v>
      </c>
      <c r="AA215">
        <v>0</v>
      </c>
      <c r="AB215">
        <v>1541.93</v>
      </c>
      <c r="AC215">
        <v>773.01</v>
      </c>
      <c r="AD215">
        <v>0</v>
      </c>
      <c r="AE215">
        <v>0</v>
      </c>
      <c r="AF215">
        <v>83.1</v>
      </c>
      <c r="AG215">
        <v>12.62</v>
      </c>
      <c r="AH215">
        <v>0</v>
      </c>
      <c r="AI215">
        <v>1</v>
      </c>
      <c r="AJ215">
        <v>17.07</v>
      </c>
      <c r="AK215">
        <v>56.35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0.18</v>
      </c>
      <c r="AU215" t="s">
        <v>281</v>
      </c>
      <c r="AV215">
        <v>0</v>
      </c>
      <c r="AW215">
        <v>2</v>
      </c>
      <c r="AX215">
        <v>55937687</v>
      </c>
      <c r="AY215">
        <v>1</v>
      </c>
      <c r="AZ215">
        <v>0</v>
      </c>
      <c r="BA215">
        <v>271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f>ROUND(Y215*Source!I164*DO215,9)</f>
        <v>0.136296</v>
      </c>
      <c r="CX215">
        <f>ROUND(Y215*Source!I164,9)</f>
        <v>1.0800000000000001E-2</v>
      </c>
      <c r="CY215">
        <f>AB215</f>
        <v>1541.93</v>
      </c>
      <c r="CZ215">
        <f>AF215</f>
        <v>83.1</v>
      </c>
      <c r="DA215">
        <f>AJ215</f>
        <v>17.07</v>
      </c>
      <c r="DB215">
        <f>ROUND(((ROUND(AT215*CZ215,2)*1.25)*1.2),6)</f>
        <v>22.44</v>
      </c>
      <c r="DC215">
        <f>ROUND(((ROUND(AT215*AG215,2)*1.25)*1.2),6)</f>
        <v>3.4049999999999998</v>
      </c>
      <c r="DD215" t="s">
        <v>3</v>
      </c>
      <c r="DE215" t="s">
        <v>3</v>
      </c>
      <c r="DF215">
        <f t="shared" si="79"/>
        <v>0</v>
      </c>
      <c r="DG215">
        <f>ROUND(ROUND(AF215*AJ215,2)*CX215,2)</f>
        <v>15.32</v>
      </c>
      <c r="DH215">
        <f>ROUND(ROUND(AG215*AK215,2)*CX215,2)</f>
        <v>7.68</v>
      </c>
      <c r="DI215">
        <f t="shared" si="76"/>
        <v>0</v>
      </c>
      <c r="DJ215">
        <f>DG215</f>
        <v>15.32</v>
      </c>
      <c r="DK215">
        <v>0</v>
      </c>
      <c r="DL215" t="s">
        <v>492</v>
      </c>
      <c r="DM215">
        <v>0</v>
      </c>
      <c r="DN215" t="s">
        <v>451</v>
      </c>
      <c r="DO215">
        <v>12.62</v>
      </c>
    </row>
    <row r="216" spans="1:119" x14ac:dyDescent="0.2">
      <c r="A216">
        <f>ROW(Source!A164)</f>
        <v>164</v>
      </c>
      <c r="B216">
        <v>55937298</v>
      </c>
      <c r="C216">
        <v>55937685</v>
      </c>
      <c r="D216">
        <v>55490330</v>
      </c>
      <c r="E216">
        <v>1</v>
      </c>
      <c r="F216">
        <v>1</v>
      </c>
      <c r="G216">
        <v>1081</v>
      </c>
      <c r="H216">
        <v>2</v>
      </c>
      <c r="I216" t="s">
        <v>452</v>
      </c>
      <c r="J216" t="s">
        <v>453</v>
      </c>
      <c r="K216" t="s">
        <v>454</v>
      </c>
      <c r="L216">
        <v>1368</v>
      </c>
      <c r="N216">
        <v>1011</v>
      </c>
      <c r="O216" t="s">
        <v>455</v>
      </c>
      <c r="P216" t="s">
        <v>455</v>
      </c>
      <c r="Q216">
        <v>1</v>
      </c>
      <c r="W216">
        <v>0</v>
      </c>
      <c r="X216">
        <v>-2083101341</v>
      </c>
      <c r="Y216">
        <f>((AT216*1.25)*1.2)</f>
        <v>2.0699999999999998</v>
      </c>
      <c r="AA216">
        <v>0</v>
      </c>
      <c r="AB216">
        <v>8.23</v>
      </c>
      <c r="AC216">
        <v>0</v>
      </c>
      <c r="AD216">
        <v>0</v>
      </c>
      <c r="AE216">
        <v>0</v>
      </c>
      <c r="AF216">
        <v>0.8</v>
      </c>
      <c r="AG216">
        <v>0</v>
      </c>
      <c r="AH216">
        <v>0</v>
      </c>
      <c r="AI216">
        <v>1</v>
      </c>
      <c r="AJ216">
        <v>9.4600000000000009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1.38</v>
      </c>
      <c r="AU216" t="s">
        <v>281</v>
      </c>
      <c r="AV216">
        <v>0</v>
      </c>
      <c r="AW216">
        <v>2</v>
      </c>
      <c r="AX216">
        <v>55937688</v>
      </c>
      <c r="AY216">
        <v>1</v>
      </c>
      <c r="AZ216">
        <v>0</v>
      </c>
      <c r="BA216">
        <v>272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ROUND(Y216*Source!I164*DO216,9)</f>
        <v>0</v>
      </c>
      <c r="CX216">
        <f>ROUND(Y216*Source!I164,9)</f>
        <v>8.2799999999999999E-2</v>
      </c>
      <c r="CY216">
        <f>AB216</f>
        <v>8.23</v>
      </c>
      <c r="CZ216">
        <f>AF216</f>
        <v>0.8</v>
      </c>
      <c r="DA216">
        <f>AJ216</f>
        <v>9.4600000000000009</v>
      </c>
      <c r="DB216">
        <f>ROUND(((ROUND(AT216*CZ216,2)*1.25)*1.2),6)</f>
        <v>1.65</v>
      </c>
      <c r="DC216">
        <f>ROUND(((ROUND(AT216*AG216,2)*1.25)*1.2),6)</f>
        <v>0</v>
      </c>
      <c r="DD216" t="s">
        <v>3</v>
      </c>
      <c r="DE216" t="s">
        <v>3</v>
      </c>
      <c r="DF216">
        <f t="shared" si="79"/>
        <v>0</v>
      </c>
      <c r="DG216">
        <f>ROUND(ROUND(AF216*AJ216,2)*CX216,2)</f>
        <v>0.63</v>
      </c>
      <c r="DH216">
        <f t="shared" ref="DH216:DH227" si="80">ROUND(ROUND(AG216,2)*CX216,2)</f>
        <v>0</v>
      </c>
      <c r="DI216">
        <f t="shared" si="76"/>
        <v>0</v>
      </c>
      <c r="DJ216">
        <f>DG216</f>
        <v>0.63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ROW(Source!A164)</f>
        <v>164</v>
      </c>
      <c r="B217">
        <v>55937298</v>
      </c>
      <c r="C217">
        <v>55937685</v>
      </c>
      <c r="D217">
        <v>55490296</v>
      </c>
      <c r="E217">
        <v>1</v>
      </c>
      <c r="F217">
        <v>1</v>
      </c>
      <c r="G217">
        <v>1081</v>
      </c>
      <c r="H217">
        <v>2</v>
      </c>
      <c r="I217" t="s">
        <v>477</v>
      </c>
      <c r="J217" t="s">
        <v>478</v>
      </c>
      <c r="K217" t="s">
        <v>479</v>
      </c>
      <c r="L217">
        <v>1368</v>
      </c>
      <c r="N217">
        <v>1011</v>
      </c>
      <c r="O217" t="s">
        <v>455</v>
      </c>
      <c r="P217" t="s">
        <v>455</v>
      </c>
      <c r="Q217">
        <v>1</v>
      </c>
      <c r="W217">
        <v>0</v>
      </c>
      <c r="X217">
        <v>-643591644</v>
      </c>
      <c r="Y217">
        <f>((AT217*1.25)*1.2)</f>
        <v>8.4</v>
      </c>
      <c r="AA217">
        <v>0</v>
      </c>
      <c r="AB217">
        <v>4.9400000000000004</v>
      </c>
      <c r="AC217">
        <v>0</v>
      </c>
      <c r="AD217">
        <v>0</v>
      </c>
      <c r="AE217">
        <v>0</v>
      </c>
      <c r="AF217">
        <v>0.47</v>
      </c>
      <c r="AG217">
        <v>0</v>
      </c>
      <c r="AH217">
        <v>0</v>
      </c>
      <c r="AI217">
        <v>1</v>
      </c>
      <c r="AJ217">
        <v>9.66</v>
      </c>
      <c r="AK217">
        <v>1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5.6</v>
      </c>
      <c r="AU217" t="s">
        <v>281</v>
      </c>
      <c r="AV217">
        <v>0</v>
      </c>
      <c r="AW217">
        <v>2</v>
      </c>
      <c r="AX217">
        <v>55937689</v>
      </c>
      <c r="AY217">
        <v>1</v>
      </c>
      <c r="AZ217">
        <v>0</v>
      </c>
      <c r="BA217">
        <v>273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ROUND(Y217*Source!I164*DO217,9)</f>
        <v>0</v>
      </c>
      <c r="CX217">
        <f>ROUND(Y217*Source!I164,9)</f>
        <v>0.33600000000000002</v>
      </c>
      <c r="CY217">
        <f>AB217</f>
        <v>4.9400000000000004</v>
      </c>
      <c r="CZ217">
        <f>AF217</f>
        <v>0.47</v>
      </c>
      <c r="DA217">
        <f>AJ217</f>
        <v>9.66</v>
      </c>
      <c r="DB217">
        <f>ROUND(((ROUND(AT217*CZ217,2)*1.25)*1.2),6)</f>
        <v>3.9449999999999998</v>
      </c>
      <c r="DC217">
        <f>ROUND(((ROUND(AT217*AG217,2)*1.25)*1.2),6)</f>
        <v>0</v>
      </c>
      <c r="DD217" t="s">
        <v>3</v>
      </c>
      <c r="DE217" t="s">
        <v>3</v>
      </c>
      <c r="DF217">
        <f t="shared" si="79"/>
        <v>0</v>
      </c>
      <c r="DG217">
        <f>ROUND(ROUND(AF217*AJ217,2)*CX217,2)</f>
        <v>1.53</v>
      </c>
      <c r="DH217">
        <f t="shared" si="80"/>
        <v>0</v>
      </c>
      <c r="DI217">
        <f t="shared" si="76"/>
        <v>0</v>
      </c>
      <c r="DJ217">
        <f>DG217</f>
        <v>1.53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ROW(Source!A164)</f>
        <v>164</v>
      </c>
      <c r="B218">
        <v>55937298</v>
      </c>
      <c r="C218">
        <v>55937685</v>
      </c>
      <c r="D218">
        <v>55461073</v>
      </c>
      <c r="E218">
        <v>1</v>
      </c>
      <c r="F218">
        <v>1</v>
      </c>
      <c r="G218">
        <v>1081</v>
      </c>
      <c r="H218">
        <v>3</v>
      </c>
      <c r="I218" t="s">
        <v>518</v>
      </c>
      <c r="J218" t="s">
        <v>519</v>
      </c>
      <c r="K218" t="s">
        <v>520</v>
      </c>
      <c r="L218">
        <v>1346</v>
      </c>
      <c r="N218">
        <v>1009</v>
      </c>
      <c r="O218" t="s">
        <v>311</v>
      </c>
      <c r="P218" t="s">
        <v>311</v>
      </c>
      <c r="Q218">
        <v>1</v>
      </c>
      <c r="W218">
        <v>0</v>
      </c>
      <c r="X218">
        <v>383020592</v>
      </c>
      <c r="Y218">
        <f>((AT218*1)*1)</f>
        <v>2.72</v>
      </c>
      <c r="AA218">
        <v>101.86</v>
      </c>
      <c r="AB218">
        <v>0</v>
      </c>
      <c r="AC218">
        <v>0</v>
      </c>
      <c r="AD218">
        <v>0</v>
      </c>
      <c r="AE218">
        <v>20.62</v>
      </c>
      <c r="AF218">
        <v>0</v>
      </c>
      <c r="AG218">
        <v>0</v>
      </c>
      <c r="AH218">
        <v>0</v>
      </c>
      <c r="AI218">
        <v>4.9400000000000004</v>
      </c>
      <c r="AJ218">
        <v>1</v>
      </c>
      <c r="AK218">
        <v>1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2.72</v>
      </c>
      <c r="AU218" t="s">
        <v>280</v>
      </c>
      <c r="AV218">
        <v>0</v>
      </c>
      <c r="AW218">
        <v>2</v>
      </c>
      <c r="AX218">
        <v>55937690</v>
      </c>
      <c r="AY218">
        <v>1</v>
      </c>
      <c r="AZ218">
        <v>0</v>
      </c>
      <c r="BA218">
        <v>274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ROUND(Y218*Source!I164,9)</f>
        <v>0.10879999999999999</v>
      </c>
      <c r="CY218">
        <f>AA218</f>
        <v>101.86</v>
      </c>
      <c r="CZ218">
        <f>AE218</f>
        <v>20.62</v>
      </c>
      <c r="DA218">
        <f>AI218</f>
        <v>4.9400000000000004</v>
      </c>
      <c r="DB218">
        <f>ROUND(((ROUND(AT218*CZ218,2)*1)*1),6)</f>
        <v>56.09</v>
      </c>
      <c r="DC218">
        <f>ROUND(((ROUND(AT218*AG218,2)*1)*1),6)</f>
        <v>0</v>
      </c>
      <c r="DD218" t="s">
        <v>3</v>
      </c>
      <c r="DE218" t="s">
        <v>3</v>
      </c>
      <c r="DF218">
        <f>ROUND(ROUND(AE218*AI218,2)*CX218,2)</f>
        <v>11.08</v>
      </c>
      <c r="DG218">
        <f t="shared" ref="DG218:DG227" si="81">ROUND(ROUND(AF218,2)*CX218,2)</f>
        <v>0</v>
      </c>
      <c r="DH218">
        <f t="shared" si="80"/>
        <v>0</v>
      </c>
      <c r="DI218">
        <f t="shared" si="76"/>
        <v>0</v>
      </c>
      <c r="DJ218">
        <f>DF218</f>
        <v>11.08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ROW(Source!A164)</f>
        <v>164</v>
      </c>
      <c r="B219">
        <v>55937298</v>
      </c>
      <c r="C219">
        <v>55937685</v>
      </c>
      <c r="D219">
        <v>55469253</v>
      </c>
      <c r="E219">
        <v>1</v>
      </c>
      <c r="F219">
        <v>1</v>
      </c>
      <c r="G219">
        <v>1081</v>
      </c>
      <c r="H219">
        <v>3</v>
      </c>
      <c r="I219" t="s">
        <v>483</v>
      </c>
      <c r="J219" t="s">
        <v>484</v>
      </c>
      <c r="K219" t="s">
        <v>485</v>
      </c>
      <c r="L219">
        <v>1354</v>
      </c>
      <c r="N219">
        <v>1010</v>
      </c>
      <c r="O219" t="s">
        <v>217</v>
      </c>
      <c r="P219" t="s">
        <v>217</v>
      </c>
      <c r="Q219">
        <v>1</v>
      </c>
      <c r="W219">
        <v>0</v>
      </c>
      <c r="X219">
        <v>-32785108</v>
      </c>
      <c r="Y219">
        <f>((AT219*1)*1)</f>
        <v>5</v>
      </c>
      <c r="AA219">
        <v>36.14</v>
      </c>
      <c r="AB219">
        <v>0</v>
      </c>
      <c r="AC219">
        <v>0</v>
      </c>
      <c r="AD219">
        <v>0</v>
      </c>
      <c r="AE219">
        <v>15.25</v>
      </c>
      <c r="AF219">
        <v>0</v>
      </c>
      <c r="AG219">
        <v>0</v>
      </c>
      <c r="AH219">
        <v>0</v>
      </c>
      <c r="AI219">
        <v>2.37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5</v>
      </c>
      <c r="AU219" t="s">
        <v>280</v>
      </c>
      <c r="AV219">
        <v>0</v>
      </c>
      <c r="AW219">
        <v>2</v>
      </c>
      <c r="AX219">
        <v>55937691</v>
      </c>
      <c r="AY219">
        <v>1</v>
      </c>
      <c r="AZ219">
        <v>0</v>
      </c>
      <c r="BA219">
        <v>275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ROUND(Y219*Source!I164,9)</f>
        <v>0.2</v>
      </c>
      <c r="CY219">
        <f>AA219</f>
        <v>36.14</v>
      </c>
      <c r="CZ219">
        <f>AE219</f>
        <v>15.25</v>
      </c>
      <c r="DA219">
        <f>AI219</f>
        <v>2.37</v>
      </c>
      <c r="DB219">
        <f>ROUND(((ROUND(AT219*CZ219,2)*1)*1),6)</f>
        <v>76.25</v>
      </c>
      <c r="DC219">
        <f>ROUND(((ROUND(AT219*AG219,2)*1)*1),6)</f>
        <v>0</v>
      </c>
      <c r="DD219" t="s">
        <v>3</v>
      </c>
      <c r="DE219" t="s">
        <v>3</v>
      </c>
      <c r="DF219">
        <f>ROUND(ROUND(AE219*AI219,2)*CX219,2)</f>
        <v>7.23</v>
      </c>
      <c r="DG219">
        <f t="shared" si="81"/>
        <v>0</v>
      </c>
      <c r="DH219">
        <f t="shared" si="80"/>
        <v>0</v>
      </c>
      <c r="DI219">
        <f t="shared" si="76"/>
        <v>0</v>
      </c>
      <c r="DJ219">
        <f>DF219</f>
        <v>7.23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ROW(Source!A164)</f>
        <v>164</v>
      </c>
      <c r="B220">
        <v>55937298</v>
      </c>
      <c r="C220">
        <v>55937685</v>
      </c>
      <c r="D220">
        <v>55471057</v>
      </c>
      <c r="E220">
        <v>1</v>
      </c>
      <c r="F220">
        <v>1</v>
      </c>
      <c r="G220">
        <v>1081</v>
      </c>
      <c r="H220">
        <v>3</v>
      </c>
      <c r="I220" t="s">
        <v>299</v>
      </c>
      <c r="J220" t="s">
        <v>301</v>
      </c>
      <c r="K220" t="s">
        <v>300</v>
      </c>
      <c r="L220">
        <v>1354</v>
      </c>
      <c r="N220">
        <v>1010</v>
      </c>
      <c r="O220" t="s">
        <v>217</v>
      </c>
      <c r="P220" t="s">
        <v>217</v>
      </c>
      <c r="Q220">
        <v>1</v>
      </c>
      <c r="W220">
        <v>0</v>
      </c>
      <c r="X220">
        <v>1463737686</v>
      </c>
      <c r="Y220">
        <f>((AT220*1)*1)</f>
        <v>100</v>
      </c>
      <c r="AA220">
        <v>2505.6999999999998</v>
      </c>
      <c r="AB220">
        <v>0</v>
      </c>
      <c r="AC220">
        <v>0</v>
      </c>
      <c r="AD220">
        <v>0</v>
      </c>
      <c r="AE220">
        <v>269.43</v>
      </c>
      <c r="AF220">
        <v>0</v>
      </c>
      <c r="AG220">
        <v>0</v>
      </c>
      <c r="AH220">
        <v>0</v>
      </c>
      <c r="AI220">
        <v>9.3000000000000007</v>
      </c>
      <c r="AJ220">
        <v>1</v>
      </c>
      <c r="AK220">
        <v>1</v>
      </c>
      <c r="AL220">
        <v>1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 t="s">
        <v>3</v>
      </c>
      <c r="AT220">
        <v>100</v>
      </c>
      <c r="AU220" t="s">
        <v>280</v>
      </c>
      <c r="AV220">
        <v>0</v>
      </c>
      <c r="AW220">
        <v>1</v>
      </c>
      <c r="AX220">
        <v>-1</v>
      </c>
      <c r="AY220">
        <v>0</v>
      </c>
      <c r="AZ220">
        <v>0</v>
      </c>
      <c r="BA220" t="s">
        <v>3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ROUND(Y220*Source!I164,9)</f>
        <v>4</v>
      </c>
      <c r="CY220">
        <f>AA220</f>
        <v>2505.6999999999998</v>
      </c>
      <c r="CZ220">
        <f>AE220</f>
        <v>269.43</v>
      </c>
      <c r="DA220">
        <f>AI220</f>
        <v>9.3000000000000007</v>
      </c>
      <c r="DB220">
        <f>ROUND(((ROUND(AT220*CZ220,2)*1)*1),6)</f>
        <v>26943</v>
      </c>
      <c r="DC220">
        <f>ROUND(((ROUND(AT220*AG220,2)*1)*1),6)</f>
        <v>0</v>
      </c>
      <c r="DD220" t="s">
        <v>3</v>
      </c>
      <c r="DE220" t="s">
        <v>3</v>
      </c>
      <c r="DF220">
        <f>ROUND(ROUND(AE220*AI220,2)*CX220,2)</f>
        <v>10022.799999999999</v>
      </c>
      <c r="DG220">
        <f t="shared" si="81"/>
        <v>0</v>
      </c>
      <c r="DH220">
        <f t="shared" si="80"/>
        <v>0</v>
      </c>
      <c r="DI220">
        <f t="shared" si="76"/>
        <v>0</v>
      </c>
      <c r="DJ220">
        <f>DF220</f>
        <v>10022.799999999999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ROW(Source!A169)</f>
        <v>169</v>
      </c>
      <c r="B221">
        <v>55937296</v>
      </c>
      <c r="C221">
        <v>55937695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449</v>
      </c>
      <c r="J221" t="s">
        <v>3</v>
      </c>
      <c r="K221" t="s">
        <v>450</v>
      </c>
      <c r="L221">
        <v>1191</v>
      </c>
      <c r="N221">
        <v>1013</v>
      </c>
      <c r="O221" t="s">
        <v>451</v>
      </c>
      <c r="P221" t="s">
        <v>451</v>
      </c>
      <c r="Q221">
        <v>1</v>
      </c>
      <c r="W221">
        <v>0</v>
      </c>
      <c r="X221">
        <v>476480486</v>
      </c>
      <c r="Y221">
        <f>((AT221*1.15)*1.2)</f>
        <v>1.4213999999999998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1.03</v>
      </c>
      <c r="AU221" t="s">
        <v>282</v>
      </c>
      <c r="AV221">
        <v>1</v>
      </c>
      <c r="AW221">
        <v>2</v>
      </c>
      <c r="AX221">
        <v>55937696</v>
      </c>
      <c r="AY221">
        <v>1</v>
      </c>
      <c r="AZ221">
        <v>0</v>
      </c>
      <c r="BA221">
        <v>277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U221">
        <f>ROUND(AT221*Source!I169*AH221*AL221,2)</f>
        <v>0</v>
      </c>
      <c r="CV221">
        <f>ROUND(Y221*Source!I169,9)</f>
        <v>5.6856</v>
      </c>
      <c r="CW221">
        <v>0</v>
      </c>
      <c r="CX221">
        <f>ROUND(Y221*Source!I169,9)</f>
        <v>5.6856</v>
      </c>
      <c r="CY221">
        <f>AD221</f>
        <v>0</v>
      </c>
      <c r="CZ221">
        <f>AH221</f>
        <v>0</v>
      </c>
      <c r="DA221">
        <f>AL221</f>
        <v>1</v>
      </c>
      <c r="DB221">
        <f>ROUND(((ROUND(AT221*CZ221,2)*1.15)*1.2),6)</f>
        <v>0</v>
      </c>
      <c r="DC221">
        <f>ROUND(((ROUND(AT221*AG221,2)*1.15)*1.2),6)</f>
        <v>0</v>
      </c>
      <c r="DD221" t="s">
        <v>3</v>
      </c>
      <c r="DE221" t="s">
        <v>3</v>
      </c>
      <c r="DF221">
        <f t="shared" ref="DF221:DF229" si="82">ROUND(ROUND(AE221,2)*CX221,2)</f>
        <v>0</v>
      </c>
      <c r="DG221">
        <f t="shared" si="81"/>
        <v>0</v>
      </c>
      <c r="DH221">
        <f t="shared" si="80"/>
        <v>0</v>
      </c>
      <c r="DI221">
        <f t="shared" si="76"/>
        <v>0</v>
      </c>
      <c r="DJ221">
        <f>DI221</f>
        <v>0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ROW(Source!A169)</f>
        <v>169</v>
      </c>
      <c r="B222">
        <v>55937296</v>
      </c>
      <c r="C222">
        <v>55937695</v>
      </c>
      <c r="D222">
        <v>55490209</v>
      </c>
      <c r="E222">
        <v>1</v>
      </c>
      <c r="F222">
        <v>1</v>
      </c>
      <c r="G222">
        <v>1081</v>
      </c>
      <c r="H222">
        <v>2</v>
      </c>
      <c r="I222" t="s">
        <v>489</v>
      </c>
      <c r="J222" t="s">
        <v>490</v>
      </c>
      <c r="K222" t="s">
        <v>491</v>
      </c>
      <c r="L222">
        <v>1368</v>
      </c>
      <c r="N222">
        <v>1011</v>
      </c>
      <c r="O222" t="s">
        <v>455</v>
      </c>
      <c r="P222" t="s">
        <v>455</v>
      </c>
      <c r="Q222">
        <v>1</v>
      </c>
      <c r="W222">
        <v>0</v>
      </c>
      <c r="X222">
        <v>874612079</v>
      </c>
      <c r="Y222">
        <f>((AT222*1.25)*1.2)</f>
        <v>1.4999999999999999E-2</v>
      </c>
      <c r="AA222">
        <v>0</v>
      </c>
      <c r="AB222">
        <v>88.67</v>
      </c>
      <c r="AC222">
        <v>13.47</v>
      </c>
      <c r="AD222">
        <v>0</v>
      </c>
      <c r="AE222">
        <v>0</v>
      </c>
      <c r="AF222">
        <v>83.1</v>
      </c>
      <c r="AG222">
        <v>12.62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0.01</v>
      </c>
      <c r="AU222" t="s">
        <v>281</v>
      </c>
      <c r="AV222">
        <v>0</v>
      </c>
      <c r="AW222">
        <v>2</v>
      </c>
      <c r="AX222">
        <v>55937697</v>
      </c>
      <c r="AY222">
        <v>1</v>
      </c>
      <c r="AZ222">
        <v>0</v>
      </c>
      <c r="BA222">
        <v>278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f>ROUND(Y222*Source!I169*DO222,9)</f>
        <v>0.75719999999999998</v>
      </c>
      <c r="CX222">
        <f>ROUND(Y222*Source!I169,9)</f>
        <v>0.06</v>
      </c>
      <c r="CY222">
        <f>AB222</f>
        <v>88.67</v>
      </c>
      <c r="CZ222">
        <f>AF222</f>
        <v>83.1</v>
      </c>
      <c r="DA222">
        <f>AJ222</f>
        <v>1</v>
      </c>
      <c r="DB222">
        <f>ROUND(((ROUND(AT222*CZ222,2)*1.25)*1.2),6)</f>
        <v>1.2450000000000001</v>
      </c>
      <c r="DC222">
        <f>ROUND(((ROUND(AT222*AG222,2)*1.25)*1.2),6)</f>
        <v>0.19500000000000001</v>
      </c>
      <c r="DD222" t="s">
        <v>3</v>
      </c>
      <c r="DE222" t="s">
        <v>3</v>
      </c>
      <c r="DF222">
        <f t="shared" si="82"/>
        <v>0</v>
      </c>
      <c r="DG222">
        <f t="shared" si="81"/>
        <v>4.99</v>
      </c>
      <c r="DH222">
        <f t="shared" si="80"/>
        <v>0.76</v>
      </c>
      <c r="DI222">
        <f t="shared" si="76"/>
        <v>0</v>
      </c>
      <c r="DJ222">
        <f>DG222</f>
        <v>4.99</v>
      </c>
      <c r="DK222">
        <v>0</v>
      </c>
      <c r="DL222" t="s">
        <v>492</v>
      </c>
      <c r="DM222">
        <v>0</v>
      </c>
      <c r="DN222" t="s">
        <v>451</v>
      </c>
      <c r="DO222">
        <v>12.62</v>
      </c>
    </row>
    <row r="223" spans="1:119" x14ac:dyDescent="0.2">
      <c r="A223">
        <f>ROW(Source!A169)</f>
        <v>169</v>
      </c>
      <c r="B223">
        <v>55937296</v>
      </c>
      <c r="C223">
        <v>55937695</v>
      </c>
      <c r="D223">
        <v>55489523</v>
      </c>
      <c r="E223">
        <v>1</v>
      </c>
      <c r="F223">
        <v>1</v>
      </c>
      <c r="G223">
        <v>1081</v>
      </c>
      <c r="H223">
        <v>2</v>
      </c>
      <c r="I223" t="s">
        <v>521</v>
      </c>
      <c r="J223" t="s">
        <v>522</v>
      </c>
      <c r="K223" t="s">
        <v>523</v>
      </c>
      <c r="L223">
        <v>1368</v>
      </c>
      <c r="N223">
        <v>1011</v>
      </c>
      <c r="O223" t="s">
        <v>455</v>
      </c>
      <c r="P223" t="s">
        <v>455</v>
      </c>
      <c r="Q223">
        <v>1</v>
      </c>
      <c r="W223">
        <v>0</v>
      </c>
      <c r="X223">
        <v>-597652516</v>
      </c>
      <c r="Y223">
        <f>((AT223*1.25)*1.2)</f>
        <v>0.39</v>
      </c>
      <c r="AA223">
        <v>0</v>
      </c>
      <c r="AB223">
        <v>0.34</v>
      </c>
      <c r="AC223">
        <v>0</v>
      </c>
      <c r="AD223">
        <v>0</v>
      </c>
      <c r="AE223">
        <v>0</v>
      </c>
      <c r="AF223">
        <v>0.32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0.26</v>
      </c>
      <c r="AU223" t="s">
        <v>281</v>
      </c>
      <c r="AV223">
        <v>0</v>
      </c>
      <c r="AW223">
        <v>2</v>
      </c>
      <c r="AX223">
        <v>55937698</v>
      </c>
      <c r="AY223">
        <v>1</v>
      </c>
      <c r="AZ223">
        <v>0</v>
      </c>
      <c r="BA223">
        <v>279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f>ROUND(Y223*Source!I169*DO223,9)</f>
        <v>0</v>
      </c>
      <c r="CX223">
        <f>ROUND(Y223*Source!I169,9)</f>
        <v>1.56</v>
      </c>
      <c r="CY223">
        <f>AB223</f>
        <v>0.34</v>
      </c>
      <c r="CZ223">
        <f>AF223</f>
        <v>0.32</v>
      </c>
      <c r="DA223">
        <f>AJ223</f>
        <v>1</v>
      </c>
      <c r="DB223">
        <f>ROUND(((ROUND(AT223*CZ223,2)*1.25)*1.2),6)</f>
        <v>0.12</v>
      </c>
      <c r="DC223">
        <f>ROUND(((ROUND(AT223*AG223,2)*1.25)*1.2),6)</f>
        <v>0</v>
      </c>
      <c r="DD223" t="s">
        <v>3</v>
      </c>
      <c r="DE223" t="s">
        <v>3</v>
      </c>
      <c r="DF223">
        <f t="shared" si="82"/>
        <v>0</v>
      </c>
      <c r="DG223">
        <f t="shared" si="81"/>
        <v>0.5</v>
      </c>
      <c r="DH223">
        <f t="shared" si="80"/>
        <v>0</v>
      </c>
      <c r="DI223">
        <f t="shared" si="76"/>
        <v>0</v>
      </c>
      <c r="DJ223">
        <f>DG223</f>
        <v>0.5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ROW(Source!A169)</f>
        <v>169</v>
      </c>
      <c r="B224">
        <v>55937296</v>
      </c>
      <c r="C224">
        <v>55937695</v>
      </c>
      <c r="D224">
        <v>55461047</v>
      </c>
      <c r="E224">
        <v>1</v>
      </c>
      <c r="F224">
        <v>1</v>
      </c>
      <c r="G224">
        <v>1081</v>
      </c>
      <c r="H224">
        <v>3</v>
      </c>
      <c r="I224" t="s">
        <v>524</v>
      </c>
      <c r="J224" t="s">
        <v>525</v>
      </c>
      <c r="K224" t="s">
        <v>526</v>
      </c>
      <c r="L224">
        <v>1346</v>
      </c>
      <c r="N224">
        <v>1009</v>
      </c>
      <c r="O224" t="s">
        <v>311</v>
      </c>
      <c r="P224" t="s">
        <v>311</v>
      </c>
      <c r="Q224">
        <v>1</v>
      </c>
      <c r="W224">
        <v>0</v>
      </c>
      <c r="X224">
        <v>1389232946</v>
      </c>
      <c r="Y224">
        <f>((AT224*1)*1)</f>
        <v>0.25</v>
      </c>
      <c r="AA224">
        <v>15.02</v>
      </c>
      <c r="AB224">
        <v>0</v>
      </c>
      <c r="AC224">
        <v>0</v>
      </c>
      <c r="AD224">
        <v>0</v>
      </c>
      <c r="AE224">
        <v>15.02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0.25</v>
      </c>
      <c r="AU224" t="s">
        <v>280</v>
      </c>
      <c r="AV224">
        <v>0</v>
      </c>
      <c r="AW224">
        <v>2</v>
      </c>
      <c r="AX224">
        <v>55937699</v>
      </c>
      <c r="AY224">
        <v>1</v>
      </c>
      <c r="AZ224">
        <v>0</v>
      </c>
      <c r="BA224">
        <v>280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ROUND(Y224*Source!I169,9)</f>
        <v>1</v>
      </c>
      <c r="CY224">
        <f>AA224</f>
        <v>15.02</v>
      </c>
      <c r="CZ224">
        <f>AE224</f>
        <v>15.02</v>
      </c>
      <c r="DA224">
        <f>AI224</f>
        <v>1</v>
      </c>
      <c r="DB224">
        <f>ROUND(((ROUND(AT224*CZ224,2)*1)*1),6)</f>
        <v>3.76</v>
      </c>
      <c r="DC224">
        <f>ROUND(((ROUND(AT224*AG224,2)*1)*1),6)</f>
        <v>0</v>
      </c>
      <c r="DD224" t="s">
        <v>3</v>
      </c>
      <c r="DE224" t="s">
        <v>3</v>
      </c>
      <c r="DF224">
        <f t="shared" si="82"/>
        <v>15.02</v>
      </c>
      <c r="DG224">
        <f t="shared" si="81"/>
        <v>0</v>
      </c>
      <c r="DH224">
        <f t="shared" si="80"/>
        <v>0</v>
      </c>
      <c r="DI224">
        <f t="shared" si="76"/>
        <v>0</v>
      </c>
      <c r="DJ224">
        <f>DF224</f>
        <v>15.02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ROW(Source!A169)</f>
        <v>169</v>
      </c>
      <c r="B225">
        <v>55937296</v>
      </c>
      <c r="C225">
        <v>55937695</v>
      </c>
      <c r="D225">
        <v>55466111</v>
      </c>
      <c r="E225">
        <v>1</v>
      </c>
      <c r="F225">
        <v>1</v>
      </c>
      <c r="G225">
        <v>1081</v>
      </c>
      <c r="H225">
        <v>3</v>
      </c>
      <c r="I225" t="s">
        <v>309</v>
      </c>
      <c r="J225" t="s">
        <v>312</v>
      </c>
      <c r="K225" t="s">
        <v>310</v>
      </c>
      <c r="L225">
        <v>1346</v>
      </c>
      <c r="N225">
        <v>1009</v>
      </c>
      <c r="O225" t="s">
        <v>311</v>
      </c>
      <c r="P225" t="s">
        <v>311</v>
      </c>
      <c r="Q225">
        <v>1</v>
      </c>
      <c r="W225">
        <v>0</v>
      </c>
      <c r="X225">
        <v>-2097101800</v>
      </c>
      <c r="Y225">
        <f>((AT225*1)*1)</f>
        <v>0.2</v>
      </c>
      <c r="AA225">
        <v>31.08</v>
      </c>
      <c r="AB225">
        <v>0</v>
      </c>
      <c r="AC225">
        <v>0</v>
      </c>
      <c r="AD225">
        <v>0</v>
      </c>
      <c r="AE225">
        <v>31.08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 t="s">
        <v>3</v>
      </c>
      <c r="AT225">
        <v>0.2</v>
      </c>
      <c r="AU225" t="s">
        <v>280</v>
      </c>
      <c r="AV225">
        <v>0</v>
      </c>
      <c r="AW225">
        <v>1</v>
      </c>
      <c r="AX225">
        <v>-1</v>
      </c>
      <c r="AY225">
        <v>0</v>
      </c>
      <c r="AZ225">
        <v>0</v>
      </c>
      <c r="BA225" t="s">
        <v>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ROUND(Y225*Source!I169,9)</f>
        <v>0.8</v>
      </c>
      <c r="CY225">
        <f>AA225</f>
        <v>31.08</v>
      </c>
      <c r="CZ225">
        <f>AE225</f>
        <v>31.08</v>
      </c>
      <c r="DA225">
        <f>AI225</f>
        <v>1</v>
      </c>
      <c r="DB225">
        <f>ROUND(((ROUND(AT225*CZ225,2)*1)*1),6)</f>
        <v>6.22</v>
      </c>
      <c r="DC225">
        <f>ROUND(((ROUND(AT225*AG225,2)*1)*1),6)</f>
        <v>0</v>
      </c>
      <c r="DD225" t="s">
        <v>3</v>
      </c>
      <c r="DE225" t="s">
        <v>3</v>
      </c>
      <c r="DF225">
        <f t="shared" si="82"/>
        <v>24.86</v>
      </c>
      <c r="DG225">
        <f t="shared" si="81"/>
        <v>0</v>
      </c>
      <c r="DH225">
        <f t="shared" si="80"/>
        <v>0</v>
      </c>
      <c r="DI225">
        <f t="shared" si="76"/>
        <v>0</v>
      </c>
      <c r="DJ225">
        <f>DF225</f>
        <v>24.86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ROW(Source!A169)</f>
        <v>169</v>
      </c>
      <c r="B226">
        <v>55937296</v>
      </c>
      <c r="C226">
        <v>55937695</v>
      </c>
      <c r="D226">
        <v>0</v>
      </c>
      <c r="E226">
        <v>0</v>
      </c>
      <c r="F226">
        <v>1</v>
      </c>
      <c r="G226">
        <v>1081</v>
      </c>
      <c r="H226">
        <v>3</v>
      </c>
      <c r="I226" t="s">
        <v>536</v>
      </c>
      <c r="J226" t="s">
        <v>536</v>
      </c>
      <c r="K226" t="s">
        <v>315</v>
      </c>
      <c r="L226">
        <v>1371</v>
      </c>
      <c r="N226">
        <v>1013</v>
      </c>
      <c r="O226" t="s">
        <v>183</v>
      </c>
      <c r="P226" t="s">
        <v>183</v>
      </c>
      <c r="Q226">
        <v>1</v>
      </c>
      <c r="W226">
        <v>0</v>
      </c>
      <c r="X226">
        <v>-229308946</v>
      </c>
      <c r="Y226">
        <f>((AT226*1)*1)</f>
        <v>1</v>
      </c>
      <c r="AA226">
        <v>2286.4499999999998</v>
      </c>
      <c r="AB226">
        <v>0</v>
      </c>
      <c r="AC226">
        <v>0</v>
      </c>
      <c r="AD226">
        <v>0</v>
      </c>
      <c r="AE226">
        <v>2286.4500000000003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 t="s">
        <v>3</v>
      </c>
      <c r="AT226">
        <v>1</v>
      </c>
      <c r="AU226" t="s">
        <v>280</v>
      </c>
      <c r="AV226">
        <v>0</v>
      </c>
      <c r="AW226">
        <v>1</v>
      </c>
      <c r="AX226">
        <v>-1</v>
      </c>
      <c r="AY226">
        <v>0</v>
      </c>
      <c r="AZ226">
        <v>0</v>
      </c>
      <c r="BA226" t="s">
        <v>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ROUND(Y226*Source!I169,9)</f>
        <v>4</v>
      </c>
      <c r="CY226">
        <f>AA226</f>
        <v>2286.4499999999998</v>
      </c>
      <c r="CZ226">
        <f>AE226</f>
        <v>2286.4500000000003</v>
      </c>
      <c r="DA226">
        <f>AI226</f>
        <v>1</v>
      </c>
      <c r="DB226">
        <f>ROUND(((ROUND(AT226*CZ226,2)*1)*1),6)</f>
        <v>2286.4499999999998</v>
      </c>
      <c r="DC226">
        <f>ROUND(((ROUND(AT226*AG226,2)*1)*1),6)</f>
        <v>0</v>
      </c>
      <c r="DD226" t="s">
        <v>3</v>
      </c>
      <c r="DE226" t="s">
        <v>3</v>
      </c>
      <c r="DF226">
        <f t="shared" si="82"/>
        <v>9145.7999999999993</v>
      </c>
      <c r="DG226">
        <f t="shared" si="81"/>
        <v>0</v>
      </c>
      <c r="DH226">
        <f t="shared" si="80"/>
        <v>0</v>
      </c>
      <c r="DI226">
        <f t="shared" si="76"/>
        <v>0</v>
      </c>
      <c r="DJ226">
        <f>DF226</f>
        <v>9145.7999999999993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ROW(Source!A170)</f>
        <v>170</v>
      </c>
      <c r="B227">
        <v>55937298</v>
      </c>
      <c r="C227">
        <v>55937695</v>
      </c>
      <c r="D227">
        <v>55424304</v>
      </c>
      <c r="E227">
        <v>1081</v>
      </c>
      <c r="F227">
        <v>1</v>
      </c>
      <c r="G227">
        <v>1081</v>
      </c>
      <c r="H227">
        <v>1</v>
      </c>
      <c r="I227" t="s">
        <v>449</v>
      </c>
      <c r="J227" t="s">
        <v>3</v>
      </c>
      <c r="K227" t="s">
        <v>450</v>
      </c>
      <c r="L227">
        <v>1191</v>
      </c>
      <c r="N227">
        <v>1013</v>
      </c>
      <c r="O227" t="s">
        <v>451</v>
      </c>
      <c r="P227" t="s">
        <v>451</v>
      </c>
      <c r="Q227">
        <v>1</v>
      </c>
      <c r="W227">
        <v>0</v>
      </c>
      <c r="X227">
        <v>476480486</v>
      </c>
      <c r="Y227">
        <f>((AT227*1.15)*1.2)</f>
        <v>1.4213999999999998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5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1.03</v>
      </c>
      <c r="AU227" t="s">
        <v>282</v>
      </c>
      <c r="AV227">
        <v>1</v>
      </c>
      <c r="AW227">
        <v>2</v>
      </c>
      <c r="AX227">
        <v>55937696</v>
      </c>
      <c r="AY227">
        <v>1</v>
      </c>
      <c r="AZ227">
        <v>0</v>
      </c>
      <c r="BA227">
        <v>283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U227">
        <f>ROUND(AT227*Source!I170*AH227*AL227,2)</f>
        <v>0</v>
      </c>
      <c r="CV227">
        <f>ROUND(Y227*Source!I170,9)</f>
        <v>5.6856</v>
      </c>
      <c r="CW227">
        <v>0</v>
      </c>
      <c r="CX227">
        <f>ROUND(Y227*Source!I170,9)</f>
        <v>5.6856</v>
      </c>
      <c r="CY227">
        <f>AD227</f>
        <v>0</v>
      </c>
      <c r="CZ227">
        <f>AH227</f>
        <v>0</v>
      </c>
      <c r="DA227">
        <f>AL227</f>
        <v>1</v>
      </c>
      <c r="DB227">
        <f>ROUND(((ROUND(AT227*CZ227,2)*1.15)*1.2),6)</f>
        <v>0</v>
      </c>
      <c r="DC227">
        <f>ROUND(((ROUND(AT227*AG227,2)*1.15)*1.2),6)</f>
        <v>0</v>
      </c>
      <c r="DD227" t="s">
        <v>3</v>
      </c>
      <c r="DE227" t="s">
        <v>3</v>
      </c>
      <c r="DF227">
        <f t="shared" si="82"/>
        <v>0</v>
      </c>
      <c r="DG227">
        <f t="shared" si="81"/>
        <v>0</v>
      </c>
      <c r="DH227">
        <f t="shared" si="80"/>
        <v>0</v>
      </c>
      <c r="DI227">
        <f t="shared" si="76"/>
        <v>0</v>
      </c>
      <c r="DJ227">
        <f>DI227</f>
        <v>0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ROW(Source!A170)</f>
        <v>170</v>
      </c>
      <c r="B228">
        <v>55937298</v>
      </c>
      <c r="C228">
        <v>55937695</v>
      </c>
      <c r="D228">
        <v>55490209</v>
      </c>
      <c r="E228">
        <v>1</v>
      </c>
      <c r="F228">
        <v>1</v>
      </c>
      <c r="G228">
        <v>1081</v>
      </c>
      <c r="H228">
        <v>2</v>
      </c>
      <c r="I228" t="s">
        <v>489</v>
      </c>
      <c r="J228" t="s">
        <v>490</v>
      </c>
      <c r="K228" t="s">
        <v>491</v>
      </c>
      <c r="L228">
        <v>1368</v>
      </c>
      <c r="N228">
        <v>1011</v>
      </c>
      <c r="O228" t="s">
        <v>455</v>
      </c>
      <c r="P228" t="s">
        <v>455</v>
      </c>
      <c r="Q228">
        <v>1</v>
      </c>
      <c r="W228">
        <v>0</v>
      </c>
      <c r="X228">
        <v>874612079</v>
      </c>
      <c r="Y228">
        <f>((AT228*1.25)*1.2)</f>
        <v>1.4999999999999999E-2</v>
      </c>
      <c r="AA228">
        <v>0</v>
      </c>
      <c r="AB228">
        <v>1513.56</v>
      </c>
      <c r="AC228">
        <v>758.78</v>
      </c>
      <c r="AD228">
        <v>0</v>
      </c>
      <c r="AE228">
        <v>0</v>
      </c>
      <c r="AF228">
        <v>83.1</v>
      </c>
      <c r="AG228">
        <v>12.62</v>
      </c>
      <c r="AH228">
        <v>0</v>
      </c>
      <c r="AI228">
        <v>1</v>
      </c>
      <c r="AJ228">
        <v>17.07</v>
      </c>
      <c r="AK228">
        <v>56.35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0.01</v>
      </c>
      <c r="AU228" t="s">
        <v>281</v>
      </c>
      <c r="AV228">
        <v>0</v>
      </c>
      <c r="AW228">
        <v>2</v>
      </c>
      <c r="AX228">
        <v>55937697</v>
      </c>
      <c r="AY228">
        <v>1</v>
      </c>
      <c r="AZ228">
        <v>0</v>
      </c>
      <c r="BA228">
        <v>284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ROUND(Y228*Source!I170*DO228,9)</f>
        <v>0.75719999999999998</v>
      </c>
      <c r="CX228">
        <f>ROUND(Y228*Source!I170,9)</f>
        <v>0.06</v>
      </c>
      <c r="CY228">
        <f>AB228</f>
        <v>1513.56</v>
      </c>
      <c r="CZ228">
        <f>AF228</f>
        <v>83.1</v>
      </c>
      <c r="DA228">
        <f>AJ228</f>
        <v>17.07</v>
      </c>
      <c r="DB228">
        <f>ROUND(((ROUND(AT228*CZ228,2)*1.25)*1.2),6)</f>
        <v>1.2450000000000001</v>
      </c>
      <c r="DC228">
        <f>ROUND(((ROUND(AT228*AG228,2)*1.25)*1.2),6)</f>
        <v>0.19500000000000001</v>
      </c>
      <c r="DD228" t="s">
        <v>3</v>
      </c>
      <c r="DE228" t="s">
        <v>3</v>
      </c>
      <c r="DF228">
        <f t="shared" si="82"/>
        <v>0</v>
      </c>
      <c r="DG228">
        <f>ROUND(ROUND(AF228*AJ228,2)*CX228,2)</f>
        <v>85.11</v>
      </c>
      <c r="DH228">
        <f>ROUND(ROUND(AG228*AK228,2)*CX228,2)</f>
        <v>42.67</v>
      </c>
      <c r="DI228">
        <f t="shared" si="76"/>
        <v>0</v>
      </c>
      <c r="DJ228">
        <f>DG228</f>
        <v>85.11</v>
      </c>
      <c r="DK228">
        <v>0</v>
      </c>
      <c r="DL228" t="s">
        <v>492</v>
      </c>
      <c r="DM228">
        <v>0</v>
      </c>
      <c r="DN228" t="s">
        <v>451</v>
      </c>
      <c r="DO228">
        <v>12.62</v>
      </c>
    </row>
    <row r="229" spans="1:119" x14ac:dyDescent="0.2">
      <c r="A229">
        <f>ROW(Source!A170)</f>
        <v>170</v>
      </c>
      <c r="B229">
        <v>55937298</v>
      </c>
      <c r="C229">
        <v>55937695</v>
      </c>
      <c r="D229">
        <v>55489523</v>
      </c>
      <c r="E229">
        <v>1</v>
      </c>
      <c r="F229">
        <v>1</v>
      </c>
      <c r="G229">
        <v>1081</v>
      </c>
      <c r="H229">
        <v>2</v>
      </c>
      <c r="I229" t="s">
        <v>521</v>
      </c>
      <c r="J229" t="s">
        <v>522</v>
      </c>
      <c r="K229" t="s">
        <v>523</v>
      </c>
      <c r="L229">
        <v>1368</v>
      </c>
      <c r="N229">
        <v>1011</v>
      </c>
      <c r="O229" t="s">
        <v>455</v>
      </c>
      <c r="P229" t="s">
        <v>455</v>
      </c>
      <c r="Q229">
        <v>1</v>
      </c>
      <c r="W229">
        <v>0</v>
      </c>
      <c r="X229">
        <v>-597652516</v>
      </c>
      <c r="Y229">
        <f>((AT229*1.25)*1.2)</f>
        <v>0.39</v>
      </c>
      <c r="AA229">
        <v>0</v>
      </c>
      <c r="AB229">
        <v>3.14</v>
      </c>
      <c r="AC229">
        <v>0</v>
      </c>
      <c r="AD229">
        <v>0</v>
      </c>
      <c r="AE229">
        <v>0</v>
      </c>
      <c r="AF229">
        <v>0.32</v>
      </c>
      <c r="AG229">
        <v>0</v>
      </c>
      <c r="AH229">
        <v>0</v>
      </c>
      <c r="AI229">
        <v>1</v>
      </c>
      <c r="AJ229">
        <v>9.19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0.26</v>
      </c>
      <c r="AU229" t="s">
        <v>281</v>
      </c>
      <c r="AV229">
        <v>0</v>
      </c>
      <c r="AW229">
        <v>2</v>
      </c>
      <c r="AX229">
        <v>55937698</v>
      </c>
      <c r="AY229">
        <v>1</v>
      </c>
      <c r="AZ229">
        <v>0</v>
      </c>
      <c r="BA229">
        <v>285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f>ROUND(Y229*Source!I170*DO229,9)</f>
        <v>0</v>
      </c>
      <c r="CX229">
        <f>ROUND(Y229*Source!I170,9)</f>
        <v>1.56</v>
      </c>
      <c r="CY229">
        <f>AB229</f>
        <v>3.14</v>
      </c>
      <c r="CZ229">
        <f>AF229</f>
        <v>0.32</v>
      </c>
      <c r="DA229">
        <f>AJ229</f>
        <v>9.19</v>
      </c>
      <c r="DB229">
        <f>ROUND(((ROUND(AT229*CZ229,2)*1.25)*1.2),6)</f>
        <v>0.12</v>
      </c>
      <c r="DC229">
        <f>ROUND(((ROUND(AT229*AG229,2)*1.25)*1.2),6)</f>
        <v>0</v>
      </c>
      <c r="DD229" t="s">
        <v>3</v>
      </c>
      <c r="DE229" t="s">
        <v>3</v>
      </c>
      <c r="DF229">
        <f t="shared" si="82"/>
        <v>0</v>
      </c>
      <c r="DG229">
        <f>ROUND(ROUND(AF229*AJ229,2)*CX229,2)</f>
        <v>4.59</v>
      </c>
      <c r="DH229">
        <f t="shared" ref="DH229:DH239" si="83">ROUND(ROUND(AG229,2)*CX229,2)</f>
        <v>0</v>
      </c>
      <c r="DI229">
        <f t="shared" si="76"/>
        <v>0</v>
      </c>
      <c r="DJ229">
        <f>DG229</f>
        <v>4.59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ROW(Source!A170)</f>
        <v>170</v>
      </c>
      <c r="B230">
        <v>55937298</v>
      </c>
      <c r="C230">
        <v>55937695</v>
      </c>
      <c r="D230">
        <v>55461047</v>
      </c>
      <c r="E230">
        <v>1</v>
      </c>
      <c r="F230">
        <v>1</v>
      </c>
      <c r="G230">
        <v>1081</v>
      </c>
      <c r="H230">
        <v>3</v>
      </c>
      <c r="I230" t="s">
        <v>524</v>
      </c>
      <c r="J230" t="s">
        <v>525</v>
      </c>
      <c r="K230" t="s">
        <v>526</v>
      </c>
      <c r="L230">
        <v>1346</v>
      </c>
      <c r="N230">
        <v>1009</v>
      </c>
      <c r="O230" t="s">
        <v>311</v>
      </c>
      <c r="P230" t="s">
        <v>311</v>
      </c>
      <c r="Q230">
        <v>1</v>
      </c>
      <c r="W230">
        <v>0</v>
      </c>
      <c r="X230">
        <v>1389232946</v>
      </c>
      <c r="Y230">
        <f>((AT230*1)*1)</f>
        <v>0.25</v>
      </c>
      <c r="AA230">
        <v>98.38</v>
      </c>
      <c r="AB230">
        <v>0</v>
      </c>
      <c r="AC230">
        <v>0</v>
      </c>
      <c r="AD230">
        <v>0</v>
      </c>
      <c r="AE230">
        <v>15.02</v>
      </c>
      <c r="AF230">
        <v>0</v>
      </c>
      <c r="AG230">
        <v>0</v>
      </c>
      <c r="AH230">
        <v>0</v>
      </c>
      <c r="AI230">
        <v>6.55</v>
      </c>
      <c r="AJ230">
        <v>1</v>
      </c>
      <c r="AK230">
        <v>1</v>
      </c>
      <c r="AL230">
        <v>1</v>
      </c>
      <c r="AM230">
        <v>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0.25</v>
      </c>
      <c r="AU230" t="s">
        <v>280</v>
      </c>
      <c r="AV230">
        <v>0</v>
      </c>
      <c r="AW230">
        <v>2</v>
      </c>
      <c r="AX230">
        <v>55937699</v>
      </c>
      <c r="AY230">
        <v>1</v>
      </c>
      <c r="AZ230">
        <v>0</v>
      </c>
      <c r="BA230">
        <v>286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ROUND(Y230*Source!I170,9)</f>
        <v>1</v>
      </c>
      <c r="CY230">
        <f>AA230</f>
        <v>98.38</v>
      </c>
      <c r="CZ230">
        <f>AE230</f>
        <v>15.02</v>
      </c>
      <c r="DA230">
        <f>AI230</f>
        <v>6.55</v>
      </c>
      <c r="DB230">
        <f>ROUND(((ROUND(AT230*CZ230,2)*1)*1),6)</f>
        <v>3.76</v>
      </c>
      <c r="DC230">
        <f>ROUND(((ROUND(AT230*AG230,2)*1)*1),6)</f>
        <v>0</v>
      </c>
      <c r="DD230" t="s">
        <v>3</v>
      </c>
      <c r="DE230" t="s">
        <v>3</v>
      </c>
      <c r="DF230">
        <f>ROUND(ROUND(AE230*AI230,2)*CX230,2)</f>
        <v>98.38</v>
      </c>
      <c r="DG230">
        <f t="shared" ref="DG230:DG239" si="84">ROUND(ROUND(AF230,2)*CX230,2)</f>
        <v>0</v>
      </c>
      <c r="DH230">
        <f t="shared" si="83"/>
        <v>0</v>
      </c>
      <c r="DI230">
        <f t="shared" si="76"/>
        <v>0</v>
      </c>
      <c r="DJ230">
        <f>DF230</f>
        <v>98.38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ROW(Source!A170)</f>
        <v>170</v>
      </c>
      <c r="B231">
        <v>55937298</v>
      </c>
      <c r="C231">
        <v>55937695</v>
      </c>
      <c r="D231">
        <v>55466111</v>
      </c>
      <c r="E231">
        <v>1</v>
      </c>
      <c r="F231">
        <v>1</v>
      </c>
      <c r="G231">
        <v>1081</v>
      </c>
      <c r="H231">
        <v>3</v>
      </c>
      <c r="I231" t="s">
        <v>309</v>
      </c>
      <c r="J231" t="s">
        <v>312</v>
      </c>
      <c r="K231" t="s">
        <v>310</v>
      </c>
      <c r="L231">
        <v>1346</v>
      </c>
      <c r="N231">
        <v>1009</v>
      </c>
      <c r="O231" t="s">
        <v>311</v>
      </c>
      <c r="P231" t="s">
        <v>311</v>
      </c>
      <c r="Q231">
        <v>1</v>
      </c>
      <c r="W231">
        <v>0</v>
      </c>
      <c r="X231">
        <v>-2097101800</v>
      </c>
      <c r="Y231">
        <f>((AT231*1)*1)</f>
        <v>0.2</v>
      </c>
      <c r="AA231">
        <v>111.58</v>
      </c>
      <c r="AB231">
        <v>0</v>
      </c>
      <c r="AC231">
        <v>0</v>
      </c>
      <c r="AD231">
        <v>0</v>
      </c>
      <c r="AE231">
        <v>31.08</v>
      </c>
      <c r="AF231">
        <v>0</v>
      </c>
      <c r="AG231">
        <v>0</v>
      </c>
      <c r="AH231">
        <v>0</v>
      </c>
      <c r="AI231">
        <v>3.59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 t="s">
        <v>3</v>
      </c>
      <c r="AT231">
        <v>0.2</v>
      </c>
      <c r="AU231" t="s">
        <v>280</v>
      </c>
      <c r="AV231">
        <v>0</v>
      </c>
      <c r="AW231">
        <v>1</v>
      </c>
      <c r="AX231">
        <v>-1</v>
      </c>
      <c r="AY231">
        <v>0</v>
      </c>
      <c r="AZ231">
        <v>0</v>
      </c>
      <c r="BA231" t="s">
        <v>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ROUND(Y231*Source!I170,9)</f>
        <v>0.8</v>
      </c>
      <c r="CY231">
        <f>AA231</f>
        <v>111.58</v>
      </c>
      <c r="CZ231">
        <f>AE231</f>
        <v>31.08</v>
      </c>
      <c r="DA231">
        <f>AI231</f>
        <v>3.59</v>
      </c>
      <c r="DB231">
        <f>ROUND(((ROUND(AT231*CZ231,2)*1)*1),6)</f>
        <v>6.22</v>
      </c>
      <c r="DC231">
        <f>ROUND(((ROUND(AT231*AG231,2)*1)*1),6)</f>
        <v>0</v>
      </c>
      <c r="DD231" t="s">
        <v>3</v>
      </c>
      <c r="DE231" t="s">
        <v>3</v>
      </c>
      <c r="DF231">
        <f>ROUND(ROUND(AE231*AI231,2)*CX231,2)</f>
        <v>89.26</v>
      </c>
      <c r="DG231">
        <f t="shared" si="84"/>
        <v>0</v>
      </c>
      <c r="DH231">
        <f t="shared" si="83"/>
        <v>0</v>
      </c>
      <c r="DI231">
        <f t="shared" si="76"/>
        <v>0</v>
      </c>
      <c r="DJ231">
        <f>DF231</f>
        <v>89.26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ROW(Source!A170)</f>
        <v>170</v>
      </c>
      <c r="B232">
        <v>55937298</v>
      </c>
      <c r="C232">
        <v>55937695</v>
      </c>
      <c r="D232">
        <v>0</v>
      </c>
      <c r="E232">
        <v>0</v>
      </c>
      <c r="F232">
        <v>1</v>
      </c>
      <c r="G232">
        <v>1081</v>
      </c>
      <c r="H232">
        <v>3</v>
      </c>
      <c r="I232" t="s">
        <v>536</v>
      </c>
      <c r="J232" t="s">
        <v>536</v>
      </c>
      <c r="K232" t="s">
        <v>315</v>
      </c>
      <c r="L232">
        <v>1371</v>
      </c>
      <c r="N232">
        <v>1013</v>
      </c>
      <c r="O232" t="s">
        <v>183</v>
      </c>
      <c r="P232" t="s">
        <v>183</v>
      </c>
      <c r="Q232">
        <v>1</v>
      </c>
      <c r="W232">
        <v>0</v>
      </c>
      <c r="X232">
        <v>-229308946</v>
      </c>
      <c r="Y232">
        <f>((AT232*1)*1)</f>
        <v>1</v>
      </c>
      <c r="AA232">
        <v>17514.21</v>
      </c>
      <c r="AB232">
        <v>0</v>
      </c>
      <c r="AC232">
        <v>0</v>
      </c>
      <c r="AD232">
        <v>0</v>
      </c>
      <c r="AE232">
        <v>2286.4500000000003</v>
      </c>
      <c r="AF232">
        <v>0</v>
      </c>
      <c r="AG232">
        <v>0</v>
      </c>
      <c r="AH232">
        <v>0</v>
      </c>
      <c r="AI232">
        <v>7.66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 t="s">
        <v>3</v>
      </c>
      <c r="AT232">
        <v>1</v>
      </c>
      <c r="AU232" t="s">
        <v>280</v>
      </c>
      <c r="AV232">
        <v>0</v>
      </c>
      <c r="AW232">
        <v>1</v>
      </c>
      <c r="AX232">
        <v>-1</v>
      </c>
      <c r="AY232">
        <v>0</v>
      </c>
      <c r="AZ232">
        <v>0</v>
      </c>
      <c r="BA232" t="s">
        <v>3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ROUND(Y232*Source!I170,9)</f>
        <v>4</v>
      </c>
      <c r="CY232">
        <f>AA232</f>
        <v>17514.21</v>
      </c>
      <c r="CZ232">
        <f>AE232</f>
        <v>2286.4500000000003</v>
      </c>
      <c r="DA232">
        <f>AI232</f>
        <v>7.66</v>
      </c>
      <c r="DB232">
        <f>ROUND(((ROUND(AT232*CZ232,2)*1)*1),6)</f>
        <v>2286.4499999999998</v>
      </c>
      <c r="DC232">
        <f>ROUND(((ROUND(AT232*AG232,2)*1)*1),6)</f>
        <v>0</v>
      </c>
      <c r="DD232" t="s">
        <v>3</v>
      </c>
      <c r="DE232" t="s">
        <v>3</v>
      </c>
      <c r="DF232">
        <f>ROUND(ROUND(AE232*AI232,2)*CX232,2)</f>
        <v>70056.84</v>
      </c>
      <c r="DG232">
        <f t="shared" si="84"/>
        <v>0</v>
      </c>
      <c r="DH232">
        <f t="shared" si="83"/>
        <v>0</v>
      </c>
      <c r="DI232">
        <f t="shared" si="76"/>
        <v>0</v>
      </c>
      <c r="DJ232">
        <f>DF232</f>
        <v>70056.84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ROW(Source!A175)</f>
        <v>175</v>
      </c>
      <c r="B233">
        <v>55937296</v>
      </c>
      <c r="C233">
        <v>55937714</v>
      </c>
      <c r="D233">
        <v>55424304</v>
      </c>
      <c r="E233">
        <v>1081</v>
      </c>
      <c r="F233">
        <v>1</v>
      </c>
      <c r="G233">
        <v>1081</v>
      </c>
      <c r="H233">
        <v>1</v>
      </c>
      <c r="I233" t="s">
        <v>449</v>
      </c>
      <c r="J233" t="s">
        <v>3</v>
      </c>
      <c r="K233" t="s">
        <v>450</v>
      </c>
      <c r="L233">
        <v>1191</v>
      </c>
      <c r="N233">
        <v>1013</v>
      </c>
      <c r="O233" t="s">
        <v>451</v>
      </c>
      <c r="P233" t="s">
        <v>451</v>
      </c>
      <c r="Q233">
        <v>1</v>
      </c>
      <c r="W233">
        <v>0</v>
      </c>
      <c r="X233">
        <v>476480486</v>
      </c>
      <c r="Y233">
        <f>((AT233*1.15)*1.2)</f>
        <v>34.223999999999997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24.8</v>
      </c>
      <c r="AU233" t="s">
        <v>282</v>
      </c>
      <c r="AV233">
        <v>1</v>
      </c>
      <c r="AW233">
        <v>2</v>
      </c>
      <c r="AX233">
        <v>55937715</v>
      </c>
      <c r="AY233">
        <v>1</v>
      </c>
      <c r="AZ233">
        <v>0</v>
      </c>
      <c r="BA233">
        <v>289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U233">
        <f>ROUND(AT233*Source!I175*AH233*AL233,2)</f>
        <v>0</v>
      </c>
      <c r="CV233">
        <f>ROUND(Y233*Source!I175,9)</f>
        <v>1.36896</v>
      </c>
      <c r="CW233">
        <v>0</v>
      </c>
      <c r="CX233">
        <f>ROUND(Y233*Source!I175,9)</f>
        <v>1.36896</v>
      </c>
      <c r="CY233">
        <f>AD233</f>
        <v>0</v>
      </c>
      <c r="CZ233">
        <f>AH233</f>
        <v>0</v>
      </c>
      <c r="DA233">
        <f>AL233</f>
        <v>1</v>
      </c>
      <c r="DB233">
        <f>ROUND(((ROUND(AT233*CZ233,2)*1.15)*1.2),6)</f>
        <v>0</v>
      </c>
      <c r="DC233">
        <f>ROUND(((ROUND(AT233*AG233,2)*1.15)*1.2),6)</f>
        <v>0</v>
      </c>
      <c r="DD233" t="s">
        <v>3</v>
      </c>
      <c r="DE233" t="s">
        <v>3</v>
      </c>
      <c r="DF233">
        <f t="shared" ref="DF233:DF241" si="85">ROUND(ROUND(AE233,2)*CX233,2)</f>
        <v>0</v>
      </c>
      <c r="DG233">
        <f t="shared" si="84"/>
        <v>0</v>
      </c>
      <c r="DH233">
        <f t="shared" si="83"/>
        <v>0</v>
      </c>
      <c r="DI233">
        <f t="shared" si="76"/>
        <v>0</v>
      </c>
      <c r="DJ233">
        <f>DI233</f>
        <v>0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ROW(Source!A175)</f>
        <v>175</v>
      </c>
      <c r="B234">
        <v>55937296</v>
      </c>
      <c r="C234">
        <v>55937714</v>
      </c>
      <c r="D234">
        <v>55490209</v>
      </c>
      <c r="E234">
        <v>1</v>
      </c>
      <c r="F234">
        <v>1</v>
      </c>
      <c r="G234">
        <v>1081</v>
      </c>
      <c r="H234">
        <v>2</v>
      </c>
      <c r="I234" t="s">
        <v>489</v>
      </c>
      <c r="J234" t="s">
        <v>490</v>
      </c>
      <c r="K234" t="s">
        <v>491</v>
      </c>
      <c r="L234">
        <v>1368</v>
      </c>
      <c r="N234">
        <v>1011</v>
      </c>
      <c r="O234" t="s">
        <v>455</v>
      </c>
      <c r="P234" t="s">
        <v>455</v>
      </c>
      <c r="Q234">
        <v>1</v>
      </c>
      <c r="W234">
        <v>0</v>
      </c>
      <c r="X234">
        <v>874612079</v>
      </c>
      <c r="Y234">
        <f>((AT234*1.25)*1.2)</f>
        <v>0.03</v>
      </c>
      <c r="AA234">
        <v>0</v>
      </c>
      <c r="AB234">
        <v>88.67</v>
      </c>
      <c r="AC234">
        <v>13.47</v>
      </c>
      <c r="AD234">
        <v>0</v>
      </c>
      <c r="AE234">
        <v>0</v>
      </c>
      <c r="AF234">
        <v>83.1</v>
      </c>
      <c r="AG234">
        <v>12.62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0.02</v>
      </c>
      <c r="AU234" t="s">
        <v>281</v>
      </c>
      <c r="AV234">
        <v>0</v>
      </c>
      <c r="AW234">
        <v>2</v>
      </c>
      <c r="AX234">
        <v>55937716</v>
      </c>
      <c r="AY234">
        <v>1</v>
      </c>
      <c r="AZ234">
        <v>0</v>
      </c>
      <c r="BA234">
        <v>290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f>ROUND(Y234*Source!I175*DO234,9)</f>
        <v>1.5143999999999999E-2</v>
      </c>
      <c r="CX234">
        <f>ROUND(Y234*Source!I175,9)</f>
        <v>1.1999999999999999E-3</v>
      </c>
      <c r="CY234">
        <f>AB234</f>
        <v>88.67</v>
      </c>
      <c r="CZ234">
        <f>AF234</f>
        <v>83.1</v>
      </c>
      <c r="DA234">
        <f>AJ234</f>
        <v>1</v>
      </c>
      <c r="DB234">
        <f>ROUND(((ROUND(AT234*CZ234,2)*1.25)*1.2),6)</f>
        <v>2.4900000000000002</v>
      </c>
      <c r="DC234">
        <f>ROUND(((ROUND(AT234*AG234,2)*1.25)*1.2),6)</f>
        <v>0.375</v>
      </c>
      <c r="DD234" t="s">
        <v>3</v>
      </c>
      <c r="DE234" t="s">
        <v>3</v>
      </c>
      <c r="DF234">
        <f t="shared" si="85"/>
        <v>0</v>
      </c>
      <c r="DG234">
        <f t="shared" si="84"/>
        <v>0.1</v>
      </c>
      <c r="DH234">
        <f t="shared" si="83"/>
        <v>0.02</v>
      </c>
      <c r="DI234">
        <f t="shared" si="76"/>
        <v>0</v>
      </c>
      <c r="DJ234">
        <f>DG234</f>
        <v>0.1</v>
      </c>
      <c r="DK234">
        <v>0</v>
      </c>
      <c r="DL234" t="s">
        <v>492</v>
      </c>
      <c r="DM234">
        <v>0</v>
      </c>
      <c r="DN234" t="s">
        <v>451</v>
      </c>
      <c r="DO234">
        <v>12.62</v>
      </c>
    </row>
    <row r="235" spans="1:119" x14ac:dyDescent="0.2">
      <c r="A235">
        <f>ROW(Source!A175)</f>
        <v>175</v>
      </c>
      <c r="B235">
        <v>55937296</v>
      </c>
      <c r="C235">
        <v>55937714</v>
      </c>
      <c r="D235">
        <v>55490263</v>
      </c>
      <c r="E235">
        <v>1</v>
      </c>
      <c r="F235">
        <v>1</v>
      </c>
      <c r="G235">
        <v>1081</v>
      </c>
      <c r="H235">
        <v>2</v>
      </c>
      <c r="I235" t="s">
        <v>502</v>
      </c>
      <c r="J235" t="s">
        <v>503</v>
      </c>
      <c r="K235" t="s">
        <v>504</v>
      </c>
      <c r="L235">
        <v>1368</v>
      </c>
      <c r="N235">
        <v>1011</v>
      </c>
      <c r="O235" t="s">
        <v>455</v>
      </c>
      <c r="P235" t="s">
        <v>455</v>
      </c>
      <c r="Q235">
        <v>1</v>
      </c>
      <c r="W235">
        <v>0</v>
      </c>
      <c r="X235">
        <v>-1895752648</v>
      </c>
      <c r="Y235">
        <f>((AT235*1.25)*1.2)</f>
        <v>12</v>
      </c>
      <c r="AA235">
        <v>0</v>
      </c>
      <c r="AB235">
        <v>0.82</v>
      </c>
      <c r="AC235">
        <v>0</v>
      </c>
      <c r="AD235">
        <v>0</v>
      </c>
      <c r="AE235">
        <v>0</v>
      </c>
      <c r="AF235">
        <v>0.77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8</v>
      </c>
      <c r="AU235" t="s">
        <v>281</v>
      </c>
      <c r="AV235">
        <v>0</v>
      </c>
      <c r="AW235">
        <v>2</v>
      </c>
      <c r="AX235">
        <v>55937717</v>
      </c>
      <c r="AY235">
        <v>1</v>
      </c>
      <c r="AZ235">
        <v>0</v>
      </c>
      <c r="BA235">
        <v>291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f>ROUND(Y235*Source!I175*DO235,9)</f>
        <v>0</v>
      </c>
      <c r="CX235">
        <f>ROUND(Y235*Source!I175,9)</f>
        <v>0.48</v>
      </c>
      <c r="CY235">
        <f>AB235</f>
        <v>0.82</v>
      </c>
      <c r="CZ235">
        <f>AF235</f>
        <v>0.77</v>
      </c>
      <c r="DA235">
        <f>AJ235</f>
        <v>1</v>
      </c>
      <c r="DB235">
        <f>ROUND(((ROUND(AT235*CZ235,2)*1.25)*1.2),6)</f>
        <v>9.24</v>
      </c>
      <c r="DC235">
        <f>ROUND(((ROUND(AT235*AG235,2)*1.25)*1.2),6)</f>
        <v>0</v>
      </c>
      <c r="DD235" t="s">
        <v>3</v>
      </c>
      <c r="DE235" t="s">
        <v>3</v>
      </c>
      <c r="DF235">
        <f t="shared" si="85"/>
        <v>0</v>
      </c>
      <c r="DG235">
        <f t="shared" si="84"/>
        <v>0.37</v>
      </c>
      <c r="DH235">
        <f t="shared" si="83"/>
        <v>0</v>
      </c>
      <c r="DI235">
        <f t="shared" si="76"/>
        <v>0</v>
      </c>
      <c r="DJ235">
        <f>DG235</f>
        <v>0.37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ROW(Source!A175)</f>
        <v>175</v>
      </c>
      <c r="B236">
        <v>55937296</v>
      </c>
      <c r="C236">
        <v>55937714</v>
      </c>
      <c r="D236">
        <v>55460658</v>
      </c>
      <c r="E236">
        <v>1</v>
      </c>
      <c r="F236">
        <v>1</v>
      </c>
      <c r="G236">
        <v>1081</v>
      </c>
      <c r="H236">
        <v>3</v>
      </c>
      <c r="I236" t="s">
        <v>527</v>
      </c>
      <c r="J236" t="s">
        <v>528</v>
      </c>
      <c r="K236" t="s">
        <v>529</v>
      </c>
      <c r="L236">
        <v>1296</v>
      </c>
      <c r="N236">
        <v>1002</v>
      </c>
      <c r="O236" t="s">
        <v>514</v>
      </c>
      <c r="P236" t="s">
        <v>514</v>
      </c>
      <c r="Q236">
        <v>1</v>
      </c>
      <c r="W236">
        <v>0</v>
      </c>
      <c r="X236">
        <v>1977302506</v>
      </c>
      <c r="Y236">
        <f>((AT236*1)*1)</f>
        <v>2.1267</v>
      </c>
      <c r="AA236">
        <v>84.21</v>
      </c>
      <c r="AB236">
        <v>0</v>
      </c>
      <c r="AC236">
        <v>0</v>
      </c>
      <c r="AD236">
        <v>0</v>
      </c>
      <c r="AE236">
        <v>84.21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2.1267</v>
      </c>
      <c r="AU236" t="s">
        <v>280</v>
      </c>
      <c r="AV236">
        <v>0</v>
      </c>
      <c r="AW236">
        <v>2</v>
      </c>
      <c r="AX236">
        <v>55937718</v>
      </c>
      <c r="AY236">
        <v>1</v>
      </c>
      <c r="AZ236">
        <v>0</v>
      </c>
      <c r="BA236">
        <v>292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ROUND(Y236*Source!I175,9)</f>
        <v>8.5068000000000005E-2</v>
      </c>
      <c r="CY236">
        <f>AA236</f>
        <v>84.21</v>
      </c>
      <c r="CZ236">
        <f>AE236</f>
        <v>84.21</v>
      </c>
      <c r="DA236">
        <f>AI236</f>
        <v>1</v>
      </c>
      <c r="DB236">
        <f>ROUND(((ROUND(AT236*CZ236,2)*1)*1),6)</f>
        <v>179.09</v>
      </c>
      <c r="DC236">
        <f>ROUND(((ROUND(AT236*AG236,2)*1)*1),6)</f>
        <v>0</v>
      </c>
      <c r="DD236" t="s">
        <v>3</v>
      </c>
      <c r="DE236" t="s">
        <v>3</v>
      </c>
      <c r="DF236">
        <f t="shared" si="85"/>
        <v>7.16</v>
      </c>
      <c r="DG236">
        <f t="shared" si="84"/>
        <v>0</v>
      </c>
      <c r="DH236">
        <f t="shared" si="83"/>
        <v>0</v>
      </c>
      <c r="DI236">
        <f t="shared" si="76"/>
        <v>0</v>
      </c>
      <c r="DJ236">
        <f>DF236</f>
        <v>7.16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ROW(Source!A175)</f>
        <v>175</v>
      </c>
      <c r="B237">
        <v>55937296</v>
      </c>
      <c r="C237">
        <v>55937714</v>
      </c>
      <c r="D237">
        <v>55461822</v>
      </c>
      <c r="E237">
        <v>1</v>
      </c>
      <c r="F237">
        <v>1</v>
      </c>
      <c r="G237">
        <v>1081</v>
      </c>
      <c r="H237">
        <v>3</v>
      </c>
      <c r="I237" t="s">
        <v>530</v>
      </c>
      <c r="J237" t="s">
        <v>531</v>
      </c>
      <c r="K237" t="s">
        <v>532</v>
      </c>
      <c r="L237">
        <v>1355</v>
      </c>
      <c r="N237">
        <v>1010</v>
      </c>
      <c r="O237" t="s">
        <v>60</v>
      </c>
      <c r="P237" t="s">
        <v>60</v>
      </c>
      <c r="Q237">
        <v>100</v>
      </c>
      <c r="W237">
        <v>0</v>
      </c>
      <c r="X237">
        <v>-1633148487</v>
      </c>
      <c r="Y237">
        <f>((AT237*1)*1)</f>
        <v>4.04</v>
      </c>
      <c r="AA237">
        <v>43.8</v>
      </c>
      <c r="AB237">
        <v>0</v>
      </c>
      <c r="AC237">
        <v>0</v>
      </c>
      <c r="AD237">
        <v>0</v>
      </c>
      <c r="AE237">
        <v>43.8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4.04</v>
      </c>
      <c r="AU237" t="s">
        <v>280</v>
      </c>
      <c r="AV237">
        <v>0</v>
      </c>
      <c r="AW237">
        <v>2</v>
      </c>
      <c r="AX237">
        <v>55937719</v>
      </c>
      <c r="AY237">
        <v>1</v>
      </c>
      <c r="AZ237">
        <v>0</v>
      </c>
      <c r="BA237">
        <v>293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ROUND(Y237*Source!I175,9)</f>
        <v>0.16159999999999999</v>
      </c>
      <c r="CY237">
        <f>AA237</f>
        <v>43.8</v>
      </c>
      <c r="CZ237">
        <f>AE237</f>
        <v>43.8</v>
      </c>
      <c r="DA237">
        <f>AI237</f>
        <v>1</v>
      </c>
      <c r="DB237">
        <f>ROUND(((ROUND(AT237*CZ237,2)*1)*1),6)</f>
        <v>176.95</v>
      </c>
      <c r="DC237">
        <f>ROUND(((ROUND(AT237*AG237,2)*1)*1),6)</f>
        <v>0</v>
      </c>
      <c r="DD237" t="s">
        <v>3</v>
      </c>
      <c r="DE237" t="s">
        <v>3</v>
      </c>
      <c r="DF237">
        <f t="shared" si="85"/>
        <v>7.08</v>
      </c>
      <c r="DG237">
        <f t="shared" si="84"/>
        <v>0</v>
      </c>
      <c r="DH237">
        <f t="shared" si="83"/>
        <v>0</v>
      </c>
      <c r="DI237">
        <f t="shared" si="76"/>
        <v>0</v>
      </c>
      <c r="DJ237">
        <f>DF237</f>
        <v>7.08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ROW(Source!A175)</f>
        <v>175</v>
      </c>
      <c r="B238">
        <v>55937296</v>
      </c>
      <c r="C238">
        <v>55937714</v>
      </c>
      <c r="D238">
        <v>0</v>
      </c>
      <c r="E238">
        <v>0</v>
      </c>
      <c r="F238">
        <v>1</v>
      </c>
      <c r="G238">
        <v>1081</v>
      </c>
      <c r="H238">
        <v>3</v>
      </c>
      <c r="I238" t="s">
        <v>537</v>
      </c>
      <c r="J238" t="s">
        <v>537</v>
      </c>
      <c r="K238" t="s">
        <v>321</v>
      </c>
      <c r="L238">
        <v>1371</v>
      </c>
      <c r="N238">
        <v>1013</v>
      </c>
      <c r="O238" t="s">
        <v>183</v>
      </c>
      <c r="P238" t="s">
        <v>183</v>
      </c>
      <c r="Q238">
        <v>1</v>
      </c>
      <c r="W238">
        <v>0</v>
      </c>
      <c r="X238">
        <v>-1082058135</v>
      </c>
      <c r="Y238">
        <f>((AT238*1)*1)</f>
        <v>100</v>
      </c>
      <c r="AA238">
        <v>254.38</v>
      </c>
      <c r="AB238">
        <v>0</v>
      </c>
      <c r="AC238">
        <v>0</v>
      </c>
      <c r="AD238">
        <v>0</v>
      </c>
      <c r="AE238">
        <v>254.38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 t="s">
        <v>3</v>
      </c>
      <c r="AT238">
        <v>100</v>
      </c>
      <c r="AU238" t="s">
        <v>280</v>
      </c>
      <c r="AV238">
        <v>0</v>
      </c>
      <c r="AW238">
        <v>1</v>
      </c>
      <c r="AX238">
        <v>-1</v>
      </c>
      <c r="AY238">
        <v>0</v>
      </c>
      <c r="AZ238">
        <v>0</v>
      </c>
      <c r="BA238" t="s">
        <v>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ROUND(Y238*Source!I175,9)</f>
        <v>4</v>
      </c>
      <c r="CY238">
        <f>AA238</f>
        <v>254.38</v>
      </c>
      <c r="CZ238">
        <f>AE238</f>
        <v>254.38</v>
      </c>
      <c r="DA238">
        <f>AI238</f>
        <v>1</v>
      </c>
      <c r="DB238">
        <f>ROUND(((ROUND(AT238*CZ238,2)*1)*1),6)</f>
        <v>25438</v>
      </c>
      <c r="DC238">
        <f>ROUND(((ROUND(AT238*AG238,2)*1)*1),6)</f>
        <v>0</v>
      </c>
      <c r="DD238" t="s">
        <v>3</v>
      </c>
      <c r="DE238" t="s">
        <v>3</v>
      </c>
      <c r="DF238">
        <f t="shared" si="85"/>
        <v>1017.52</v>
      </c>
      <c r="DG238">
        <f t="shared" si="84"/>
        <v>0</v>
      </c>
      <c r="DH238">
        <f t="shared" si="83"/>
        <v>0</v>
      </c>
      <c r="DI238">
        <f t="shared" si="76"/>
        <v>0</v>
      </c>
      <c r="DJ238">
        <f>DF238</f>
        <v>1017.52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ROW(Source!A176)</f>
        <v>176</v>
      </c>
      <c r="B239">
        <v>55937298</v>
      </c>
      <c r="C239">
        <v>55937714</v>
      </c>
      <c r="D239">
        <v>55424304</v>
      </c>
      <c r="E239">
        <v>1081</v>
      </c>
      <c r="F239">
        <v>1</v>
      </c>
      <c r="G239">
        <v>1081</v>
      </c>
      <c r="H239">
        <v>1</v>
      </c>
      <c r="I239" t="s">
        <v>449</v>
      </c>
      <c r="J239" t="s">
        <v>3</v>
      </c>
      <c r="K239" t="s">
        <v>450</v>
      </c>
      <c r="L239">
        <v>1191</v>
      </c>
      <c r="N239">
        <v>1013</v>
      </c>
      <c r="O239" t="s">
        <v>451</v>
      </c>
      <c r="P239" t="s">
        <v>451</v>
      </c>
      <c r="Q239">
        <v>1</v>
      </c>
      <c r="W239">
        <v>0</v>
      </c>
      <c r="X239">
        <v>476480486</v>
      </c>
      <c r="Y239">
        <f>((AT239*1.15)*1.2)</f>
        <v>34.223999999999997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5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24.8</v>
      </c>
      <c r="AU239" t="s">
        <v>282</v>
      </c>
      <c r="AV239">
        <v>1</v>
      </c>
      <c r="AW239">
        <v>2</v>
      </c>
      <c r="AX239">
        <v>55937715</v>
      </c>
      <c r="AY239">
        <v>1</v>
      </c>
      <c r="AZ239">
        <v>0</v>
      </c>
      <c r="BA239">
        <v>296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U239">
        <f>ROUND(AT239*Source!I176*AH239*AL239,2)</f>
        <v>0</v>
      </c>
      <c r="CV239">
        <f>ROUND(Y239*Source!I176,9)</f>
        <v>1.36896</v>
      </c>
      <c r="CW239">
        <v>0</v>
      </c>
      <c r="CX239">
        <f>ROUND(Y239*Source!I176,9)</f>
        <v>1.36896</v>
      </c>
      <c r="CY239">
        <f>AD239</f>
        <v>0</v>
      </c>
      <c r="CZ239">
        <f>AH239</f>
        <v>0</v>
      </c>
      <c r="DA239">
        <f>AL239</f>
        <v>1</v>
      </c>
      <c r="DB239">
        <f>ROUND(((ROUND(AT239*CZ239,2)*1.15)*1.2),6)</f>
        <v>0</v>
      </c>
      <c r="DC239">
        <f>ROUND(((ROUND(AT239*AG239,2)*1.15)*1.2),6)</f>
        <v>0</v>
      </c>
      <c r="DD239" t="s">
        <v>3</v>
      </c>
      <c r="DE239" t="s">
        <v>3</v>
      </c>
      <c r="DF239">
        <f t="shared" si="85"/>
        <v>0</v>
      </c>
      <c r="DG239">
        <f t="shared" si="84"/>
        <v>0</v>
      </c>
      <c r="DH239">
        <f t="shared" si="83"/>
        <v>0</v>
      </c>
      <c r="DI239">
        <f t="shared" si="76"/>
        <v>0</v>
      </c>
      <c r="DJ239">
        <f>DI239</f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ROW(Source!A176)</f>
        <v>176</v>
      </c>
      <c r="B240">
        <v>55937298</v>
      </c>
      <c r="C240">
        <v>55937714</v>
      </c>
      <c r="D240">
        <v>55490209</v>
      </c>
      <c r="E240">
        <v>1</v>
      </c>
      <c r="F240">
        <v>1</v>
      </c>
      <c r="G240">
        <v>1081</v>
      </c>
      <c r="H240">
        <v>2</v>
      </c>
      <c r="I240" t="s">
        <v>489</v>
      </c>
      <c r="J240" t="s">
        <v>490</v>
      </c>
      <c r="K240" t="s">
        <v>491</v>
      </c>
      <c r="L240">
        <v>1368</v>
      </c>
      <c r="N240">
        <v>1011</v>
      </c>
      <c r="O240" t="s">
        <v>455</v>
      </c>
      <c r="P240" t="s">
        <v>455</v>
      </c>
      <c r="Q240">
        <v>1</v>
      </c>
      <c r="W240">
        <v>0</v>
      </c>
      <c r="X240">
        <v>874612079</v>
      </c>
      <c r="Y240">
        <f>((AT240*1.25)*1.2)</f>
        <v>0.03</v>
      </c>
      <c r="AA240">
        <v>0</v>
      </c>
      <c r="AB240">
        <v>1513.56</v>
      </c>
      <c r="AC240">
        <v>758.78</v>
      </c>
      <c r="AD240">
        <v>0</v>
      </c>
      <c r="AE240">
        <v>0</v>
      </c>
      <c r="AF240">
        <v>83.1</v>
      </c>
      <c r="AG240">
        <v>12.62</v>
      </c>
      <c r="AH240">
        <v>0</v>
      </c>
      <c r="AI240">
        <v>1</v>
      </c>
      <c r="AJ240">
        <v>17.07</v>
      </c>
      <c r="AK240">
        <v>56.35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0.02</v>
      </c>
      <c r="AU240" t="s">
        <v>281</v>
      </c>
      <c r="AV240">
        <v>0</v>
      </c>
      <c r="AW240">
        <v>2</v>
      </c>
      <c r="AX240">
        <v>55937716</v>
      </c>
      <c r="AY240">
        <v>1</v>
      </c>
      <c r="AZ240">
        <v>0</v>
      </c>
      <c r="BA240">
        <v>297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ROUND(Y240*Source!I176*DO240,9)</f>
        <v>1.5143999999999999E-2</v>
      </c>
      <c r="CX240">
        <f>ROUND(Y240*Source!I176,9)</f>
        <v>1.1999999999999999E-3</v>
      </c>
      <c r="CY240">
        <f>AB240</f>
        <v>1513.56</v>
      </c>
      <c r="CZ240">
        <f>AF240</f>
        <v>83.1</v>
      </c>
      <c r="DA240">
        <f>AJ240</f>
        <v>17.07</v>
      </c>
      <c r="DB240">
        <f>ROUND(((ROUND(AT240*CZ240,2)*1.25)*1.2),6)</f>
        <v>2.4900000000000002</v>
      </c>
      <c r="DC240">
        <f>ROUND(((ROUND(AT240*AG240,2)*1.25)*1.2),6)</f>
        <v>0.375</v>
      </c>
      <c r="DD240" t="s">
        <v>3</v>
      </c>
      <c r="DE240" t="s">
        <v>3</v>
      </c>
      <c r="DF240">
        <f t="shared" si="85"/>
        <v>0</v>
      </c>
      <c r="DG240">
        <f>ROUND(ROUND(AF240*AJ240,2)*CX240,2)</f>
        <v>1.7</v>
      </c>
      <c r="DH240">
        <f>ROUND(ROUND(AG240*AK240,2)*CX240,2)</f>
        <v>0.85</v>
      </c>
      <c r="DI240">
        <f t="shared" si="76"/>
        <v>0</v>
      </c>
      <c r="DJ240">
        <f>DG240</f>
        <v>1.7</v>
      </c>
      <c r="DK240">
        <v>0</v>
      </c>
      <c r="DL240" t="s">
        <v>492</v>
      </c>
      <c r="DM240">
        <v>0</v>
      </c>
      <c r="DN240" t="s">
        <v>451</v>
      </c>
      <c r="DO240">
        <v>12.62</v>
      </c>
    </row>
    <row r="241" spans="1:119" x14ac:dyDescent="0.2">
      <c r="A241">
        <f>ROW(Source!A176)</f>
        <v>176</v>
      </c>
      <c r="B241">
        <v>55937298</v>
      </c>
      <c r="C241">
        <v>55937714</v>
      </c>
      <c r="D241">
        <v>55490263</v>
      </c>
      <c r="E241">
        <v>1</v>
      </c>
      <c r="F241">
        <v>1</v>
      </c>
      <c r="G241">
        <v>1081</v>
      </c>
      <c r="H241">
        <v>2</v>
      </c>
      <c r="I241" t="s">
        <v>502</v>
      </c>
      <c r="J241" t="s">
        <v>503</v>
      </c>
      <c r="K241" t="s">
        <v>504</v>
      </c>
      <c r="L241">
        <v>1368</v>
      </c>
      <c r="N241">
        <v>1011</v>
      </c>
      <c r="O241" t="s">
        <v>455</v>
      </c>
      <c r="P241" t="s">
        <v>455</v>
      </c>
      <c r="Q241">
        <v>1</v>
      </c>
      <c r="W241">
        <v>0</v>
      </c>
      <c r="X241">
        <v>-1895752648</v>
      </c>
      <c r="Y241">
        <f>((AT241*1.25)*1.2)</f>
        <v>12</v>
      </c>
      <c r="AA241">
        <v>0</v>
      </c>
      <c r="AB241">
        <v>7.85</v>
      </c>
      <c r="AC241">
        <v>0</v>
      </c>
      <c r="AD241">
        <v>0</v>
      </c>
      <c r="AE241">
        <v>0</v>
      </c>
      <c r="AF241">
        <v>0.77</v>
      </c>
      <c r="AG241">
        <v>0</v>
      </c>
      <c r="AH241">
        <v>0</v>
      </c>
      <c r="AI241">
        <v>1</v>
      </c>
      <c r="AJ241">
        <v>9.56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8</v>
      </c>
      <c r="AU241" t="s">
        <v>281</v>
      </c>
      <c r="AV241">
        <v>0</v>
      </c>
      <c r="AW241">
        <v>2</v>
      </c>
      <c r="AX241">
        <v>55937717</v>
      </c>
      <c r="AY241">
        <v>1</v>
      </c>
      <c r="AZ241">
        <v>0</v>
      </c>
      <c r="BA241">
        <v>298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ROUND(Y241*Source!I176*DO241,9)</f>
        <v>0</v>
      </c>
      <c r="CX241">
        <f>ROUND(Y241*Source!I176,9)</f>
        <v>0.48</v>
      </c>
      <c r="CY241">
        <f>AB241</f>
        <v>7.85</v>
      </c>
      <c r="CZ241">
        <f>AF241</f>
        <v>0.77</v>
      </c>
      <c r="DA241">
        <f>AJ241</f>
        <v>9.56</v>
      </c>
      <c r="DB241">
        <f>ROUND(((ROUND(AT241*CZ241,2)*1.25)*1.2),6)</f>
        <v>9.24</v>
      </c>
      <c r="DC241">
        <f>ROUND(((ROUND(AT241*AG241,2)*1.25)*1.2),6)</f>
        <v>0</v>
      </c>
      <c r="DD241" t="s">
        <v>3</v>
      </c>
      <c r="DE241" t="s">
        <v>3</v>
      </c>
      <c r="DF241">
        <f t="shared" si="85"/>
        <v>0</v>
      </c>
      <c r="DG241">
        <f>ROUND(ROUND(AF241*AJ241,2)*CX241,2)</f>
        <v>3.53</v>
      </c>
      <c r="DH241">
        <f t="shared" ref="DH241:DH272" si="86">ROUND(ROUND(AG241,2)*CX241,2)</f>
        <v>0</v>
      </c>
      <c r="DI241">
        <f t="shared" si="76"/>
        <v>0</v>
      </c>
      <c r="DJ241">
        <f>DG241</f>
        <v>3.53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ROW(Source!A176)</f>
        <v>176</v>
      </c>
      <c r="B242">
        <v>55937298</v>
      </c>
      <c r="C242">
        <v>55937714</v>
      </c>
      <c r="D242">
        <v>55460658</v>
      </c>
      <c r="E242">
        <v>1</v>
      </c>
      <c r="F242">
        <v>1</v>
      </c>
      <c r="G242">
        <v>1081</v>
      </c>
      <c r="H242">
        <v>3</v>
      </c>
      <c r="I242" t="s">
        <v>527</v>
      </c>
      <c r="J242" t="s">
        <v>528</v>
      </c>
      <c r="K242" t="s">
        <v>529</v>
      </c>
      <c r="L242">
        <v>1296</v>
      </c>
      <c r="N242">
        <v>1002</v>
      </c>
      <c r="O242" t="s">
        <v>514</v>
      </c>
      <c r="P242" t="s">
        <v>514</v>
      </c>
      <c r="Q242">
        <v>1</v>
      </c>
      <c r="W242">
        <v>0</v>
      </c>
      <c r="X242">
        <v>1977302506</v>
      </c>
      <c r="Y242">
        <f>((AT242*1)*1)</f>
        <v>2.1267</v>
      </c>
      <c r="AA242">
        <v>410.94</v>
      </c>
      <c r="AB242">
        <v>0</v>
      </c>
      <c r="AC242">
        <v>0</v>
      </c>
      <c r="AD242">
        <v>0</v>
      </c>
      <c r="AE242">
        <v>84.21</v>
      </c>
      <c r="AF242">
        <v>0</v>
      </c>
      <c r="AG242">
        <v>0</v>
      </c>
      <c r="AH242">
        <v>0</v>
      </c>
      <c r="AI242">
        <v>4.88</v>
      </c>
      <c r="AJ242">
        <v>1</v>
      </c>
      <c r="AK242">
        <v>1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2.1267</v>
      </c>
      <c r="AU242" t="s">
        <v>280</v>
      </c>
      <c r="AV242">
        <v>0</v>
      </c>
      <c r="AW242">
        <v>2</v>
      </c>
      <c r="AX242">
        <v>55937718</v>
      </c>
      <c r="AY242">
        <v>1</v>
      </c>
      <c r="AZ242">
        <v>0</v>
      </c>
      <c r="BA242">
        <v>299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ROUND(Y242*Source!I176,9)</f>
        <v>8.5068000000000005E-2</v>
      </c>
      <c r="CY242">
        <f>AA242</f>
        <v>410.94</v>
      </c>
      <c r="CZ242">
        <f>AE242</f>
        <v>84.21</v>
      </c>
      <c r="DA242">
        <f>AI242</f>
        <v>4.88</v>
      </c>
      <c r="DB242">
        <f>ROUND(((ROUND(AT242*CZ242,2)*1)*1),6)</f>
        <v>179.09</v>
      </c>
      <c r="DC242">
        <f>ROUND(((ROUND(AT242*AG242,2)*1)*1),6)</f>
        <v>0</v>
      </c>
      <c r="DD242" t="s">
        <v>3</v>
      </c>
      <c r="DE242" t="s">
        <v>3</v>
      </c>
      <c r="DF242">
        <f>ROUND(ROUND(AE242*AI242,2)*CX242,2)</f>
        <v>34.96</v>
      </c>
      <c r="DG242">
        <f t="shared" ref="DG242:DG256" si="87">ROUND(ROUND(AF242,2)*CX242,2)</f>
        <v>0</v>
      </c>
      <c r="DH242">
        <f t="shared" si="86"/>
        <v>0</v>
      </c>
      <c r="DI242">
        <f t="shared" si="76"/>
        <v>0</v>
      </c>
      <c r="DJ242">
        <f>DF242</f>
        <v>34.96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ROW(Source!A176)</f>
        <v>176</v>
      </c>
      <c r="B243">
        <v>55937298</v>
      </c>
      <c r="C243">
        <v>55937714</v>
      </c>
      <c r="D243">
        <v>55461822</v>
      </c>
      <c r="E243">
        <v>1</v>
      </c>
      <c r="F243">
        <v>1</v>
      </c>
      <c r="G243">
        <v>1081</v>
      </c>
      <c r="H243">
        <v>3</v>
      </c>
      <c r="I243" t="s">
        <v>530</v>
      </c>
      <c r="J243" t="s">
        <v>531</v>
      </c>
      <c r="K243" t="s">
        <v>532</v>
      </c>
      <c r="L243">
        <v>1355</v>
      </c>
      <c r="N243">
        <v>1010</v>
      </c>
      <c r="O243" t="s">
        <v>60</v>
      </c>
      <c r="P243" t="s">
        <v>60</v>
      </c>
      <c r="Q243">
        <v>100</v>
      </c>
      <c r="W243">
        <v>0</v>
      </c>
      <c r="X243">
        <v>-1633148487</v>
      </c>
      <c r="Y243">
        <f>((AT243*1)*1)</f>
        <v>4.04</v>
      </c>
      <c r="AA243">
        <v>84.97</v>
      </c>
      <c r="AB243">
        <v>0</v>
      </c>
      <c r="AC243">
        <v>0</v>
      </c>
      <c r="AD243">
        <v>0</v>
      </c>
      <c r="AE243">
        <v>43.8</v>
      </c>
      <c r="AF243">
        <v>0</v>
      </c>
      <c r="AG243">
        <v>0</v>
      </c>
      <c r="AH243">
        <v>0</v>
      </c>
      <c r="AI243">
        <v>1.94</v>
      </c>
      <c r="AJ243">
        <v>1</v>
      </c>
      <c r="AK243">
        <v>1</v>
      </c>
      <c r="AL243">
        <v>1</v>
      </c>
      <c r="AM243">
        <v>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4.04</v>
      </c>
      <c r="AU243" t="s">
        <v>280</v>
      </c>
      <c r="AV243">
        <v>0</v>
      </c>
      <c r="AW243">
        <v>2</v>
      </c>
      <c r="AX243">
        <v>55937719</v>
      </c>
      <c r="AY243">
        <v>1</v>
      </c>
      <c r="AZ243">
        <v>0</v>
      </c>
      <c r="BA243">
        <v>300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ROUND(Y243*Source!I176,9)</f>
        <v>0.16159999999999999</v>
      </c>
      <c r="CY243">
        <f>AA243</f>
        <v>84.97</v>
      </c>
      <c r="CZ243">
        <f>AE243</f>
        <v>43.8</v>
      </c>
      <c r="DA243">
        <f>AI243</f>
        <v>1.94</v>
      </c>
      <c r="DB243">
        <f>ROUND(((ROUND(AT243*CZ243,2)*1)*1),6)</f>
        <v>176.95</v>
      </c>
      <c r="DC243">
        <f>ROUND(((ROUND(AT243*AG243,2)*1)*1),6)</f>
        <v>0</v>
      </c>
      <c r="DD243" t="s">
        <v>3</v>
      </c>
      <c r="DE243" t="s">
        <v>3</v>
      </c>
      <c r="DF243">
        <f>ROUND(ROUND(AE243*AI243,2)*CX243,2)</f>
        <v>13.73</v>
      </c>
      <c r="DG243">
        <f t="shared" si="87"/>
        <v>0</v>
      </c>
      <c r="DH243">
        <f t="shared" si="86"/>
        <v>0</v>
      </c>
      <c r="DI243">
        <f t="shared" si="76"/>
        <v>0</v>
      </c>
      <c r="DJ243">
        <f>DF243</f>
        <v>13.73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ROW(Source!A176)</f>
        <v>176</v>
      </c>
      <c r="B244">
        <v>55937298</v>
      </c>
      <c r="C244">
        <v>55937714</v>
      </c>
      <c r="D244">
        <v>0</v>
      </c>
      <c r="E244">
        <v>0</v>
      </c>
      <c r="F244">
        <v>1</v>
      </c>
      <c r="G244">
        <v>1081</v>
      </c>
      <c r="H244">
        <v>3</v>
      </c>
      <c r="I244" t="s">
        <v>537</v>
      </c>
      <c r="J244" t="s">
        <v>537</v>
      </c>
      <c r="K244" t="s">
        <v>321</v>
      </c>
      <c r="L244">
        <v>1371</v>
      </c>
      <c r="N244">
        <v>1013</v>
      </c>
      <c r="O244" t="s">
        <v>183</v>
      </c>
      <c r="P244" t="s">
        <v>183</v>
      </c>
      <c r="Q244">
        <v>1</v>
      </c>
      <c r="W244">
        <v>0</v>
      </c>
      <c r="X244">
        <v>-1082058135</v>
      </c>
      <c r="Y244">
        <f>((AT244*1)*1)</f>
        <v>100</v>
      </c>
      <c r="AA244">
        <v>2508.19</v>
      </c>
      <c r="AB244">
        <v>0</v>
      </c>
      <c r="AC244">
        <v>0</v>
      </c>
      <c r="AD244">
        <v>0</v>
      </c>
      <c r="AE244">
        <v>254.38</v>
      </c>
      <c r="AF244">
        <v>0</v>
      </c>
      <c r="AG244">
        <v>0</v>
      </c>
      <c r="AH244">
        <v>0</v>
      </c>
      <c r="AI244">
        <v>9.86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3</v>
      </c>
      <c r="AT244">
        <v>100</v>
      </c>
      <c r="AU244" t="s">
        <v>280</v>
      </c>
      <c r="AV244">
        <v>0</v>
      </c>
      <c r="AW244">
        <v>1</v>
      </c>
      <c r="AX244">
        <v>-1</v>
      </c>
      <c r="AY244">
        <v>0</v>
      </c>
      <c r="AZ244">
        <v>0</v>
      </c>
      <c r="BA244" t="s">
        <v>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ROUND(Y244*Source!I176,9)</f>
        <v>4</v>
      </c>
      <c r="CY244">
        <f>AA244</f>
        <v>2508.19</v>
      </c>
      <c r="CZ244">
        <f>AE244</f>
        <v>254.38</v>
      </c>
      <c r="DA244">
        <f>AI244</f>
        <v>9.86</v>
      </c>
      <c r="DB244">
        <f>ROUND(((ROUND(AT244*CZ244,2)*1)*1),6)</f>
        <v>25438</v>
      </c>
      <c r="DC244">
        <f>ROUND(((ROUND(AT244*AG244,2)*1)*1),6)</f>
        <v>0</v>
      </c>
      <c r="DD244" t="s">
        <v>3</v>
      </c>
      <c r="DE244" t="s">
        <v>3</v>
      </c>
      <c r="DF244">
        <f>ROUND(ROUND(AE244*AI244,2)*CX244,2)</f>
        <v>10032.76</v>
      </c>
      <c r="DG244">
        <f t="shared" si="87"/>
        <v>0</v>
      </c>
      <c r="DH244">
        <f t="shared" si="86"/>
        <v>0</v>
      </c>
      <c r="DI244">
        <f t="shared" si="76"/>
        <v>0</v>
      </c>
      <c r="DJ244">
        <f>DF244</f>
        <v>10032.76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ROW(Source!A214)</f>
        <v>214</v>
      </c>
      <c r="B245">
        <v>55937296</v>
      </c>
      <c r="C245">
        <v>55937865</v>
      </c>
      <c r="D245">
        <v>55424304</v>
      </c>
      <c r="E245">
        <v>1081</v>
      </c>
      <c r="F245">
        <v>1</v>
      </c>
      <c r="G245">
        <v>1081</v>
      </c>
      <c r="H245">
        <v>1</v>
      </c>
      <c r="I245" t="s">
        <v>449</v>
      </c>
      <c r="J245" t="s">
        <v>3</v>
      </c>
      <c r="K245" t="s">
        <v>450</v>
      </c>
      <c r="L245">
        <v>1191</v>
      </c>
      <c r="N245">
        <v>1013</v>
      </c>
      <c r="O245" t="s">
        <v>451</v>
      </c>
      <c r="P245" t="s">
        <v>451</v>
      </c>
      <c r="Q245">
        <v>1</v>
      </c>
      <c r="W245">
        <v>0</v>
      </c>
      <c r="X245">
        <v>476480486</v>
      </c>
      <c r="Y245">
        <f>(AT245*1.2)</f>
        <v>19.920000000000002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16.600000000000001</v>
      </c>
      <c r="AU245" t="s">
        <v>114</v>
      </c>
      <c r="AV245">
        <v>1</v>
      </c>
      <c r="AW245">
        <v>2</v>
      </c>
      <c r="AX245">
        <v>55937889</v>
      </c>
      <c r="AY245">
        <v>1</v>
      </c>
      <c r="AZ245">
        <v>0</v>
      </c>
      <c r="BA245">
        <v>303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U245">
        <f>ROUND(AT245*Source!I214*AH245*AL245,2)</f>
        <v>0</v>
      </c>
      <c r="CV245">
        <f>ROUND(Y245*Source!I214,9)</f>
        <v>157.7664</v>
      </c>
      <c r="CW245">
        <v>0</v>
      </c>
      <c r="CX245">
        <f>ROUND(Y245*Source!I214,9)</f>
        <v>157.7664</v>
      </c>
      <c r="CY245">
        <f>AD245</f>
        <v>0</v>
      </c>
      <c r="CZ245">
        <f>AH245</f>
        <v>0</v>
      </c>
      <c r="DA245">
        <f>AL245</f>
        <v>1</v>
      </c>
      <c r="DB245">
        <f>ROUND((ROUND(AT245*CZ245,2)*1.2),6)</f>
        <v>0</v>
      </c>
      <c r="DC245">
        <f>ROUND((ROUND(AT245*AG245,2)*1.2),6)</f>
        <v>0</v>
      </c>
      <c r="DD245" t="s">
        <v>3</v>
      </c>
      <c r="DE245" t="s">
        <v>3</v>
      </c>
      <c r="DF245">
        <f t="shared" ref="DF245:DF258" si="88">ROUND(ROUND(AE245,2)*CX245,2)</f>
        <v>0</v>
      </c>
      <c r="DG245">
        <f t="shared" si="87"/>
        <v>0</v>
      </c>
      <c r="DH245">
        <f t="shared" si="86"/>
        <v>0</v>
      </c>
      <c r="DI245">
        <f t="shared" si="76"/>
        <v>0</v>
      </c>
      <c r="DJ245">
        <f>DI245</f>
        <v>0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ROW(Source!A214)</f>
        <v>214</v>
      </c>
      <c r="B246">
        <v>55937296</v>
      </c>
      <c r="C246">
        <v>55937865</v>
      </c>
      <c r="D246">
        <v>55490263</v>
      </c>
      <c r="E246">
        <v>1</v>
      </c>
      <c r="F246">
        <v>1</v>
      </c>
      <c r="G246">
        <v>1081</v>
      </c>
      <c r="H246">
        <v>2</v>
      </c>
      <c r="I246" t="s">
        <v>502</v>
      </c>
      <c r="J246" t="s">
        <v>503</v>
      </c>
      <c r="K246" t="s">
        <v>504</v>
      </c>
      <c r="L246">
        <v>1368</v>
      </c>
      <c r="N246">
        <v>1011</v>
      </c>
      <c r="O246" t="s">
        <v>455</v>
      </c>
      <c r="P246" t="s">
        <v>455</v>
      </c>
      <c r="Q246">
        <v>1</v>
      </c>
      <c r="W246">
        <v>0</v>
      </c>
      <c r="X246">
        <v>-1895752648</v>
      </c>
      <c r="Y246">
        <f>(AT246*1.2)</f>
        <v>1.38</v>
      </c>
      <c r="AA246">
        <v>0</v>
      </c>
      <c r="AB246">
        <v>0.81</v>
      </c>
      <c r="AC246">
        <v>0</v>
      </c>
      <c r="AD246">
        <v>0</v>
      </c>
      <c r="AE246">
        <v>0</v>
      </c>
      <c r="AF246">
        <v>0.77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1.1499999999999999</v>
      </c>
      <c r="AU246" t="s">
        <v>114</v>
      </c>
      <c r="AV246">
        <v>0</v>
      </c>
      <c r="AW246">
        <v>2</v>
      </c>
      <c r="AX246">
        <v>55937890</v>
      </c>
      <c r="AY246">
        <v>1</v>
      </c>
      <c r="AZ246">
        <v>0</v>
      </c>
      <c r="BA246">
        <v>304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f>ROUND(Y246*Source!I214*DO246,9)</f>
        <v>0</v>
      </c>
      <c r="CX246">
        <f>ROUND(Y246*Source!I214,9)</f>
        <v>10.929600000000001</v>
      </c>
      <c r="CY246">
        <f>AB246</f>
        <v>0.81</v>
      </c>
      <c r="CZ246">
        <f>AF246</f>
        <v>0.77</v>
      </c>
      <c r="DA246">
        <f>AJ246</f>
        <v>1</v>
      </c>
      <c r="DB246">
        <f>ROUND((ROUND(AT246*CZ246,2)*1.2),6)</f>
        <v>1.0680000000000001</v>
      </c>
      <c r="DC246">
        <f>ROUND((ROUND(AT246*AG246,2)*1.2),6)</f>
        <v>0</v>
      </c>
      <c r="DD246" t="s">
        <v>3</v>
      </c>
      <c r="DE246" t="s">
        <v>3</v>
      </c>
      <c r="DF246">
        <f t="shared" si="88"/>
        <v>0</v>
      </c>
      <c r="DG246">
        <f t="shared" si="87"/>
        <v>8.42</v>
      </c>
      <c r="DH246">
        <f t="shared" si="86"/>
        <v>0</v>
      </c>
      <c r="DI246">
        <f t="shared" si="76"/>
        <v>0</v>
      </c>
      <c r="DJ246">
        <f>DG246</f>
        <v>8.42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ROW(Source!A214)</f>
        <v>214</v>
      </c>
      <c r="B247">
        <v>55937296</v>
      </c>
      <c r="C247">
        <v>55937865</v>
      </c>
      <c r="D247">
        <v>55490296</v>
      </c>
      <c r="E247">
        <v>1</v>
      </c>
      <c r="F247">
        <v>1</v>
      </c>
      <c r="G247">
        <v>1081</v>
      </c>
      <c r="H247">
        <v>2</v>
      </c>
      <c r="I247" t="s">
        <v>477</v>
      </c>
      <c r="J247" t="s">
        <v>478</v>
      </c>
      <c r="K247" t="s">
        <v>479</v>
      </c>
      <c r="L247">
        <v>1368</v>
      </c>
      <c r="N247">
        <v>1011</v>
      </c>
      <c r="O247" t="s">
        <v>455</v>
      </c>
      <c r="P247" t="s">
        <v>455</v>
      </c>
      <c r="Q247">
        <v>1</v>
      </c>
      <c r="W247">
        <v>0</v>
      </c>
      <c r="X247">
        <v>-643591644</v>
      </c>
      <c r="Y247">
        <f>(AT247*1.2)</f>
        <v>2.16</v>
      </c>
      <c r="AA247">
        <v>0</v>
      </c>
      <c r="AB247">
        <v>0.49</v>
      </c>
      <c r="AC247">
        <v>0</v>
      </c>
      <c r="AD247">
        <v>0</v>
      </c>
      <c r="AE247">
        <v>0</v>
      </c>
      <c r="AF247">
        <v>0.47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1.8</v>
      </c>
      <c r="AU247" t="s">
        <v>114</v>
      </c>
      <c r="AV247">
        <v>0</v>
      </c>
      <c r="AW247">
        <v>2</v>
      </c>
      <c r="AX247">
        <v>55937891</v>
      </c>
      <c r="AY247">
        <v>1</v>
      </c>
      <c r="AZ247">
        <v>0</v>
      </c>
      <c r="BA247">
        <v>305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f>ROUND(Y247*Source!I214*DO247,9)</f>
        <v>0</v>
      </c>
      <c r="CX247">
        <f>ROUND(Y247*Source!I214,9)</f>
        <v>17.107199999999999</v>
      </c>
      <c r="CY247">
        <f>AB247</f>
        <v>0.49</v>
      </c>
      <c r="CZ247">
        <f>AF247</f>
        <v>0.47</v>
      </c>
      <c r="DA247">
        <f>AJ247</f>
        <v>1</v>
      </c>
      <c r="DB247">
        <f>ROUND((ROUND(AT247*CZ247,2)*1.2),6)</f>
        <v>1.02</v>
      </c>
      <c r="DC247">
        <f>ROUND((ROUND(AT247*AG247,2)*1.2),6)</f>
        <v>0</v>
      </c>
      <c r="DD247" t="s">
        <v>3</v>
      </c>
      <c r="DE247" t="s">
        <v>3</v>
      </c>
      <c r="DF247">
        <f t="shared" si="88"/>
        <v>0</v>
      </c>
      <c r="DG247">
        <f t="shared" si="87"/>
        <v>8.0399999999999991</v>
      </c>
      <c r="DH247">
        <f t="shared" si="86"/>
        <v>0</v>
      </c>
      <c r="DI247">
        <f t="shared" si="76"/>
        <v>0</v>
      </c>
      <c r="DJ247">
        <f>DG247</f>
        <v>8.0399999999999991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ROW(Source!A214)</f>
        <v>214</v>
      </c>
      <c r="B248">
        <v>55937296</v>
      </c>
      <c r="C248">
        <v>55937865</v>
      </c>
      <c r="D248">
        <v>55460960</v>
      </c>
      <c r="E248">
        <v>1</v>
      </c>
      <c r="F248">
        <v>1</v>
      </c>
      <c r="G248">
        <v>1081</v>
      </c>
      <c r="H248">
        <v>3</v>
      </c>
      <c r="I248" t="s">
        <v>538</v>
      </c>
      <c r="J248" t="s">
        <v>539</v>
      </c>
      <c r="K248" t="s">
        <v>540</v>
      </c>
      <c r="L248">
        <v>1348</v>
      </c>
      <c r="N248">
        <v>1009</v>
      </c>
      <c r="O248" t="s">
        <v>287</v>
      </c>
      <c r="P248" t="s">
        <v>287</v>
      </c>
      <c r="Q248">
        <v>1000</v>
      </c>
      <c r="W248">
        <v>0</v>
      </c>
      <c r="X248">
        <v>-260579272</v>
      </c>
      <c r="Y248">
        <f t="shared" ref="Y248:Y255" si="89">(AT248*1)</f>
        <v>1E-3</v>
      </c>
      <c r="AA248">
        <v>58463.58</v>
      </c>
      <c r="AB248">
        <v>0</v>
      </c>
      <c r="AC248">
        <v>0</v>
      </c>
      <c r="AD248">
        <v>0</v>
      </c>
      <c r="AE248">
        <v>58463.58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1E-3</v>
      </c>
      <c r="AU248" t="s">
        <v>113</v>
      </c>
      <c r="AV248">
        <v>0</v>
      </c>
      <c r="AW248">
        <v>2</v>
      </c>
      <c r="AX248">
        <v>55937892</v>
      </c>
      <c r="AY248">
        <v>1</v>
      </c>
      <c r="AZ248">
        <v>0</v>
      </c>
      <c r="BA248">
        <v>306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ROUND(Y248*Source!I214,9)</f>
        <v>7.92E-3</v>
      </c>
      <c r="CY248">
        <f t="shared" ref="CY248:CY255" si="90">AA248</f>
        <v>58463.58</v>
      </c>
      <c r="CZ248">
        <f t="shared" ref="CZ248:CZ255" si="91">AE248</f>
        <v>58463.58</v>
      </c>
      <c r="DA248">
        <f t="shared" ref="DA248:DA255" si="92">AI248</f>
        <v>1</v>
      </c>
      <c r="DB248">
        <f t="shared" ref="DB248:DB255" si="93">ROUND((ROUND(AT248*CZ248,2)*1),6)</f>
        <v>58.46</v>
      </c>
      <c r="DC248">
        <f t="shared" ref="DC248:DC255" si="94">ROUND((ROUND(AT248*AG248,2)*1),6)</f>
        <v>0</v>
      </c>
      <c r="DD248" t="s">
        <v>3</v>
      </c>
      <c r="DE248" t="s">
        <v>3</v>
      </c>
      <c r="DF248">
        <f t="shared" si="88"/>
        <v>463.03</v>
      </c>
      <c r="DG248">
        <f t="shared" si="87"/>
        <v>0</v>
      </c>
      <c r="DH248">
        <f t="shared" si="86"/>
        <v>0</v>
      </c>
      <c r="DI248">
        <f t="shared" si="76"/>
        <v>0</v>
      </c>
      <c r="DJ248">
        <f t="shared" ref="DJ248:DJ255" si="95">DF248</f>
        <v>463.03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ROW(Source!A214)</f>
        <v>214</v>
      </c>
      <c r="B249">
        <v>55937296</v>
      </c>
      <c r="C249">
        <v>55937865</v>
      </c>
      <c r="D249">
        <v>55461791</v>
      </c>
      <c r="E249">
        <v>1</v>
      </c>
      <c r="F249">
        <v>1</v>
      </c>
      <c r="G249">
        <v>1081</v>
      </c>
      <c r="H249">
        <v>3</v>
      </c>
      <c r="I249" t="s">
        <v>541</v>
      </c>
      <c r="J249" t="s">
        <v>542</v>
      </c>
      <c r="K249" t="s">
        <v>543</v>
      </c>
      <c r="L249">
        <v>1355</v>
      </c>
      <c r="N249">
        <v>1010</v>
      </c>
      <c r="O249" t="s">
        <v>60</v>
      </c>
      <c r="P249" t="s">
        <v>60</v>
      </c>
      <c r="Q249">
        <v>100</v>
      </c>
      <c r="W249">
        <v>0</v>
      </c>
      <c r="X249">
        <v>-429645653</v>
      </c>
      <c r="Y249">
        <f t="shared" si="89"/>
        <v>2.1419999999999999</v>
      </c>
      <c r="AA249">
        <v>10.6</v>
      </c>
      <c r="AB249">
        <v>0</v>
      </c>
      <c r="AC249">
        <v>0</v>
      </c>
      <c r="AD249">
        <v>0</v>
      </c>
      <c r="AE249">
        <v>10.6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-2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2.1419999999999999</v>
      </c>
      <c r="AU249" t="s">
        <v>113</v>
      </c>
      <c r="AV249">
        <v>0</v>
      </c>
      <c r="AW249">
        <v>2</v>
      </c>
      <c r="AX249">
        <v>55937893</v>
      </c>
      <c r="AY249">
        <v>1</v>
      </c>
      <c r="AZ249">
        <v>0</v>
      </c>
      <c r="BA249">
        <v>307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ROUND(Y249*Source!I214,9)</f>
        <v>16.964639999999999</v>
      </c>
      <c r="CY249">
        <f t="shared" si="90"/>
        <v>10.6</v>
      </c>
      <c r="CZ249">
        <f t="shared" si="91"/>
        <v>10.6</v>
      </c>
      <c r="DA249">
        <f t="shared" si="92"/>
        <v>1</v>
      </c>
      <c r="DB249">
        <f t="shared" si="93"/>
        <v>22.71</v>
      </c>
      <c r="DC249">
        <f t="shared" si="94"/>
        <v>0</v>
      </c>
      <c r="DD249" t="s">
        <v>3</v>
      </c>
      <c r="DE249" t="s">
        <v>3</v>
      </c>
      <c r="DF249">
        <f t="shared" si="88"/>
        <v>179.83</v>
      </c>
      <c r="DG249">
        <f t="shared" si="87"/>
        <v>0</v>
      </c>
      <c r="DH249">
        <f t="shared" si="86"/>
        <v>0</v>
      </c>
      <c r="DI249">
        <f t="shared" si="76"/>
        <v>0</v>
      </c>
      <c r="DJ249">
        <f t="shared" si="95"/>
        <v>179.83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ROW(Source!A214)</f>
        <v>214</v>
      </c>
      <c r="B250">
        <v>55937296</v>
      </c>
      <c r="C250">
        <v>55937865</v>
      </c>
      <c r="D250">
        <v>55482203</v>
      </c>
      <c r="E250">
        <v>1</v>
      </c>
      <c r="F250">
        <v>1</v>
      </c>
      <c r="G250">
        <v>1081</v>
      </c>
      <c r="H250">
        <v>3</v>
      </c>
      <c r="I250" t="s">
        <v>544</v>
      </c>
      <c r="J250" t="s">
        <v>545</v>
      </c>
      <c r="K250" t="s">
        <v>546</v>
      </c>
      <c r="L250">
        <v>1356</v>
      </c>
      <c r="N250">
        <v>1010</v>
      </c>
      <c r="O250" t="s">
        <v>353</v>
      </c>
      <c r="P250" t="s">
        <v>353</v>
      </c>
      <c r="Q250">
        <v>1000</v>
      </c>
      <c r="W250">
        <v>0</v>
      </c>
      <c r="X250">
        <v>474149623</v>
      </c>
      <c r="Y250">
        <f t="shared" si="89"/>
        <v>1.7000000000000001E-2</v>
      </c>
      <c r="AA250">
        <v>226.66</v>
      </c>
      <c r="AB250">
        <v>0</v>
      </c>
      <c r="AC250">
        <v>0</v>
      </c>
      <c r="AD250">
        <v>0</v>
      </c>
      <c r="AE250">
        <v>226.66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-2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1.7000000000000001E-2</v>
      </c>
      <c r="AU250" t="s">
        <v>113</v>
      </c>
      <c r="AV250">
        <v>0</v>
      </c>
      <c r="AW250">
        <v>2</v>
      </c>
      <c r="AX250">
        <v>55937894</v>
      </c>
      <c r="AY250">
        <v>1</v>
      </c>
      <c r="AZ250">
        <v>0</v>
      </c>
      <c r="BA250">
        <v>308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ROUND(Y250*Source!I214,9)</f>
        <v>0.13464000000000001</v>
      </c>
      <c r="CY250">
        <f t="shared" si="90"/>
        <v>226.66</v>
      </c>
      <c r="CZ250">
        <f t="shared" si="91"/>
        <v>226.66</v>
      </c>
      <c r="DA250">
        <f t="shared" si="92"/>
        <v>1</v>
      </c>
      <c r="DB250">
        <f t="shared" si="93"/>
        <v>3.85</v>
      </c>
      <c r="DC250">
        <f t="shared" si="94"/>
        <v>0</v>
      </c>
      <c r="DD250" t="s">
        <v>3</v>
      </c>
      <c r="DE250" t="s">
        <v>3</v>
      </c>
      <c r="DF250">
        <f t="shared" si="88"/>
        <v>30.52</v>
      </c>
      <c r="DG250">
        <f t="shared" si="87"/>
        <v>0</v>
      </c>
      <c r="DH250">
        <f t="shared" si="86"/>
        <v>0</v>
      </c>
      <c r="DI250">
        <f t="shared" si="76"/>
        <v>0</v>
      </c>
      <c r="DJ250">
        <f t="shared" si="95"/>
        <v>30.52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ROW(Source!A214)</f>
        <v>214</v>
      </c>
      <c r="B251">
        <v>55937296</v>
      </c>
      <c r="C251">
        <v>55937865</v>
      </c>
      <c r="D251">
        <v>55481977</v>
      </c>
      <c r="E251">
        <v>1</v>
      </c>
      <c r="F251">
        <v>1</v>
      </c>
      <c r="G251">
        <v>1081</v>
      </c>
      <c r="H251">
        <v>3</v>
      </c>
      <c r="I251" t="s">
        <v>547</v>
      </c>
      <c r="J251" t="s">
        <v>548</v>
      </c>
      <c r="K251" t="s">
        <v>549</v>
      </c>
      <c r="L251">
        <v>1355</v>
      </c>
      <c r="N251">
        <v>1010</v>
      </c>
      <c r="O251" t="s">
        <v>60</v>
      </c>
      <c r="P251" t="s">
        <v>60</v>
      </c>
      <c r="Q251">
        <v>100</v>
      </c>
      <c r="W251">
        <v>0</v>
      </c>
      <c r="X251">
        <v>1356827684</v>
      </c>
      <c r="Y251">
        <f t="shared" si="89"/>
        <v>0.17</v>
      </c>
      <c r="AA251">
        <v>26.71</v>
      </c>
      <c r="AB251">
        <v>0</v>
      </c>
      <c r="AC251">
        <v>0</v>
      </c>
      <c r="AD251">
        <v>0</v>
      </c>
      <c r="AE251">
        <v>26.71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0.17</v>
      </c>
      <c r="AU251" t="s">
        <v>113</v>
      </c>
      <c r="AV251">
        <v>0</v>
      </c>
      <c r="AW251">
        <v>2</v>
      </c>
      <c r="AX251">
        <v>55937895</v>
      </c>
      <c r="AY251">
        <v>1</v>
      </c>
      <c r="AZ251">
        <v>0</v>
      </c>
      <c r="BA251">
        <v>309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ROUND(Y251*Source!I214,9)</f>
        <v>1.3464</v>
      </c>
      <c r="CY251">
        <f t="shared" si="90"/>
        <v>26.71</v>
      </c>
      <c r="CZ251">
        <f t="shared" si="91"/>
        <v>26.71</v>
      </c>
      <c r="DA251">
        <f t="shared" si="92"/>
        <v>1</v>
      </c>
      <c r="DB251">
        <f t="shared" si="93"/>
        <v>4.54</v>
      </c>
      <c r="DC251">
        <f t="shared" si="94"/>
        <v>0</v>
      </c>
      <c r="DD251" t="s">
        <v>3</v>
      </c>
      <c r="DE251" t="s">
        <v>3</v>
      </c>
      <c r="DF251">
        <f t="shared" si="88"/>
        <v>35.96</v>
      </c>
      <c r="DG251">
        <f t="shared" si="87"/>
        <v>0</v>
      </c>
      <c r="DH251">
        <f t="shared" si="86"/>
        <v>0</v>
      </c>
      <c r="DI251">
        <f t="shared" si="76"/>
        <v>0</v>
      </c>
      <c r="DJ251">
        <f t="shared" si="95"/>
        <v>35.96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ROW(Source!A214)</f>
        <v>214</v>
      </c>
      <c r="B252">
        <v>55937296</v>
      </c>
      <c r="C252">
        <v>55937865</v>
      </c>
      <c r="D252">
        <v>55469271</v>
      </c>
      <c r="E252">
        <v>1</v>
      </c>
      <c r="F252">
        <v>1</v>
      </c>
      <c r="G252">
        <v>1081</v>
      </c>
      <c r="H252">
        <v>3</v>
      </c>
      <c r="I252" t="s">
        <v>550</v>
      </c>
      <c r="J252" t="s">
        <v>551</v>
      </c>
      <c r="K252" t="s">
        <v>552</v>
      </c>
      <c r="L252">
        <v>1354</v>
      </c>
      <c r="N252">
        <v>1010</v>
      </c>
      <c r="O252" t="s">
        <v>217</v>
      </c>
      <c r="P252" t="s">
        <v>217</v>
      </c>
      <c r="Q252">
        <v>1</v>
      </c>
      <c r="W252">
        <v>0</v>
      </c>
      <c r="X252">
        <v>1339646332</v>
      </c>
      <c r="Y252">
        <f t="shared" si="89"/>
        <v>0.161</v>
      </c>
      <c r="AA252">
        <v>14.56</v>
      </c>
      <c r="AB252">
        <v>0</v>
      </c>
      <c r="AC252">
        <v>0</v>
      </c>
      <c r="AD252">
        <v>0</v>
      </c>
      <c r="AE252">
        <v>14.56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-2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0.161</v>
      </c>
      <c r="AU252" t="s">
        <v>113</v>
      </c>
      <c r="AV252">
        <v>0</v>
      </c>
      <c r="AW252">
        <v>2</v>
      </c>
      <c r="AX252">
        <v>55937896</v>
      </c>
      <c r="AY252">
        <v>1</v>
      </c>
      <c r="AZ252">
        <v>0</v>
      </c>
      <c r="BA252">
        <v>310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ROUND(Y252*Source!I214,9)</f>
        <v>1.27512</v>
      </c>
      <c r="CY252">
        <f t="shared" si="90"/>
        <v>14.56</v>
      </c>
      <c r="CZ252">
        <f t="shared" si="91"/>
        <v>14.56</v>
      </c>
      <c r="DA252">
        <f t="shared" si="92"/>
        <v>1</v>
      </c>
      <c r="DB252">
        <f t="shared" si="93"/>
        <v>2.34</v>
      </c>
      <c r="DC252">
        <f t="shared" si="94"/>
        <v>0</v>
      </c>
      <c r="DD252" t="s">
        <v>3</v>
      </c>
      <c r="DE252" t="s">
        <v>3</v>
      </c>
      <c r="DF252">
        <f t="shared" si="88"/>
        <v>18.57</v>
      </c>
      <c r="DG252">
        <f t="shared" si="87"/>
        <v>0</v>
      </c>
      <c r="DH252">
        <f t="shared" si="86"/>
        <v>0</v>
      </c>
      <c r="DI252">
        <f t="shared" si="76"/>
        <v>0</v>
      </c>
      <c r="DJ252">
        <f t="shared" si="95"/>
        <v>18.57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ROW(Source!A214)</f>
        <v>214</v>
      </c>
      <c r="B253">
        <v>55937296</v>
      </c>
      <c r="C253">
        <v>55937865</v>
      </c>
      <c r="D253">
        <v>55428305</v>
      </c>
      <c r="E253">
        <v>1081</v>
      </c>
      <c r="F253">
        <v>1</v>
      </c>
      <c r="G253">
        <v>1081</v>
      </c>
      <c r="H253">
        <v>3</v>
      </c>
      <c r="I253" t="s">
        <v>330</v>
      </c>
      <c r="J253" t="s">
        <v>3</v>
      </c>
      <c r="K253" t="s">
        <v>331</v>
      </c>
      <c r="L253">
        <v>1301</v>
      </c>
      <c r="N253">
        <v>1003</v>
      </c>
      <c r="O253" t="s">
        <v>332</v>
      </c>
      <c r="P253" t="s">
        <v>332</v>
      </c>
      <c r="Q253">
        <v>1</v>
      </c>
      <c r="W253">
        <v>0</v>
      </c>
      <c r="X253">
        <v>-1521476738</v>
      </c>
      <c r="Y253">
        <f t="shared" si="89"/>
        <v>102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 t="s">
        <v>3</v>
      </c>
      <c r="AT253">
        <v>102</v>
      </c>
      <c r="AU253" t="s">
        <v>113</v>
      </c>
      <c r="AV253">
        <v>0</v>
      </c>
      <c r="AW253">
        <v>2</v>
      </c>
      <c r="AX253">
        <v>55937897</v>
      </c>
      <c r="AY253">
        <v>1</v>
      </c>
      <c r="AZ253">
        <v>0</v>
      </c>
      <c r="BA253">
        <v>311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ROUND(Y253*Source!I214,9)</f>
        <v>807.84</v>
      </c>
      <c r="CY253">
        <f t="shared" si="90"/>
        <v>0</v>
      </c>
      <c r="CZ253">
        <f t="shared" si="91"/>
        <v>0</v>
      </c>
      <c r="DA253">
        <f t="shared" si="92"/>
        <v>1</v>
      </c>
      <c r="DB253">
        <f t="shared" si="93"/>
        <v>0</v>
      </c>
      <c r="DC253">
        <f t="shared" si="94"/>
        <v>0</v>
      </c>
      <c r="DD253" t="s">
        <v>3</v>
      </c>
      <c r="DE253" t="s">
        <v>3</v>
      </c>
      <c r="DF253">
        <f t="shared" si="88"/>
        <v>0</v>
      </c>
      <c r="DG253">
        <f t="shared" si="87"/>
        <v>0</v>
      </c>
      <c r="DH253">
        <f t="shared" si="86"/>
        <v>0</v>
      </c>
      <c r="DI253">
        <f t="shared" si="76"/>
        <v>0</v>
      </c>
      <c r="DJ253">
        <f t="shared" si="95"/>
        <v>0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ROW(Source!A214)</f>
        <v>214</v>
      </c>
      <c r="B254">
        <v>55937296</v>
      </c>
      <c r="C254">
        <v>55937865</v>
      </c>
      <c r="D254">
        <v>55432095</v>
      </c>
      <c r="E254">
        <v>1081</v>
      </c>
      <c r="F254">
        <v>1</v>
      </c>
      <c r="G254">
        <v>1081</v>
      </c>
      <c r="H254">
        <v>3</v>
      </c>
      <c r="I254" t="s">
        <v>333</v>
      </c>
      <c r="J254" t="s">
        <v>3</v>
      </c>
      <c r="K254" t="s">
        <v>334</v>
      </c>
      <c r="L254">
        <v>1355</v>
      </c>
      <c r="N254">
        <v>1010</v>
      </c>
      <c r="O254" t="s">
        <v>60</v>
      </c>
      <c r="P254" t="s">
        <v>60</v>
      </c>
      <c r="Q254">
        <v>100</v>
      </c>
      <c r="W254">
        <v>0</v>
      </c>
      <c r="X254">
        <v>-18502350</v>
      </c>
      <c r="Y254">
        <f t="shared" si="89"/>
        <v>2.1640000000000001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 t="s">
        <v>3</v>
      </c>
      <c r="AT254">
        <v>2.1640000000000001</v>
      </c>
      <c r="AU254" t="s">
        <v>113</v>
      </c>
      <c r="AV254">
        <v>0</v>
      </c>
      <c r="AW254">
        <v>2</v>
      </c>
      <c r="AX254">
        <v>55937898</v>
      </c>
      <c r="AY254">
        <v>1</v>
      </c>
      <c r="AZ254">
        <v>0</v>
      </c>
      <c r="BA254">
        <v>312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ROUND(Y254*Source!I214,9)</f>
        <v>17.13888</v>
      </c>
      <c r="CY254">
        <f t="shared" si="90"/>
        <v>0</v>
      </c>
      <c r="CZ254">
        <f t="shared" si="91"/>
        <v>0</v>
      </c>
      <c r="DA254">
        <f t="shared" si="92"/>
        <v>1</v>
      </c>
      <c r="DB254">
        <f t="shared" si="93"/>
        <v>0</v>
      </c>
      <c r="DC254">
        <f t="shared" si="94"/>
        <v>0</v>
      </c>
      <c r="DD254" t="s">
        <v>3</v>
      </c>
      <c r="DE254" t="s">
        <v>3</v>
      </c>
      <c r="DF254">
        <f t="shared" si="88"/>
        <v>0</v>
      </c>
      <c r="DG254">
        <f t="shared" si="87"/>
        <v>0</v>
      </c>
      <c r="DH254">
        <f t="shared" si="86"/>
        <v>0</v>
      </c>
      <c r="DI254">
        <f t="shared" si="76"/>
        <v>0</v>
      </c>
      <c r="DJ254">
        <f t="shared" si="95"/>
        <v>0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ROW(Source!A214)</f>
        <v>214</v>
      </c>
      <c r="B255">
        <v>55937296</v>
      </c>
      <c r="C255">
        <v>55937865</v>
      </c>
      <c r="D255">
        <v>55438984</v>
      </c>
      <c r="E255">
        <v>1081</v>
      </c>
      <c r="F255">
        <v>1</v>
      </c>
      <c r="G255">
        <v>1081</v>
      </c>
      <c r="H255">
        <v>3</v>
      </c>
      <c r="I255" t="s">
        <v>335</v>
      </c>
      <c r="J255" t="s">
        <v>3</v>
      </c>
      <c r="K255" t="s">
        <v>336</v>
      </c>
      <c r="L255">
        <v>1303</v>
      </c>
      <c r="N255">
        <v>1003</v>
      </c>
      <c r="O255" t="s">
        <v>337</v>
      </c>
      <c r="P255" t="s">
        <v>337</v>
      </c>
      <c r="Q255">
        <v>1000</v>
      </c>
      <c r="W255">
        <v>0</v>
      </c>
      <c r="X255">
        <v>683689724</v>
      </c>
      <c r="Y255">
        <f t="shared" si="89"/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3</v>
      </c>
      <c r="AT255">
        <v>0</v>
      </c>
      <c r="AU255" t="s">
        <v>113</v>
      </c>
      <c r="AV255">
        <v>0</v>
      </c>
      <c r="AW255">
        <v>2</v>
      </c>
      <c r="AX255">
        <v>55937899</v>
      </c>
      <c r="AY255">
        <v>1</v>
      </c>
      <c r="AZ255">
        <v>0</v>
      </c>
      <c r="BA255">
        <v>313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ROUND(Y255*Source!I214,9)</f>
        <v>0</v>
      </c>
      <c r="CY255">
        <f t="shared" si="90"/>
        <v>0</v>
      </c>
      <c r="CZ255">
        <f t="shared" si="91"/>
        <v>0</v>
      </c>
      <c r="DA255">
        <f t="shared" si="92"/>
        <v>1</v>
      </c>
      <c r="DB255">
        <f t="shared" si="93"/>
        <v>0</v>
      </c>
      <c r="DC255">
        <f t="shared" si="94"/>
        <v>0</v>
      </c>
      <c r="DD255" t="s">
        <v>3</v>
      </c>
      <c r="DE255" t="s">
        <v>3</v>
      </c>
      <c r="DF255">
        <f t="shared" si="88"/>
        <v>0</v>
      </c>
      <c r="DG255">
        <f t="shared" si="87"/>
        <v>0</v>
      </c>
      <c r="DH255">
        <f t="shared" si="86"/>
        <v>0</v>
      </c>
      <c r="DI255">
        <f t="shared" si="76"/>
        <v>0</v>
      </c>
      <c r="DJ255">
        <f t="shared" si="95"/>
        <v>0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ROW(Source!A215)</f>
        <v>215</v>
      </c>
      <c r="B256">
        <v>55937298</v>
      </c>
      <c r="C256">
        <v>55937865</v>
      </c>
      <c r="D256">
        <v>55424304</v>
      </c>
      <c r="E256">
        <v>1081</v>
      </c>
      <c r="F256">
        <v>1</v>
      </c>
      <c r="G256">
        <v>1081</v>
      </c>
      <c r="H256">
        <v>1</v>
      </c>
      <c r="I256" t="s">
        <v>449</v>
      </c>
      <c r="J256" t="s">
        <v>3</v>
      </c>
      <c r="K256" t="s">
        <v>450</v>
      </c>
      <c r="L256">
        <v>1191</v>
      </c>
      <c r="N256">
        <v>1013</v>
      </c>
      <c r="O256" t="s">
        <v>451</v>
      </c>
      <c r="P256" t="s">
        <v>451</v>
      </c>
      <c r="Q256">
        <v>1</v>
      </c>
      <c r="W256">
        <v>0</v>
      </c>
      <c r="X256">
        <v>476480486</v>
      </c>
      <c r="Y256">
        <f>(AT256*1.2)</f>
        <v>19.920000000000002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1</v>
      </c>
      <c r="AM256">
        <v>5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16.600000000000001</v>
      </c>
      <c r="AU256" t="s">
        <v>114</v>
      </c>
      <c r="AV256">
        <v>1</v>
      </c>
      <c r="AW256">
        <v>2</v>
      </c>
      <c r="AX256">
        <v>55937889</v>
      </c>
      <c r="AY256">
        <v>1</v>
      </c>
      <c r="AZ256">
        <v>0</v>
      </c>
      <c r="BA256">
        <v>314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U256">
        <f>ROUND(AT256*Source!I215*AH256*AL256,2)</f>
        <v>0</v>
      </c>
      <c r="CV256">
        <f>ROUND(Y256*Source!I215,9)</f>
        <v>157.7664</v>
      </c>
      <c r="CW256">
        <v>0</v>
      </c>
      <c r="CX256">
        <f>ROUND(Y256*Source!I215,9)</f>
        <v>157.7664</v>
      </c>
      <c r="CY256">
        <f>AD256</f>
        <v>0</v>
      </c>
      <c r="CZ256">
        <f>AH256</f>
        <v>0</v>
      </c>
      <c r="DA256">
        <f>AL256</f>
        <v>1</v>
      </c>
      <c r="DB256">
        <f>ROUND((ROUND(AT256*CZ256,2)*1.2),6)</f>
        <v>0</v>
      </c>
      <c r="DC256">
        <f>ROUND((ROUND(AT256*AG256,2)*1.2),6)</f>
        <v>0</v>
      </c>
      <c r="DD256" t="s">
        <v>3</v>
      </c>
      <c r="DE256" t="s">
        <v>3</v>
      </c>
      <c r="DF256">
        <f t="shared" si="88"/>
        <v>0</v>
      </c>
      <c r="DG256">
        <f t="shared" si="87"/>
        <v>0</v>
      </c>
      <c r="DH256">
        <f t="shared" si="86"/>
        <v>0</v>
      </c>
      <c r="DI256">
        <f t="shared" si="76"/>
        <v>0</v>
      </c>
      <c r="DJ256">
        <f>DI256</f>
        <v>0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ROW(Source!A215)</f>
        <v>215</v>
      </c>
      <c r="B257">
        <v>55937298</v>
      </c>
      <c r="C257">
        <v>55937865</v>
      </c>
      <c r="D257">
        <v>55490263</v>
      </c>
      <c r="E257">
        <v>1</v>
      </c>
      <c r="F257">
        <v>1</v>
      </c>
      <c r="G257">
        <v>1081</v>
      </c>
      <c r="H257">
        <v>2</v>
      </c>
      <c r="I257" t="s">
        <v>502</v>
      </c>
      <c r="J257" t="s">
        <v>503</v>
      </c>
      <c r="K257" t="s">
        <v>504</v>
      </c>
      <c r="L257">
        <v>1368</v>
      </c>
      <c r="N257">
        <v>1011</v>
      </c>
      <c r="O257" t="s">
        <v>455</v>
      </c>
      <c r="P257" t="s">
        <v>455</v>
      </c>
      <c r="Q257">
        <v>1</v>
      </c>
      <c r="W257">
        <v>0</v>
      </c>
      <c r="X257">
        <v>-1895752648</v>
      </c>
      <c r="Y257">
        <f>(AT257*1.2)</f>
        <v>1.38</v>
      </c>
      <c r="AA257">
        <v>0</v>
      </c>
      <c r="AB257">
        <v>7.71</v>
      </c>
      <c r="AC257">
        <v>0</v>
      </c>
      <c r="AD257">
        <v>0</v>
      </c>
      <c r="AE257">
        <v>0</v>
      </c>
      <c r="AF257">
        <v>0.77</v>
      </c>
      <c r="AG257">
        <v>0</v>
      </c>
      <c r="AH257">
        <v>0</v>
      </c>
      <c r="AI257">
        <v>1</v>
      </c>
      <c r="AJ257">
        <v>9.56</v>
      </c>
      <c r="AK257">
        <v>1</v>
      </c>
      <c r="AL257">
        <v>1</v>
      </c>
      <c r="AM257">
        <v>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1.1499999999999999</v>
      </c>
      <c r="AU257" t="s">
        <v>114</v>
      </c>
      <c r="AV257">
        <v>0</v>
      </c>
      <c r="AW257">
        <v>2</v>
      </c>
      <c r="AX257">
        <v>55937890</v>
      </c>
      <c r="AY257">
        <v>1</v>
      </c>
      <c r="AZ257">
        <v>0</v>
      </c>
      <c r="BA257">
        <v>315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ROUND(Y257*Source!I215*DO257,9)</f>
        <v>0</v>
      </c>
      <c r="CX257">
        <f>ROUND(Y257*Source!I215,9)</f>
        <v>10.929600000000001</v>
      </c>
      <c r="CY257">
        <f>AB257</f>
        <v>7.71</v>
      </c>
      <c r="CZ257">
        <f>AF257</f>
        <v>0.77</v>
      </c>
      <c r="DA257">
        <f>AJ257</f>
        <v>9.56</v>
      </c>
      <c r="DB257">
        <f>ROUND((ROUND(AT257*CZ257,2)*1.2),6)</f>
        <v>1.0680000000000001</v>
      </c>
      <c r="DC257">
        <f>ROUND((ROUND(AT257*AG257,2)*1.2),6)</f>
        <v>0</v>
      </c>
      <c r="DD257" t="s">
        <v>3</v>
      </c>
      <c r="DE257" t="s">
        <v>3</v>
      </c>
      <c r="DF257">
        <f t="shared" si="88"/>
        <v>0</v>
      </c>
      <c r="DG257">
        <f>ROUND(ROUND(AF257*AJ257,2)*CX257,2)</f>
        <v>80.44</v>
      </c>
      <c r="DH257">
        <f t="shared" si="86"/>
        <v>0</v>
      </c>
      <c r="DI257">
        <f t="shared" ref="DI257:DI320" si="96">ROUND(ROUND(AH257,2)*CX257,2)</f>
        <v>0</v>
      </c>
      <c r="DJ257">
        <f>DG257</f>
        <v>80.44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ROW(Source!A215)</f>
        <v>215</v>
      </c>
      <c r="B258">
        <v>55937298</v>
      </c>
      <c r="C258">
        <v>55937865</v>
      </c>
      <c r="D258">
        <v>55490296</v>
      </c>
      <c r="E258">
        <v>1</v>
      </c>
      <c r="F258">
        <v>1</v>
      </c>
      <c r="G258">
        <v>1081</v>
      </c>
      <c r="H258">
        <v>2</v>
      </c>
      <c r="I258" t="s">
        <v>477</v>
      </c>
      <c r="J258" t="s">
        <v>478</v>
      </c>
      <c r="K258" t="s">
        <v>479</v>
      </c>
      <c r="L258">
        <v>1368</v>
      </c>
      <c r="N258">
        <v>1011</v>
      </c>
      <c r="O258" t="s">
        <v>455</v>
      </c>
      <c r="P258" t="s">
        <v>455</v>
      </c>
      <c r="Q258">
        <v>1</v>
      </c>
      <c r="W258">
        <v>0</v>
      </c>
      <c r="X258">
        <v>-643591644</v>
      </c>
      <c r="Y258">
        <f>(AT258*1.2)</f>
        <v>2.16</v>
      </c>
      <c r="AA258">
        <v>0</v>
      </c>
      <c r="AB258">
        <v>4.75</v>
      </c>
      <c r="AC258">
        <v>0</v>
      </c>
      <c r="AD258">
        <v>0</v>
      </c>
      <c r="AE258">
        <v>0</v>
      </c>
      <c r="AF258">
        <v>0.47</v>
      </c>
      <c r="AG258">
        <v>0</v>
      </c>
      <c r="AH258">
        <v>0</v>
      </c>
      <c r="AI258">
        <v>1</v>
      </c>
      <c r="AJ258">
        <v>9.66</v>
      </c>
      <c r="AK258">
        <v>1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1.8</v>
      </c>
      <c r="AU258" t="s">
        <v>114</v>
      </c>
      <c r="AV258">
        <v>0</v>
      </c>
      <c r="AW258">
        <v>2</v>
      </c>
      <c r="AX258">
        <v>55937891</v>
      </c>
      <c r="AY258">
        <v>1</v>
      </c>
      <c r="AZ258">
        <v>0</v>
      </c>
      <c r="BA258">
        <v>316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f>ROUND(Y258*Source!I215*DO258,9)</f>
        <v>0</v>
      </c>
      <c r="CX258">
        <f>ROUND(Y258*Source!I215,9)</f>
        <v>17.107199999999999</v>
      </c>
      <c r="CY258">
        <f>AB258</f>
        <v>4.75</v>
      </c>
      <c r="CZ258">
        <f>AF258</f>
        <v>0.47</v>
      </c>
      <c r="DA258">
        <f>AJ258</f>
        <v>9.66</v>
      </c>
      <c r="DB258">
        <f>ROUND((ROUND(AT258*CZ258,2)*1.2),6)</f>
        <v>1.02</v>
      </c>
      <c r="DC258">
        <f>ROUND((ROUND(AT258*AG258,2)*1.2),6)</f>
        <v>0</v>
      </c>
      <c r="DD258" t="s">
        <v>3</v>
      </c>
      <c r="DE258" t="s">
        <v>3</v>
      </c>
      <c r="DF258">
        <f t="shared" si="88"/>
        <v>0</v>
      </c>
      <c r="DG258">
        <f>ROUND(ROUND(AF258*AJ258,2)*CX258,2)</f>
        <v>77.67</v>
      </c>
      <c r="DH258">
        <f t="shared" si="86"/>
        <v>0</v>
      </c>
      <c r="DI258">
        <f t="shared" si="96"/>
        <v>0</v>
      </c>
      <c r="DJ258">
        <f>DG258</f>
        <v>77.67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ROW(Source!A215)</f>
        <v>215</v>
      </c>
      <c r="B259">
        <v>55937298</v>
      </c>
      <c r="C259">
        <v>55937865</v>
      </c>
      <c r="D259">
        <v>55460960</v>
      </c>
      <c r="E259">
        <v>1</v>
      </c>
      <c r="F259">
        <v>1</v>
      </c>
      <c r="G259">
        <v>1081</v>
      </c>
      <c r="H259">
        <v>3</v>
      </c>
      <c r="I259" t="s">
        <v>538</v>
      </c>
      <c r="J259" t="s">
        <v>539</v>
      </c>
      <c r="K259" t="s">
        <v>540</v>
      </c>
      <c r="L259">
        <v>1348</v>
      </c>
      <c r="N259">
        <v>1009</v>
      </c>
      <c r="O259" t="s">
        <v>287</v>
      </c>
      <c r="P259" t="s">
        <v>287</v>
      </c>
      <c r="Q259">
        <v>1000</v>
      </c>
      <c r="W259">
        <v>0</v>
      </c>
      <c r="X259">
        <v>-260579272</v>
      </c>
      <c r="Y259">
        <f t="shared" ref="Y259:Y266" si="97">(AT259*1)</f>
        <v>1E-3</v>
      </c>
      <c r="AA259">
        <v>136220.14000000001</v>
      </c>
      <c r="AB259">
        <v>0</v>
      </c>
      <c r="AC259">
        <v>0</v>
      </c>
      <c r="AD259">
        <v>0</v>
      </c>
      <c r="AE259">
        <v>58463.58</v>
      </c>
      <c r="AF259">
        <v>0</v>
      </c>
      <c r="AG259">
        <v>0</v>
      </c>
      <c r="AH259">
        <v>0</v>
      </c>
      <c r="AI259">
        <v>2.33</v>
      </c>
      <c r="AJ259">
        <v>1</v>
      </c>
      <c r="AK259">
        <v>1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1E-3</v>
      </c>
      <c r="AU259" t="s">
        <v>113</v>
      </c>
      <c r="AV259">
        <v>0</v>
      </c>
      <c r="AW259">
        <v>2</v>
      </c>
      <c r="AX259">
        <v>55937892</v>
      </c>
      <c r="AY259">
        <v>1</v>
      </c>
      <c r="AZ259">
        <v>0</v>
      </c>
      <c r="BA259">
        <v>317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ROUND(Y259*Source!I215,9)</f>
        <v>7.92E-3</v>
      </c>
      <c r="CY259">
        <f t="shared" ref="CY259:CY266" si="98">AA259</f>
        <v>136220.14000000001</v>
      </c>
      <c r="CZ259">
        <f t="shared" ref="CZ259:CZ266" si="99">AE259</f>
        <v>58463.58</v>
      </c>
      <c r="DA259">
        <f t="shared" ref="DA259:DA266" si="100">AI259</f>
        <v>2.33</v>
      </c>
      <c r="DB259">
        <f t="shared" ref="DB259:DB266" si="101">ROUND((ROUND(AT259*CZ259,2)*1),6)</f>
        <v>58.46</v>
      </c>
      <c r="DC259">
        <f t="shared" ref="DC259:DC266" si="102">ROUND((ROUND(AT259*AG259,2)*1),6)</f>
        <v>0</v>
      </c>
      <c r="DD259" t="s">
        <v>3</v>
      </c>
      <c r="DE259" t="s">
        <v>3</v>
      </c>
      <c r="DF259">
        <f t="shared" ref="DF259:DF266" si="103">ROUND(ROUND(AE259*AI259,2)*CX259,2)</f>
        <v>1078.8599999999999</v>
      </c>
      <c r="DG259">
        <f t="shared" ref="DG259:DG293" si="104">ROUND(ROUND(AF259,2)*CX259,2)</f>
        <v>0</v>
      </c>
      <c r="DH259">
        <f t="shared" si="86"/>
        <v>0</v>
      </c>
      <c r="DI259">
        <f t="shared" si="96"/>
        <v>0</v>
      </c>
      <c r="DJ259">
        <f t="shared" ref="DJ259:DJ266" si="105">DF259</f>
        <v>1078.8599999999999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ROW(Source!A215)</f>
        <v>215</v>
      </c>
      <c r="B260">
        <v>55937298</v>
      </c>
      <c r="C260">
        <v>55937865</v>
      </c>
      <c r="D260">
        <v>55461791</v>
      </c>
      <c r="E260">
        <v>1</v>
      </c>
      <c r="F260">
        <v>1</v>
      </c>
      <c r="G260">
        <v>1081</v>
      </c>
      <c r="H260">
        <v>3</v>
      </c>
      <c r="I260" t="s">
        <v>541</v>
      </c>
      <c r="J260" t="s">
        <v>542</v>
      </c>
      <c r="K260" t="s">
        <v>543</v>
      </c>
      <c r="L260">
        <v>1355</v>
      </c>
      <c r="N260">
        <v>1010</v>
      </c>
      <c r="O260" t="s">
        <v>60</v>
      </c>
      <c r="P260" t="s">
        <v>60</v>
      </c>
      <c r="Q260">
        <v>100</v>
      </c>
      <c r="W260">
        <v>0</v>
      </c>
      <c r="X260">
        <v>-429645653</v>
      </c>
      <c r="Y260">
        <f t="shared" si="97"/>
        <v>2.1419999999999999</v>
      </c>
      <c r="AA260">
        <v>16.43</v>
      </c>
      <c r="AB260">
        <v>0</v>
      </c>
      <c r="AC260">
        <v>0</v>
      </c>
      <c r="AD260">
        <v>0</v>
      </c>
      <c r="AE260">
        <v>10.6</v>
      </c>
      <c r="AF260">
        <v>0</v>
      </c>
      <c r="AG260">
        <v>0</v>
      </c>
      <c r="AH260">
        <v>0</v>
      </c>
      <c r="AI260">
        <v>1.55</v>
      </c>
      <c r="AJ260">
        <v>1</v>
      </c>
      <c r="AK260">
        <v>1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2.1419999999999999</v>
      </c>
      <c r="AU260" t="s">
        <v>113</v>
      </c>
      <c r="AV260">
        <v>0</v>
      </c>
      <c r="AW260">
        <v>2</v>
      </c>
      <c r="AX260">
        <v>55937893</v>
      </c>
      <c r="AY260">
        <v>1</v>
      </c>
      <c r="AZ260">
        <v>0</v>
      </c>
      <c r="BA260">
        <v>318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ROUND(Y260*Source!I215,9)</f>
        <v>16.964639999999999</v>
      </c>
      <c r="CY260">
        <f t="shared" si="98"/>
        <v>16.43</v>
      </c>
      <c r="CZ260">
        <f t="shared" si="99"/>
        <v>10.6</v>
      </c>
      <c r="DA260">
        <f t="shared" si="100"/>
        <v>1.55</v>
      </c>
      <c r="DB260">
        <f t="shared" si="101"/>
        <v>22.71</v>
      </c>
      <c r="DC260">
        <f t="shared" si="102"/>
        <v>0</v>
      </c>
      <c r="DD260" t="s">
        <v>3</v>
      </c>
      <c r="DE260" t="s">
        <v>3</v>
      </c>
      <c r="DF260">
        <f t="shared" si="103"/>
        <v>278.73</v>
      </c>
      <c r="DG260">
        <f t="shared" si="104"/>
        <v>0</v>
      </c>
      <c r="DH260">
        <f t="shared" si="86"/>
        <v>0</v>
      </c>
      <c r="DI260">
        <f t="shared" si="96"/>
        <v>0</v>
      </c>
      <c r="DJ260">
        <f t="shared" si="105"/>
        <v>278.73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ROW(Source!A215)</f>
        <v>215</v>
      </c>
      <c r="B261">
        <v>55937298</v>
      </c>
      <c r="C261">
        <v>55937865</v>
      </c>
      <c r="D261">
        <v>55482203</v>
      </c>
      <c r="E261">
        <v>1</v>
      </c>
      <c r="F261">
        <v>1</v>
      </c>
      <c r="G261">
        <v>1081</v>
      </c>
      <c r="H261">
        <v>3</v>
      </c>
      <c r="I261" t="s">
        <v>544</v>
      </c>
      <c r="J261" t="s">
        <v>545</v>
      </c>
      <c r="K261" t="s">
        <v>546</v>
      </c>
      <c r="L261">
        <v>1356</v>
      </c>
      <c r="N261">
        <v>1010</v>
      </c>
      <c r="O261" t="s">
        <v>353</v>
      </c>
      <c r="P261" t="s">
        <v>353</v>
      </c>
      <c r="Q261">
        <v>1000</v>
      </c>
      <c r="W261">
        <v>0</v>
      </c>
      <c r="X261">
        <v>474149623</v>
      </c>
      <c r="Y261">
        <f t="shared" si="97"/>
        <v>1.7000000000000001E-2</v>
      </c>
      <c r="AA261">
        <v>1527.69</v>
      </c>
      <c r="AB261">
        <v>0</v>
      </c>
      <c r="AC261">
        <v>0</v>
      </c>
      <c r="AD261">
        <v>0</v>
      </c>
      <c r="AE261">
        <v>226.66</v>
      </c>
      <c r="AF261">
        <v>0</v>
      </c>
      <c r="AG261">
        <v>0</v>
      </c>
      <c r="AH261">
        <v>0</v>
      </c>
      <c r="AI261">
        <v>6.74</v>
      </c>
      <c r="AJ261">
        <v>1</v>
      </c>
      <c r="AK261">
        <v>1</v>
      </c>
      <c r="AL261">
        <v>1</v>
      </c>
      <c r="AM261">
        <v>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1.7000000000000001E-2</v>
      </c>
      <c r="AU261" t="s">
        <v>113</v>
      </c>
      <c r="AV261">
        <v>0</v>
      </c>
      <c r="AW261">
        <v>2</v>
      </c>
      <c r="AX261">
        <v>55937894</v>
      </c>
      <c r="AY261">
        <v>1</v>
      </c>
      <c r="AZ261">
        <v>0</v>
      </c>
      <c r="BA261">
        <v>319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ROUND(Y261*Source!I215,9)</f>
        <v>0.13464000000000001</v>
      </c>
      <c r="CY261">
        <f t="shared" si="98"/>
        <v>1527.69</v>
      </c>
      <c r="CZ261">
        <f t="shared" si="99"/>
        <v>226.66</v>
      </c>
      <c r="DA261">
        <f t="shared" si="100"/>
        <v>6.74</v>
      </c>
      <c r="DB261">
        <f t="shared" si="101"/>
        <v>3.85</v>
      </c>
      <c r="DC261">
        <f t="shared" si="102"/>
        <v>0</v>
      </c>
      <c r="DD261" t="s">
        <v>3</v>
      </c>
      <c r="DE261" t="s">
        <v>3</v>
      </c>
      <c r="DF261">
        <f t="shared" si="103"/>
        <v>205.69</v>
      </c>
      <c r="DG261">
        <f t="shared" si="104"/>
        <v>0</v>
      </c>
      <c r="DH261">
        <f t="shared" si="86"/>
        <v>0</v>
      </c>
      <c r="DI261">
        <f t="shared" si="96"/>
        <v>0</v>
      </c>
      <c r="DJ261">
        <f t="shared" si="105"/>
        <v>205.69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ROW(Source!A215)</f>
        <v>215</v>
      </c>
      <c r="B262">
        <v>55937298</v>
      </c>
      <c r="C262">
        <v>55937865</v>
      </c>
      <c r="D262">
        <v>55481977</v>
      </c>
      <c r="E262">
        <v>1</v>
      </c>
      <c r="F262">
        <v>1</v>
      </c>
      <c r="G262">
        <v>1081</v>
      </c>
      <c r="H262">
        <v>3</v>
      </c>
      <c r="I262" t="s">
        <v>547</v>
      </c>
      <c r="J262" t="s">
        <v>548</v>
      </c>
      <c r="K262" t="s">
        <v>549</v>
      </c>
      <c r="L262">
        <v>1355</v>
      </c>
      <c r="N262">
        <v>1010</v>
      </c>
      <c r="O262" t="s">
        <v>60</v>
      </c>
      <c r="P262" t="s">
        <v>60</v>
      </c>
      <c r="Q262">
        <v>100</v>
      </c>
      <c r="W262">
        <v>0</v>
      </c>
      <c r="X262">
        <v>1356827684</v>
      </c>
      <c r="Y262">
        <f t="shared" si="97"/>
        <v>0.17</v>
      </c>
      <c r="AA262">
        <v>105.5</v>
      </c>
      <c r="AB262">
        <v>0</v>
      </c>
      <c r="AC262">
        <v>0</v>
      </c>
      <c r="AD262">
        <v>0</v>
      </c>
      <c r="AE262">
        <v>26.71</v>
      </c>
      <c r="AF262">
        <v>0</v>
      </c>
      <c r="AG262">
        <v>0</v>
      </c>
      <c r="AH262">
        <v>0</v>
      </c>
      <c r="AI262">
        <v>3.95</v>
      </c>
      <c r="AJ262">
        <v>1</v>
      </c>
      <c r="AK262">
        <v>1</v>
      </c>
      <c r="AL262">
        <v>1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0.17</v>
      </c>
      <c r="AU262" t="s">
        <v>113</v>
      </c>
      <c r="AV262">
        <v>0</v>
      </c>
      <c r="AW262">
        <v>2</v>
      </c>
      <c r="AX262">
        <v>55937895</v>
      </c>
      <c r="AY262">
        <v>1</v>
      </c>
      <c r="AZ262">
        <v>0</v>
      </c>
      <c r="BA262">
        <v>320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ROUND(Y262*Source!I215,9)</f>
        <v>1.3464</v>
      </c>
      <c r="CY262">
        <f t="shared" si="98"/>
        <v>105.5</v>
      </c>
      <c r="CZ262">
        <f t="shared" si="99"/>
        <v>26.71</v>
      </c>
      <c r="DA262">
        <f t="shared" si="100"/>
        <v>3.95</v>
      </c>
      <c r="DB262">
        <f t="shared" si="101"/>
        <v>4.54</v>
      </c>
      <c r="DC262">
        <f t="shared" si="102"/>
        <v>0</v>
      </c>
      <c r="DD262" t="s">
        <v>3</v>
      </c>
      <c r="DE262" t="s">
        <v>3</v>
      </c>
      <c r="DF262">
        <f t="shared" si="103"/>
        <v>142.05000000000001</v>
      </c>
      <c r="DG262">
        <f t="shared" si="104"/>
        <v>0</v>
      </c>
      <c r="DH262">
        <f t="shared" si="86"/>
        <v>0</v>
      </c>
      <c r="DI262">
        <f t="shared" si="96"/>
        <v>0</v>
      </c>
      <c r="DJ262">
        <f t="shared" si="105"/>
        <v>142.05000000000001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ROW(Source!A215)</f>
        <v>215</v>
      </c>
      <c r="B263">
        <v>55937298</v>
      </c>
      <c r="C263">
        <v>55937865</v>
      </c>
      <c r="D263">
        <v>55469271</v>
      </c>
      <c r="E263">
        <v>1</v>
      </c>
      <c r="F263">
        <v>1</v>
      </c>
      <c r="G263">
        <v>1081</v>
      </c>
      <c r="H263">
        <v>3</v>
      </c>
      <c r="I263" t="s">
        <v>550</v>
      </c>
      <c r="J263" t="s">
        <v>551</v>
      </c>
      <c r="K263" t="s">
        <v>552</v>
      </c>
      <c r="L263">
        <v>1354</v>
      </c>
      <c r="N263">
        <v>1010</v>
      </c>
      <c r="O263" t="s">
        <v>217</v>
      </c>
      <c r="P263" t="s">
        <v>217</v>
      </c>
      <c r="Q263">
        <v>1</v>
      </c>
      <c r="W263">
        <v>0</v>
      </c>
      <c r="X263">
        <v>1339646332</v>
      </c>
      <c r="Y263">
        <f t="shared" si="97"/>
        <v>0.161</v>
      </c>
      <c r="AA263">
        <v>71.78</v>
      </c>
      <c r="AB263">
        <v>0</v>
      </c>
      <c r="AC263">
        <v>0</v>
      </c>
      <c r="AD263">
        <v>0</v>
      </c>
      <c r="AE263">
        <v>14.56</v>
      </c>
      <c r="AF263">
        <v>0</v>
      </c>
      <c r="AG263">
        <v>0</v>
      </c>
      <c r="AH263">
        <v>0</v>
      </c>
      <c r="AI263">
        <v>4.93</v>
      </c>
      <c r="AJ263">
        <v>1</v>
      </c>
      <c r="AK263">
        <v>1</v>
      </c>
      <c r="AL263">
        <v>1</v>
      </c>
      <c r="AM263">
        <v>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0.161</v>
      </c>
      <c r="AU263" t="s">
        <v>113</v>
      </c>
      <c r="AV263">
        <v>0</v>
      </c>
      <c r="AW263">
        <v>2</v>
      </c>
      <c r="AX263">
        <v>55937896</v>
      </c>
      <c r="AY263">
        <v>1</v>
      </c>
      <c r="AZ263">
        <v>0</v>
      </c>
      <c r="BA263">
        <v>321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ROUND(Y263*Source!I215,9)</f>
        <v>1.27512</v>
      </c>
      <c r="CY263">
        <f t="shared" si="98"/>
        <v>71.78</v>
      </c>
      <c r="CZ263">
        <f t="shared" si="99"/>
        <v>14.56</v>
      </c>
      <c r="DA263">
        <f t="shared" si="100"/>
        <v>4.93</v>
      </c>
      <c r="DB263">
        <f t="shared" si="101"/>
        <v>2.34</v>
      </c>
      <c r="DC263">
        <f t="shared" si="102"/>
        <v>0</v>
      </c>
      <c r="DD263" t="s">
        <v>3</v>
      </c>
      <c r="DE263" t="s">
        <v>3</v>
      </c>
      <c r="DF263">
        <f t="shared" si="103"/>
        <v>91.53</v>
      </c>
      <c r="DG263">
        <f t="shared" si="104"/>
        <v>0</v>
      </c>
      <c r="DH263">
        <f t="shared" si="86"/>
        <v>0</v>
      </c>
      <c r="DI263">
        <f t="shared" si="96"/>
        <v>0</v>
      </c>
      <c r="DJ263">
        <f t="shared" si="105"/>
        <v>91.53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ROW(Source!A215)</f>
        <v>215</v>
      </c>
      <c r="B264">
        <v>55937298</v>
      </c>
      <c r="C264">
        <v>55937865</v>
      </c>
      <c r="D264">
        <v>55428305</v>
      </c>
      <c r="E264">
        <v>1081</v>
      </c>
      <c r="F264">
        <v>1</v>
      </c>
      <c r="G264">
        <v>1081</v>
      </c>
      <c r="H264">
        <v>3</v>
      </c>
      <c r="I264" t="s">
        <v>330</v>
      </c>
      <c r="J264" t="s">
        <v>3</v>
      </c>
      <c r="K264" t="s">
        <v>331</v>
      </c>
      <c r="L264">
        <v>1301</v>
      </c>
      <c r="N264">
        <v>1003</v>
      </c>
      <c r="O264" t="s">
        <v>332</v>
      </c>
      <c r="P264" t="s">
        <v>332</v>
      </c>
      <c r="Q264">
        <v>1</v>
      </c>
      <c r="W264">
        <v>0</v>
      </c>
      <c r="X264">
        <v>-1521476738</v>
      </c>
      <c r="Y264">
        <f t="shared" si="97"/>
        <v>102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9.86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 t="s">
        <v>3</v>
      </c>
      <c r="AT264">
        <v>102</v>
      </c>
      <c r="AU264" t="s">
        <v>113</v>
      </c>
      <c r="AV264">
        <v>0</v>
      </c>
      <c r="AW264">
        <v>2</v>
      </c>
      <c r="AX264">
        <v>55937897</v>
      </c>
      <c r="AY264">
        <v>1</v>
      </c>
      <c r="AZ264">
        <v>0</v>
      </c>
      <c r="BA264">
        <v>322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ROUND(Y264*Source!I215,9)</f>
        <v>807.84</v>
      </c>
      <c r="CY264">
        <f t="shared" si="98"/>
        <v>0</v>
      </c>
      <c r="CZ264">
        <f t="shared" si="99"/>
        <v>0</v>
      </c>
      <c r="DA264">
        <f t="shared" si="100"/>
        <v>9.86</v>
      </c>
      <c r="DB264">
        <f t="shared" si="101"/>
        <v>0</v>
      </c>
      <c r="DC264">
        <f t="shared" si="102"/>
        <v>0</v>
      </c>
      <c r="DD264" t="s">
        <v>3</v>
      </c>
      <c r="DE264" t="s">
        <v>3</v>
      </c>
      <c r="DF264">
        <f t="shared" si="103"/>
        <v>0</v>
      </c>
      <c r="DG264">
        <f t="shared" si="104"/>
        <v>0</v>
      </c>
      <c r="DH264">
        <f t="shared" si="86"/>
        <v>0</v>
      </c>
      <c r="DI264">
        <f t="shared" si="96"/>
        <v>0</v>
      </c>
      <c r="DJ264">
        <f t="shared" si="105"/>
        <v>0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ROW(Source!A215)</f>
        <v>215</v>
      </c>
      <c r="B265">
        <v>55937298</v>
      </c>
      <c r="C265">
        <v>55937865</v>
      </c>
      <c r="D265">
        <v>55432095</v>
      </c>
      <c r="E265">
        <v>1081</v>
      </c>
      <c r="F265">
        <v>1</v>
      </c>
      <c r="G265">
        <v>1081</v>
      </c>
      <c r="H265">
        <v>3</v>
      </c>
      <c r="I265" t="s">
        <v>333</v>
      </c>
      <c r="J265" t="s">
        <v>3</v>
      </c>
      <c r="K265" t="s">
        <v>334</v>
      </c>
      <c r="L265">
        <v>1355</v>
      </c>
      <c r="N265">
        <v>1010</v>
      </c>
      <c r="O265" t="s">
        <v>60</v>
      </c>
      <c r="P265" t="s">
        <v>60</v>
      </c>
      <c r="Q265">
        <v>100</v>
      </c>
      <c r="W265">
        <v>0</v>
      </c>
      <c r="X265">
        <v>-18502350</v>
      </c>
      <c r="Y265">
        <f t="shared" si="97"/>
        <v>2.1640000000000001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9.86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 t="s">
        <v>3</v>
      </c>
      <c r="AT265">
        <v>2.1640000000000001</v>
      </c>
      <c r="AU265" t="s">
        <v>113</v>
      </c>
      <c r="AV265">
        <v>0</v>
      </c>
      <c r="AW265">
        <v>2</v>
      </c>
      <c r="AX265">
        <v>55937898</v>
      </c>
      <c r="AY265">
        <v>1</v>
      </c>
      <c r="AZ265">
        <v>0</v>
      </c>
      <c r="BA265">
        <v>323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ROUND(Y265*Source!I215,9)</f>
        <v>17.13888</v>
      </c>
      <c r="CY265">
        <f t="shared" si="98"/>
        <v>0</v>
      </c>
      <c r="CZ265">
        <f t="shared" si="99"/>
        <v>0</v>
      </c>
      <c r="DA265">
        <f t="shared" si="100"/>
        <v>9.86</v>
      </c>
      <c r="DB265">
        <f t="shared" si="101"/>
        <v>0</v>
      </c>
      <c r="DC265">
        <f t="shared" si="102"/>
        <v>0</v>
      </c>
      <c r="DD265" t="s">
        <v>3</v>
      </c>
      <c r="DE265" t="s">
        <v>3</v>
      </c>
      <c r="DF265">
        <f t="shared" si="103"/>
        <v>0</v>
      </c>
      <c r="DG265">
        <f t="shared" si="104"/>
        <v>0</v>
      </c>
      <c r="DH265">
        <f t="shared" si="86"/>
        <v>0</v>
      </c>
      <c r="DI265">
        <f t="shared" si="96"/>
        <v>0</v>
      </c>
      <c r="DJ265">
        <f t="shared" si="105"/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ROW(Source!A215)</f>
        <v>215</v>
      </c>
      <c r="B266">
        <v>55937298</v>
      </c>
      <c r="C266">
        <v>55937865</v>
      </c>
      <c r="D266">
        <v>55438984</v>
      </c>
      <c r="E266">
        <v>1081</v>
      </c>
      <c r="F266">
        <v>1</v>
      </c>
      <c r="G266">
        <v>1081</v>
      </c>
      <c r="H266">
        <v>3</v>
      </c>
      <c r="I266" t="s">
        <v>335</v>
      </c>
      <c r="J266" t="s">
        <v>3</v>
      </c>
      <c r="K266" t="s">
        <v>336</v>
      </c>
      <c r="L266">
        <v>1303</v>
      </c>
      <c r="N266">
        <v>1003</v>
      </c>
      <c r="O266" t="s">
        <v>337</v>
      </c>
      <c r="P266" t="s">
        <v>337</v>
      </c>
      <c r="Q266">
        <v>1000</v>
      </c>
      <c r="W266">
        <v>0</v>
      </c>
      <c r="X266">
        <v>683689724</v>
      </c>
      <c r="Y266">
        <f t="shared" si="97"/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9.86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0</v>
      </c>
      <c r="AP266">
        <v>1</v>
      </c>
      <c r="AQ266">
        <v>0</v>
      </c>
      <c r="AR266">
        <v>0</v>
      </c>
      <c r="AS266" t="s">
        <v>3</v>
      </c>
      <c r="AT266">
        <v>0</v>
      </c>
      <c r="AU266" t="s">
        <v>113</v>
      </c>
      <c r="AV266">
        <v>0</v>
      </c>
      <c r="AW266">
        <v>2</v>
      </c>
      <c r="AX266">
        <v>55937899</v>
      </c>
      <c r="AY266">
        <v>1</v>
      </c>
      <c r="AZ266">
        <v>0</v>
      </c>
      <c r="BA266">
        <v>324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ROUND(Y266*Source!I215,9)</f>
        <v>0</v>
      </c>
      <c r="CY266">
        <f t="shared" si="98"/>
        <v>0</v>
      </c>
      <c r="CZ266">
        <f t="shared" si="99"/>
        <v>0</v>
      </c>
      <c r="DA266">
        <f t="shared" si="100"/>
        <v>9.86</v>
      </c>
      <c r="DB266">
        <f t="shared" si="101"/>
        <v>0</v>
      </c>
      <c r="DC266">
        <f t="shared" si="102"/>
        <v>0</v>
      </c>
      <c r="DD266" t="s">
        <v>3</v>
      </c>
      <c r="DE266" t="s">
        <v>3</v>
      </c>
      <c r="DF266">
        <f t="shared" si="103"/>
        <v>0</v>
      </c>
      <c r="DG266">
        <f t="shared" si="104"/>
        <v>0</v>
      </c>
      <c r="DH266">
        <f t="shared" si="86"/>
        <v>0</v>
      </c>
      <c r="DI266">
        <f t="shared" si="96"/>
        <v>0</v>
      </c>
      <c r="DJ266">
        <f t="shared" si="105"/>
        <v>0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ROW(Source!A222)</f>
        <v>222</v>
      </c>
      <c r="B267">
        <v>55937296</v>
      </c>
      <c r="C267">
        <v>55937838</v>
      </c>
      <c r="D267">
        <v>55424304</v>
      </c>
      <c r="E267">
        <v>1081</v>
      </c>
      <c r="F267">
        <v>1</v>
      </c>
      <c r="G267">
        <v>1081</v>
      </c>
      <c r="H267">
        <v>1</v>
      </c>
      <c r="I267" t="s">
        <v>449</v>
      </c>
      <c r="J267" t="s">
        <v>3</v>
      </c>
      <c r="K267" t="s">
        <v>450</v>
      </c>
      <c r="L267">
        <v>1191</v>
      </c>
      <c r="N267">
        <v>1013</v>
      </c>
      <c r="O267" t="s">
        <v>451</v>
      </c>
      <c r="P267" t="s">
        <v>451</v>
      </c>
      <c r="Q267">
        <v>1</v>
      </c>
      <c r="W267">
        <v>0</v>
      </c>
      <c r="X267">
        <v>476480486</v>
      </c>
      <c r="Y267">
        <f>(AT267*1.2)</f>
        <v>18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15</v>
      </c>
      <c r="AU267" t="s">
        <v>114</v>
      </c>
      <c r="AV267">
        <v>1</v>
      </c>
      <c r="AW267">
        <v>2</v>
      </c>
      <c r="AX267">
        <v>55937858</v>
      </c>
      <c r="AY267">
        <v>1</v>
      </c>
      <c r="AZ267">
        <v>0</v>
      </c>
      <c r="BA267">
        <v>325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U267">
        <f>ROUND(AT267*Source!I222*AH267*AL267,2)</f>
        <v>0</v>
      </c>
      <c r="CV267">
        <f>ROUND(Y267*Source!I222,9)</f>
        <v>115.56</v>
      </c>
      <c r="CW267">
        <v>0</v>
      </c>
      <c r="CX267">
        <f>ROUND(Y267*Source!I222,9)</f>
        <v>115.56</v>
      </c>
      <c r="CY267">
        <f>AD267</f>
        <v>0</v>
      </c>
      <c r="CZ267">
        <f>AH267</f>
        <v>0</v>
      </c>
      <c r="DA267">
        <f>AL267</f>
        <v>1</v>
      </c>
      <c r="DB267">
        <f>ROUND((ROUND(AT267*CZ267,2)*1.2),6)</f>
        <v>0</v>
      </c>
      <c r="DC267">
        <f>ROUND((ROUND(AT267*AG267,2)*1.2),6)</f>
        <v>0</v>
      </c>
      <c r="DD267" t="s">
        <v>3</v>
      </c>
      <c r="DE267" t="s">
        <v>3</v>
      </c>
      <c r="DF267">
        <f>ROUND(ROUND(AE267,2)*CX267,2)</f>
        <v>0</v>
      </c>
      <c r="DG267">
        <f t="shared" si="104"/>
        <v>0</v>
      </c>
      <c r="DH267">
        <f t="shared" si="86"/>
        <v>0</v>
      </c>
      <c r="DI267">
        <f t="shared" si="96"/>
        <v>0</v>
      </c>
      <c r="DJ267">
        <f>DI267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ROW(Source!A222)</f>
        <v>222</v>
      </c>
      <c r="B268">
        <v>55937296</v>
      </c>
      <c r="C268">
        <v>55937838</v>
      </c>
      <c r="D268">
        <v>55472837</v>
      </c>
      <c r="E268">
        <v>1</v>
      </c>
      <c r="F268">
        <v>1</v>
      </c>
      <c r="G268">
        <v>1081</v>
      </c>
      <c r="H268">
        <v>3</v>
      </c>
      <c r="I268" t="s">
        <v>343</v>
      </c>
      <c r="J268" t="s">
        <v>345</v>
      </c>
      <c r="K268" t="s">
        <v>344</v>
      </c>
      <c r="L268">
        <v>1301</v>
      </c>
      <c r="N268">
        <v>1003</v>
      </c>
      <c r="O268" t="s">
        <v>332</v>
      </c>
      <c r="P268" t="s">
        <v>332</v>
      </c>
      <c r="Q268">
        <v>1</v>
      </c>
      <c r="W268">
        <v>0</v>
      </c>
      <c r="X268">
        <v>1194371439</v>
      </c>
      <c r="Y268">
        <f>(AT268*1)</f>
        <v>102</v>
      </c>
      <c r="AA268">
        <v>3.45</v>
      </c>
      <c r="AB268">
        <v>0</v>
      </c>
      <c r="AC268">
        <v>0</v>
      </c>
      <c r="AD268">
        <v>0</v>
      </c>
      <c r="AE268">
        <v>3.45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3</v>
      </c>
      <c r="AT268">
        <v>102</v>
      </c>
      <c r="AU268" t="s">
        <v>113</v>
      </c>
      <c r="AV268">
        <v>0</v>
      </c>
      <c r="AW268">
        <v>1</v>
      </c>
      <c r="AX268">
        <v>-1</v>
      </c>
      <c r="AY268">
        <v>0</v>
      </c>
      <c r="AZ268">
        <v>0</v>
      </c>
      <c r="BA268" t="s">
        <v>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ROUND(Y268*Source!I222,9)</f>
        <v>654.84</v>
      </c>
      <c r="CY268">
        <f>AA268</f>
        <v>3.45</v>
      </c>
      <c r="CZ268">
        <f>AE268</f>
        <v>3.45</v>
      </c>
      <c r="DA268">
        <f>AI268</f>
        <v>1</v>
      </c>
      <c r="DB268">
        <f>ROUND((ROUND(AT268*CZ268,2)*1),6)</f>
        <v>351.9</v>
      </c>
      <c r="DC268">
        <f>ROUND((ROUND(AT268*AG268,2)*1),6)</f>
        <v>0</v>
      </c>
      <c r="DD268" t="s">
        <v>3</v>
      </c>
      <c r="DE268" t="s">
        <v>3</v>
      </c>
      <c r="DF268">
        <f>ROUND(ROUND(AE268,2)*CX268,2)</f>
        <v>2259.1999999999998</v>
      </c>
      <c r="DG268">
        <f t="shared" si="104"/>
        <v>0</v>
      </c>
      <c r="DH268">
        <f t="shared" si="86"/>
        <v>0</v>
      </c>
      <c r="DI268">
        <f t="shared" si="96"/>
        <v>0</v>
      </c>
      <c r="DJ268">
        <f>DF268</f>
        <v>2259.1999999999998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ROW(Source!A222)</f>
        <v>222</v>
      </c>
      <c r="B269">
        <v>55937296</v>
      </c>
      <c r="C269">
        <v>55937838</v>
      </c>
      <c r="D269">
        <v>55482448</v>
      </c>
      <c r="E269">
        <v>1</v>
      </c>
      <c r="F269">
        <v>1</v>
      </c>
      <c r="G269">
        <v>1081</v>
      </c>
      <c r="H269">
        <v>3</v>
      </c>
      <c r="I269" t="s">
        <v>351</v>
      </c>
      <c r="J269" t="s">
        <v>354</v>
      </c>
      <c r="K269" t="s">
        <v>352</v>
      </c>
      <c r="L269">
        <v>1356</v>
      </c>
      <c r="N269">
        <v>1010</v>
      </c>
      <c r="O269" t="s">
        <v>353</v>
      </c>
      <c r="P269" t="s">
        <v>353</v>
      </c>
      <c r="Q269">
        <v>1000</v>
      </c>
      <c r="W269">
        <v>0</v>
      </c>
      <c r="X269">
        <v>1886730866</v>
      </c>
      <c r="Y269">
        <f>(AT269*1)</f>
        <v>0.3333333</v>
      </c>
      <c r="AA269">
        <v>396.59</v>
      </c>
      <c r="AB269">
        <v>0</v>
      </c>
      <c r="AC269">
        <v>0</v>
      </c>
      <c r="AD269">
        <v>0</v>
      </c>
      <c r="AE269">
        <v>396.59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 t="s">
        <v>3</v>
      </c>
      <c r="AT269">
        <v>0.3333333</v>
      </c>
      <c r="AU269" t="s">
        <v>113</v>
      </c>
      <c r="AV269">
        <v>0</v>
      </c>
      <c r="AW269">
        <v>1</v>
      </c>
      <c r="AX269">
        <v>-1</v>
      </c>
      <c r="AY269">
        <v>0</v>
      </c>
      <c r="AZ269">
        <v>0</v>
      </c>
      <c r="BA269" t="s">
        <v>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ROUND(Y269*Source!I222,9)</f>
        <v>2.1399997860000002</v>
      </c>
      <c r="CY269">
        <f>AA269</f>
        <v>396.59</v>
      </c>
      <c r="CZ269">
        <f>AE269</f>
        <v>396.59</v>
      </c>
      <c r="DA269">
        <f>AI269</f>
        <v>1</v>
      </c>
      <c r="DB269">
        <f>ROUND((ROUND(AT269*CZ269,2)*1),6)</f>
        <v>132.19999999999999</v>
      </c>
      <c r="DC269">
        <f>ROUND((ROUND(AT269*AG269,2)*1),6)</f>
        <v>0</v>
      </c>
      <c r="DD269" t="s">
        <v>3</v>
      </c>
      <c r="DE269" t="s">
        <v>3</v>
      </c>
      <c r="DF269">
        <f>ROUND(ROUND(AE269,2)*CX269,2)</f>
        <v>848.7</v>
      </c>
      <c r="DG269">
        <f t="shared" si="104"/>
        <v>0</v>
      </c>
      <c r="DH269">
        <f t="shared" si="86"/>
        <v>0</v>
      </c>
      <c r="DI269">
        <f t="shared" si="96"/>
        <v>0</v>
      </c>
      <c r="DJ269">
        <f>DF269</f>
        <v>848.7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ROW(Source!A222)</f>
        <v>222</v>
      </c>
      <c r="B270">
        <v>55937296</v>
      </c>
      <c r="C270">
        <v>55937838</v>
      </c>
      <c r="D270">
        <v>0</v>
      </c>
      <c r="E270">
        <v>0</v>
      </c>
      <c r="F270">
        <v>1</v>
      </c>
      <c r="G270">
        <v>1081</v>
      </c>
      <c r="H270">
        <v>3</v>
      </c>
      <c r="I270" t="s">
        <v>553</v>
      </c>
      <c r="J270" t="s">
        <v>553</v>
      </c>
      <c r="K270" t="s">
        <v>348</v>
      </c>
      <c r="L270">
        <v>1371</v>
      </c>
      <c r="N270">
        <v>1013</v>
      </c>
      <c r="O270" t="s">
        <v>183</v>
      </c>
      <c r="P270" t="s">
        <v>183</v>
      </c>
      <c r="Q270">
        <v>1</v>
      </c>
      <c r="W270">
        <v>0</v>
      </c>
      <c r="X270">
        <v>-1640000816</v>
      </c>
      <c r="Y270">
        <f>AT270</f>
        <v>5.1401868999999998</v>
      </c>
      <c r="AA270">
        <v>208.77</v>
      </c>
      <c r="AB270">
        <v>0</v>
      </c>
      <c r="AC270">
        <v>0</v>
      </c>
      <c r="AD270">
        <v>0</v>
      </c>
      <c r="AE270">
        <v>208.77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5.1401868999999998</v>
      </c>
      <c r="AU270" t="s">
        <v>3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ROUND(Y270*Source!I222,9)</f>
        <v>32.999999897999999</v>
      </c>
      <c r="CY270">
        <f>AA270</f>
        <v>208.77</v>
      </c>
      <c r="CZ270">
        <f>AE270</f>
        <v>208.77</v>
      </c>
      <c r="DA270">
        <f>AI270</f>
        <v>1</v>
      </c>
      <c r="DB270">
        <f>ROUND(ROUND(AT270*CZ270,2),6)</f>
        <v>1073.1199999999999</v>
      </c>
      <c r="DC270">
        <f>ROUND(ROUND(AT270*AG270,2),6)</f>
        <v>0</v>
      </c>
      <c r="DD270" t="s">
        <v>3</v>
      </c>
      <c r="DE270" t="s">
        <v>3</v>
      </c>
      <c r="DF270">
        <f>ROUND(ROUND(AE270,2)*CX270,2)</f>
        <v>6889.41</v>
      </c>
      <c r="DG270">
        <f t="shared" si="104"/>
        <v>0</v>
      </c>
      <c r="DH270">
        <f t="shared" si="86"/>
        <v>0</v>
      </c>
      <c r="DI270">
        <f t="shared" si="96"/>
        <v>0</v>
      </c>
      <c r="DJ270">
        <f>DF270</f>
        <v>6889.41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ROW(Source!A223)</f>
        <v>223</v>
      </c>
      <c r="B271">
        <v>55937298</v>
      </c>
      <c r="C271">
        <v>55937838</v>
      </c>
      <c r="D271">
        <v>55424304</v>
      </c>
      <c r="E271">
        <v>1081</v>
      </c>
      <c r="F271">
        <v>1</v>
      </c>
      <c r="G271">
        <v>1081</v>
      </c>
      <c r="H271">
        <v>1</v>
      </c>
      <c r="I271" t="s">
        <v>449</v>
      </c>
      <c r="J271" t="s">
        <v>3</v>
      </c>
      <c r="K271" t="s">
        <v>450</v>
      </c>
      <c r="L271">
        <v>1191</v>
      </c>
      <c r="N271">
        <v>1013</v>
      </c>
      <c r="O271" t="s">
        <v>451</v>
      </c>
      <c r="P271" t="s">
        <v>451</v>
      </c>
      <c r="Q271">
        <v>1</v>
      </c>
      <c r="W271">
        <v>0</v>
      </c>
      <c r="X271">
        <v>476480486</v>
      </c>
      <c r="Y271">
        <f>(AT271*1.2)</f>
        <v>18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5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15</v>
      </c>
      <c r="AU271" t="s">
        <v>114</v>
      </c>
      <c r="AV271">
        <v>1</v>
      </c>
      <c r="AW271">
        <v>2</v>
      </c>
      <c r="AX271">
        <v>55937858</v>
      </c>
      <c r="AY271">
        <v>1</v>
      </c>
      <c r="AZ271">
        <v>0</v>
      </c>
      <c r="BA271">
        <v>329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U271">
        <f>ROUND(AT271*Source!I223*AH271*AL271,2)</f>
        <v>0</v>
      </c>
      <c r="CV271">
        <f>ROUND(Y271*Source!I223,9)</f>
        <v>115.56</v>
      </c>
      <c r="CW271">
        <v>0</v>
      </c>
      <c r="CX271">
        <f>ROUND(Y271*Source!I223,9)</f>
        <v>115.56</v>
      </c>
      <c r="CY271">
        <f>AD271</f>
        <v>0</v>
      </c>
      <c r="CZ271">
        <f>AH271</f>
        <v>0</v>
      </c>
      <c r="DA271">
        <f>AL271</f>
        <v>1</v>
      </c>
      <c r="DB271">
        <f>ROUND((ROUND(AT271*CZ271,2)*1.2),6)</f>
        <v>0</v>
      </c>
      <c r="DC271">
        <f>ROUND((ROUND(AT271*AG271,2)*1.2),6)</f>
        <v>0</v>
      </c>
      <c r="DD271" t="s">
        <v>3</v>
      </c>
      <c r="DE271" t="s">
        <v>3</v>
      </c>
      <c r="DF271">
        <f>ROUND(ROUND(AE271,2)*CX271,2)</f>
        <v>0</v>
      </c>
      <c r="DG271">
        <f t="shared" si="104"/>
        <v>0</v>
      </c>
      <c r="DH271">
        <f t="shared" si="86"/>
        <v>0</v>
      </c>
      <c r="DI271">
        <f t="shared" si="96"/>
        <v>0</v>
      </c>
      <c r="DJ271">
        <f>DI271</f>
        <v>0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ROW(Source!A223)</f>
        <v>223</v>
      </c>
      <c r="B272">
        <v>55937298</v>
      </c>
      <c r="C272">
        <v>55937838</v>
      </c>
      <c r="D272">
        <v>55472837</v>
      </c>
      <c r="E272">
        <v>1</v>
      </c>
      <c r="F272">
        <v>1</v>
      </c>
      <c r="G272">
        <v>1081</v>
      </c>
      <c r="H272">
        <v>3</v>
      </c>
      <c r="I272" t="s">
        <v>343</v>
      </c>
      <c r="J272" t="s">
        <v>345</v>
      </c>
      <c r="K272" t="s">
        <v>344</v>
      </c>
      <c r="L272">
        <v>1301</v>
      </c>
      <c r="N272">
        <v>1003</v>
      </c>
      <c r="O272" t="s">
        <v>332</v>
      </c>
      <c r="P272" t="s">
        <v>332</v>
      </c>
      <c r="Q272">
        <v>1</v>
      </c>
      <c r="W272">
        <v>0</v>
      </c>
      <c r="X272">
        <v>1194371439</v>
      </c>
      <c r="Y272">
        <f>(AT272*1)</f>
        <v>102</v>
      </c>
      <c r="AA272">
        <v>13.08</v>
      </c>
      <c r="AB272">
        <v>0</v>
      </c>
      <c r="AC272">
        <v>0</v>
      </c>
      <c r="AD272">
        <v>0</v>
      </c>
      <c r="AE272">
        <v>3.45</v>
      </c>
      <c r="AF272">
        <v>0</v>
      </c>
      <c r="AG272">
        <v>0</v>
      </c>
      <c r="AH272">
        <v>0</v>
      </c>
      <c r="AI272">
        <v>3.79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102</v>
      </c>
      <c r="AU272" t="s">
        <v>113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ROUND(Y272*Source!I223,9)</f>
        <v>654.84</v>
      </c>
      <c r="CY272">
        <f>AA272</f>
        <v>13.08</v>
      </c>
      <c r="CZ272">
        <f>AE272</f>
        <v>3.45</v>
      </c>
      <c r="DA272">
        <f>AI272</f>
        <v>3.79</v>
      </c>
      <c r="DB272">
        <f>ROUND((ROUND(AT272*CZ272,2)*1),6)</f>
        <v>351.9</v>
      </c>
      <c r="DC272">
        <f>ROUND((ROUND(AT272*AG272,2)*1),6)</f>
        <v>0</v>
      </c>
      <c r="DD272" t="s">
        <v>3</v>
      </c>
      <c r="DE272" t="s">
        <v>3</v>
      </c>
      <c r="DF272">
        <f>ROUND(ROUND(AE272*AI272,2)*CX272,2)</f>
        <v>8565.31</v>
      </c>
      <c r="DG272">
        <f t="shared" si="104"/>
        <v>0</v>
      </c>
      <c r="DH272">
        <f t="shared" si="86"/>
        <v>0</v>
      </c>
      <c r="DI272">
        <f t="shared" si="96"/>
        <v>0</v>
      </c>
      <c r="DJ272">
        <f>DF272</f>
        <v>8565.31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ROW(Source!A223)</f>
        <v>223</v>
      </c>
      <c r="B273">
        <v>55937298</v>
      </c>
      <c r="C273">
        <v>55937838</v>
      </c>
      <c r="D273">
        <v>55482448</v>
      </c>
      <c r="E273">
        <v>1</v>
      </c>
      <c r="F273">
        <v>1</v>
      </c>
      <c r="G273">
        <v>1081</v>
      </c>
      <c r="H273">
        <v>3</v>
      </c>
      <c r="I273" t="s">
        <v>351</v>
      </c>
      <c r="J273" t="s">
        <v>354</v>
      </c>
      <c r="K273" t="s">
        <v>352</v>
      </c>
      <c r="L273">
        <v>1356</v>
      </c>
      <c r="N273">
        <v>1010</v>
      </c>
      <c r="O273" t="s">
        <v>353</v>
      </c>
      <c r="P273" t="s">
        <v>353</v>
      </c>
      <c r="Q273">
        <v>1000</v>
      </c>
      <c r="W273">
        <v>0</v>
      </c>
      <c r="X273">
        <v>1886730866</v>
      </c>
      <c r="Y273">
        <f>(AT273*1)</f>
        <v>0.3333333</v>
      </c>
      <c r="AA273">
        <v>1745</v>
      </c>
      <c r="AB273">
        <v>0</v>
      </c>
      <c r="AC273">
        <v>0</v>
      </c>
      <c r="AD273">
        <v>0</v>
      </c>
      <c r="AE273">
        <v>396.59</v>
      </c>
      <c r="AF273">
        <v>0</v>
      </c>
      <c r="AG273">
        <v>0</v>
      </c>
      <c r="AH273">
        <v>0</v>
      </c>
      <c r="AI273">
        <v>4.4000000000000004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0.3333333</v>
      </c>
      <c r="AU273" t="s">
        <v>113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ROUND(Y273*Source!I223,9)</f>
        <v>2.1399997860000002</v>
      </c>
      <c r="CY273">
        <f>AA273</f>
        <v>1745</v>
      </c>
      <c r="CZ273">
        <f>AE273</f>
        <v>396.59</v>
      </c>
      <c r="DA273">
        <f>AI273</f>
        <v>4.4000000000000004</v>
      </c>
      <c r="DB273">
        <f>ROUND((ROUND(AT273*CZ273,2)*1),6)</f>
        <v>132.19999999999999</v>
      </c>
      <c r="DC273">
        <f>ROUND((ROUND(AT273*AG273,2)*1),6)</f>
        <v>0</v>
      </c>
      <c r="DD273" t="s">
        <v>3</v>
      </c>
      <c r="DE273" t="s">
        <v>3</v>
      </c>
      <c r="DF273">
        <f>ROUND(ROUND(AE273*AI273,2)*CX273,2)</f>
        <v>3734.3</v>
      </c>
      <c r="DG273">
        <f t="shared" si="104"/>
        <v>0</v>
      </c>
      <c r="DH273">
        <f t="shared" ref="DH273:DH294" si="106">ROUND(ROUND(AG273,2)*CX273,2)</f>
        <v>0</v>
      </c>
      <c r="DI273">
        <f t="shared" si="96"/>
        <v>0</v>
      </c>
      <c r="DJ273">
        <f>DF273</f>
        <v>3734.3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ROW(Source!A223)</f>
        <v>223</v>
      </c>
      <c r="B274">
        <v>55937298</v>
      </c>
      <c r="C274">
        <v>55937838</v>
      </c>
      <c r="D274">
        <v>0</v>
      </c>
      <c r="E274">
        <v>0</v>
      </c>
      <c r="F274">
        <v>1</v>
      </c>
      <c r="G274">
        <v>1081</v>
      </c>
      <c r="H274">
        <v>3</v>
      </c>
      <c r="I274" t="s">
        <v>553</v>
      </c>
      <c r="J274" t="s">
        <v>553</v>
      </c>
      <c r="K274" t="s">
        <v>348</v>
      </c>
      <c r="L274">
        <v>1371</v>
      </c>
      <c r="N274">
        <v>1013</v>
      </c>
      <c r="O274" t="s">
        <v>183</v>
      </c>
      <c r="P274" t="s">
        <v>183</v>
      </c>
      <c r="Q274">
        <v>1</v>
      </c>
      <c r="W274">
        <v>0</v>
      </c>
      <c r="X274">
        <v>-1640000816</v>
      </c>
      <c r="Y274">
        <f>AT274</f>
        <v>5.1401868999999998</v>
      </c>
      <c r="AA274">
        <v>2058.4699999999998</v>
      </c>
      <c r="AB274">
        <v>0</v>
      </c>
      <c r="AC274">
        <v>0</v>
      </c>
      <c r="AD274">
        <v>0</v>
      </c>
      <c r="AE274">
        <v>208.77</v>
      </c>
      <c r="AF274">
        <v>0</v>
      </c>
      <c r="AG274">
        <v>0</v>
      </c>
      <c r="AH274">
        <v>0</v>
      </c>
      <c r="AI274">
        <v>9.86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5.1401868999999998</v>
      </c>
      <c r="AU274" t="s">
        <v>3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ROUND(Y274*Source!I223,9)</f>
        <v>32.999999897999999</v>
      </c>
      <c r="CY274">
        <f>AA274</f>
        <v>2058.4699999999998</v>
      </c>
      <c r="CZ274">
        <f>AE274</f>
        <v>208.77</v>
      </c>
      <c r="DA274">
        <f>AI274</f>
        <v>9.86</v>
      </c>
      <c r="DB274">
        <f>ROUND(ROUND(AT274*CZ274,2),6)</f>
        <v>1073.1199999999999</v>
      </c>
      <c r="DC274">
        <f>ROUND(ROUND(AT274*AG274,2),6)</f>
        <v>0</v>
      </c>
      <c r="DD274" t="s">
        <v>3</v>
      </c>
      <c r="DE274" t="s">
        <v>3</v>
      </c>
      <c r="DF274">
        <f>ROUND(ROUND(AE274*AI274,2)*CX274,2)</f>
        <v>67929.509999999995</v>
      </c>
      <c r="DG274">
        <f t="shared" si="104"/>
        <v>0</v>
      </c>
      <c r="DH274">
        <f t="shared" si="106"/>
        <v>0</v>
      </c>
      <c r="DI274">
        <f t="shared" si="96"/>
        <v>0</v>
      </c>
      <c r="DJ274">
        <f>DF274</f>
        <v>67929.509999999995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ROW(Source!A234)</f>
        <v>234</v>
      </c>
      <c r="B275">
        <v>55937296</v>
      </c>
      <c r="C275">
        <v>55937846</v>
      </c>
      <c r="D275">
        <v>55424304</v>
      </c>
      <c r="E275">
        <v>1081</v>
      </c>
      <c r="F275">
        <v>1</v>
      </c>
      <c r="G275">
        <v>1081</v>
      </c>
      <c r="H275">
        <v>1</v>
      </c>
      <c r="I275" t="s">
        <v>449</v>
      </c>
      <c r="J275" t="s">
        <v>3</v>
      </c>
      <c r="K275" t="s">
        <v>450</v>
      </c>
      <c r="L275">
        <v>1191</v>
      </c>
      <c r="N275">
        <v>1013</v>
      </c>
      <c r="O275" t="s">
        <v>451</v>
      </c>
      <c r="P275" t="s">
        <v>451</v>
      </c>
      <c r="Q275">
        <v>1</v>
      </c>
      <c r="W275">
        <v>0</v>
      </c>
      <c r="X275">
        <v>476480486</v>
      </c>
      <c r="Y275">
        <f>(AT275*1.2)</f>
        <v>19.116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15.93</v>
      </c>
      <c r="AU275" t="s">
        <v>114</v>
      </c>
      <c r="AV275">
        <v>1</v>
      </c>
      <c r="AW275">
        <v>2</v>
      </c>
      <c r="AX275">
        <v>55937908</v>
      </c>
      <c r="AY275">
        <v>1</v>
      </c>
      <c r="AZ275">
        <v>0</v>
      </c>
      <c r="BA275">
        <v>333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ROUND(AT275*Source!I234*AH275*AL275,2)</f>
        <v>0</v>
      </c>
      <c r="CV275">
        <f>ROUND(Y275*Source!I234,9)</f>
        <v>28.673999999999999</v>
      </c>
      <c r="CW275">
        <v>0</v>
      </c>
      <c r="CX275">
        <f>ROUND(Y275*Source!I234,9)</f>
        <v>28.673999999999999</v>
      </c>
      <c r="CY275">
        <f>AD275</f>
        <v>0</v>
      </c>
      <c r="CZ275">
        <f>AH275</f>
        <v>0</v>
      </c>
      <c r="DA275">
        <f>AL275</f>
        <v>1</v>
      </c>
      <c r="DB275">
        <f>ROUND((ROUND(AT275*CZ275,2)*1.2),6)</f>
        <v>0</v>
      </c>
      <c r="DC275">
        <f>ROUND((ROUND(AT275*AG275,2)*1.2),6)</f>
        <v>0</v>
      </c>
      <c r="DD275" t="s">
        <v>3</v>
      </c>
      <c r="DE275" t="s">
        <v>3</v>
      </c>
      <c r="DF275">
        <f>ROUND(ROUND(AE275,2)*CX275,2)</f>
        <v>0</v>
      </c>
      <c r="DG275">
        <f t="shared" si="104"/>
        <v>0</v>
      </c>
      <c r="DH275">
        <f t="shared" si="106"/>
        <v>0</v>
      </c>
      <c r="DI275">
        <f t="shared" si="96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ROW(Source!A234)</f>
        <v>234</v>
      </c>
      <c r="B276">
        <v>55937296</v>
      </c>
      <c r="C276">
        <v>55937846</v>
      </c>
      <c r="D276">
        <v>55472838</v>
      </c>
      <c r="E276">
        <v>1</v>
      </c>
      <c r="F276">
        <v>1</v>
      </c>
      <c r="G276">
        <v>1081</v>
      </c>
      <c r="H276">
        <v>3</v>
      </c>
      <c r="I276" t="s">
        <v>371</v>
      </c>
      <c r="J276" t="s">
        <v>373</v>
      </c>
      <c r="K276" t="s">
        <v>372</v>
      </c>
      <c r="L276">
        <v>1301</v>
      </c>
      <c r="N276">
        <v>1003</v>
      </c>
      <c r="O276" t="s">
        <v>332</v>
      </c>
      <c r="P276" t="s">
        <v>332</v>
      </c>
      <c r="Q276">
        <v>1</v>
      </c>
      <c r="W276">
        <v>0</v>
      </c>
      <c r="X276">
        <v>-2061112428</v>
      </c>
      <c r="Y276">
        <f>(AT276*1)</f>
        <v>102</v>
      </c>
      <c r="AA276">
        <v>5.19</v>
      </c>
      <c r="AB276">
        <v>0</v>
      </c>
      <c r="AC276">
        <v>0</v>
      </c>
      <c r="AD276">
        <v>0</v>
      </c>
      <c r="AE276">
        <v>5.19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102</v>
      </c>
      <c r="AU276" t="s">
        <v>113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ROUND(Y276*Source!I234,9)</f>
        <v>153</v>
      </c>
      <c r="CY276">
        <f>AA276</f>
        <v>5.19</v>
      </c>
      <c r="CZ276">
        <f>AE276</f>
        <v>5.19</v>
      </c>
      <c r="DA276">
        <f>AI276</f>
        <v>1</v>
      </c>
      <c r="DB276">
        <f>ROUND((ROUND(AT276*CZ276,2)*1),6)</f>
        <v>529.38</v>
      </c>
      <c r="DC276">
        <f>ROUND((ROUND(AT276*AG276,2)*1),6)</f>
        <v>0</v>
      </c>
      <c r="DD276" t="s">
        <v>3</v>
      </c>
      <c r="DE276" t="s">
        <v>3</v>
      </c>
      <c r="DF276">
        <f>ROUND(ROUND(AE276,2)*CX276,2)</f>
        <v>794.07</v>
      </c>
      <c r="DG276">
        <f t="shared" si="104"/>
        <v>0</v>
      </c>
      <c r="DH276">
        <f t="shared" si="106"/>
        <v>0</v>
      </c>
      <c r="DI276">
        <f t="shared" si="96"/>
        <v>0</v>
      </c>
      <c r="DJ276">
        <f>DF276</f>
        <v>794.07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ROW(Source!A234)</f>
        <v>234</v>
      </c>
      <c r="B277">
        <v>55937296</v>
      </c>
      <c r="C277">
        <v>55937846</v>
      </c>
      <c r="D277">
        <v>55482449</v>
      </c>
      <c r="E277">
        <v>1</v>
      </c>
      <c r="F277">
        <v>1</v>
      </c>
      <c r="G277">
        <v>1081</v>
      </c>
      <c r="H277">
        <v>3</v>
      </c>
      <c r="I277" t="s">
        <v>375</v>
      </c>
      <c r="J277" t="s">
        <v>377</v>
      </c>
      <c r="K277" t="s">
        <v>376</v>
      </c>
      <c r="L277">
        <v>1356</v>
      </c>
      <c r="N277">
        <v>1010</v>
      </c>
      <c r="O277" t="s">
        <v>353</v>
      </c>
      <c r="P277" t="s">
        <v>353</v>
      </c>
      <c r="Q277">
        <v>1000</v>
      </c>
      <c r="W277">
        <v>0</v>
      </c>
      <c r="X277">
        <v>-1804137467</v>
      </c>
      <c r="Y277">
        <f>AT277</f>
        <v>0.33333299999999999</v>
      </c>
      <c r="AA277">
        <v>594.33000000000004</v>
      </c>
      <c r="AB277">
        <v>0</v>
      </c>
      <c r="AC277">
        <v>0</v>
      </c>
      <c r="AD277">
        <v>0</v>
      </c>
      <c r="AE277">
        <v>594.33000000000004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0.33333299999999999</v>
      </c>
      <c r="AU277" t="s">
        <v>3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ROUND(Y277*Source!I234,9)</f>
        <v>0.49999949999999999</v>
      </c>
      <c r="CY277">
        <f>AA277</f>
        <v>594.33000000000004</v>
      </c>
      <c r="CZ277">
        <f>AE277</f>
        <v>594.33000000000004</v>
      </c>
      <c r="DA277">
        <f>AI277</f>
        <v>1</v>
      </c>
      <c r="DB277">
        <f>ROUND(ROUND(AT277*CZ277,2),6)</f>
        <v>198.11</v>
      </c>
      <c r="DC277">
        <f>ROUND(ROUND(AT277*AG277,2),6)</f>
        <v>0</v>
      </c>
      <c r="DD277" t="s">
        <v>3</v>
      </c>
      <c r="DE277" t="s">
        <v>3</v>
      </c>
      <c r="DF277">
        <f>ROUND(ROUND(AE277,2)*CX277,2)</f>
        <v>297.16000000000003</v>
      </c>
      <c r="DG277">
        <f t="shared" si="104"/>
        <v>0</v>
      </c>
      <c r="DH277">
        <f t="shared" si="106"/>
        <v>0</v>
      </c>
      <c r="DI277">
        <f t="shared" si="96"/>
        <v>0</v>
      </c>
      <c r="DJ277">
        <f>DF277</f>
        <v>297.16000000000003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ROW(Source!A235)</f>
        <v>235</v>
      </c>
      <c r="B278">
        <v>55937298</v>
      </c>
      <c r="C278">
        <v>55937846</v>
      </c>
      <c r="D278">
        <v>55424304</v>
      </c>
      <c r="E278">
        <v>1081</v>
      </c>
      <c r="F278">
        <v>1</v>
      </c>
      <c r="G278">
        <v>1081</v>
      </c>
      <c r="H278">
        <v>1</v>
      </c>
      <c r="I278" t="s">
        <v>449</v>
      </c>
      <c r="J278" t="s">
        <v>3</v>
      </c>
      <c r="K278" t="s">
        <v>450</v>
      </c>
      <c r="L278">
        <v>1191</v>
      </c>
      <c r="N278">
        <v>1013</v>
      </c>
      <c r="O278" t="s">
        <v>451</v>
      </c>
      <c r="P278" t="s">
        <v>451</v>
      </c>
      <c r="Q278">
        <v>1</v>
      </c>
      <c r="W278">
        <v>0</v>
      </c>
      <c r="X278">
        <v>476480486</v>
      </c>
      <c r="Y278">
        <f>(AT278*1.2)</f>
        <v>19.116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5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15.93</v>
      </c>
      <c r="AU278" t="s">
        <v>114</v>
      </c>
      <c r="AV278">
        <v>1</v>
      </c>
      <c r="AW278">
        <v>2</v>
      </c>
      <c r="AX278">
        <v>55937908</v>
      </c>
      <c r="AY278">
        <v>1</v>
      </c>
      <c r="AZ278">
        <v>0</v>
      </c>
      <c r="BA278">
        <v>337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U278">
        <f>ROUND(AT278*Source!I235*AH278*AL278,2)</f>
        <v>0</v>
      </c>
      <c r="CV278">
        <f>ROUND(Y278*Source!I235,9)</f>
        <v>28.673999999999999</v>
      </c>
      <c r="CW278">
        <v>0</v>
      </c>
      <c r="CX278">
        <f>ROUND(Y278*Source!I235,9)</f>
        <v>28.673999999999999</v>
      </c>
      <c r="CY278">
        <f>AD278</f>
        <v>0</v>
      </c>
      <c r="CZ278">
        <f>AH278</f>
        <v>0</v>
      </c>
      <c r="DA278">
        <f>AL278</f>
        <v>1</v>
      </c>
      <c r="DB278">
        <f>ROUND((ROUND(AT278*CZ278,2)*1.2),6)</f>
        <v>0</v>
      </c>
      <c r="DC278">
        <f>ROUND((ROUND(AT278*AG278,2)*1.2),6)</f>
        <v>0</v>
      </c>
      <c r="DD278" t="s">
        <v>3</v>
      </c>
      <c r="DE278" t="s">
        <v>3</v>
      </c>
      <c r="DF278">
        <f>ROUND(ROUND(AE278,2)*CX278,2)</f>
        <v>0</v>
      </c>
      <c r="DG278">
        <f t="shared" si="104"/>
        <v>0</v>
      </c>
      <c r="DH278">
        <f t="shared" si="106"/>
        <v>0</v>
      </c>
      <c r="DI278">
        <f t="shared" si="96"/>
        <v>0</v>
      </c>
      <c r="DJ278">
        <f>DI278</f>
        <v>0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ROW(Source!A235)</f>
        <v>235</v>
      </c>
      <c r="B279">
        <v>55937298</v>
      </c>
      <c r="C279">
        <v>55937846</v>
      </c>
      <c r="D279">
        <v>55472838</v>
      </c>
      <c r="E279">
        <v>1</v>
      </c>
      <c r="F279">
        <v>1</v>
      </c>
      <c r="G279">
        <v>1081</v>
      </c>
      <c r="H279">
        <v>3</v>
      </c>
      <c r="I279" t="s">
        <v>371</v>
      </c>
      <c r="J279" t="s">
        <v>373</v>
      </c>
      <c r="K279" t="s">
        <v>372</v>
      </c>
      <c r="L279">
        <v>1301</v>
      </c>
      <c r="N279">
        <v>1003</v>
      </c>
      <c r="O279" t="s">
        <v>332</v>
      </c>
      <c r="P279" t="s">
        <v>332</v>
      </c>
      <c r="Q279">
        <v>1</v>
      </c>
      <c r="W279">
        <v>0</v>
      </c>
      <c r="X279">
        <v>-2061112428</v>
      </c>
      <c r="Y279">
        <f>(AT279*1)</f>
        <v>102</v>
      </c>
      <c r="AA279">
        <v>19</v>
      </c>
      <c r="AB279">
        <v>0</v>
      </c>
      <c r="AC279">
        <v>0</v>
      </c>
      <c r="AD279">
        <v>0</v>
      </c>
      <c r="AE279">
        <v>5.19</v>
      </c>
      <c r="AF279">
        <v>0</v>
      </c>
      <c r="AG279">
        <v>0</v>
      </c>
      <c r="AH279">
        <v>0</v>
      </c>
      <c r="AI279">
        <v>3.66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3</v>
      </c>
      <c r="AT279">
        <v>102</v>
      </c>
      <c r="AU279" t="s">
        <v>113</v>
      </c>
      <c r="AV279">
        <v>0</v>
      </c>
      <c r="AW279">
        <v>1</v>
      </c>
      <c r="AX279">
        <v>-1</v>
      </c>
      <c r="AY279">
        <v>0</v>
      </c>
      <c r="AZ279">
        <v>0</v>
      </c>
      <c r="BA279" t="s">
        <v>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ROUND(Y279*Source!I235,9)</f>
        <v>153</v>
      </c>
      <c r="CY279">
        <f>AA279</f>
        <v>19</v>
      </c>
      <c r="CZ279">
        <f>AE279</f>
        <v>5.19</v>
      </c>
      <c r="DA279">
        <f>AI279</f>
        <v>3.66</v>
      </c>
      <c r="DB279">
        <f>ROUND((ROUND(AT279*CZ279,2)*1),6)</f>
        <v>529.38</v>
      </c>
      <c r="DC279">
        <f>ROUND((ROUND(AT279*AG279,2)*1),6)</f>
        <v>0</v>
      </c>
      <c r="DD279" t="s">
        <v>3</v>
      </c>
      <c r="DE279" t="s">
        <v>3</v>
      </c>
      <c r="DF279">
        <f>ROUND(ROUND(AE279*AI279,2)*CX279,2)</f>
        <v>2907</v>
      </c>
      <c r="DG279">
        <f t="shared" si="104"/>
        <v>0</v>
      </c>
      <c r="DH279">
        <f t="shared" si="106"/>
        <v>0</v>
      </c>
      <c r="DI279">
        <f t="shared" si="96"/>
        <v>0</v>
      </c>
      <c r="DJ279">
        <f>DF279</f>
        <v>2907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ROW(Source!A235)</f>
        <v>235</v>
      </c>
      <c r="B280">
        <v>55937298</v>
      </c>
      <c r="C280">
        <v>55937846</v>
      </c>
      <c r="D280">
        <v>55482449</v>
      </c>
      <c r="E280">
        <v>1</v>
      </c>
      <c r="F280">
        <v>1</v>
      </c>
      <c r="G280">
        <v>1081</v>
      </c>
      <c r="H280">
        <v>3</v>
      </c>
      <c r="I280" t="s">
        <v>375</v>
      </c>
      <c r="J280" t="s">
        <v>377</v>
      </c>
      <c r="K280" t="s">
        <v>376</v>
      </c>
      <c r="L280">
        <v>1356</v>
      </c>
      <c r="N280">
        <v>1010</v>
      </c>
      <c r="O280" t="s">
        <v>353</v>
      </c>
      <c r="P280" t="s">
        <v>353</v>
      </c>
      <c r="Q280">
        <v>1000</v>
      </c>
      <c r="W280">
        <v>0</v>
      </c>
      <c r="X280">
        <v>-1804137467</v>
      </c>
      <c r="Y280">
        <f>AT280</f>
        <v>0.33333299999999999</v>
      </c>
      <c r="AA280">
        <v>1592.8</v>
      </c>
      <c r="AB280">
        <v>0</v>
      </c>
      <c r="AC280">
        <v>0</v>
      </c>
      <c r="AD280">
        <v>0</v>
      </c>
      <c r="AE280">
        <v>594.33000000000004</v>
      </c>
      <c r="AF280">
        <v>0</v>
      </c>
      <c r="AG280">
        <v>0</v>
      </c>
      <c r="AH280">
        <v>0</v>
      </c>
      <c r="AI280">
        <v>2.68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0.33333299999999999</v>
      </c>
      <c r="AU280" t="s">
        <v>3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ROUND(Y280*Source!I235,9)</f>
        <v>0.49999949999999999</v>
      </c>
      <c r="CY280">
        <f>AA280</f>
        <v>1592.8</v>
      </c>
      <c r="CZ280">
        <f>AE280</f>
        <v>594.33000000000004</v>
      </c>
      <c r="DA280">
        <f>AI280</f>
        <v>2.68</v>
      </c>
      <c r="DB280">
        <f>ROUND(ROUND(AT280*CZ280,2),6)</f>
        <v>198.11</v>
      </c>
      <c r="DC280">
        <f>ROUND(ROUND(AT280*AG280,2),6)</f>
        <v>0</v>
      </c>
      <c r="DD280" t="s">
        <v>3</v>
      </c>
      <c r="DE280" t="s">
        <v>3</v>
      </c>
      <c r="DF280">
        <f>ROUND(ROUND(AE280*AI280,2)*CX280,2)</f>
        <v>796.4</v>
      </c>
      <c r="DG280">
        <f t="shared" si="104"/>
        <v>0</v>
      </c>
      <c r="DH280">
        <f t="shared" si="106"/>
        <v>0</v>
      </c>
      <c r="DI280">
        <f t="shared" si="96"/>
        <v>0</v>
      </c>
      <c r="DJ280">
        <f>DF280</f>
        <v>796.4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ROW(Source!A240)</f>
        <v>240</v>
      </c>
      <c r="B281">
        <v>55937296</v>
      </c>
      <c r="C281">
        <v>55937918</v>
      </c>
      <c r="D281">
        <v>55424304</v>
      </c>
      <c r="E281">
        <v>1081</v>
      </c>
      <c r="F281">
        <v>1</v>
      </c>
      <c r="G281">
        <v>1081</v>
      </c>
      <c r="H281">
        <v>1</v>
      </c>
      <c r="I281" t="s">
        <v>449</v>
      </c>
      <c r="J281" t="s">
        <v>3</v>
      </c>
      <c r="K281" t="s">
        <v>450</v>
      </c>
      <c r="L281">
        <v>1191</v>
      </c>
      <c r="N281">
        <v>1013</v>
      </c>
      <c r="O281" t="s">
        <v>451</v>
      </c>
      <c r="P281" t="s">
        <v>451</v>
      </c>
      <c r="Q281">
        <v>1</v>
      </c>
      <c r="W281">
        <v>0</v>
      </c>
      <c r="X281">
        <v>476480486</v>
      </c>
      <c r="Y281">
        <f>(AT281*1.2)</f>
        <v>19.8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-2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16.5</v>
      </c>
      <c r="AU281" t="s">
        <v>114</v>
      </c>
      <c r="AV281">
        <v>1</v>
      </c>
      <c r="AW281">
        <v>2</v>
      </c>
      <c r="AX281">
        <v>55937919</v>
      </c>
      <c r="AY281">
        <v>1</v>
      </c>
      <c r="AZ281">
        <v>0</v>
      </c>
      <c r="BA281">
        <v>341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ROUND(AT281*Source!I240*AH281*AL281,2)</f>
        <v>0</v>
      </c>
      <c r="CV281">
        <f>ROUND(Y281*Source!I240,9)</f>
        <v>0.39600000000000002</v>
      </c>
      <c r="CW281">
        <v>0</v>
      </c>
      <c r="CX281">
        <f>ROUND(Y281*Source!I240,9)</f>
        <v>0.39600000000000002</v>
      </c>
      <c r="CY281">
        <f>AD281</f>
        <v>0</v>
      </c>
      <c r="CZ281">
        <f>AH281</f>
        <v>0</v>
      </c>
      <c r="DA281">
        <f>AL281</f>
        <v>1</v>
      </c>
      <c r="DB281">
        <f>ROUND((ROUND(AT281*CZ281,2)*1.2),6)</f>
        <v>0</v>
      </c>
      <c r="DC281">
        <f>ROUND((ROUND(AT281*AG281,2)*1.2),6)</f>
        <v>0</v>
      </c>
      <c r="DD281" t="s">
        <v>3</v>
      </c>
      <c r="DE281" t="s">
        <v>3</v>
      </c>
      <c r="DF281">
        <f t="shared" ref="DF281:DF295" si="107">ROUND(ROUND(AE281,2)*CX281,2)</f>
        <v>0</v>
      </c>
      <c r="DG281">
        <f t="shared" si="104"/>
        <v>0</v>
      </c>
      <c r="DH281">
        <f t="shared" si="106"/>
        <v>0</v>
      </c>
      <c r="DI281">
        <f t="shared" si="96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ROW(Source!A240)</f>
        <v>240</v>
      </c>
      <c r="B282">
        <v>55937296</v>
      </c>
      <c r="C282">
        <v>55937918</v>
      </c>
      <c r="D282">
        <v>55489910</v>
      </c>
      <c r="E282">
        <v>1</v>
      </c>
      <c r="F282">
        <v>1</v>
      </c>
      <c r="G282">
        <v>1081</v>
      </c>
      <c r="H282">
        <v>2</v>
      </c>
      <c r="I282" t="s">
        <v>554</v>
      </c>
      <c r="J282" t="s">
        <v>555</v>
      </c>
      <c r="K282" t="s">
        <v>556</v>
      </c>
      <c r="L282">
        <v>1368</v>
      </c>
      <c r="N282">
        <v>1011</v>
      </c>
      <c r="O282" t="s">
        <v>455</v>
      </c>
      <c r="P282" t="s">
        <v>455</v>
      </c>
      <c r="Q282">
        <v>1</v>
      </c>
      <c r="W282">
        <v>0</v>
      </c>
      <c r="X282">
        <v>1498588441</v>
      </c>
      <c r="Y282">
        <f>(AT282*1.2)</f>
        <v>4.3920000000000003</v>
      </c>
      <c r="AA282">
        <v>0</v>
      </c>
      <c r="AB282">
        <v>7.44</v>
      </c>
      <c r="AC282">
        <v>0</v>
      </c>
      <c r="AD282">
        <v>0</v>
      </c>
      <c r="AE282">
        <v>0</v>
      </c>
      <c r="AF282">
        <v>7.11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3.66</v>
      </c>
      <c r="AU282" t="s">
        <v>114</v>
      </c>
      <c r="AV282">
        <v>0</v>
      </c>
      <c r="AW282">
        <v>2</v>
      </c>
      <c r="AX282">
        <v>55937920</v>
      </c>
      <c r="AY282">
        <v>1</v>
      </c>
      <c r="AZ282">
        <v>0</v>
      </c>
      <c r="BA282">
        <v>342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ROUND(Y282*Source!I240*DO282,9)</f>
        <v>0</v>
      </c>
      <c r="CX282">
        <f>ROUND(Y282*Source!I240,9)</f>
        <v>8.7840000000000001E-2</v>
      </c>
      <c r="CY282">
        <f>AB282</f>
        <v>7.44</v>
      </c>
      <c r="CZ282">
        <f>AF282</f>
        <v>7.11</v>
      </c>
      <c r="DA282">
        <f>AJ282</f>
        <v>1</v>
      </c>
      <c r="DB282">
        <f>ROUND((ROUND(AT282*CZ282,2)*1.2),6)</f>
        <v>31.224</v>
      </c>
      <c r="DC282">
        <f>ROUND((ROUND(AT282*AG282,2)*1.2),6)</f>
        <v>0</v>
      </c>
      <c r="DD282" t="s">
        <v>3</v>
      </c>
      <c r="DE282" t="s">
        <v>3</v>
      </c>
      <c r="DF282">
        <f t="shared" si="107"/>
        <v>0</v>
      </c>
      <c r="DG282">
        <f t="shared" si="104"/>
        <v>0.62</v>
      </c>
      <c r="DH282">
        <f t="shared" si="106"/>
        <v>0</v>
      </c>
      <c r="DI282">
        <f t="shared" si="96"/>
        <v>0</v>
      </c>
      <c r="DJ282">
        <f>DG282</f>
        <v>0.62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ROW(Source!A240)</f>
        <v>240</v>
      </c>
      <c r="B283">
        <v>55937296</v>
      </c>
      <c r="C283">
        <v>55937918</v>
      </c>
      <c r="D283">
        <v>55490209</v>
      </c>
      <c r="E283">
        <v>1</v>
      </c>
      <c r="F283">
        <v>1</v>
      </c>
      <c r="G283">
        <v>1081</v>
      </c>
      <c r="H283">
        <v>2</v>
      </c>
      <c r="I283" t="s">
        <v>489</v>
      </c>
      <c r="J283" t="s">
        <v>490</v>
      </c>
      <c r="K283" t="s">
        <v>491</v>
      </c>
      <c r="L283">
        <v>1368</v>
      </c>
      <c r="N283">
        <v>1011</v>
      </c>
      <c r="O283" t="s">
        <v>455</v>
      </c>
      <c r="P283" t="s">
        <v>455</v>
      </c>
      <c r="Q283">
        <v>1</v>
      </c>
      <c r="W283">
        <v>0</v>
      </c>
      <c r="X283">
        <v>874612079</v>
      </c>
      <c r="Y283">
        <f>(AT283*1.2)</f>
        <v>0.51600000000000001</v>
      </c>
      <c r="AA283">
        <v>0</v>
      </c>
      <c r="AB283">
        <v>87.01</v>
      </c>
      <c r="AC283">
        <v>13.21</v>
      </c>
      <c r="AD283">
        <v>0</v>
      </c>
      <c r="AE283">
        <v>0</v>
      </c>
      <c r="AF283">
        <v>83.1</v>
      </c>
      <c r="AG283">
        <v>12.62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-2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0.43</v>
      </c>
      <c r="AU283" t="s">
        <v>114</v>
      </c>
      <c r="AV283">
        <v>0</v>
      </c>
      <c r="AW283">
        <v>2</v>
      </c>
      <c r="AX283">
        <v>55937921</v>
      </c>
      <c r="AY283">
        <v>1</v>
      </c>
      <c r="AZ283">
        <v>0</v>
      </c>
      <c r="BA283">
        <v>343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ROUND(Y283*Source!I240*DO283,9)</f>
        <v>0.1302384</v>
      </c>
      <c r="CX283">
        <f>ROUND(Y283*Source!I240,9)</f>
        <v>1.0319999999999999E-2</v>
      </c>
      <c r="CY283">
        <f>AB283</f>
        <v>87.01</v>
      </c>
      <c r="CZ283">
        <f>AF283</f>
        <v>83.1</v>
      </c>
      <c r="DA283">
        <f>AJ283</f>
        <v>1</v>
      </c>
      <c r="DB283">
        <f>ROUND((ROUND(AT283*CZ283,2)*1.2),6)</f>
        <v>42.875999999999998</v>
      </c>
      <c r="DC283">
        <f>ROUND((ROUND(AT283*AG283,2)*1.2),6)</f>
        <v>6.516</v>
      </c>
      <c r="DD283" t="s">
        <v>3</v>
      </c>
      <c r="DE283" t="s">
        <v>3</v>
      </c>
      <c r="DF283">
        <f t="shared" si="107"/>
        <v>0</v>
      </c>
      <c r="DG283">
        <f t="shared" si="104"/>
        <v>0.86</v>
      </c>
      <c r="DH283">
        <f t="shared" si="106"/>
        <v>0.13</v>
      </c>
      <c r="DI283">
        <f t="shared" si="96"/>
        <v>0</v>
      </c>
      <c r="DJ283">
        <f>DG283</f>
        <v>0.86</v>
      </c>
      <c r="DK283">
        <v>0</v>
      </c>
      <c r="DL283" t="s">
        <v>492</v>
      </c>
      <c r="DM283">
        <v>0</v>
      </c>
      <c r="DN283" t="s">
        <v>451</v>
      </c>
      <c r="DO283">
        <v>12.62</v>
      </c>
    </row>
    <row r="284" spans="1:119" x14ac:dyDescent="0.2">
      <c r="A284">
        <f>ROW(Source!A240)</f>
        <v>240</v>
      </c>
      <c r="B284">
        <v>55937296</v>
      </c>
      <c r="C284">
        <v>55937918</v>
      </c>
      <c r="D284">
        <v>55460380</v>
      </c>
      <c r="E284">
        <v>1</v>
      </c>
      <c r="F284">
        <v>1</v>
      </c>
      <c r="G284">
        <v>1081</v>
      </c>
      <c r="H284">
        <v>3</v>
      </c>
      <c r="I284" t="s">
        <v>557</v>
      </c>
      <c r="J284" t="s">
        <v>558</v>
      </c>
      <c r="K284" t="s">
        <v>559</v>
      </c>
      <c r="L284">
        <v>1348</v>
      </c>
      <c r="N284">
        <v>1009</v>
      </c>
      <c r="O284" t="s">
        <v>287</v>
      </c>
      <c r="P284" t="s">
        <v>287</v>
      </c>
      <c r="Q284">
        <v>1000</v>
      </c>
      <c r="W284">
        <v>0</v>
      </c>
      <c r="X284">
        <v>277309194</v>
      </c>
      <c r="Y284">
        <f t="shared" ref="Y284:Y292" si="108">(AT284*1)</f>
        <v>1.0499999999999999E-3</v>
      </c>
      <c r="AA284">
        <v>8590.86</v>
      </c>
      <c r="AB284">
        <v>0</v>
      </c>
      <c r="AC284">
        <v>0</v>
      </c>
      <c r="AD284">
        <v>0</v>
      </c>
      <c r="AE284">
        <v>8590.86</v>
      </c>
      <c r="AF284">
        <v>0</v>
      </c>
      <c r="AG284">
        <v>0</v>
      </c>
      <c r="AH284">
        <v>0</v>
      </c>
      <c r="AI284">
        <v>1</v>
      </c>
      <c r="AJ284">
        <v>1</v>
      </c>
      <c r="AK284">
        <v>1</v>
      </c>
      <c r="AL284">
        <v>1</v>
      </c>
      <c r="AM284">
        <v>-2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1.0499999999999999E-3</v>
      </c>
      <c r="AU284" t="s">
        <v>113</v>
      </c>
      <c r="AV284">
        <v>0</v>
      </c>
      <c r="AW284">
        <v>2</v>
      </c>
      <c r="AX284">
        <v>55937922</v>
      </c>
      <c r="AY284">
        <v>1</v>
      </c>
      <c r="AZ284">
        <v>0</v>
      </c>
      <c r="BA284">
        <v>344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ROUND(Y284*Source!I240,9)</f>
        <v>2.0999999999999999E-5</v>
      </c>
      <c r="CY284">
        <f t="shared" ref="CY284:CY292" si="109">AA284</f>
        <v>8590.86</v>
      </c>
      <c r="CZ284">
        <f t="shared" ref="CZ284:CZ292" si="110">AE284</f>
        <v>8590.86</v>
      </c>
      <c r="DA284">
        <f t="shared" ref="DA284:DA292" si="111">AI284</f>
        <v>1</v>
      </c>
      <c r="DB284">
        <f t="shared" ref="DB284:DB292" si="112">ROUND((ROUND(AT284*CZ284,2)*1),6)</f>
        <v>9.02</v>
      </c>
      <c r="DC284">
        <f t="shared" ref="DC284:DC292" si="113">ROUND((ROUND(AT284*AG284,2)*1),6)</f>
        <v>0</v>
      </c>
      <c r="DD284" t="s">
        <v>3</v>
      </c>
      <c r="DE284" t="s">
        <v>3</v>
      </c>
      <c r="DF284">
        <f t="shared" si="107"/>
        <v>0.18</v>
      </c>
      <c r="DG284">
        <f t="shared" si="104"/>
        <v>0</v>
      </c>
      <c r="DH284">
        <f t="shared" si="106"/>
        <v>0</v>
      </c>
      <c r="DI284">
        <f t="shared" si="96"/>
        <v>0</v>
      </c>
      <c r="DJ284">
        <f t="shared" ref="DJ284:DJ292" si="114">DF284</f>
        <v>0.18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ROW(Source!A240)</f>
        <v>240</v>
      </c>
      <c r="B285">
        <v>55937296</v>
      </c>
      <c r="C285">
        <v>55937918</v>
      </c>
      <c r="D285">
        <v>55459339</v>
      </c>
      <c r="E285">
        <v>1</v>
      </c>
      <c r="F285">
        <v>1</v>
      </c>
      <c r="G285">
        <v>1081</v>
      </c>
      <c r="H285">
        <v>3</v>
      </c>
      <c r="I285" t="s">
        <v>560</v>
      </c>
      <c r="J285" t="s">
        <v>561</v>
      </c>
      <c r="K285" t="s">
        <v>562</v>
      </c>
      <c r="L285">
        <v>1354</v>
      </c>
      <c r="N285">
        <v>1010</v>
      </c>
      <c r="O285" t="s">
        <v>217</v>
      </c>
      <c r="P285" t="s">
        <v>217</v>
      </c>
      <c r="Q285">
        <v>1</v>
      </c>
      <c r="W285">
        <v>0</v>
      </c>
      <c r="X285">
        <v>1424298623</v>
      </c>
      <c r="Y285">
        <f t="shared" si="108"/>
        <v>122</v>
      </c>
      <c r="AA285">
        <v>3.86</v>
      </c>
      <c r="AB285">
        <v>0</v>
      </c>
      <c r="AC285">
        <v>0</v>
      </c>
      <c r="AD285">
        <v>0</v>
      </c>
      <c r="AE285">
        <v>3.86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122</v>
      </c>
      <c r="AU285" t="s">
        <v>113</v>
      </c>
      <c r="AV285">
        <v>0</v>
      </c>
      <c r="AW285">
        <v>2</v>
      </c>
      <c r="AX285">
        <v>55937923</v>
      </c>
      <c r="AY285">
        <v>1</v>
      </c>
      <c r="AZ285">
        <v>0</v>
      </c>
      <c r="BA285">
        <v>345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v>0</v>
      </c>
      <c r="CX285">
        <f>ROUND(Y285*Source!I240,9)</f>
        <v>2.44</v>
      </c>
      <c r="CY285">
        <f t="shared" si="109"/>
        <v>3.86</v>
      </c>
      <c r="CZ285">
        <f t="shared" si="110"/>
        <v>3.86</v>
      </c>
      <c r="DA285">
        <f t="shared" si="111"/>
        <v>1</v>
      </c>
      <c r="DB285">
        <f t="shared" si="112"/>
        <v>470.92</v>
      </c>
      <c r="DC285">
        <f t="shared" si="113"/>
        <v>0</v>
      </c>
      <c r="DD285" t="s">
        <v>3</v>
      </c>
      <c r="DE285" t="s">
        <v>3</v>
      </c>
      <c r="DF285">
        <f t="shared" si="107"/>
        <v>9.42</v>
      </c>
      <c r="DG285">
        <f t="shared" si="104"/>
        <v>0</v>
      </c>
      <c r="DH285">
        <f t="shared" si="106"/>
        <v>0</v>
      </c>
      <c r="DI285">
        <f t="shared" si="96"/>
        <v>0</v>
      </c>
      <c r="DJ285">
        <f t="shared" si="114"/>
        <v>9.42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ROW(Source!A240)</f>
        <v>240</v>
      </c>
      <c r="B286">
        <v>55937296</v>
      </c>
      <c r="C286">
        <v>55937918</v>
      </c>
      <c r="D286">
        <v>55461705</v>
      </c>
      <c r="E286">
        <v>1</v>
      </c>
      <c r="F286">
        <v>1</v>
      </c>
      <c r="G286">
        <v>1081</v>
      </c>
      <c r="H286">
        <v>3</v>
      </c>
      <c r="I286" t="s">
        <v>563</v>
      </c>
      <c r="J286" t="s">
        <v>564</v>
      </c>
      <c r="K286" t="s">
        <v>565</v>
      </c>
      <c r="L286">
        <v>1346</v>
      </c>
      <c r="N286">
        <v>1009</v>
      </c>
      <c r="O286" t="s">
        <v>311</v>
      </c>
      <c r="P286" t="s">
        <v>311</v>
      </c>
      <c r="Q286">
        <v>1</v>
      </c>
      <c r="W286">
        <v>0</v>
      </c>
      <c r="X286">
        <v>731843586</v>
      </c>
      <c r="Y286">
        <f t="shared" si="108"/>
        <v>0.03</v>
      </c>
      <c r="AA286">
        <v>520.51</v>
      </c>
      <c r="AB286">
        <v>0</v>
      </c>
      <c r="AC286">
        <v>0</v>
      </c>
      <c r="AD286">
        <v>0</v>
      </c>
      <c r="AE286">
        <v>520.51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0.03</v>
      </c>
      <c r="AU286" t="s">
        <v>113</v>
      </c>
      <c r="AV286">
        <v>0</v>
      </c>
      <c r="AW286">
        <v>2</v>
      </c>
      <c r="AX286">
        <v>55937924</v>
      </c>
      <c r="AY286">
        <v>1</v>
      </c>
      <c r="AZ286">
        <v>0</v>
      </c>
      <c r="BA286">
        <v>346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ROUND(Y286*Source!I240,9)</f>
        <v>5.9999999999999995E-4</v>
      </c>
      <c r="CY286">
        <f t="shared" si="109"/>
        <v>520.51</v>
      </c>
      <c r="CZ286">
        <f t="shared" si="110"/>
        <v>520.51</v>
      </c>
      <c r="DA286">
        <f t="shared" si="111"/>
        <v>1</v>
      </c>
      <c r="DB286">
        <f t="shared" si="112"/>
        <v>15.62</v>
      </c>
      <c r="DC286">
        <f t="shared" si="113"/>
        <v>0</v>
      </c>
      <c r="DD286" t="s">
        <v>3</v>
      </c>
      <c r="DE286" t="s">
        <v>3</v>
      </c>
      <c r="DF286">
        <f t="shared" si="107"/>
        <v>0.31</v>
      </c>
      <c r="DG286">
        <f t="shared" si="104"/>
        <v>0</v>
      </c>
      <c r="DH286">
        <f t="shared" si="106"/>
        <v>0</v>
      </c>
      <c r="DI286">
        <f t="shared" si="96"/>
        <v>0</v>
      </c>
      <c r="DJ286">
        <f t="shared" si="114"/>
        <v>0.31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ROW(Source!A240)</f>
        <v>240</v>
      </c>
      <c r="B287">
        <v>55937296</v>
      </c>
      <c r="C287">
        <v>55937918</v>
      </c>
      <c r="D287">
        <v>55459815</v>
      </c>
      <c r="E287">
        <v>1</v>
      </c>
      <c r="F287">
        <v>1</v>
      </c>
      <c r="G287">
        <v>1081</v>
      </c>
      <c r="H287">
        <v>3</v>
      </c>
      <c r="I287" t="s">
        <v>566</v>
      </c>
      <c r="J287" t="s">
        <v>567</v>
      </c>
      <c r="K287" t="s">
        <v>568</v>
      </c>
      <c r="L287">
        <v>1348</v>
      </c>
      <c r="N287">
        <v>1009</v>
      </c>
      <c r="O287" t="s">
        <v>287</v>
      </c>
      <c r="P287" t="s">
        <v>287</v>
      </c>
      <c r="Q287">
        <v>1000</v>
      </c>
      <c r="W287">
        <v>0</v>
      </c>
      <c r="X287">
        <v>-557692701</v>
      </c>
      <c r="Y287">
        <f t="shared" si="108"/>
        <v>2.0999999999999999E-3</v>
      </c>
      <c r="AA287">
        <v>7973.67</v>
      </c>
      <c r="AB287">
        <v>0</v>
      </c>
      <c r="AC287">
        <v>0</v>
      </c>
      <c r="AD287">
        <v>0</v>
      </c>
      <c r="AE287">
        <v>7973.67</v>
      </c>
      <c r="AF287">
        <v>0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2.0999999999999999E-3</v>
      </c>
      <c r="AU287" t="s">
        <v>113</v>
      </c>
      <c r="AV287">
        <v>0</v>
      </c>
      <c r="AW287">
        <v>2</v>
      </c>
      <c r="AX287">
        <v>55937925</v>
      </c>
      <c r="AY287">
        <v>1</v>
      </c>
      <c r="AZ287">
        <v>0</v>
      </c>
      <c r="BA287">
        <v>347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ROUND(Y287*Source!I240,9)</f>
        <v>4.1999999999999998E-5</v>
      </c>
      <c r="CY287">
        <f t="shared" si="109"/>
        <v>7973.67</v>
      </c>
      <c r="CZ287">
        <f t="shared" si="110"/>
        <v>7973.67</v>
      </c>
      <c r="DA287">
        <f t="shared" si="111"/>
        <v>1</v>
      </c>
      <c r="DB287">
        <f t="shared" si="112"/>
        <v>16.739999999999998</v>
      </c>
      <c r="DC287">
        <f t="shared" si="113"/>
        <v>0</v>
      </c>
      <c r="DD287" t="s">
        <v>3</v>
      </c>
      <c r="DE287" t="s">
        <v>3</v>
      </c>
      <c r="DF287">
        <f t="shared" si="107"/>
        <v>0.33</v>
      </c>
      <c r="DG287">
        <f t="shared" si="104"/>
        <v>0</v>
      </c>
      <c r="DH287">
        <f t="shared" si="106"/>
        <v>0</v>
      </c>
      <c r="DI287">
        <f t="shared" si="96"/>
        <v>0</v>
      </c>
      <c r="DJ287">
        <f t="shared" si="114"/>
        <v>0.33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ROW(Source!A240)</f>
        <v>240</v>
      </c>
      <c r="B288">
        <v>55937296</v>
      </c>
      <c r="C288">
        <v>55937918</v>
      </c>
      <c r="D288">
        <v>55471710</v>
      </c>
      <c r="E288">
        <v>1</v>
      </c>
      <c r="F288">
        <v>1</v>
      </c>
      <c r="G288">
        <v>1081</v>
      </c>
      <c r="H288">
        <v>3</v>
      </c>
      <c r="I288" t="s">
        <v>383</v>
      </c>
      <c r="J288" t="s">
        <v>385</v>
      </c>
      <c r="K288" t="s">
        <v>384</v>
      </c>
      <c r="L288">
        <v>1301</v>
      </c>
      <c r="N288">
        <v>1003</v>
      </c>
      <c r="O288" t="s">
        <v>332</v>
      </c>
      <c r="P288" t="s">
        <v>332</v>
      </c>
      <c r="Q288">
        <v>1</v>
      </c>
      <c r="W288">
        <v>0</v>
      </c>
      <c r="X288">
        <v>-511472295</v>
      </c>
      <c r="Y288">
        <f t="shared" si="108"/>
        <v>103</v>
      </c>
      <c r="AA288">
        <v>32.96</v>
      </c>
      <c r="AB288">
        <v>0</v>
      </c>
      <c r="AC288">
        <v>0</v>
      </c>
      <c r="AD288">
        <v>0</v>
      </c>
      <c r="AE288">
        <v>32.96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 t="s">
        <v>3</v>
      </c>
      <c r="AT288">
        <v>103</v>
      </c>
      <c r="AU288" t="s">
        <v>113</v>
      </c>
      <c r="AV288">
        <v>0</v>
      </c>
      <c r="AW288">
        <v>1</v>
      </c>
      <c r="AX288">
        <v>-1</v>
      </c>
      <c r="AY288">
        <v>0</v>
      </c>
      <c r="AZ288">
        <v>0</v>
      </c>
      <c r="BA288" t="s">
        <v>3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ROUND(Y288*Source!I240,9)</f>
        <v>2.06</v>
      </c>
      <c r="CY288">
        <f t="shared" si="109"/>
        <v>32.96</v>
      </c>
      <c r="CZ288">
        <f t="shared" si="110"/>
        <v>32.96</v>
      </c>
      <c r="DA288">
        <f t="shared" si="111"/>
        <v>1</v>
      </c>
      <c r="DB288">
        <f t="shared" si="112"/>
        <v>3394.88</v>
      </c>
      <c r="DC288">
        <f t="shared" si="113"/>
        <v>0</v>
      </c>
      <c r="DD288" t="s">
        <v>3</v>
      </c>
      <c r="DE288" t="s">
        <v>3</v>
      </c>
      <c r="DF288">
        <f t="shared" si="107"/>
        <v>67.900000000000006</v>
      </c>
      <c r="DG288">
        <f t="shared" si="104"/>
        <v>0</v>
      </c>
      <c r="DH288">
        <f t="shared" si="106"/>
        <v>0</v>
      </c>
      <c r="DI288">
        <f t="shared" si="96"/>
        <v>0</v>
      </c>
      <c r="DJ288">
        <f t="shared" si="114"/>
        <v>67.900000000000006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ROW(Source!A240)</f>
        <v>240</v>
      </c>
      <c r="B289">
        <v>55937296</v>
      </c>
      <c r="C289">
        <v>55937918</v>
      </c>
      <c r="D289">
        <v>55482523</v>
      </c>
      <c r="E289">
        <v>1</v>
      </c>
      <c r="F289">
        <v>1</v>
      </c>
      <c r="G289">
        <v>1081</v>
      </c>
      <c r="H289">
        <v>3</v>
      </c>
      <c r="I289" t="s">
        <v>569</v>
      </c>
      <c r="J289" t="s">
        <v>570</v>
      </c>
      <c r="K289" t="s">
        <v>571</v>
      </c>
      <c r="L289">
        <v>1358</v>
      </c>
      <c r="N289">
        <v>1010</v>
      </c>
      <c r="O289" t="s">
        <v>75</v>
      </c>
      <c r="P289" t="s">
        <v>75</v>
      </c>
      <c r="Q289">
        <v>10</v>
      </c>
      <c r="W289">
        <v>0</v>
      </c>
      <c r="X289">
        <v>-101314250</v>
      </c>
      <c r="Y289">
        <f t="shared" si="108"/>
        <v>1.02</v>
      </c>
      <c r="AA289">
        <v>5.46</v>
      </c>
      <c r="AB289">
        <v>0</v>
      </c>
      <c r="AC289">
        <v>0</v>
      </c>
      <c r="AD289">
        <v>0</v>
      </c>
      <c r="AE289">
        <v>5.46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-2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1.02</v>
      </c>
      <c r="AU289" t="s">
        <v>113</v>
      </c>
      <c r="AV289">
        <v>0</v>
      </c>
      <c r="AW289">
        <v>2</v>
      </c>
      <c r="AX289">
        <v>55937926</v>
      </c>
      <c r="AY289">
        <v>1</v>
      </c>
      <c r="AZ289">
        <v>0</v>
      </c>
      <c r="BA289">
        <v>348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ROUND(Y289*Source!I240,9)</f>
        <v>2.0400000000000001E-2</v>
      </c>
      <c r="CY289">
        <f t="shared" si="109"/>
        <v>5.46</v>
      </c>
      <c r="CZ289">
        <f t="shared" si="110"/>
        <v>5.46</v>
      </c>
      <c r="DA289">
        <f t="shared" si="111"/>
        <v>1</v>
      </c>
      <c r="DB289">
        <f t="shared" si="112"/>
        <v>5.57</v>
      </c>
      <c r="DC289">
        <f t="shared" si="113"/>
        <v>0</v>
      </c>
      <c r="DD289" t="s">
        <v>3</v>
      </c>
      <c r="DE289" t="s">
        <v>3</v>
      </c>
      <c r="DF289">
        <f t="shared" si="107"/>
        <v>0.11</v>
      </c>
      <c r="DG289">
        <f t="shared" si="104"/>
        <v>0</v>
      </c>
      <c r="DH289">
        <f t="shared" si="106"/>
        <v>0</v>
      </c>
      <c r="DI289">
        <f t="shared" si="96"/>
        <v>0</v>
      </c>
      <c r="DJ289">
        <f t="shared" si="114"/>
        <v>0.11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ROW(Source!A240)</f>
        <v>240</v>
      </c>
      <c r="B290">
        <v>55937296</v>
      </c>
      <c r="C290">
        <v>55937918</v>
      </c>
      <c r="D290">
        <v>55482601</v>
      </c>
      <c r="E290">
        <v>1</v>
      </c>
      <c r="F290">
        <v>1</v>
      </c>
      <c r="G290">
        <v>1081</v>
      </c>
      <c r="H290">
        <v>3</v>
      </c>
      <c r="I290" t="s">
        <v>572</v>
      </c>
      <c r="J290" t="s">
        <v>573</v>
      </c>
      <c r="K290" t="s">
        <v>574</v>
      </c>
      <c r="L290">
        <v>1354</v>
      </c>
      <c r="N290">
        <v>1010</v>
      </c>
      <c r="O290" t="s">
        <v>217</v>
      </c>
      <c r="P290" t="s">
        <v>217</v>
      </c>
      <c r="Q290">
        <v>1</v>
      </c>
      <c r="W290">
        <v>0</v>
      </c>
      <c r="X290">
        <v>-852943543</v>
      </c>
      <c r="Y290">
        <f t="shared" si="108"/>
        <v>6</v>
      </c>
      <c r="AA290">
        <v>180.02</v>
      </c>
      <c r="AB290">
        <v>0</v>
      </c>
      <c r="AC290">
        <v>0</v>
      </c>
      <c r="AD290">
        <v>0</v>
      </c>
      <c r="AE290">
        <v>180.02</v>
      </c>
      <c r="AF290">
        <v>0</v>
      </c>
      <c r="AG290">
        <v>0</v>
      </c>
      <c r="AH290">
        <v>0</v>
      </c>
      <c r="AI290">
        <v>1</v>
      </c>
      <c r="AJ290">
        <v>1</v>
      </c>
      <c r="AK290">
        <v>1</v>
      </c>
      <c r="AL290">
        <v>1</v>
      </c>
      <c r="AM290">
        <v>-2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6</v>
      </c>
      <c r="AU290" t="s">
        <v>113</v>
      </c>
      <c r="AV290">
        <v>0</v>
      </c>
      <c r="AW290">
        <v>2</v>
      </c>
      <c r="AX290">
        <v>55937927</v>
      </c>
      <c r="AY290">
        <v>1</v>
      </c>
      <c r="AZ290">
        <v>0</v>
      </c>
      <c r="BA290">
        <v>349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ROUND(Y290*Source!I240,9)</f>
        <v>0.12</v>
      </c>
      <c r="CY290">
        <f t="shared" si="109"/>
        <v>180.02</v>
      </c>
      <c r="CZ290">
        <f t="shared" si="110"/>
        <v>180.02</v>
      </c>
      <c r="DA290">
        <f t="shared" si="111"/>
        <v>1</v>
      </c>
      <c r="DB290">
        <f t="shared" si="112"/>
        <v>1080.1199999999999</v>
      </c>
      <c r="DC290">
        <f t="shared" si="113"/>
        <v>0</v>
      </c>
      <c r="DD290" t="s">
        <v>3</v>
      </c>
      <c r="DE290" t="s">
        <v>3</v>
      </c>
      <c r="DF290">
        <f t="shared" si="107"/>
        <v>21.6</v>
      </c>
      <c r="DG290">
        <f t="shared" si="104"/>
        <v>0</v>
      </c>
      <c r="DH290">
        <f t="shared" si="106"/>
        <v>0</v>
      </c>
      <c r="DI290">
        <f t="shared" si="96"/>
        <v>0</v>
      </c>
      <c r="DJ290">
        <f t="shared" si="114"/>
        <v>21.6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ROW(Source!A240)</f>
        <v>240</v>
      </c>
      <c r="B291">
        <v>55937296</v>
      </c>
      <c r="C291">
        <v>55937918</v>
      </c>
      <c r="D291">
        <v>55482617</v>
      </c>
      <c r="E291">
        <v>1</v>
      </c>
      <c r="F291">
        <v>1</v>
      </c>
      <c r="G291">
        <v>1081</v>
      </c>
      <c r="H291">
        <v>3</v>
      </c>
      <c r="I291" t="s">
        <v>575</v>
      </c>
      <c r="J291" t="s">
        <v>576</v>
      </c>
      <c r="K291" t="s">
        <v>577</v>
      </c>
      <c r="L291">
        <v>1354</v>
      </c>
      <c r="N291">
        <v>1010</v>
      </c>
      <c r="O291" t="s">
        <v>217</v>
      </c>
      <c r="P291" t="s">
        <v>217</v>
      </c>
      <c r="Q291">
        <v>1</v>
      </c>
      <c r="W291">
        <v>0</v>
      </c>
      <c r="X291">
        <v>-1189947653</v>
      </c>
      <c r="Y291">
        <f t="shared" si="108"/>
        <v>6</v>
      </c>
      <c r="AA291">
        <v>14.99</v>
      </c>
      <c r="AB291">
        <v>0</v>
      </c>
      <c r="AC291">
        <v>0</v>
      </c>
      <c r="AD291">
        <v>0</v>
      </c>
      <c r="AE291">
        <v>14.99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1</v>
      </c>
      <c r="AM291">
        <v>-2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6</v>
      </c>
      <c r="AU291" t="s">
        <v>113</v>
      </c>
      <c r="AV291">
        <v>0</v>
      </c>
      <c r="AW291">
        <v>2</v>
      </c>
      <c r="AX291">
        <v>55937928</v>
      </c>
      <c r="AY291">
        <v>1</v>
      </c>
      <c r="AZ291">
        <v>0</v>
      </c>
      <c r="BA291">
        <v>350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ROUND(Y291*Source!I240,9)</f>
        <v>0.12</v>
      </c>
      <c r="CY291">
        <f t="shared" si="109"/>
        <v>14.99</v>
      </c>
      <c r="CZ291">
        <f t="shared" si="110"/>
        <v>14.99</v>
      </c>
      <c r="DA291">
        <f t="shared" si="111"/>
        <v>1</v>
      </c>
      <c r="DB291">
        <f t="shared" si="112"/>
        <v>89.94</v>
      </c>
      <c r="DC291">
        <f t="shared" si="113"/>
        <v>0</v>
      </c>
      <c r="DD291" t="s">
        <v>3</v>
      </c>
      <c r="DE291" t="s">
        <v>3</v>
      </c>
      <c r="DF291">
        <f t="shared" si="107"/>
        <v>1.8</v>
      </c>
      <c r="DG291">
        <f t="shared" si="104"/>
        <v>0</v>
      </c>
      <c r="DH291">
        <f t="shared" si="106"/>
        <v>0</v>
      </c>
      <c r="DI291">
        <f t="shared" si="96"/>
        <v>0</v>
      </c>
      <c r="DJ291">
        <f t="shared" si="114"/>
        <v>1.8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ROW(Source!A240)</f>
        <v>240</v>
      </c>
      <c r="B292">
        <v>55937296</v>
      </c>
      <c r="C292">
        <v>55937918</v>
      </c>
      <c r="D292">
        <v>55466696</v>
      </c>
      <c r="E292">
        <v>1</v>
      </c>
      <c r="F292">
        <v>1</v>
      </c>
      <c r="G292">
        <v>1081</v>
      </c>
      <c r="H292">
        <v>3</v>
      </c>
      <c r="I292" t="s">
        <v>578</v>
      </c>
      <c r="J292" t="s">
        <v>579</v>
      </c>
      <c r="K292" t="s">
        <v>580</v>
      </c>
      <c r="L292">
        <v>1339</v>
      </c>
      <c r="N292">
        <v>1007</v>
      </c>
      <c r="O292" t="s">
        <v>581</v>
      </c>
      <c r="P292" t="s">
        <v>581</v>
      </c>
      <c r="Q292">
        <v>1</v>
      </c>
      <c r="W292">
        <v>0</v>
      </c>
      <c r="X292">
        <v>-762874257</v>
      </c>
      <c r="Y292">
        <f t="shared" si="108"/>
        <v>2E-3</v>
      </c>
      <c r="AA292">
        <v>439.5</v>
      </c>
      <c r="AB292">
        <v>0</v>
      </c>
      <c r="AC292">
        <v>0</v>
      </c>
      <c r="AD292">
        <v>0</v>
      </c>
      <c r="AE292">
        <v>439.5</v>
      </c>
      <c r="AF292">
        <v>0</v>
      </c>
      <c r="AG292">
        <v>0</v>
      </c>
      <c r="AH292">
        <v>0</v>
      </c>
      <c r="AI292">
        <v>1</v>
      </c>
      <c r="AJ292">
        <v>1</v>
      </c>
      <c r="AK292">
        <v>1</v>
      </c>
      <c r="AL292">
        <v>1</v>
      </c>
      <c r="AM292">
        <v>-2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2E-3</v>
      </c>
      <c r="AU292" t="s">
        <v>113</v>
      </c>
      <c r="AV292">
        <v>0</v>
      </c>
      <c r="AW292">
        <v>2</v>
      </c>
      <c r="AX292">
        <v>55937929</v>
      </c>
      <c r="AY292">
        <v>1</v>
      </c>
      <c r="AZ292">
        <v>0</v>
      </c>
      <c r="BA292">
        <v>351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ROUND(Y292*Source!I240,9)</f>
        <v>4.0000000000000003E-5</v>
      </c>
      <c r="CY292">
        <f t="shared" si="109"/>
        <v>439.5</v>
      </c>
      <c r="CZ292">
        <f t="shared" si="110"/>
        <v>439.5</v>
      </c>
      <c r="DA292">
        <f t="shared" si="111"/>
        <v>1</v>
      </c>
      <c r="DB292">
        <f t="shared" si="112"/>
        <v>0.88</v>
      </c>
      <c r="DC292">
        <f t="shared" si="113"/>
        <v>0</v>
      </c>
      <c r="DD292" t="s">
        <v>3</v>
      </c>
      <c r="DE292" t="s">
        <v>3</v>
      </c>
      <c r="DF292">
        <f t="shared" si="107"/>
        <v>0.02</v>
      </c>
      <c r="DG292">
        <f t="shared" si="104"/>
        <v>0</v>
      </c>
      <c r="DH292">
        <f t="shared" si="106"/>
        <v>0</v>
      </c>
      <c r="DI292">
        <f t="shared" si="96"/>
        <v>0</v>
      </c>
      <c r="DJ292">
        <f t="shared" si="114"/>
        <v>0.02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ROW(Source!A241)</f>
        <v>241</v>
      </c>
      <c r="B293">
        <v>55937298</v>
      </c>
      <c r="C293">
        <v>55937918</v>
      </c>
      <c r="D293">
        <v>55424304</v>
      </c>
      <c r="E293">
        <v>1081</v>
      </c>
      <c r="F293">
        <v>1</v>
      </c>
      <c r="G293">
        <v>1081</v>
      </c>
      <c r="H293">
        <v>1</v>
      </c>
      <c r="I293" t="s">
        <v>449</v>
      </c>
      <c r="J293" t="s">
        <v>3</v>
      </c>
      <c r="K293" t="s">
        <v>450</v>
      </c>
      <c r="L293">
        <v>1191</v>
      </c>
      <c r="N293">
        <v>1013</v>
      </c>
      <c r="O293" t="s">
        <v>451</v>
      </c>
      <c r="P293" t="s">
        <v>451</v>
      </c>
      <c r="Q293">
        <v>1</v>
      </c>
      <c r="W293">
        <v>0</v>
      </c>
      <c r="X293">
        <v>476480486</v>
      </c>
      <c r="Y293">
        <f>(AT293*1.2)</f>
        <v>19.8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5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16.5</v>
      </c>
      <c r="AU293" t="s">
        <v>114</v>
      </c>
      <c r="AV293">
        <v>1</v>
      </c>
      <c r="AW293">
        <v>2</v>
      </c>
      <c r="AX293">
        <v>55937919</v>
      </c>
      <c r="AY293">
        <v>1</v>
      </c>
      <c r="AZ293">
        <v>0</v>
      </c>
      <c r="BA293">
        <v>357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U293">
        <f>ROUND(AT293*Source!I241*AH293*AL293,2)</f>
        <v>0</v>
      </c>
      <c r="CV293">
        <f>ROUND(Y293*Source!I241,9)</f>
        <v>0.39600000000000002</v>
      </c>
      <c r="CW293">
        <v>0</v>
      </c>
      <c r="CX293">
        <f>ROUND(Y293*Source!I241,9)</f>
        <v>0.39600000000000002</v>
      </c>
      <c r="CY293">
        <f>AD293</f>
        <v>0</v>
      </c>
      <c r="CZ293">
        <f>AH293</f>
        <v>0</v>
      </c>
      <c r="DA293">
        <f>AL293</f>
        <v>1</v>
      </c>
      <c r="DB293">
        <f>ROUND((ROUND(AT293*CZ293,2)*1.2),6)</f>
        <v>0</v>
      </c>
      <c r="DC293">
        <f>ROUND((ROUND(AT293*AG293,2)*1.2),6)</f>
        <v>0</v>
      </c>
      <c r="DD293" t="s">
        <v>3</v>
      </c>
      <c r="DE293" t="s">
        <v>3</v>
      </c>
      <c r="DF293">
        <f t="shared" si="107"/>
        <v>0</v>
      </c>
      <c r="DG293">
        <f t="shared" si="104"/>
        <v>0</v>
      </c>
      <c r="DH293">
        <f t="shared" si="106"/>
        <v>0</v>
      </c>
      <c r="DI293">
        <f t="shared" si="96"/>
        <v>0</v>
      </c>
      <c r="DJ293">
        <f>DI293</f>
        <v>0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ROW(Source!A241)</f>
        <v>241</v>
      </c>
      <c r="B294">
        <v>55937298</v>
      </c>
      <c r="C294">
        <v>55937918</v>
      </c>
      <c r="D294">
        <v>55489910</v>
      </c>
      <c r="E294">
        <v>1</v>
      </c>
      <c r="F294">
        <v>1</v>
      </c>
      <c r="G294">
        <v>1081</v>
      </c>
      <c r="H294">
        <v>2</v>
      </c>
      <c r="I294" t="s">
        <v>554</v>
      </c>
      <c r="J294" t="s">
        <v>555</v>
      </c>
      <c r="K294" t="s">
        <v>556</v>
      </c>
      <c r="L294">
        <v>1368</v>
      </c>
      <c r="N294">
        <v>1011</v>
      </c>
      <c r="O294" t="s">
        <v>455</v>
      </c>
      <c r="P294" t="s">
        <v>455</v>
      </c>
      <c r="Q294">
        <v>1</v>
      </c>
      <c r="W294">
        <v>0</v>
      </c>
      <c r="X294">
        <v>1498588441</v>
      </c>
      <c r="Y294">
        <f>(AT294*1.2)</f>
        <v>4.3920000000000003</v>
      </c>
      <c r="AA294">
        <v>0</v>
      </c>
      <c r="AB294">
        <v>100.2</v>
      </c>
      <c r="AC294">
        <v>0</v>
      </c>
      <c r="AD294">
        <v>0</v>
      </c>
      <c r="AE294">
        <v>0</v>
      </c>
      <c r="AF294">
        <v>7.11</v>
      </c>
      <c r="AG294">
        <v>0</v>
      </c>
      <c r="AH294">
        <v>0</v>
      </c>
      <c r="AI294">
        <v>1</v>
      </c>
      <c r="AJ294">
        <v>13.46</v>
      </c>
      <c r="AK294">
        <v>1</v>
      </c>
      <c r="AL294">
        <v>1</v>
      </c>
      <c r="AM294">
        <v>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3.66</v>
      </c>
      <c r="AU294" t="s">
        <v>114</v>
      </c>
      <c r="AV294">
        <v>0</v>
      </c>
      <c r="AW294">
        <v>2</v>
      </c>
      <c r="AX294">
        <v>55937920</v>
      </c>
      <c r="AY294">
        <v>1</v>
      </c>
      <c r="AZ294">
        <v>0</v>
      </c>
      <c r="BA294">
        <v>358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f>ROUND(Y294*Source!I241*DO294,9)</f>
        <v>0</v>
      </c>
      <c r="CX294">
        <f>ROUND(Y294*Source!I241,9)</f>
        <v>8.7840000000000001E-2</v>
      </c>
      <c r="CY294">
        <f>AB294</f>
        <v>100.2</v>
      </c>
      <c r="CZ294">
        <f>AF294</f>
        <v>7.11</v>
      </c>
      <c r="DA294">
        <f>AJ294</f>
        <v>13.46</v>
      </c>
      <c r="DB294">
        <f>ROUND((ROUND(AT294*CZ294,2)*1.2),6)</f>
        <v>31.224</v>
      </c>
      <c r="DC294">
        <f>ROUND((ROUND(AT294*AG294,2)*1.2),6)</f>
        <v>0</v>
      </c>
      <c r="DD294" t="s">
        <v>3</v>
      </c>
      <c r="DE294" t="s">
        <v>3</v>
      </c>
      <c r="DF294">
        <f t="shared" si="107"/>
        <v>0</v>
      </c>
      <c r="DG294">
        <f>ROUND(ROUND(AF294*AJ294,2)*CX294,2)</f>
        <v>8.41</v>
      </c>
      <c r="DH294">
        <f t="shared" si="106"/>
        <v>0</v>
      </c>
      <c r="DI294">
        <f t="shared" si="96"/>
        <v>0</v>
      </c>
      <c r="DJ294">
        <f>DG294</f>
        <v>8.41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ROW(Source!A241)</f>
        <v>241</v>
      </c>
      <c r="B295">
        <v>55937298</v>
      </c>
      <c r="C295">
        <v>55937918</v>
      </c>
      <c r="D295">
        <v>55490209</v>
      </c>
      <c r="E295">
        <v>1</v>
      </c>
      <c r="F295">
        <v>1</v>
      </c>
      <c r="G295">
        <v>1081</v>
      </c>
      <c r="H295">
        <v>2</v>
      </c>
      <c r="I295" t="s">
        <v>489</v>
      </c>
      <c r="J295" t="s">
        <v>490</v>
      </c>
      <c r="K295" t="s">
        <v>491</v>
      </c>
      <c r="L295">
        <v>1368</v>
      </c>
      <c r="N295">
        <v>1011</v>
      </c>
      <c r="O295" t="s">
        <v>455</v>
      </c>
      <c r="P295" t="s">
        <v>455</v>
      </c>
      <c r="Q295">
        <v>1</v>
      </c>
      <c r="W295">
        <v>0</v>
      </c>
      <c r="X295">
        <v>874612079</v>
      </c>
      <c r="Y295">
        <f>(AT295*1.2)</f>
        <v>0.51600000000000001</v>
      </c>
      <c r="AA295">
        <v>0</v>
      </c>
      <c r="AB295">
        <v>1485.19</v>
      </c>
      <c r="AC295">
        <v>744.56</v>
      </c>
      <c r="AD295">
        <v>0</v>
      </c>
      <c r="AE295">
        <v>0</v>
      </c>
      <c r="AF295">
        <v>83.1</v>
      </c>
      <c r="AG295">
        <v>12.62</v>
      </c>
      <c r="AH295">
        <v>0</v>
      </c>
      <c r="AI295">
        <v>1</v>
      </c>
      <c r="AJ295">
        <v>17.07</v>
      </c>
      <c r="AK295">
        <v>56.35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0.43</v>
      </c>
      <c r="AU295" t="s">
        <v>114</v>
      </c>
      <c r="AV295">
        <v>0</v>
      </c>
      <c r="AW295">
        <v>2</v>
      </c>
      <c r="AX295">
        <v>55937921</v>
      </c>
      <c r="AY295">
        <v>1</v>
      </c>
      <c r="AZ295">
        <v>0</v>
      </c>
      <c r="BA295">
        <v>359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f>ROUND(Y295*Source!I241*DO295,9)</f>
        <v>0.1302384</v>
      </c>
      <c r="CX295">
        <f>ROUND(Y295*Source!I241,9)</f>
        <v>1.0319999999999999E-2</v>
      </c>
      <c r="CY295">
        <f>AB295</f>
        <v>1485.19</v>
      </c>
      <c r="CZ295">
        <f>AF295</f>
        <v>83.1</v>
      </c>
      <c r="DA295">
        <f>AJ295</f>
        <v>17.07</v>
      </c>
      <c r="DB295">
        <f>ROUND((ROUND(AT295*CZ295,2)*1.2),6)</f>
        <v>42.875999999999998</v>
      </c>
      <c r="DC295">
        <f>ROUND((ROUND(AT295*AG295,2)*1.2),6)</f>
        <v>6.516</v>
      </c>
      <c r="DD295" t="s">
        <v>3</v>
      </c>
      <c r="DE295" t="s">
        <v>3</v>
      </c>
      <c r="DF295">
        <f t="shared" si="107"/>
        <v>0</v>
      </c>
      <c r="DG295">
        <f>ROUND(ROUND(AF295*AJ295,2)*CX295,2)</f>
        <v>14.64</v>
      </c>
      <c r="DH295">
        <f>ROUND(ROUND(AG295*AK295,2)*CX295,2)</f>
        <v>7.34</v>
      </c>
      <c r="DI295">
        <f t="shared" si="96"/>
        <v>0</v>
      </c>
      <c r="DJ295">
        <f>DG295</f>
        <v>14.64</v>
      </c>
      <c r="DK295">
        <v>0</v>
      </c>
      <c r="DL295" t="s">
        <v>492</v>
      </c>
      <c r="DM295">
        <v>0</v>
      </c>
      <c r="DN295" t="s">
        <v>451</v>
      </c>
      <c r="DO295">
        <v>12.62</v>
      </c>
    </row>
    <row r="296" spans="1:119" x14ac:dyDescent="0.2">
      <c r="A296">
        <f>ROW(Source!A241)</f>
        <v>241</v>
      </c>
      <c r="B296">
        <v>55937298</v>
      </c>
      <c r="C296">
        <v>55937918</v>
      </c>
      <c r="D296">
        <v>55460380</v>
      </c>
      <c r="E296">
        <v>1</v>
      </c>
      <c r="F296">
        <v>1</v>
      </c>
      <c r="G296">
        <v>1081</v>
      </c>
      <c r="H296">
        <v>3</v>
      </c>
      <c r="I296" t="s">
        <v>557</v>
      </c>
      <c r="J296" t="s">
        <v>558</v>
      </c>
      <c r="K296" t="s">
        <v>559</v>
      </c>
      <c r="L296">
        <v>1348</v>
      </c>
      <c r="N296">
        <v>1009</v>
      </c>
      <c r="O296" t="s">
        <v>287</v>
      </c>
      <c r="P296" t="s">
        <v>287</v>
      </c>
      <c r="Q296">
        <v>1000</v>
      </c>
      <c r="W296">
        <v>0</v>
      </c>
      <c r="X296">
        <v>277309194</v>
      </c>
      <c r="Y296">
        <f t="shared" ref="Y296:Y304" si="115">(AT296*1)</f>
        <v>1.0499999999999999E-3</v>
      </c>
      <c r="AA296">
        <v>141233.74</v>
      </c>
      <c r="AB296">
        <v>0</v>
      </c>
      <c r="AC296">
        <v>0</v>
      </c>
      <c r="AD296">
        <v>0</v>
      </c>
      <c r="AE296">
        <v>8590.86</v>
      </c>
      <c r="AF296">
        <v>0</v>
      </c>
      <c r="AG296">
        <v>0</v>
      </c>
      <c r="AH296">
        <v>0</v>
      </c>
      <c r="AI296">
        <v>16.440000000000001</v>
      </c>
      <c r="AJ296">
        <v>1</v>
      </c>
      <c r="AK296">
        <v>1</v>
      </c>
      <c r="AL296">
        <v>1</v>
      </c>
      <c r="AM296">
        <v>2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1.0499999999999999E-3</v>
      </c>
      <c r="AU296" t="s">
        <v>113</v>
      </c>
      <c r="AV296">
        <v>0</v>
      </c>
      <c r="AW296">
        <v>2</v>
      </c>
      <c r="AX296">
        <v>55937922</v>
      </c>
      <c r="AY296">
        <v>1</v>
      </c>
      <c r="AZ296">
        <v>0</v>
      </c>
      <c r="BA296">
        <v>360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ROUND(Y296*Source!I241,9)</f>
        <v>2.0999999999999999E-5</v>
      </c>
      <c r="CY296">
        <f t="shared" ref="CY296:CY304" si="116">AA296</f>
        <v>141233.74</v>
      </c>
      <c r="CZ296">
        <f t="shared" ref="CZ296:CZ304" si="117">AE296</f>
        <v>8590.86</v>
      </c>
      <c r="DA296">
        <f t="shared" ref="DA296:DA304" si="118">AI296</f>
        <v>16.440000000000001</v>
      </c>
      <c r="DB296">
        <f t="shared" ref="DB296:DB304" si="119">ROUND((ROUND(AT296*CZ296,2)*1),6)</f>
        <v>9.02</v>
      </c>
      <c r="DC296">
        <f t="shared" ref="DC296:DC304" si="120">ROUND((ROUND(AT296*AG296,2)*1),6)</f>
        <v>0</v>
      </c>
      <c r="DD296" t="s">
        <v>3</v>
      </c>
      <c r="DE296" t="s">
        <v>3</v>
      </c>
      <c r="DF296">
        <f t="shared" ref="DF296:DF304" si="121">ROUND(ROUND(AE296*AI296,2)*CX296,2)</f>
        <v>2.97</v>
      </c>
      <c r="DG296">
        <f t="shared" ref="DG296:DG314" si="122">ROUND(ROUND(AF296,2)*CX296,2)</f>
        <v>0</v>
      </c>
      <c r="DH296">
        <f t="shared" ref="DH296:DH314" si="123">ROUND(ROUND(AG296,2)*CX296,2)</f>
        <v>0</v>
      </c>
      <c r="DI296">
        <f t="shared" si="96"/>
        <v>0</v>
      </c>
      <c r="DJ296">
        <f t="shared" ref="DJ296:DJ304" si="124">DF296</f>
        <v>2.97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ROW(Source!A241)</f>
        <v>241</v>
      </c>
      <c r="B297">
        <v>55937298</v>
      </c>
      <c r="C297">
        <v>55937918</v>
      </c>
      <c r="D297">
        <v>55459339</v>
      </c>
      <c r="E297">
        <v>1</v>
      </c>
      <c r="F297">
        <v>1</v>
      </c>
      <c r="G297">
        <v>1081</v>
      </c>
      <c r="H297">
        <v>3</v>
      </c>
      <c r="I297" t="s">
        <v>560</v>
      </c>
      <c r="J297" t="s">
        <v>561</v>
      </c>
      <c r="K297" t="s">
        <v>562</v>
      </c>
      <c r="L297">
        <v>1354</v>
      </c>
      <c r="N297">
        <v>1010</v>
      </c>
      <c r="O297" t="s">
        <v>217</v>
      </c>
      <c r="P297" t="s">
        <v>217</v>
      </c>
      <c r="Q297">
        <v>1</v>
      </c>
      <c r="W297">
        <v>0</v>
      </c>
      <c r="X297">
        <v>1424298623</v>
      </c>
      <c r="Y297">
        <f t="shared" si="115"/>
        <v>122</v>
      </c>
      <c r="AA297">
        <v>7.57</v>
      </c>
      <c r="AB297">
        <v>0</v>
      </c>
      <c r="AC297">
        <v>0</v>
      </c>
      <c r="AD297">
        <v>0</v>
      </c>
      <c r="AE297">
        <v>3.86</v>
      </c>
      <c r="AF297">
        <v>0</v>
      </c>
      <c r="AG297">
        <v>0</v>
      </c>
      <c r="AH297">
        <v>0</v>
      </c>
      <c r="AI297">
        <v>1.96</v>
      </c>
      <c r="AJ297">
        <v>1</v>
      </c>
      <c r="AK297">
        <v>1</v>
      </c>
      <c r="AL297">
        <v>1</v>
      </c>
      <c r="AM297">
        <v>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122</v>
      </c>
      <c r="AU297" t="s">
        <v>113</v>
      </c>
      <c r="AV297">
        <v>0</v>
      </c>
      <c r="AW297">
        <v>2</v>
      </c>
      <c r="AX297">
        <v>55937923</v>
      </c>
      <c r="AY297">
        <v>1</v>
      </c>
      <c r="AZ297">
        <v>0</v>
      </c>
      <c r="BA297">
        <v>361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ROUND(Y297*Source!I241,9)</f>
        <v>2.44</v>
      </c>
      <c r="CY297">
        <f t="shared" si="116"/>
        <v>7.57</v>
      </c>
      <c r="CZ297">
        <f t="shared" si="117"/>
        <v>3.86</v>
      </c>
      <c r="DA297">
        <f t="shared" si="118"/>
        <v>1.96</v>
      </c>
      <c r="DB297">
        <f t="shared" si="119"/>
        <v>470.92</v>
      </c>
      <c r="DC297">
        <f t="shared" si="120"/>
        <v>0</v>
      </c>
      <c r="DD297" t="s">
        <v>3</v>
      </c>
      <c r="DE297" t="s">
        <v>3</v>
      </c>
      <c r="DF297">
        <f t="shared" si="121"/>
        <v>18.47</v>
      </c>
      <c r="DG297">
        <f t="shared" si="122"/>
        <v>0</v>
      </c>
      <c r="DH297">
        <f t="shared" si="123"/>
        <v>0</v>
      </c>
      <c r="DI297">
        <f t="shared" si="96"/>
        <v>0</v>
      </c>
      <c r="DJ297">
        <f t="shared" si="124"/>
        <v>18.47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ROW(Source!A241)</f>
        <v>241</v>
      </c>
      <c r="B298">
        <v>55937298</v>
      </c>
      <c r="C298">
        <v>55937918</v>
      </c>
      <c r="D298">
        <v>55461705</v>
      </c>
      <c r="E298">
        <v>1</v>
      </c>
      <c r="F298">
        <v>1</v>
      </c>
      <c r="G298">
        <v>1081</v>
      </c>
      <c r="H298">
        <v>3</v>
      </c>
      <c r="I298" t="s">
        <v>563</v>
      </c>
      <c r="J298" t="s">
        <v>564</v>
      </c>
      <c r="K298" t="s">
        <v>565</v>
      </c>
      <c r="L298">
        <v>1346</v>
      </c>
      <c r="N298">
        <v>1009</v>
      </c>
      <c r="O298" t="s">
        <v>311</v>
      </c>
      <c r="P298" t="s">
        <v>311</v>
      </c>
      <c r="Q298">
        <v>1</v>
      </c>
      <c r="W298">
        <v>0</v>
      </c>
      <c r="X298">
        <v>731843586</v>
      </c>
      <c r="Y298">
        <f t="shared" si="115"/>
        <v>0.03</v>
      </c>
      <c r="AA298">
        <v>978.56</v>
      </c>
      <c r="AB298">
        <v>0</v>
      </c>
      <c r="AC298">
        <v>0</v>
      </c>
      <c r="AD298">
        <v>0</v>
      </c>
      <c r="AE298">
        <v>520.51</v>
      </c>
      <c r="AF298">
        <v>0</v>
      </c>
      <c r="AG298">
        <v>0</v>
      </c>
      <c r="AH298">
        <v>0</v>
      </c>
      <c r="AI298">
        <v>1.88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0.03</v>
      </c>
      <c r="AU298" t="s">
        <v>113</v>
      </c>
      <c r="AV298">
        <v>0</v>
      </c>
      <c r="AW298">
        <v>2</v>
      </c>
      <c r="AX298">
        <v>55937924</v>
      </c>
      <c r="AY298">
        <v>1</v>
      </c>
      <c r="AZ298">
        <v>0</v>
      </c>
      <c r="BA298">
        <v>362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ROUND(Y298*Source!I241,9)</f>
        <v>5.9999999999999995E-4</v>
      </c>
      <c r="CY298">
        <f t="shared" si="116"/>
        <v>978.56</v>
      </c>
      <c r="CZ298">
        <f t="shared" si="117"/>
        <v>520.51</v>
      </c>
      <c r="DA298">
        <f t="shared" si="118"/>
        <v>1.88</v>
      </c>
      <c r="DB298">
        <f t="shared" si="119"/>
        <v>15.62</v>
      </c>
      <c r="DC298">
        <f t="shared" si="120"/>
        <v>0</v>
      </c>
      <c r="DD298" t="s">
        <v>3</v>
      </c>
      <c r="DE298" t="s">
        <v>3</v>
      </c>
      <c r="DF298">
        <f t="shared" si="121"/>
        <v>0.59</v>
      </c>
      <c r="DG298">
        <f t="shared" si="122"/>
        <v>0</v>
      </c>
      <c r="DH298">
        <f t="shared" si="123"/>
        <v>0</v>
      </c>
      <c r="DI298">
        <f t="shared" si="96"/>
        <v>0</v>
      </c>
      <c r="DJ298">
        <f t="shared" si="124"/>
        <v>0.59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ROW(Source!A241)</f>
        <v>241</v>
      </c>
      <c r="B299">
        <v>55937298</v>
      </c>
      <c r="C299">
        <v>55937918</v>
      </c>
      <c r="D299">
        <v>55459815</v>
      </c>
      <c r="E299">
        <v>1</v>
      </c>
      <c r="F299">
        <v>1</v>
      </c>
      <c r="G299">
        <v>1081</v>
      </c>
      <c r="H299">
        <v>3</v>
      </c>
      <c r="I299" t="s">
        <v>566</v>
      </c>
      <c r="J299" t="s">
        <v>567</v>
      </c>
      <c r="K299" t="s">
        <v>568</v>
      </c>
      <c r="L299">
        <v>1348</v>
      </c>
      <c r="N299">
        <v>1009</v>
      </c>
      <c r="O299" t="s">
        <v>287</v>
      </c>
      <c r="P299" t="s">
        <v>287</v>
      </c>
      <c r="Q299">
        <v>1000</v>
      </c>
      <c r="W299">
        <v>0</v>
      </c>
      <c r="X299">
        <v>-557692701</v>
      </c>
      <c r="Y299">
        <f t="shared" si="115"/>
        <v>2.0999999999999999E-3</v>
      </c>
      <c r="AA299">
        <v>72799.61</v>
      </c>
      <c r="AB299">
        <v>0</v>
      </c>
      <c r="AC299">
        <v>0</v>
      </c>
      <c r="AD299">
        <v>0</v>
      </c>
      <c r="AE299">
        <v>7973.67</v>
      </c>
      <c r="AF299">
        <v>0</v>
      </c>
      <c r="AG299">
        <v>0</v>
      </c>
      <c r="AH299">
        <v>0</v>
      </c>
      <c r="AI299">
        <v>9.1300000000000008</v>
      </c>
      <c r="AJ299">
        <v>1</v>
      </c>
      <c r="AK299">
        <v>1</v>
      </c>
      <c r="AL299">
        <v>1</v>
      </c>
      <c r="AM299">
        <v>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2.0999999999999999E-3</v>
      </c>
      <c r="AU299" t="s">
        <v>113</v>
      </c>
      <c r="AV299">
        <v>0</v>
      </c>
      <c r="AW299">
        <v>2</v>
      </c>
      <c r="AX299">
        <v>55937925</v>
      </c>
      <c r="AY299">
        <v>1</v>
      </c>
      <c r="AZ299">
        <v>0</v>
      </c>
      <c r="BA299">
        <v>363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v>0</v>
      </c>
      <c r="CX299">
        <f>ROUND(Y299*Source!I241,9)</f>
        <v>4.1999999999999998E-5</v>
      </c>
      <c r="CY299">
        <f t="shared" si="116"/>
        <v>72799.61</v>
      </c>
      <c r="CZ299">
        <f t="shared" si="117"/>
        <v>7973.67</v>
      </c>
      <c r="DA299">
        <f t="shared" si="118"/>
        <v>9.1300000000000008</v>
      </c>
      <c r="DB299">
        <f t="shared" si="119"/>
        <v>16.739999999999998</v>
      </c>
      <c r="DC299">
        <f t="shared" si="120"/>
        <v>0</v>
      </c>
      <c r="DD299" t="s">
        <v>3</v>
      </c>
      <c r="DE299" t="s">
        <v>3</v>
      </c>
      <c r="DF299">
        <f t="shared" si="121"/>
        <v>3.06</v>
      </c>
      <c r="DG299">
        <f t="shared" si="122"/>
        <v>0</v>
      </c>
      <c r="DH299">
        <f t="shared" si="123"/>
        <v>0</v>
      </c>
      <c r="DI299">
        <f t="shared" si="96"/>
        <v>0</v>
      </c>
      <c r="DJ299">
        <f t="shared" si="124"/>
        <v>3.06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ROW(Source!A241)</f>
        <v>241</v>
      </c>
      <c r="B300">
        <v>55937298</v>
      </c>
      <c r="C300">
        <v>55937918</v>
      </c>
      <c r="D300">
        <v>55471710</v>
      </c>
      <c r="E300">
        <v>1</v>
      </c>
      <c r="F300">
        <v>1</v>
      </c>
      <c r="G300">
        <v>1081</v>
      </c>
      <c r="H300">
        <v>3</v>
      </c>
      <c r="I300" t="s">
        <v>383</v>
      </c>
      <c r="J300" t="s">
        <v>385</v>
      </c>
      <c r="K300" t="s">
        <v>384</v>
      </c>
      <c r="L300">
        <v>1301</v>
      </c>
      <c r="N300">
        <v>1003</v>
      </c>
      <c r="O300" t="s">
        <v>332</v>
      </c>
      <c r="P300" t="s">
        <v>332</v>
      </c>
      <c r="Q300">
        <v>1</v>
      </c>
      <c r="W300">
        <v>0</v>
      </c>
      <c r="X300">
        <v>-511472295</v>
      </c>
      <c r="Y300">
        <f t="shared" si="115"/>
        <v>103</v>
      </c>
      <c r="AA300">
        <v>55.04</v>
      </c>
      <c r="AB300">
        <v>0</v>
      </c>
      <c r="AC300">
        <v>0</v>
      </c>
      <c r="AD300">
        <v>0</v>
      </c>
      <c r="AE300">
        <v>32.96</v>
      </c>
      <c r="AF300">
        <v>0</v>
      </c>
      <c r="AG300">
        <v>0</v>
      </c>
      <c r="AH300">
        <v>0</v>
      </c>
      <c r="AI300">
        <v>1.67</v>
      </c>
      <c r="AJ300">
        <v>1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1</v>
      </c>
      <c r="AQ300">
        <v>0</v>
      </c>
      <c r="AR300">
        <v>0</v>
      </c>
      <c r="AS300" t="s">
        <v>3</v>
      </c>
      <c r="AT300">
        <v>103</v>
      </c>
      <c r="AU300" t="s">
        <v>113</v>
      </c>
      <c r="AV300">
        <v>0</v>
      </c>
      <c r="AW300">
        <v>1</v>
      </c>
      <c r="AX300">
        <v>-1</v>
      </c>
      <c r="AY300">
        <v>0</v>
      </c>
      <c r="AZ300">
        <v>0</v>
      </c>
      <c r="BA300" t="s">
        <v>3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ROUND(Y300*Source!I241,9)</f>
        <v>2.06</v>
      </c>
      <c r="CY300">
        <f t="shared" si="116"/>
        <v>55.04</v>
      </c>
      <c r="CZ300">
        <f t="shared" si="117"/>
        <v>32.96</v>
      </c>
      <c r="DA300">
        <f t="shared" si="118"/>
        <v>1.67</v>
      </c>
      <c r="DB300">
        <f t="shared" si="119"/>
        <v>3394.88</v>
      </c>
      <c r="DC300">
        <f t="shared" si="120"/>
        <v>0</v>
      </c>
      <c r="DD300" t="s">
        <v>3</v>
      </c>
      <c r="DE300" t="s">
        <v>3</v>
      </c>
      <c r="DF300">
        <f t="shared" si="121"/>
        <v>113.38</v>
      </c>
      <c r="DG300">
        <f t="shared" si="122"/>
        <v>0</v>
      </c>
      <c r="DH300">
        <f t="shared" si="123"/>
        <v>0</v>
      </c>
      <c r="DI300">
        <f t="shared" si="96"/>
        <v>0</v>
      </c>
      <c r="DJ300">
        <f t="shared" si="124"/>
        <v>113.38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ROW(Source!A241)</f>
        <v>241</v>
      </c>
      <c r="B301">
        <v>55937298</v>
      </c>
      <c r="C301">
        <v>55937918</v>
      </c>
      <c r="D301">
        <v>55482523</v>
      </c>
      <c r="E301">
        <v>1</v>
      </c>
      <c r="F301">
        <v>1</v>
      </c>
      <c r="G301">
        <v>1081</v>
      </c>
      <c r="H301">
        <v>3</v>
      </c>
      <c r="I301" t="s">
        <v>569</v>
      </c>
      <c r="J301" t="s">
        <v>570</v>
      </c>
      <c r="K301" t="s">
        <v>571</v>
      </c>
      <c r="L301">
        <v>1358</v>
      </c>
      <c r="N301">
        <v>1010</v>
      </c>
      <c r="O301" t="s">
        <v>75</v>
      </c>
      <c r="P301" t="s">
        <v>75</v>
      </c>
      <c r="Q301">
        <v>10</v>
      </c>
      <c r="W301">
        <v>0</v>
      </c>
      <c r="X301">
        <v>-101314250</v>
      </c>
      <c r="Y301">
        <f t="shared" si="115"/>
        <v>1.02</v>
      </c>
      <c r="AA301">
        <v>43.35</v>
      </c>
      <c r="AB301">
        <v>0</v>
      </c>
      <c r="AC301">
        <v>0</v>
      </c>
      <c r="AD301">
        <v>0</v>
      </c>
      <c r="AE301">
        <v>5.46</v>
      </c>
      <c r="AF301">
        <v>0</v>
      </c>
      <c r="AG301">
        <v>0</v>
      </c>
      <c r="AH301">
        <v>0</v>
      </c>
      <c r="AI301">
        <v>7.94</v>
      </c>
      <c r="AJ301">
        <v>1</v>
      </c>
      <c r="AK301">
        <v>1</v>
      </c>
      <c r="AL301">
        <v>1</v>
      </c>
      <c r="AM301">
        <v>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1.02</v>
      </c>
      <c r="AU301" t="s">
        <v>113</v>
      </c>
      <c r="AV301">
        <v>0</v>
      </c>
      <c r="AW301">
        <v>2</v>
      </c>
      <c r="AX301">
        <v>55937926</v>
      </c>
      <c r="AY301">
        <v>1</v>
      </c>
      <c r="AZ301">
        <v>0</v>
      </c>
      <c r="BA301">
        <v>364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ROUND(Y301*Source!I241,9)</f>
        <v>2.0400000000000001E-2</v>
      </c>
      <c r="CY301">
        <f t="shared" si="116"/>
        <v>43.35</v>
      </c>
      <c r="CZ301">
        <f t="shared" si="117"/>
        <v>5.46</v>
      </c>
      <c r="DA301">
        <f t="shared" si="118"/>
        <v>7.94</v>
      </c>
      <c r="DB301">
        <f t="shared" si="119"/>
        <v>5.57</v>
      </c>
      <c r="DC301">
        <f t="shared" si="120"/>
        <v>0</v>
      </c>
      <c r="DD301" t="s">
        <v>3</v>
      </c>
      <c r="DE301" t="s">
        <v>3</v>
      </c>
      <c r="DF301">
        <f t="shared" si="121"/>
        <v>0.88</v>
      </c>
      <c r="DG301">
        <f t="shared" si="122"/>
        <v>0</v>
      </c>
      <c r="DH301">
        <f t="shared" si="123"/>
        <v>0</v>
      </c>
      <c r="DI301">
        <f t="shared" si="96"/>
        <v>0</v>
      </c>
      <c r="DJ301">
        <f t="shared" si="124"/>
        <v>0.88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ROW(Source!A241)</f>
        <v>241</v>
      </c>
      <c r="B302">
        <v>55937298</v>
      </c>
      <c r="C302">
        <v>55937918</v>
      </c>
      <c r="D302">
        <v>55482601</v>
      </c>
      <c r="E302">
        <v>1</v>
      </c>
      <c r="F302">
        <v>1</v>
      </c>
      <c r="G302">
        <v>1081</v>
      </c>
      <c r="H302">
        <v>3</v>
      </c>
      <c r="I302" t="s">
        <v>572</v>
      </c>
      <c r="J302" t="s">
        <v>573</v>
      </c>
      <c r="K302" t="s">
        <v>574</v>
      </c>
      <c r="L302">
        <v>1354</v>
      </c>
      <c r="N302">
        <v>1010</v>
      </c>
      <c r="O302" t="s">
        <v>217</v>
      </c>
      <c r="P302" t="s">
        <v>217</v>
      </c>
      <c r="Q302">
        <v>1</v>
      </c>
      <c r="W302">
        <v>0</v>
      </c>
      <c r="X302">
        <v>-852943543</v>
      </c>
      <c r="Y302">
        <f t="shared" si="115"/>
        <v>6</v>
      </c>
      <c r="AA302">
        <v>1008.11</v>
      </c>
      <c r="AB302">
        <v>0</v>
      </c>
      <c r="AC302">
        <v>0</v>
      </c>
      <c r="AD302">
        <v>0</v>
      </c>
      <c r="AE302">
        <v>180.02</v>
      </c>
      <c r="AF302">
        <v>0</v>
      </c>
      <c r="AG302">
        <v>0</v>
      </c>
      <c r="AH302">
        <v>0</v>
      </c>
      <c r="AI302">
        <v>5.6</v>
      </c>
      <c r="AJ302">
        <v>1</v>
      </c>
      <c r="AK302">
        <v>1</v>
      </c>
      <c r="AL302">
        <v>1</v>
      </c>
      <c r="AM302">
        <v>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6</v>
      </c>
      <c r="AU302" t="s">
        <v>113</v>
      </c>
      <c r="AV302">
        <v>0</v>
      </c>
      <c r="AW302">
        <v>2</v>
      </c>
      <c r="AX302">
        <v>55937927</v>
      </c>
      <c r="AY302">
        <v>1</v>
      </c>
      <c r="AZ302">
        <v>0</v>
      </c>
      <c r="BA302">
        <v>365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ROUND(Y302*Source!I241,9)</f>
        <v>0.12</v>
      </c>
      <c r="CY302">
        <f t="shared" si="116"/>
        <v>1008.11</v>
      </c>
      <c r="CZ302">
        <f t="shared" si="117"/>
        <v>180.02</v>
      </c>
      <c r="DA302">
        <f t="shared" si="118"/>
        <v>5.6</v>
      </c>
      <c r="DB302">
        <f t="shared" si="119"/>
        <v>1080.1199999999999</v>
      </c>
      <c r="DC302">
        <f t="shared" si="120"/>
        <v>0</v>
      </c>
      <c r="DD302" t="s">
        <v>3</v>
      </c>
      <c r="DE302" t="s">
        <v>3</v>
      </c>
      <c r="DF302">
        <f t="shared" si="121"/>
        <v>120.97</v>
      </c>
      <c r="DG302">
        <f t="shared" si="122"/>
        <v>0</v>
      </c>
      <c r="DH302">
        <f t="shared" si="123"/>
        <v>0</v>
      </c>
      <c r="DI302">
        <f t="shared" si="96"/>
        <v>0</v>
      </c>
      <c r="DJ302">
        <f t="shared" si="124"/>
        <v>120.97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ROW(Source!A241)</f>
        <v>241</v>
      </c>
      <c r="B303">
        <v>55937298</v>
      </c>
      <c r="C303">
        <v>55937918</v>
      </c>
      <c r="D303">
        <v>55482617</v>
      </c>
      <c r="E303">
        <v>1</v>
      </c>
      <c r="F303">
        <v>1</v>
      </c>
      <c r="G303">
        <v>1081</v>
      </c>
      <c r="H303">
        <v>3</v>
      </c>
      <c r="I303" t="s">
        <v>575</v>
      </c>
      <c r="J303" t="s">
        <v>576</v>
      </c>
      <c r="K303" t="s">
        <v>577</v>
      </c>
      <c r="L303">
        <v>1354</v>
      </c>
      <c r="N303">
        <v>1010</v>
      </c>
      <c r="O303" t="s">
        <v>217</v>
      </c>
      <c r="P303" t="s">
        <v>217</v>
      </c>
      <c r="Q303">
        <v>1</v>
      </c>
      <c r="W303">
        <v>0</v>
      </c>
      <c r="X303">
        <v>-1189947653</v>
      </c>
      <c r="Y303">
        <f t="shared" si="115"/>
        <v>6</v>
      </c>
      <c r="AA303">
        <v>123.97</v>
      </c>
      <c r="AB303">
        <v>0</v>
      </c>
      <c r="AC303">
        <v>0</v>
      </c>
      <c r="AD303">
        <v>0</v>
      </c>
      <c r="AE303">
        <v>14.99</v>
      </c>
      <c r="AF303">
        <v>0</v>
      </c>
      <c r="AG303">
        <v>0</v>
      </c>
      <c r="AH303">
        <v>0</v>
      </c>
      <c r="AI303">
        <v>8.27</v>
      </c>
      <c r="AJ303">
        <v>1</v>
      </c>
      <c r="AK303">
        <v>1</v>
      </c>
      <c r="AL303">
        <v>1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6</v>
      </c>
      <c r="AU303" t="s">
        <v>113</v>
      </c>
      <c r="AV303">
        <v>0</v>
      </c>
      <c r="AW303">
        <v>2</v>
      </c>
      <c r="AX303">
        <v>55937928</v>
      </c>
      <c r="AY303">
        <v>1</v>
      </c>
      <c r="AZ303">
        <v>0</v>
      </c>
      <c r="BA303">
        <v>366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ROUND(Y303*Source!I241,9)</f>
        <v>0.12</v>
      </c>
      <c r="CY303">
        <f t="shared" si="116"/>
        <v>123.97</v>
      </c>
      <c r="CZ303">
        <f t="shared" si="117"/>
        <v>14.99</v>
      </c>
      <c r="DA303">
        <f t="shared" si="118"/>
        <v>8.27</v>
      </c>
      <c r="DB303">
        <f t="shared" si="119"/>
        <v>89.94</v>
      </c>
      <c r="DC303">
        <f t="shared" si="120"/>
        <v>0</v>
      </c>
      <c r="DD303" t="s">
        <v>3</v>
      </c>
      <c r="DE303" t="s">
        <v>3</v>
      </c>
      <c r="DF303">
        <f t="shared" si="121"/>
        <v>14.88</v>
      </c>
      <c r="DG303">
        <f t="shared" si="122"/>
        <v>0</v>
      </c>
      <c r="DH303">
        <f t="shared" si="123"/>
        <v>0</v>
      </c>
      <c r="DI303">
        <f t="shared" si="96"/>
        <v>0</v>
      </c>
      <c r="DJ303">
        <f t="shared" si="124"/>
        <v>14.88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ROW(Source!A241)</f>
        <v>241</v>
      </c>
      <c r="B304">
        <v>55937298</v>
      </c>
      <c r="C304">
        <v>55937918</v>
      </c>
      <c r="D304">
        <v>55466696</v>
      </c>
      <c r="E304">
        <v>1</v>
      </c>
      <c r="F304">
        <v>1</v>
      </c>
      <c r="G304">
        <v>1081</v>
      </c>
      <c r="H304">
        <v>3</v>
      </c>
      <c r="I304" t="s">
        <v>578</v>
      </c>
      <c r="J304" t="s">
        <v>579</v>
      </c>
      <c r="K304" t="s">
        <v>580</v>
      </c>
      <c r="L304">
        <v>1339</v>
      </c>
      <c r="N304">
        <v>1007</v>
      </c>
      <c r="O304" t="s">
        <v>581</v>
      </c>
      <c r="P304" t="s">
        <v>581</v>
      </c>
      <c r="Q304">
        <v>1</v>
      </c>
      <c r="W304">
        <v>0</v>
      </c>
      <c r="X304">
        <v>-762874257</v>
      </c>
      <c r="Y304">
        <f t="shared" si="115"/>
        <v>2E-3</v>
      </c>
      <c r="AA304">
        <v>4746.6000000000004</v>
      </c>
      <c r="AB304">
        <v>0</v>
      </c>
      <c r="AC304">
        <v>0</v>
      </c>
      <c r="AD304">
        <v>0</v>
      </c>
      <c r="AE304">
        <v>439.5</v>
      </c>
      <c r="AF304">
        <v>0</v>
      </c>
      <c r="AG304">
        <v>0</v>
      </c>
      <c r="AH304">
        <v>0</v>
      </c>
      <c r="AI304">
        <v>10.8</v>
      </c>
      <c r="AJ304">
        <v>1</v>
      </c>
      <c r="AK304">
        <v>1</v>
      </c>
      <c r="AL304">
        <v>1</v>
      </c>
      <c r="AM304">
        <v>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2E-3</v>
      </c>
      <c r="AU304" t="s">
        <v>113</v>
      </c>
      <c r="AV304">
        <v>0</v>
      </c>
      <c r="AW304">
        <v>2</v>
      </c>
      <c r="AX304">
        <v>55937929</v>
      </c>
      <c r="AY304">
        <v>1</v>
      </c>
      <c r="AZ304">
        <v>0</v>
      </c>
      <c r="BA304">
        <v>367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ROUND(Y304*Source!I241,9)</f>
        <v>4.0000000000000003E-5</v>
      </c>
      <c r="CY304">
        <f t="shared" si="116"/>
        <v>4746.6000000000004</v>
      </c>
      <c r="CZ304">
        <f t="shared" si="117"/>
        <v>439.5</v>
      </c>
      <c r="DA304">
        <f t="shared" si="118"/>
        <v>10.8</v>
      </c>
      <c r="DB304">
        <f t="shared" si="119"/>
        <v>0.88</v>
      </c>
      <c r="DC304">
        <f t="shared" si="120"/>
        <v>0</v>
      </c>
      <c r="DD304" t="s">
        <v>3</v>
      </c>
      <c r="DE304" t="s">
        <v>3</v>
      </c>
      <c r="DF304">
        <f t="shared" si="121"/>
        <v>0.19</v>
      </c>
      <c r="DG304">
        <f t="shared" si="122"/>
        <v>0</v>
      </c>
      <c r="DH304">
        <f t="shared" si="123"/>
        <v>0</v>
      </c>
      <c r="DI304">
        <f t="shared" si="96"/>
        <v>0</v>
      </c>
      <c r="DJ304">
        <f t="shared" si="124"/>
        <v>0.19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ROW(Source!A244)</f>
        <v>244</v>
      </c>
      <c r="B305">
        <v>55937296</v>
      </c>
      <c r="C305">
        <v>55937954</v>
      </c>
      <c r="D305">
        <v>55424304</v>
      </c>
      <c r="E305">
        <v>1081</v>
      </c>
      <c r="F305">
        <v>1</v>
      </c>
      <c r="G305">
        <v>1081</v>
      </c>
      <c r="H305">
        <v>1</v>
      </c>
      <c r="I305" t="s">
        <v>449</v>
      </c>
      <c r="J305" t="s">
        <v>3</v>
      </c>
      <c r="K305" t="s">
        <v>450</v>
      </c>
      <c r="L305">
        <v>1191</v>
      </c>
      <c r="N305">
        <v>1013</v>
      </c>
      <c r="O305" t="s">
        <v>451</v>
      </c>
      <c r="P305" t="s">
        <v>451</v>
      </c>
      <c r="Q305">
        <v>1</v>
      </c>
      <c r="W305">
        <v>0</v>
      </c>
      <c r="X305">
        <v>476480486</v>
      </c>
      <c r="Y305">
        <f>(AT305*1.2)</f>
        <v>5.3879999999999999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4.49</v>
      </c>
      <c r="AU305" t="s">
        <v>114</v>
      </c>
      <c r="AV305">
        <v>1</v>
      </c>
      <c r="AW305">
        <v>2</v>
      </c>
      <c r="AX305">
        <v>55937955</v>
      </c>
      <c r="AY305">
        <v>1</v>
      </c>
      <c r="AZ305">
        <v>0</v>
      </c>
      <c r="BA305">
        <v>373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U305">
        <f>ROUND(AT305*Source!I244*AH305*AL305,2)</f>
        <v>0</v>
      </c>
      <c r="CV305">
        <f>ROUND(Y305*Source!I244,9)</f>
        <v>42.780720000000002</v>
      </c>
      <c r="CW305">
        <v>0</v>
      </c>
      <c r="CX305">
        <f>ROUND(Y305*Source!I244,9)</f>
        <v>42.780720000000002</v>
      </c>
      <c r="CY305">
        <f>AD305</f>
        <v>0</v>
      </c>
      <c r="CZ305">
        <f>AH305</f>
        <v>0</v>
      </c>
      <c r="DA305">
        <f>AL305</f>
        <v>1</v>
      </c>
      <c r="DB305">
        <f>ROUND((ROUND(AT305*CZ305,2)*1.2),6)</f>
        <v>0</v>
      </c>
      <c r="DC305">
        <f>ROUND((ROUND(AT305*AG305,2)*1.2),6)</f>
        <v>0</v>
      </c>
      <c r="DD305" t="s">
        <v>3</v>
      </c>
      <c r="DE305" t="s">
        <v>3</v>
      </c>
      <c r="DF305">
        <f t="shared" ref="DF305:DF316" si="125">ROUND(ROUND(AE305,2)*CX305,2)</f>
        <v>0</v>
      </c>
      <c r="DG305">
        <f t="shared" si="122"/>
        <v>0</v>
      </c>
      <c r="DH305">
        <f t="shared" si="123"/>
        <v>0</v>
      </c>
      <c r="DI305">
        <f t="shared" si="96"/>
        <v>0</v>
      </c>
      <c r="DJ305">
        <f>DI305</f>
        <v>0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ROW(Source!A244)</f>
        <v>244</v>
      </c>
      <c r="B306">
        <v>55937296</v>
      </c>
      <c r="C306">
        <v>55937954</v>
      </c>
      <c r="D306">
        <v>55490209</v>
      </c>
      <c r="E306">
        <v>1</v>
      </c>
      <c r="F306">
        <v>1</v>
      </c>
      <c r="G306">
        <v>1081</v>
      </c>
      <c r="H306">
        <v>2</v>
      </c>
      <c r="I306" t="s">
        <v>489</v>
      </c>
      <c r="J306" t="s">
        <v>490</v>
      </c>
      <c r="K306" t="s">
        <v>491</v>
      </c>
      <c r="L306">
        <v>1368</v>
      </c>
      <c r="N306">
        <v>1011</v>
      </c>
      <c r="O306" t="s">
        <v>455</v>
      </c>
      <c r="P306" t="s">
        <v>455</v>
      </c>
      <c r="Q306">
        <v>1</v>
      </c>
      <c r="W306">
        <v>0</v>
      </c>
      <c r="X306">
        <v>874612079</v>
      </c>
      <c r="Y306">
        <f>(AT306*1.2)</f>
        <v>1.2E-2</v>
      </c>
      <c r="AA306">
        <v>0</v>
      </c>
      <c r="AB306">
        <v>87.01</v>
      </c>
      <c r="AC306">
        <v>13.21</v>
      </c>
      <c r="AD306">
        <v>0</v>
      </c>
      <c r="AE306">
        <v>0</v>
      </c>
      <c r="AF306">
        <v>83.1</v>
      </c>
      <c r="AG306">
        <v>12.62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0.01</v>
      </c>
      <c r="AU306" t="s">
        <v>114</v>
      </c>
      <c r="AV306">
        <v>0</v>
      </c>
      <c r="AW306">
        <v>2</v>
      </c>
      <c r="AX306">
        <v>55937956</v>
      </c>
      <c r="AY306">
        <v>1</v>
      </c>
      <c r="AZ306">
        <v>0</v>
      </c>
      <c r="BA306">
        <v>374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f>ROUND(Y306*Source!I244*DO306,9)</f>
        <v>1.2024336</v>
      </c>
      <c r="CX306">
        <f>ROUND(Y306*Source!I244,9)</f>
        <v>9.5280000000000004E-2</v>
      </c>
      <c r="CY306">
        <f>AB306</f>
        <v>87.01</v>
      </c>
      <c r="CZ306">
        <f>AF306</f>
        <v>83.1</v>
      </c>
      <c r="DA306">
        <f>AJ306</f>
        <v>1</v>
      </c>
      <c r="DB306">
        <f>ROUND((ROUND(AT306*CZ306,2)*1.2),6)</f>
        <v>0.996</v>
      </c>
      <c r="DC306">
        <f>ROUND((ROUND(AT306*AG306,2)*1.2),6)</f>
        <v>0.156</v>
      </c>
      <c r="DD306" t="s">
        <v>3</v>
      </c>
      <c r="DE306" t="s">
        <v>3</v>
      </c>
      <c r="DF306">
        <f t="shared" si="125"/>
        <v>0</v>
      </c>
      <c r="DG306">
        <f t="shared" si="122"/>
        <v>7.92</v>
      </c>
      <c r="DH306">
        <f t="shared" si="123"/>
        <v>1.2</v>
      </c>
      <c r="DI306">
        <f t="shared" si="96"/>
        <v>0</v>
      </c>
      <c r="DJ306">
        <f>DG306</f>
        <v>7.92</v>
      </c>
      <c r="DK306">
        <v>0</v>
      </c>
      <c r="DL306" t="s">
        <v>492</v>
      </c>
      <c r="DM306">
        <v>0</v>
      </c>
      <c r="DN306" t="s">
        <v>451</v>
      </c>
      <c r="DO306">
        <v>12.62</v>
      </c>
    </row>
    <row r="307" spans="1:119" x14ac:dyDescent="0.2">
      <c r="A307">
        <f>ROW(Source!A244)</f>
        <v>244</v>
      </c>
      <c r="B307">
        <v>55937296</v>
      </c>
      <c r="C307">
        <v>55937954</v>
      </c>
      <c r="D307">
        <v>55489443</v>
      </c>
      <c r="E307">
        <v>1</v>
      </c>
      <c r="F307">
        <v>1</v>
      </c>
      <c r="G307">
        <v>1081</v>
      </c>
      <c r="H307">
        <v>2</v>
      </c>
      <c r="I307" t="s">
        <v>582</v>
      </c>
      <c r="J307" t="s">
        <v>583</v>
      </c>
      <c r="K307" t="s">
        <v>584</v>
      </c>
      <c r="L307">
        <v>1368</v>
      </c>
      <c r="N307">
        <v>1011</v>
      </c>
      <c r="O307" t="s">
        <v>455</v>
      </c>
      <c r="P307" t="s">
        <v>455</v>
      </c>
      <c r="Q307">
        <v>1</v>
      </c>
      <c r="W307">
        <v>0</v>
      </c>
      <c r="X307">
        <v>-44940208</v>
      </c>
      <c r="Y307">
        <f>(AT307*1.2)</f>
        <v>1.2E-2</v>
      </c>
      <c r="AA307">
        <v>0</v>
      </c>
      <c r="AB307">
        <v>187.59</v>
      </c>
      <c r="AC307">
        <v>17.73</v>
      </c>
      <c r="AD307">
        <v>0</v>
      </c>
      <c r="AE307">
        <v>0</v>
      </c>
      <c r="AF307">
        <v>179.17</v>
      </c>
      <c r="AG307">
        <v>16.93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0.01</v>
      </c>
      <c r="AU307" t="s">
        <v>114</v>
      </c>
      <c r="AV307">
        <v>0</v>
      </c>
      <c r="AW307">
        <v>2</v>
      </c>
      <c r="AX307">
        <v>55937957</v>
      </c>
      <c r="AY307">
        <v>1</v>
      </c>
      <c r="AZ307">
        <v>0</v>
      </c>
      <c r="BA307">
        <v>375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ROUND(Y307*Source!I244*DO307,9)</f>
        <v>1.6130903999999999</v>
      </c>
      <c r="CX307">
        <f>ROUND(Y307*Source!I244,9)</f>
        <v>9.5280000000000004E-2</v>
      </c>
      <c r="CY307">
        <f>AB307</f>
        <v>187.59</v>
      </c>
      <c r="CZ307">
        <f>AF307</f>
        <v>179.17</v>
      </c>
      <c r="DA307">
        <f>AJ307</f>
        <v>1</v>
      </c>
      <c r="DB307">
        <f>ROUND((ROUND(AT307*CZ307,2)*1.2),6)</f>
        <v>2.1480000000000001</v>
      </c>
      <c r="DC307">
        <f>ROUND((ROUND(AT307*AG307,2)*1.2),6)</f>
        <v>0.20399999999999999</v>
      </c>
      <c r="DD307" t="s">
        <v>3</v>
      </c>
      <c r="DE307" t="s">
        <v>3</v>
      </c>
      <c r="DF307">
        <f t="shared" si="125"/>
        <v>0</v>
      </c>
      <c r="DG307">
        <f t="shared" si="122"/>
        <v>17.07</v>
      </c>
      <c r="DH307">
        <f t="shared" si="123"/>
        <v>1.61</v>
      </c>
      <c r="DI307">
        <f t="shared" si="96"/>
        <v>0</v>
      </c>
      <c r="DJ307">
        <f>DG307</f>
        <v>17.07</v>
      </c>
      <c r="DK307">
        <v>0</v>
      </c>
      <c r="DL307" t="s">
        <v>492</v>
      </c>
      <c r="DM307">
        <v>0</v>
      </c>
      <c r="DN307" t="s">
        <v>451</v>
      </c>
      <c r="DO307">
        <v>16.93</v>
      </c>
    </row>
    <row r="308" spans="1:119" x14ac:dyDescent="0.2">
      <c r="A308">
        <f>ROW(Source!A244)</f>
        <v>244</v>
      </c>
      <c r="B308">
        <v>55937296</v>
      </c>
      <c r="C308">
        <v>55937954</v>
      </c>
      <c r="D308">
        <v>55460033</v>
      </c>
      <c r="E308">
        <v>1</v>
      </c>
      <c r="F308">
        <v>1</v>
      </c>
      <c r="G308">
        <v>1081</v>
      </c>
      <c r="H308">
        <v>3</v>
      </c>
      <c r="I308" t="s">
        <v>585</v>
      </c>
      <c r="J308" t="s">
        <v>586</v>
      </c>
      <c r="K308" t="s">
        <v>587</v>
      </c>
      <c r="L308">
        <v>1346</v>
      </c>
      <c r="N308">
        <v>1009</v>
      </c>
      <c r="O308" t="s">
        <v>311</v>
      </c>
      <c r="P308" t="s">
        <v>311</v>
      </c>
      <c r="Q308">
        <v>1</v>
      </c>
      <c r="W308">
        <v>0</v>
      </c>
      <c r="X308">
        <v>-1364668115</v>
      </c>
      <c r="Y308">
        <f t="shared" ref="Y308:Y313" si="126">(AT308*1)</f>
        <v>0.43</v>
      </c>
      <c r="AA308">
        <v>1.38</v>
      </c>
      <c r="AB308">
        <v>0</v>
      </c>
      <c r="AC308">
        <v>0</v>
      </c>
      <c r="AD308">
        <v>0</v>
      </c>
      <c r="AE308">
        <v>1.38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0.43</v>
      </c>
      <c r="AU308" t="s">
        <v>113</v>
      </c>
      <c r="AV308">
        <v>0</v>
      </c>
      <c r="AW308">
        <v>2</v>
      </c>
      <c r="AX308">
        <v>55937958</v>
      </c>
      <c r="AY308">
        <v>1</v>
      </c>
      <c r="AZ308">
        <v>0</v>
      </c>
      <c r="BA308">
        <v>376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ROUND(Y308*Source!I244,9)</f>
        <v>3.4142000000000001</v>
      </c>
      <c r="CY308">
        <f t="shared" ref="CY308:CY313" si="127">AA308</f>
        <v>1.38</v>
      </c>
      <c r="CZ308">
        <f t="shared" ref="CZ308:CZ313" si="128">AE308</f>
        <v>1.38</v>
      </c>
      <c r="DA308">
        <f t="shared" ref="DA308:DA313" si="129">AI308</f>
        <v>1</v>
      </c>
      <c r="DB308">
        <f t="shared" ref="DB308:DB313" si="130">ROUND((ROUND(AT308*CZ308,2)*1),6)</f>
        <v>0.59</v>
      </c>
      <c r="DC308">
        <f t="shared" ref="DC308:DC313" si="131">ROUND((ROUND(AT308*AG308,2)*1),6)</f>
        <v>0</v>
      </c>
      <c r="DD308" t="s">
        <v>3</v>
      </c>
      <c r="DE308" t="s">
        <v>3</v>
      </c>
      <c r="DF308">
        <f t="shared" si="125"/>
        <v>4.71</v>
      </c>
      <c r="DG308">
        <f t="shared" si="122"/>
        <v>0</v>
      </c>
      <c r="DH308">
        <f t="shared" si="123"/>
        <v>0</v>
      </c>
      <c r="DI308">
        <f t="shared" si="96"/>
        <v>0</v>
      </c>
      <c r="DJ308">
        <f t="shared" ref="DJ308:DJ313" si="132">DF308</f>
        <v>4.71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ROW(Source!A244)</f>
        <v>244</v>
      </c>
      <c r="B309">
        <v>55937296</v>
      </c>
      <c r="C309">
        <v>55937954</v>
      </c>
      <c r="D309">
        <v>55460424</v>
      </c>
      <c r="E309">
        <v>1</v>
      </c>
      <c r="F309">
        <v>1</v>
      </c>
      <c r="G309">
        <v>1081</v>
      </c>
      <c r="H309">
        <v>3</v>
      </c>
      <c r="I309" t="s">
        <v>496</v>
      </c>
      <c r="J309" t="s">
        <v>497</v>
      </c>
      <c r="K309" t="s">
        <v>498</v>
      </c>
      <c r="L309">
        <v>1346</v>
      </c>
      <c r="N309">
        <v>1009</v>
      </c>
      <c r="O309" t="s">
        <v>311</v>
      </c>
      <c r="P309" t="s">
        <v>311</v>
      </c>
      <c r="Q309">
        <v>1</v>
      </c>
      <c r="W309">
        <v>0</v>
      </c>
      <c r="X309">
        <v>1309298634</v>
      </c>
      <c r="Y309">
        <f t="shared" si="126"/>
        <v>0.16</v>
      </c>
      <c r="AA309">
        <v>159.06</v>
      </c>
      <c r="AB309">
        <v>0</v>
      </c>
      <c r="AC309">
        <v>0</v>
      </c>
      <c r="AD309">
        <v>0</v>
      </c>
      <c r="AE309">
        <v>159.06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0.16</v>
      </c>
      <c r="AU309" t="s">
        <v>113</v>
      </c>
      <c r="AV309">
        <v>0</v>
      </c>
      <c r="AW309">
        <v>2</v>
      </c>
      <c r="AX309">
        <v>55937959</v>
      </c>
      <c r="AY309">
        <v>1</v>
      </c>
      <c r="AZ309">
        <v>0</v>
      </c>
      <c r="BA309">
        <v>377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ROUND(Y309*Source!I244,9)</f>
        <v>1.2704</v>
      </c>
      <c r="CY309">
        <f t="shared" si="127"/>
        <v>159.06</v>
      </c>
      <c r="CZ309">
        <f t="shared" si="128"/>
        <v>159.06</v>
      </c>
      <c r="DA309">
        <f t="shared" si="129"/>
        <v>1</v>
      </c>
      <c r="DB309">
        <f t="shared" si="130"/>
        <v>25.45</v>
      </c>
      <c r="DC309">
        <f t="shared" si="131"/>
        <v>0</v>
      </c>
      <c r="DD309" t="s">
        <v>3</v>
      </c>
      <c r="DE309" t="s">
        <v>3</v>
      </c>
      <c r="DF309">
        <f t="shared" si="125"/>
        <v>202.07</v>
      </c>
      <c r="DG309">
        <f t="shared" si="122"/>
        <v>0</v>
      </c>
      <c r="DH309">
        <f t="shared" si="123"/>
        <v>0</v>
      </c>
      <c r="DI309">
        <f t="shared" si="96"/>
        <v>0</v>
      </c>
      <c r="DJ309">
        <f t="shared" si="132"/>
        <v>202.07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ROW(Source!A244)</f>
        <v>244</v>
      </c>
      <c r="B310">
        <v>55937296</v>
      </c>
      <c r="C310">
        <v>55937954</v>
      </c>
      <c r="D310">
        <v>55482505</v>
      </c>
      <c r="E310">
        <v>1</v>
      </c>
      <c r="F310">
        <v>1</v>
      </c>
      <c r="G310">
        <v>1081</v>
      </c>
      <c r="H310">
        <v>3</v>
      </c>
      <c r="I310" t="s">
        <v>588</v>
      </c>
      <c r="J310" t="s">
        <v>589</v>
      </c>
      <c r="K310" t="s">
        <v>590</v>
      </c>
      <c r="L310">
        <v>1355</v>
      </c>
      <c r="N310">
        <v>1010</v>
      </c>
      <c r="O310" t="s">
        <v>60</v>
      </c>
      <c r="P310" t="s">
        <v>60</v>
      </c>
      <c r="Q310">
        <v>100</v>
      </c>
      <c r="W310">
        <v>0</v>
      </c>
      <c r="X310">
        <v>1198965026</v>
      </c>
      <c r="Y310">
        <f t="shared" si="126"/>
        <v>0.05</v>
      </c>
      <c r="AA310">
        <v>68.819999999999993</v>
      </c>
      <c r="AB310">
        <v>0</v>
      </c>
      <c r="AC310">
        <v>0</v>
      </c>
      <c r="AD310">
        <v>0</v>
      </c>
      <c r="AE310">
        <v>68.819999999999993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0.05</v>
      </c>
      <c r="AU310" t="s">
        <v>113</v>
      </c>
      <c r="AV310">
        <v>0</v>
      </c>
      <c r="AW310">
        <v>2</v>
      </c>
      <c r="AX310">
        <v>55937960</v>
      </c>
      <c r="AY310">
        <v>1</v>
      </c>
      <c r="AZ310">
        <v>0</v>
      </c>
      <c r="BA310">
        <v>378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ROUND(Y310*Source!I244,9)</f>
        <v>0.39700000000000002</v>
      </c>
      <c r="CY310">
        <f t="shared" si="127"/>
        <v>68.819999999999993</v>
      </c>
      <c r="CZ310">
        <f t="shared" si="128"/>
        <v>68.819999999999993</v>
      </c>
      <c r="DA310">
        <f t="shared" si="129"/>
        <v>1</v>
      </c>
      <c r="DB310">
        <f t="shared" si="130"/>
        <v>3.44</v>
      </c>
      <c r="DC310">
        <f t="shared" si="131"/>
        <v>0</v>
      </c>
      <c r="DD310" t="s">
        <v>3</v>
      </c>
      <c r="DE310" t="s">
        <v>3</v>
      </c>
      <c r="DF310">
        <f t="shared" si="125"/>
        <v>27.32</v>
      </c>
      <c r="DG310">
        <f t="shared" si="122"/>
        <v>0</v>
      </c>
      <c r="DH310">
        <f t="shared" si="123"/>
        <v>0</v>
      </c>
      <c r="DI310">
        <f t="shared" si="96"/>
        <v>0</v>
      </c>
      <c r="DJ310">
        <f t="shared" si="132"/>
        <v>27.32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ROW(Source!A244)</f>
        <v>244</v>
      </c>
      <c r="B311">
        <v>55937296</v>
      </c>
      <c r="C311">
        <v>55937954</v>
      </c>
      <c r="D311">
        <v>55482516</v>
      </c>
      <c r="E311">
        <v>1</v>
      </c>
      <c r="F311">
        <v>1</v>
      </c>
      <c r="G311">
        <v>1081</v>
      </c>
      <c r="H311">
        <v>3</v>
      </c>
      <c r="I311" t="s">
        <v>591</v>
      </c>
      <c r="J311" t="s">
        <v>592</v>
      </c>
      <c r="K311" t="s">
        <v>593</v>
      </c>
      <c r="L311">
        <v>1356</v>
      </c>
      <c r="N311">
        <v>1010</v>
      </c>
      <c r="O311" t="s">
        <v>353</v>
      </c>
      <c r="P311" t="s">
        <v>353</v>
      </c>
      <c r="Q311">
        <v>1000</v>
      </c>
      <c r="W311">
        <v>0</v>
      </c>
      <c r="X311">
        <v>472025271</v>
      </c>
      <c r="Y311">
        <f t="shared" si="126"/>
        <v>1.2200000000000001E-2</v>
      </c>
      <c r="AA311">
        <v>183.4</v>
      </c>
      <c r="AB311">
        <v>0</v>
      </c>
      <c r="AC311">
        <v>0</v>
      </c>
      <c r="AD311">
        <v>0</v>
      </c>
      <c r="AE311">
        <v>183.4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1.2200000000000001E-2</v>
      </c>
      <c r="AU311" t="s">
        <v>113</v>
      </c>
      <c r="AV311">
        <v>0</v>
      </c>
      <c r="AW311">
        <v>2</v>
      </c>
      <c r="AX311">
        <v>55937961</v>
      </c>
      <c r="AY311">
        <v>1</v>
      </c>
      <c r="AZ311">
        <v>0</v>
      </c>
      <c r="BA311">
        <v>379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ROUND(Y311*Source!I244,9)</f>
        <v>9.6867999999999996E-2</v>
      </c>
      <c r="CY311">
        <f t="shared" si="127"/>
        <v>183.4</v>
      </c>
      <c r="CZ311">
        <f t="shared" si="128"/>
        <v>183.4</v>
      </c>
      <c r="DA311">
        <f t="shared" si="129"/>
        <v>1</v>
      </c>
      <c r="DB311">
        <f t="shared" si="130"/>
        <v>2.2400000000000002</v>
      </c>
      <c r="DC311">
        <f t="shared" si="131"/>
        <v>0</v>
      </c>
      <c r="DD311" t="s">
        <v>3</v>
      </c>
      <c r="DE311" t="s">
        <v>3</v>
      </c>
      <c r="DF311">
        <f t="shared" si="125"/>
        <v>17.77</v>
      </c>
      <c r="DG311">
        <f t="shared" si="122"/>
        <v>0</v>
      </c>
      <c r="DH311">
        <f t="shared" si="123"/>
        <v>0</v>
      </c>
      <c r="DI311">
        <f t="shared" si="96"/>
        <v>0</v>
      </c>
      <c r="DJ311">
        <f t="shared" si="132"/>
        <v>17.77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ROW(Source!A244)</f>
        <v>244</v>
      </c>
      <c r="B312">
        <v>55937296</v>
      </c>
      <c r="C312">
        <v>55937954</v>
      </c>
      <c r="D312">
        <v>55481842</v>
      </c>
      <c r="E312">
        <v>1</v>
      </c>
      <c r="F312">
        <v>1</v>
      </c>
      <c r="G312">
        <v>1081</v>
      </c>
      <c r="H312">
        <v>3</v>
      </c>
      <c r="I312" t="s">
        <v>594</v>
      </c>
      <c r="J312" t="s">
        <v>595</v>
      </c>
      <c r="K312" t="s">
        <v>596</v>
      </c>
      <c r="L312">
        <v>1354</v>
      </c>
      <c r="N312">
        <v>1010</v>
      </c>
      <c r="O312" t="s">
        <v>217</v>
      </c>
      <c r="P312" t="s">
        <v>217</v>
      </c>
      <c r="Q312">
        <v>1</v>
      </c>
      <c r="W312">
        <v>0</v>
      </c>
      <c r="X312">
        <v>-1424681180</v>
      </c>
      <c r="Y312">
        <f t="shared" si="126"/>
        <v>3.1</v>
      </c>
      <c r="AA312">
        <v>6.94</v>
      </c>
      <c r="AB312">
        <v>0</v>
      </c>
      <c r="AC312">
        <v>0</v>
      </c>
      <c r="AD312">
        <v>0</v>
      </c>
      <c r="AE312">
        <v>6.94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-2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3.1</v>
      </c>
      <c r="AU312" t="s">
        <v>113</v>
      </c>
      <c r="AV312">
        <v>0</v>
      </c>
      <c r="AW312">
        <v>2</v>
      </c>
      <c r="AX312">
        <v>55937962</v>
      </c>
      <c r="AY312">
        <v>1</v>
      </c>
      <c r="AZ312">
        <v>0</v>
      </c>
      <c r="BA312">
        <v>380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ROUND(Y312*Source!I244,9)</f>
        <v>24.614000000000001</v>
      </c>
      <c r="CY312">
        <f t="shared" si="127"/>
        <v>6.94</v>
      </c>
      <c r="CZ312">
        <f t="shared" si="128"/>
        <v>6.94</v>
      </c>
      <c r="DA312">
        <f t="shared" si="129"/>
        <v>1</v>
      </c>
      <c r="DB312">
        <f t="shared" si="130"/>
        <v>21.51</v>
      </c>
      <c r="DC312">
        <f t="shared" si="131"/>
        <v>0</v>
      </c>
      <c r="DD312" t="s">
        <v>3</v>
      </c>
      <c r="DE312" t="s">
        <v>3</v>
      </c>
      <c r="DF312">
        <f t="shared" si="125"/>
        <v>170.82</v>
      </c>
      <c r="DG312">
        <f t="shared" si="122"/>
        <v>0</v>
      </c>
      <c r="DH312">
        <f t="shared" si="123"/>
        <v>0</v>
      </c>
      <c r="DI312">
        <f t="shared" si="96"/>
        <v>0</v>
      </c>
      <c r="DJ312">
        <f t="shared" si="132"/>
        <v>170.82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ROW(Source!A244)</f>
        <v>244</v>
      </c>
      <c r="B313">
        <v>55937296</v>
      </c>
      <c r="C313">
        <v>55937954</v>
      </c>
      <c r="D313">
        <v>55481849</v>
      </c>
      <c r="E313">
        <v>1</v>
      </c>
      <c r="F313">
        <v>1</v>
      </c>
      <c r="G313">
        <v>1081</v>
      </c>
      <c r="H313">
        <v>3</v>
      </c>
      <c r="I313" t="s">
        <v>597</v>
      </c>
      <c r="J313" t="s">
        <v>598</v>
      </c>
      <c r="K313" t="s">
        <v>599</v>
      </c>
      <c r="L313">
        <v>1356</v>
      </c>
      <c r="N313">
        <v>1010</v>
      </c>
      <c r="O313" t="s">
        <v>353</v>
      </c>
      <c r="P313" t="s">
        <v>353</v>
      </c>
      <c r="Q313">
        <v>1000</v>
      </c>
      <c r="W313">
        <v>0</v>
      </c>
      <c r="X313">
        <v>-41723139</v>
      </c>
      <c r="Y313">
        <f t="shared" si="126"/>
        <v>8.0000000000000002E-3</v>
      </c>
      <c r="AA313">
        <v>614.09</v>
      </c>
      <c r="AB313">
        <v>0</v>
      </c>
      <c r="AC313">
        <v>0</v>
      </c>
      <c r="AD313">
        <v>0</v>
      </c>
      <c r="AE313">
        <v>614.09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8.0000000000000002E-3</v>
      </c>
      <c r="AU313" t="s">
        <v>113</v>
      </c>
      <c r="AV313">
        <v>0</v>
      </c>
      <c r="AW313">
        <v>2</v>
      </c>
      <c r="AX313">
        <v>55937963</v>
      </c>
      <c r="AY313">
        <v>1</v>
      </c>
      <c r="AZ313">
        <v>0</v>
      </c>
      <c r="BA313">
        <v>381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ROUND(Y313*Source!I244,9)</f>
        <v>6.3519999999999993E-2</v>
      </c>
      <c r="CY313">
        <f t="shared" si="127"/>
        <v>614.09</v>
      </c>
      <c r="CZ313">
        <f t="shared" si="128"/>
        <v>614.09</v>
      </c>
      <c r="DA313">
        <f t="shared" si="129"/>
        <v>1</v>
      </c>
      <c r="DB313">
        <f t="shared" si="130"/>
        <v>4.91</v>
      </c>
      <c r="DC313">
        <f t="shared" si="131"/>
        <v>0</v>
      </c>
      <c r="DD313" t="s">
        <v>3</v>
      </c>
      <c r="DE313" t="s">
        <v>3</v>
      </c>
      <c r="DF313">
        <f t="shared" si="125"/>
        <v>39.01</v>
      </c>
      <c r="DG313">
        <f t="shared" si="122"/>
        <v>0</v>
      </c>
      <c r="DH313">
        <f t="shared" si="123"/>
        <v>0</v>
      </c>
      <c r="DI313">
        <f t="shared" si="96"/>
        <v>0</v>
      </c>
      <c r="DJ313">
        <f t="shared" si="132"/>
        <v>39.01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ROW(Source!A245)</f>
        <v>245</v>
      </c>
      <c r="B314">
        <v>55937298</v>
      </c>
      <c r="C314">
        <v>55937954</v>
      </c>
      <c r="D314">
        <v>55424304</v>
      </c>
      <c r="E314">
        <v>1081</v>
      </c>
      <c r="F314">
        <v>1</v>
      </c>
      <c r="G314">
        <v>1081</v>
      </c>
      <c r="H314">
        <v>1</v>
      </c>
      <c r="I314" t="s">
        <v>449</v>
      </c>
      <c r="J314" t="s">
        <v>3</v>
      </c>
      <c r="K314" t="s">
        <v>450</v>
      </c>
      <c r="L314">
        <v>1191</v>
      </c>
      <c r="N314">
        <v>1013</v>
      </c>
      <c r="O314" t="s">
        <v>451</v>
      </c>
      <c r="P314" t="s">
        <v>451</v>
      </c>
      <c r="Q314">
        <v>1</v>
      </c>
      <c r="W314">
        <v>0</v>
      </c>
      <c r="X314">
        <v>476480486</v>
      </c>
      <c r="Y314">
        <f>(AT314*1.2)</f>
        <v>5.3879999999999999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5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4.49</v>
      </c>
      <c r="AU314" t="s">
        <v>114</v>
      </c>
      <c r="AV314">
        <v>1</v>
      </c>
      <c r="AW314">
        <v>2</v>
      </c>
      <c r="AX314">
        <v>55937955</v>
      </c>
      <c r="AY314">
        <v>1</v>
      </c>
      <c r="AZ314">
        <v>0</v>
      </c>
      <c r="BA314">
        <v>383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U314">
        <f>ROUND(AT314*Source!I245*AH314*AL314,2)</f>
        <v>0</v>
      </c>
      <c r="CV314">
        <f>ROUND(Y314*Source!I245,9)</f>
        <v>42.780720000000002</v>
      </c>
      <c r="CW314">
        <v>0</v>
      </c>
      <c r="CX314">
        <f>ROUND(Y314*Source!I245,9)</f>
        <v>42.780720000000002</v>
      </c>
      <c r="CY314">
        <f>AD314</f>
        <v>0</v>
      </c>
      <c r="CZ314">
        <f>AH314</f>
        <v>0</v>
      </c>
      <c r="DA314">
        <f>AL314</f>
        <v>1</v>
      </c>
      <c r="DB314">
        <f>ROUND((ROUND(AT314*CZ314,2)*1.2),6)</f>
        <v>0</v>
      </c>
      <c r="DC314">
        <f>ROUND((ROUND(AT314*AG314,2)*1.2),6)</f>
        <v>0</v>
      </c>
      <c r="DD314" t="s">
        <v>3</v>
      </c>
      <c r="DE314" t="s">
        <v>3</v>
      </c>
      <c r="DF314">
        <f t="shared" si="125"/>
        <v>0</v>
      </c>
      <c r="DG314">
        <f t="shared" si="122"/>
        <v>0</v>
      </c>
      <c r="DH314">
        <f t="shared" si="123"/>
        <v>0</v>
      </c>
      <c r="DI314">
        <f t="shared" si="96"/>
        <v>0</v>
      </c>
      <c r="DJ314">
        <f>DI314</f>
        <v>0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ROW(Source!A245)</f>
        <v>245</v>
      </c>
      <c r="B315">
        <v>55937298</v>
      </c>
      <c r="C315">
        <v>55937954</v>
      </c>
      <c r="D315">
        <v>55490209</v>
      </c>
      <c r="E315">
        <v>1</v>
      </c>
      <c r="F315">
        <v>1</v>
      </c>
      <c r="G315">
        <v>1081</v>
      </c>
      <c r="H315">
        <v>2</v>
      </c>
      <c r="I315" t="s">
        <v>489</v>
      </c>
      <c r="J315" t="s">
        <v>490</v>
      </c>
      <c r="K315" t="s">
        <v>491</v>
      </c>
      <c r="L315">
        <v>1368</v>
      </c>
      <c r="N315">
        <v>1011</v>
      </c>
      <c r="O315" t="s">
        <v>455</v>
      </c>
      <c r="P315" t="s">
        <v>455</v>
      </c>
      <c r="Q315">
        <v>1</v>
      </c>
      <c r="W315">
        <v>0</v>
      </c>
      <c r="X315">
        <v>874612079</v>
      </c>
      <c r="Y315">
        <f>(AT315*1.2)</f>
        <v>1.2E-2</v>
      </c>
      <c r="AA315">
        <v>0</v>
      </c>
      <c r="AB315">
        <v>1485.19</v>
      </c>
      <c r="AC315">
        <v>744.56</v>
      </c>
      <c r="AD315">
        <v>0</v>
      </c>
      <c r="AE315">
        <v>0</v>
      </c>
      <c r="AF315">
        <v>83.1</v>
      </c>
      <c r="AG315">
        <v>12.62</v>
      </c>
      <c r="AH315">
        <v>0</v>
      </c>
      <c r="AI315">
        <v>1</v>
      </c>
      <c r="AJ315">
        <v>17.07</v>
      </c>
      <c r="AK315">
        <v>56.35</v>
      </c>
      <c r="AL315">
        <v>1</v>
      </c>
      <c r="AM315">
        <v>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0.01</v>
      </c>
      <c r="AU315" t="s">
        <v>114</v>
      </c>
      <c r="AV315">
        <v>0</v>
      </c>
      <c r="AW315">
        <v>2</v>
      </c>
      <c r="AX315">
        <v>55937956</v>
      </c>
      <c r="AY315">
        <v>1</v>
      </c>
      <c r="AZ315">
        <v>0</v>
      </c>
      <c r="BA315">
        <v>384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f>ROUND(Y315*Source!I245*DO315,9)</f>
        <v>1.2024336</v>
      </c>
      <c r="CX315">
        <f>ROUND(Y315*Source!I245,9)</f>
        <v>9.5280000000000004E-2</v>
      </c>
      <c r="CY315">
        <f>AB315</f>
        <v>1485.19</v>
      </c>
      <c r="CZ315">
        <f>AF315</f>
        <v>83.1</v>
      </c>
      <c r="DA315">
        <f>AJ315</f>
        <v>17.07</v>
      </c>
      <c r="DB315">
        <f>ROUND((ROUND(AT315*CZ315,2)*1.2),6)</f>
        <v>0.996</v>
      </c>
      <c r="DC315">
        <f>ROUND((ROUND(AT315*AG315,2)*1.2),6)</f>
        <v>0.156</v>
      </c>
      <c r="DD315" t="s">
        <v>3</v>
      </c>
      <c r="DE315" t="s">
        <v>3</v>
      </c>
      <c r="DF315">
        <f t="shared" si="125"/>
        <v>0</v>
      </c>
      <c r="DG315">
        <f>ROUND(ROUND(AF315*AJ315,2)*CX315,2)</f>
        <v>135.16</v>
      </c>
      <c r="DH315">
        <f>ROUND(ROUND(AG315*AK315,2)*CX315,2)</f>
        <v>67.760000000000005</v>
      </c>
      <c r="DI315">
        <f t="shared" si="96"/>
        <v>0</v>
      </c>
      <c r="DJ315">
        <f>DG315</f>
        <v>135.16</v>
      </c>
      <c r="DK315">
        <v>0</v>
      </c>
      <c r="DL315" t="s">
        <v>492</v>
      </c>
      <c r="DM315">
        <v>0</v>
      </c>
      <c r="DN315" t="s">
        <v>451</v>
      </c>
      <c r="DO315">
        <v>12.62</v>
      </c>
    </row>
    <row r="316" spans="1:119" x14ac:dyDescent="0.2">
      <c r="A316">
        <f>ROW(Source!A245)</f>
        <v>245</v>
      </c>
      <c r="B316">
        <v>55937298</v>
      </c>
      <c r="C316">
        <v>55937954</v>
      </c>
      <c r="D316">
        <v>55489443</v>
      </c>
      <c r="E316">
        <v>1</v>
      </c>
      <c r="F316">
        <v>1</v>
      </c>
      <c r="G316">
        <v>1081</v>
      </c>
      <c r="H316">
        <v>2</v>
      </c>
      <c r="I316" t="s">
        <v>582</v>
      </c>
      <c r="J316" t="s">
        <v>583</v>
      </c>
      <c r="K316" t="s">
        <v>584</v>
      </c>
      <c r="L316">
        <v>1368</v>
      </c>
      <c r="N316">
        <v>1011</v>
      </c>
      <c r="O316" t="s">
        <v>455</v>
      </c>
      <c r="P316" t="s">
        <v>455</v>
      </c>
      <c r="Q316">
        <v>1</v>
      </c>
      <c r="W316">
        <v>0</v>
      </c>
      <c r="X316">
        <v>-44940208</v>
      </c>
      <c r="Y316">
        <f>(AT316*1.2)</f>
        <v>1.2E-2</v>
      </c>
      <c r="AA316">
        <v>0</v>
      </c>
      <c r="AB316">
        <v>2706.94</v>
      </c>
      <c r="AC316">
        <v>998.84</v>
      </c>
      <c r="AD316">
        <v>0</v>
      </c>
      <c r="AE316">
        <v>0</v>
      </c>
      <c r="AF316">
        <v>179.17</v>
      </c>
      <c r="AG316">
        <v>16.93</v>
      </c>
      <c r="AH316">
        <v>0</v>
      </c>
      <c r="AI316">
        <v>1</v>
      </c>
      <c r="AJ316">
        <v>14.43</v>
      </c>
      <c r="AK316">
        <v>56.35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0.01</v>
      </c>
      <c r="AU316" t="s">
        <v>114</v>
      </c>
      <c r="AV316">
        <v>0</v>
      </c>
      <c r="AW316">
        <v>2</v>
      </c>
      <c r="AX316">
        <v>55937957</v>
      </c>
      <c r="AY316">
        <v>1</v>
      </c>
      <c r="AZ316">
        <v>0</v>
      </c>
      <c r="BA316">
        <v>385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ROUND(Y316*Source!I245*DO316,9)</f>
        <v>1.6130903999999999</v>
      </c>
      <c r="CX316">
        <f>ROUND(Y316*Source!I245,9)</f>
        <v>9.5280000000000004E-2</v>
      </c>
      <c r="CY316">
        <f>AB316</f>
        <v>2706.94</v>
      </c>
      <c r="CZ316">
        <f>AF316</f>
        <v>179.17</v>
      </c>
      <c r="DA316">
        <f>AJ316</f>
        <v>14.43</v>
      </c>
      <c r="DB316">
        <f>ROUND((ROUND(AT316*CZ316,2)*1.2),6)</f>
        <v>2.1480000000000001</v>
      </c>
      <c r="DC316">
        <f>ROUND((ROUND(AT316*AG316,2)*1.2),6)</f>
        <v>0.20399999999999999</v>
      </c>
      <c r="DD316" t="s">
        <v>3</v>
      </c>
      <c r="DE316" t="s">
        <v>3</v>
      </c>
      <c r="DF316">
        <f t="shared" si="125"/>
        <v>0</v>
      </c>
      <c r="DG316">
        <f>ROUND(ROUND(AF316*AJ316,2)*CX316,2)</f>
        <v>246.34</v>
      </c>
      <c r="DH316">
        <f>ROUND(ROUND(AG316*AK316,2)*CX316,2)</f>
        <v>90.9</v>
      </c>
      <c r="DI316">
        <f t="shared" si="96"/>
        <v>0</v>
      </c>
      <c r="DJ316">
        <f>DG316</f>
        <v>246.34</v>
      </c>
      <c r="DK316">
        <v>0</v>
      </c>
      <c r="DL316" t="s">
        <v>492</v>
      </c>
      <c r="DM316">
        <v>0</v>
      </c>
      <c r="DN316" t="s">
        <v>451</v>
      </c>
      <c r="DO316">
        <v>16.93</v>
      </c>
    </row>
    <row r="317" spans="1:119" x14ac:dyDescent="0.2">
      <c r="A317">
        <f>ROW(Source!A245)</f>
        <v>245</v>
      </c>
      <c r="B317">
        <v>55937298</v>
      </c>
      <c r="C317">
        <v>55937954</v>
      </c>
      <c r="D317">
        <v>55460033</v>
      </c>
      <c r="E317">
        <v>1</v>
      </c>
      <c r="F317">
        <v>1</v>
      </c>
      <c r="G317">
        <v>1081</v>
      </c>
      <c r="H317">
        <v>3</v>
      </c>
      <c r="I317" t="s">
        <v>585</v>
      </c>
      <c r="J317" t="s">
        <v>586</v>
      </c>
      <c r="K317" t="s">
        <v>587</v>
      </c>
      <c r="L317">
        <v>1346</v>
      </c>
      <c r="N317">
        <v>1009</v>
      </c>
      <c r="O317" t="s">
        <v>311</v>
      </c>
      <c r="P317" t="s">
        <v>311</v>
      </c>
      <c r="Q317">
        <v>1</v>
      </c>
      <c r="W317">
        <v>0</v>
      </c>
      <c r="X317">
        <v>-1364668115</v>
      </c>
      <c r="Y317">
        <f t="shared" ref="Y317:Y322" si="133">(AT317*1)</f>
        <v>0.43</v>
      </c>
      <c r="AA317">
        <v>33.64</v>
      </c>
      <c r="AB317">
        <v>0</v>
      </c>
      <c r="AC317">
        <v>0</v>
      </c>
      <c r="AD317">
        <v>0</v>
      </c>
      <c r="AE317">
        <v>1.38</v>
      </c>
      <c r="AF317">
        <v>0</v>
      </c>
      <c r="AG317">
        <v>0</v>
      </c>
      <c r="AH317">
        <v>0</v>
      </c>
      <c r="AI317">
        <v>24.38</v>
      </c>
      <c r="AJ317">
        <v>1</v>
      </c>
      <c r="AK317">
        <v>1</v>
      </c>
      <c r="AL317">
        <v>1</v>
      </c>
      <c r="AM317">
        <v>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0.43</v>
      </c>
      <c r="AU317" t="s">
        <v>113</v>
      </c>
      <c r="AV317">
        <v>0</v>
      </c>
      <c r="AW317">
        <v>2</v>
      </c>
      <c r="AX317">
        <v>55937958</v>
      </c>
      <c r="AY317">
        <v>1</v>
      </c>
      <c r="AZ317">
        <v>0</v>
      </c>
      <c r="BA317">
        <v>386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ROUND(Y317*Source!I245,9)</f>
        <v>3.4142000000000001</v>
      </c>
      <c r="CY317">
        <f t="shared" ref="CY317:CY322" si="134">AA317</f>
        <v>33.64</v>
      </c>
      <c r="CZ317">
        <f t="shared" ref="CZ317:CZ322" si="135">AE317</f>
        <v>1.38</v>
      </c>
      <c r="DA317">
        <f t="shared" ref="DA317:DA322" si="136">AI317</f>
        <v>24.38</v>
      </c>
      <c r="DB317">
        <f t="shared" ref="DB317:DB322" si="137">ROUND((ROUND(AT317*CZ317,2)*1),6)</f>
        <v>0.59</v>
      </c>
      <c r="DC317">
        <f t="shared" ref="DC317:DC322" si="138">ROUND((ROUND(AT317*AG317,2)*1),6)</f>
        <v>0</v>
      </c>
      <c r="DD317" t="s">
        <v>3</v>
      </c>
      <c r="DE317" t="s">
        <v>3</v>
      </c>
      <c r="DF317">
        <f t="shared" ref="DF317:DF322" si="139">ROUND(ROUND(AE317*AI317,2)*CX317,2)</f>
        <v>114.85</v>
      </c>
      <c r="DG317">
        <f t="shared" ref="DG317:DG331" si="140">ROUND(ROUND(AF317,2)*CX317,2)</f>
        <v>0</v>
      </c>
      <c r="DH317">
        <f t="shared" ref="DH317:DH331" si="141">ROUND(ROUND(AG317,2)*CX317,2)</f>
        <v>0</v>
      </c>
      <c r="DI317">
        <f t="shared" si="96"/>
        <v>0</v>
      </c>
      <c r="DJ317">
        <f t="shared" ref="DJ317:DJ322" si="142">DF317</f>
        <v>114.85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ROW(Source!A245)</f>
        <v>245</v>
      </c>
      <c r="B318">
        <v>55937298</v>
      </c>
      <c r="C318">
        <v>55937954</v>
      </c>
      <c r="D318">
        <v>55460424</v>
      </c>
      <c r="E318">
        <v>1</v>
      </c>
      <c r="F318">
        <v>1</v>
      </c>
      <c r="G318">
        <v>1081</v>
      </c>
      <c r="H318">
        <v>3</v>
      </c>
      <c r="I318" t="s">
        <v>496</v>
      </c>
      <c r="J318" t="s">
        <v>497</v>
      </c>
      <c r="K318" t="s">
        <v>498</v>
      </c>
      <c r="L318">
        <v>1346</v>
      </c>
      <c r="N318">
        <v>1009</v>
      </c>
      <c r="O318" t="s">
        <v>311</v>
      </c>
      <c r="P318" t="s">
        <v>311</v>
      </c>
      <c r="Q318">
        <v>1</v>
      </c>
      <c r="W318">
        <v>0</v>
      </c>
      <c r="X318">
        <v>1309298634</v>
      </c>
      <c r="Y318">
        <f t="shared" si="133"/>
        <v>0.16</v>
      </c>
      <c r="AA318">
        <v>286.31</v>
      </c>
      <c r="AB318">
        <v>0</v>
      </c>
      <c r="AC318">
        <v>0</v>
      </c>
      <c r="AD318">
        <v>0</v>
      </c>
      <c r="AE318">
        <v>159.06</v>
      </c>
      <c r="AF318">
        <v>0</v>
      </c>
      <c r="AG318">
        <v>0</v>
      </c>
      <c r="AH318">
        <v>0</v>
      </c>
      <c r="AI318">
        <v>1.8</v>
      </c>
      <c r="AJ318">
        <v>1</v>
      </c>
      <c r="AK318">
        <v>1</v>
      </c>
      <c r="AL318">
        <v>1</v>
      </c>
      <c r="AM318">
        <v>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0.16</v>
      </c>
      <c r="AU318" t="s">
        <v>113</v>
      </c>
      <c r="AV318">
        <v>0</v>
      </c>
      <c r="AW318">
        <v>2</v>
      </c>
      <c r="AX318">
        <v>55937959</v>
      </c>
      <c r="AY318">
        <v>1</v>
      </c>
      <c r="AZ318">
        <v>0</v>
      </c>
      <c r="BA318">
        <v>387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ROUND(Y318*Source!I245,9)</f>
        <v>1.2704</v>
      </c>
      <c r="CY318">
        <f t="shared" si="134"/>
        <v>286.31</v>
      </c>
      <c r="CZ318">
        <f t="shared" si="135"/>
        <v>159.06</v>
      </c>
      <c r="DA318">
        <f t="shared" si="136"/>
        <v>1.8</v>
      </c>
      <c r="DB318">
        <f t="shared" si="137"/>
        <v>25.45</v>
      </c>
      <c r="DC318">
        <f t="shared" si="138"/>
        <v>0</v>
      </c>
      <c r="DD318" t="s">
        <v>3</v>
      </c>
      <c r="DE318" t="s">
        <v>3</v>
      </c>
      <c r="DF318">
        <f t="shared" si="139"/>
        <v>363.73</v>
      </c>
      <c r="DG318">
        <f t="shared" si="140"/>
        <v>0</v>
      </c>
      <c r="DH318">
        <f t="shared" si="141"/>
        <v>0</v>
      </c>
      <c r="DI318">
        <f t="shared" si="96"/>
        <v>0</v>
      </c>
      <c r="DJ318">
        <f t="shared" si="142"/>
        <v>363.73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ROW(Source!A245)</f>
        <v>245</v>
      </c>
      <c r="B319">
        <v>55937298</v>
      </c>
      <c r="C319">
        <v>55937954</v>
      </c>
      <c r="D319">
        <v>55482505</v>
      </c>
      <c r="E319">
        <v>1</v>
      </c>
      <c r="F319">
        <v>1</v>
      </c>
      <c r="G319">
        <v>1081</v>
      </c>
      <c r="H319">
        <v>3</v>
      </c>
      <c r="I319" t="s">
        <v>588</v>
      </c>
      <c r="J319" t="s">
        <v>589</v>
      </c>
      <c r="K319" t="s">
        <v>590</v>
      </c>
      <c r="L319">
        <v>1355</v>
      </c>
      <c r="N319">
        <v>1010</v>
      </c>
      <c r="O319" t="s">
        <v>60</v>
      </c>
      <c r="P319" t="s">
        <v>60</v>
      </c>
      <c r="Q319">
        <v>100</v>
      </c>
      <c r="W319">
        <v>0</v>
      </c>
      <c r="X319">
        <v>1198965026</v>
      </c>
      <c r="Y319">
        <f t="shared" si="133"/>
        <v>0.05</v>
      </c>
      <c r="AA319">
        <v>1102.5</v>
      </c>
      <c r="AB319">
        <v>0</v>
      </c>
      <c r="AC319">
        <v>0</v>
      </c>
      <c r="AD319">
        <v>0</v>
      </c>
      <c r="AE319">
        <v>68.819999999999993</v>
      </c>
      <c r="AF319">
        <v>0</v>
      </c>
      <c r="AG319">
        <v>0</v>
      </c>
      <c r="AH319">
        <v>0</v>
      </c>
      <c r="AI319">
        <v>16.02</v>
      </c>
      <c r="AJ319">
        <v>1</v>
      </c>
      <c r="AK319">
        <v>1</v>
      </c>
      <c r="AL319">
        <v>1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0.05</v>
      </c>
      <c r="AU319" t="s">
        <v>113</v>
      </c>
      <c r="AV319">
        <v>0</v>
      </c>
      <c r="AW319">
        <v>2</v>
      </c>
      <c r="AX319">
        <v>55937960</v>
      </c>
      <c r="AY319">
        <v>1</v>
      </c>
      <c r="AZ319">
        <v>0</v>
      </c>
      <c r="BA319">
        <v>388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ROUND(Y319*Source!I245,9)</f>
        <v>0.39700000000000002</v>
      </c>
      <c r="CY319">
        <f t="shared" si="134"/>
        <v>1102.5</v>
      </c>
      <c r="CZ319">
        <f t="shared" si="135"/>
        <v>68.819999999999993</v>
      </c>
      <c r="DA319">
        <f t="shared" si="136"/>
        <v>16.02</v>
      </c>
      <c r="DB319">
        <f t="shared" si="137"/>
        <v>3.44</v>
      </c>
      <c r="DC319">
        <f t="shared" si="138"/>
        <v>0</v>
      </c>
      <c r="DD319" t="s">
        <v>3</v>
      </c>
      <c r="DE319" t="s">
        <v>3</v>
      </c>
      <c r="DF319">
        <f t="shared" si="139"/>
        <v>437.69</v>
      </c>
      <c r="DG319">
        <f t="shared" si="140"/>
        <v>0</v>
      </c>
      <c r="DH319">
        <f t="shared" si="141"/>
        <v>0</v>
      </c>
      <c r="DI319">
        <f t="shared" si="96"/>
        <v>0</v>
      </c>
      <c r="DJ319">
        <f t="shared" si="142"/>
        <v>437.69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ROW(Source!A245)</f>
        <v>245</v>
      </c>
      <c r="B320">
        <v>55937298</v>
      </c>
      <c r="C320">
        <v>55937954</v>
      </c>
      <c r="D320">
        <v>55482516</v>
      </c>
      <c r="E320">
        <v>1</v>
      </c>
      <c r="F320">
        <v>1</v>
      </c>
      <c r="G320">
        <v>1081</v>
      </c>
      <c r="H320">
        <v>3</v>
      </c>
      <c r="I320" t="s">
        <v>591</v>
      </c>
      <c r="J320" t="s">
        <v>592</v>
      </c>
      <c r="K320" t="s">
        <v>593</v>
      </c>
      <c r="L320">
        <v>1356</v>
      </c>
      <c r="N320">
        <v>1010</v>
      </c>
      <c r="O320" t="s">
        <v>353</v>
      </c>
      <c r="P320" t="s">
        <v>353</v>
      </c>
      <c r="Q320">
        <v>1000</v>
      </c>
      <c r="W320">
        <v>0</v>
      </c>
      <c r="X320">
        <v>472025271</v>
      </c>
      <c r="Y320">
        <f t="shared" si="133"/>
        <v>1.2200000000000001E-2</v>
      </c>
      <c r="AA320">
        <v>1267.29</v>
      </c>
      <c r="AB320">
        <v>0</v>
      </c>
      <c r="AC320">
        <v>0</v>
      </c>
      <c r="AD320">
        <v>0</v>
      </c>
      <c r="AE320">
        <v>183.4</v>
      </c>
      <c r="AF320">
        <v>0</v>
      </c>
      <c r="AG320">
        <v>0</v>
      </c>
      <c r="AH320">
        <v>0</v>
      </c>
      <c r="AI320">
        <v>6.91</v>
      </c>
      <c r="AJ320">
        <v>1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1.2200000000000001E-2</v>
      </c>
      <c r="AU320" t="s">
        <v>113</v>
      </c>
      <c r="AV320">
        <v>0</v>
      </c>
      <c r="AW320">
        <v>2</v>
      </c>
      <c r="AX320">
        <v>55937961</v>
      </c>
      <c r="AY320">
        <v>1</v>
      </c>
      <c r="AZ320">
        <v>0</v>
      </c>
      <c r="BA320">
        <v>389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ROUND(Y320*Source!I245,9)</f>
        <v>9.6867999999999996E-2</v>
      </c>
      <c r="CY320">
        <f t="shared" si="134"/>
        <v>1267.29</v>
      </c>
      <c r="CZ320">
        <f t="shared" si="135"/>
        <v>183.4</v>
      </c>
      <c r="DA320">
        <f t="shared" si="136"/>
        <v>6.91</v>
      </c>
      <c r="DB320">
        <f t="shared" si="137"/>
        <v>2.2400000000000002</v>
      </c>
      <c r="DC320">
        <f t="shared" si="138"/>
        <v>0</v>
      </c>
      <c r="DD320" t="s">
        <v>3</v>
      </c>
      <c r="DE320" t="s">
        <v>3</v>
      </c>
      <c r="DF320">
        <f t="shared" si="139"/>
        <v>122.76</v>
      </c>
      <c r="DG320">
        <f t="shared" si="140"/>
        <v>0</v>
      </c>
      <c r="DH320">
        <f t="shared" si="141"/>
        <v>0</v>
      </c>
      <c r="DI320">
        <f t="shared" si="96"/>
        <v>0</v>
      </c>
      <c r="DJ320">
        <f t="shared" si="142"/>
        <v>122.76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ROW(Source!A245)</f>
        <v>245</v>
      </c>
      <c r="B321">
        <v>55937298</v>
      </c>
      <c r="C321">
        <v>55937954</v>
      </c>
      <c r="D321">
        <v>55481842</v>
      </c>
      <c r="E321">
        <v>1</v>
      </c>
      <c r="F321">
        <v>1</v>
      </c>
      <c r="G321">
        <v>1081</v>
      </c>
      <c r="H321">
        <v>3</v>
      </c>
      <c r="I321" t="s">
        <v>594</v>
      </c>
      <c r="J321" t="s">
        <v>595</v>
      </c>
      <c r="K321" t="s">
        <v>596</v>
      </c>
      <c r="L321">
        <v>1354</v>
      </c>
      <c r="N321">
        <v>1010</v>
      </c>
      <c r="O321" t="s">
        <v>217</v>
      </c>
      <c r="P321" t="s">
        <v>217</v>
      </c>
      <c r="Q321">
        <v>1</v>
      </c>
      <c r="W321">
        <v>0</v>
      </c>
      <c r="X321">
        <v>-1424681180</v>
      </c>
      <c r="Y321">
        <f t="shared" si="133"/>
        <v>3.1</v>
      </c>
      <c r="AA321">
        <v>25.33</v>
      </c>
      <c r="AB321">
        <v>0</v>
      </c>
      <c r="AC321">
        <v>0</v>
      </c>
      <c r="AD321">
        <v>0</v>
      </c>
      <c r="AE321">
        <v>6.94</v>
      </c>
      <c r="AF321">
        <v>0</v>
      </c>
      <c r="AG321">
        <v>0</v>
      </c>
      <c r="AH321">
        <v>0</v>
      </c>
      <c r="AI321">
        <v>3.65</v>
      </c>
      <c r="AJ321">
        <v>1</v>
      </c>
      <c r="AK321">
        <v>1</v>
      </c>
      <c r="AL321">
        <v>1</v>
      </c>
      <c r="AM321">
        <v>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3.1</v>
      </c>
      <c r="AU321" t="s">
        <v>113</v>
      </c>
      <c r="AV321">
        <v>0</v>
      </c>
      <c r="AW321">
        <v>2</v>
      </c>
      <c r="AX321">
        <v>55937962</v>
      </c>
      <c r="AY321">
        <v>1</v>
      </c>
      <c r="AZ321">
        <v>0</v>
      </c>
      <c r="BA321">
        <v>390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ROUND(Y321*Source!I245,9)</f>
        <v>24.614000000000001</v>
      </c>
      <c r="CY321">
        <f t="shared" si="134"/>
        <v>25.33</v>
      </c>
      <c r="CZ321">
        <f t="shared" si="135"/>
        <v>6.94</v>
      </c>
      <c r="DA321">
        <f t="shared" si="136"/>
        <v>3.65</v>
      </c>
      <c r="DB321">
        <f t="shared" si="137"/>
        <v>21.51</v>
      </c>
      <c r="DC321">
        <f t="shared" si="138"/>
        <v>0</v>
      </c>
      <c r="DD321" t="s">
        <v>3</v>
      </c>
      <c r="DE321" t="s">
        <v>3</v>
      </c>
      <c r="DF321">
        <f t="shared" si="139"/>
        <v>623.47</v>
      </c>
      <c r="DG321">
        <f t="shared" si="140"/>
        <v>0</v>
      </c>
      <c r="DH321">
        <f t="shared" si="141"/>
        <v>0</v>
      </c>
      <c r="DI321">
        <f t="shared" ref="DI321:DI356" si="143">ROUND(ROUND(AH321,2)*CX321,2)</f>
        <v>0</v>
      </c>
      <c r="DJ321">
        <f t="shared" si="142"/>
        <v>623.47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ROW(Source!A245)</f>
        <v>245</v>
      </c>
      <c r="B322">
        <v>55937298</v>
      </c>
      <c r="C322">
        <v>55937954</v>
      </c>
      <c r="D322">
        <v>55481849</v>
      </c>
      <c r="E322">
        <v>1</v>
      </c>
      <c r="F322">
        <v>1</v>
      </c>
      <c r="G322">
        <v>1081</v>
      </c>
      <c r="H322">
        <v>3</v>
      </c>
      <c r="I322" t="s">
        <v>597</v>
      </c>
      <c r="J322" t="s">
        <v>598</v>
      </c>
      <c r="K322" t="s">
        <v>599</v>
      </c>
      <c r="L322">
        <v>1356</v>
      </c>
      <c r="N322">
        <v>1010</v>
      </c>
      <c r="O322" t="s">
        <v>353</v>
      </c>
      <c r="P322" t="s">
        <v>353</v>
      </c>
      <c r="Q322">
        <v>1000</v>
      </c>
      <c r="W322">
        <v>0</v>
      </c>
      <c r="X322">
        <v>-41723139</v>
      </c>
      <c r="Y322">
        <f t="shared" si="133"/>
        <v>8.0000000000000002E-3</v>
      </c>
      <c r="AA322">
        <v>786.04</v>
      </c>
      <c r="AB322">
        <v>0</v>
      </c>
      <c r="AC322">
        <v>0</v>
      </c>
      <c r="AD322">
        <v>0</v>
      </c>
      <c r="AE322">
        <v>614.09</v>
      </c>
      <c r="AF322">
        <v>0</v>
      </c>
      <c r="AG322">
        <v>0</v>
      </c>
      <c r="AH322">
        <v>0</v>
      </c>
      <c r="AI322">
        <v>1.28</v>
      </c>
      <c r="AJ322">
        <v>1</v>
      </c>
      <c r="AK322">
        <v>1</v>
      </c>
      <c r="AL322">
        <v>1</v>
      </c>
      <c r="AM322">
        <v>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8.0000000000000002E-3</v>
      </c>
      <c r="AU322" t="s">
        <v>113</v>
      </c>
      <c r="AV322">
        <v>0</v>
      </c>
      <c r="AW322">
        <v>2</v>
      </c>
      <c r="AX322">
        <v>55937963</v>
      </c>
      <c r="AY322">
        <v>1</v>
      </c>
      <c r="AZ322">
        <v>0</v>
      </c>
      <c r="BA322">
        <v>391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ROUND(Y322*Source!I245,9)</f>
        <v>6.3519999999999993E-2</v>
      </c>
      <c r="CY322">
        <f t="shared" si="134"/>
        <v>786.04</v>
      </c>
      <c r="CZ322">
        <f t="shared" si="135"/>
        <v>614.09</v>
      </c>
      <c r="DA322">
        <f t="shared" si="136"/>
        <v>1.28</v>
      </c>
      <c r="DB322">
        <f t="shared" si="137"/>
        <v>4.91</v>
      </c>
      <c r="DC322">
        <f t="shared" si="138"/>
        <v>0</v>
      </c>
      <c r="DD322" t="s">
        <v>3</v>
      </c>
      <c r="DE322" t="s">
        <v>3</v>
      </c>
      <c r="DF322">
        <f t="shared" si="139"/>
        <v>49.93</v>
      </c>
      <c r="DG322">
        <f t="shared" si="140"/>
        <v>0</v>
      </c>
      <c r="DH322">
        <f t="shared" si="141"/>
        <v>0</v>
      </c>
      <c r="DI322">
        <f t="shared" si="143"/>
        <v>0</v>
      </c>
      <c r="DJ322">
        <f t="shared" si="142"/>
        <v>49.93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ROW(Source!A252)</f>
        <v>252</v>
      </c>
      <c r="B323">
        <v>55937296</v>
      </c>
      <c r="C323">
        <v>55937982</v>
      </c>
      <c r="D323">
        <v>55424304</v>
      </c>
      <c r="E323">
        <v>1081</v>
      </c>
      <c r="F323">
        <v>1</v>
      </c>
      <c r="G323">
        <v>1081</v>
      </c>
      <c r="H323">
        <v>1</v>
      </c>
      <c r="I323" t="s">
        <v>449</v>
      </c>
      <c r="J323" t="s">
        <v>3</v>
      </c>
      <c r="K323" t="s">
        <v>450</v>
      </c>
      <c r="L323">
        <v>1191</v>
      </c>
      <c r="N323">
        <v>1013</v>
      </c>
      <c r="O323" t="s">
        <v>451</v>
      </c>
      <c r="P323" t="s">
        <v>451</v>
      </c>
      <c r="Q323">
        <v>1</v>
      </c>
      <c r="W323">
        <v>0</v>
      </c>
      <c r="X323">
        <v>476480486</v>
      </c>
      <c r="Y323">
        <f>(AT323*1.2)</f>
        <v>2.1960000000000002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1</v>
      </c>
      <c r="AK323">
        <v>1</v>
      </c>
      <c r="AL323">
        <v>1</v>
      </c>
      <c r="AM323">
        <v>-2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1.83</v>
      </c>
      <c r="AU323" t="s">
        <v>114</v>
      </c>
      <c r="AV323">
        <v>1</v>
      </c>
      <c r="AW323">
        <v>2</v>
      </c>
      <c r="AX323">
        <v>55937983</v>
      </c>
      <c r="AY323">
        <v>1</v>
      </c>
      <c r="AZ323">
        <v>0</v>
      </c>
      <c r="BA323">
        <v>393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U323">
        <f>ROUND(AT323*Source!I252*AH323*AL323,2)</f>
        <v>0</v>
      </c>
      <c r="CV323">
        <f>ROUND(Y323*Source!I252,9)</f>
        <v>4.3920000000000001E-2</v>
      </c>
      <c r="CW323">
        <v>0</v>
      </c>
      <c r="CX323">
        <f>ROUND(Y323*Source!I252,9)</f>
        <v>4.3920000000000001E-2</v>
      </c>
      <c r="CY323">
        <f>AD323</f>
        <v>0</v>
      </c>
      <c r="CZ323">
        <f>AH323</f>
        <v>0</v>
      </c>
      <c r="DA323">
        <f>AL323</f>
        <v>1</v>
      </c>
      <c r="DB323">
        <f>ROUND((ROUND(AT323*CZ323,2)*1.2),6)</f>
        <v>0</v>
      </c>
      <c r="DC323">
        <f>ROUND((ROUND(AT323*AG323,2)*1.2),6)</f>
        <v>0</v>
      </c>
      <c r="DD323" t="s">
        <v>3</v>
      </c>
      <c r="DE323" t="s">
        <v>3</v>
      </c>
      <c r="DF323">
        <f t="shared" ref="DF323:DF333" si="144">ROUND(ROUND(AE323,2)*CX323,2)</f>
        <v>0</v>
      </c>
      <c r="DG323">
        <f t="shared" si="140"/>
        <v>0</v>
      </c>
      <c r="DH323">
        <f t="shared" si="141"/>
        <v>0</v>
      </c>
      <c r="DI323">
        <f t="shared" si="143"/>
        <v>0</v>
      </c>
      <c r="DJ323">
        <f>DI323</f>
        <v>0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ROW(Source!A252)</f>
        <v>252</v>
      </c>
      <c r="B324">
        <v>55937296</v>
      </c>
      <c r="C324">
        <v>55937982</v>
      </c>
      <c r="D324">
        <v>55490209</v>
      </c>
      <c r="E324">
        <v>1</v>
      </c>
      <c r="F324">
        <v>1</v>
      </c>
      <c r="G324">
        <v>1081</v>
      </c>
      <c r="H324">
        <v>2</v>
      </c>
      <c r="I324" t="s">
        <v>489</v>
      </c>
      <c r="J324" t="s">
        <v>490</v>
      </c>
      <c r="K324" t="s">
        <v>491</v>
      </c>
      <c r="L324">
        <v>1368</v>
      </c>
      <c r="N324">
        <v>1011</v>
      </c>
      <c r="O324" t="s">
        <v>455</v>
      </c>
      <c r="P324" t="s">
        <v>455</v>
      </c>
      <c r="Q324">
        <v>1</v>
      </c>
      <c r="W324">
        <v>0</v>
      </c>
      <c r="X324">
        <v>874612079</v>
      </c>
      <c r="Y324">
        <f>(AT324*1.2)</f>
        <v>1.2E-2</v>
      </c>
      <c r="AA324">
        <v>0</v>
      </c>
      <c r="AB324">
        <v>87.01</v>
      </c>
      <c r="AC324">
        <v>13.21</v>
      </c>
      <c r="AD324">
        <v>0</v>
      </c>
      <c r="AE324">
        <v>0</v>
      </c>
      <c r="AF324">
        <v>83.1</v>
      </c>
      <c r="AG324">
        <v>12.62</v>
      </c>
      <c r="AH324">
        <v>0</v>
      </c>
      <c r="AI324">
        <v>1</v>
      </c>
      <c r="AJ324">
        <v>1</v>
      </c>
      <c r="AK324">
        <v>1</v>
      </c>
      <c r="AL324">
        <v>1</v>
      </c>
      <c r="AM324">
        <v>-2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0.01</v>
      </c>
      <c r="AU324" t="s">
        <v>114</v>
      </c>
      <c r="AV324">
        <v>0</v>
      </c>
      <c r="AW324">
        <v>2</v>
      </c>
      <c r="AX324">
        <v>55937984</v>
      </c>
      <c r="AY324">
        <v>1</v>
      </c>
      <c r="AZ324">
        <v>0</v>
      </c>
      <c r="BA324">
        <v>394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ROUND(Y324*Source!I252*DO324,9)</f>
        <v>3.0287999999999999E-3</v>
      </c>
      <c r="CX324">
        <f>ROUND(Y324*Source!I252,9)</f>
        <v>2.4000000000000001E-4</v>
      </c>
      <c r="CY324">
        <f>AB324</f>
        <v>87.01</v>
      </c>
      <c r="CZ324">
        <f>AF324</f>
        <v>83.1</v>
      </c>
      <c r="DA324">
        <f>AJ324</f>
        <v>1</v>
      </c>
      <c r="DB324">
        <f>ROUND((ROUND(AT324*CZ324,2)*1.2),6)</f>
        <v>0.996</v>
      </c>
      <c r="DC324">
        <f>ROUND((ROUND(AT324*AG324,2)*1.2),6)</f>
        <v>0.156</v>
      </c>
      <c r="DD324" t="s">
        <v>3</v>
      </c>
      <c r="DE324" t="s">
        <v>3</v>
      </c>
      <c r="DF324">
        <f t="shared" si="144"/>
        <v>0</v>
      </c>
      <c r="DG324">
        <f t="shared" si="140"/>
        <v>0.02</v>
      </c>
      <c r="DH324">
        <f t="shared" si="141"/>
        <v>0</v>
      </c>
      <c r="DI324">
        <f t="shared" si="143"/>
        <v>0</v>
      </c>
      <c r="DJ324">
        <f>DG324</f>
        <v>0.02</v>
      </c>
      <c r="DK324">
        <v>0</v>
      </c>
      <c r="DL324" t="s">
        <v>492</v>
      </c>
      <c r="DM324">
        <v>0</v>
      </c>
      <c r="DN324" t="s">
        <v>451</v>
      </c>
      <c r="DO324">
        <v>12.62</v>
      </c>
    </row>
    <row r="325" spans="1:119" x14ac:dyDescent="0.2">
      <c r="A325">
        <f>ROW(Source!A252)</f>
        <v>252</v>
      </c>
      <c r="B325">
        <v>55937296</v>
      </c>
      <c r="C325">
        <v>55937982</v>
      </c>
      <c r="D325">
        <v>55489443</v>
      </c>
      <c r="E325">
        <v>1</v>
      </c>
      <c r="F325">
        <v>1</v>
      </c>
      <c r="G325">
        <v>1081</v>
      </c>
      <c r="H325">
        <v>2</v>
      </c>
      <c r="I325" t="s">
        <v>582</v>
      </c>
      <c r="J325" t="s">
        <v>583</v>
      </c>
      <c r="K325" t="s">
        <v>584</v>
      </c>
      <c r="L325">
        <v>1368</v>
      </c>
      <c r="N325">
        <v>1011</v>
      </c>
      <c r="O325" t="s">
        <v>455</v>
      </c>
      <c r="P325" t="s">
        <v>455</v>
      </c>
      <c r="Q325">
        <v>1</v>
      </c>
      <c r="W325">
        <v>0</v>
      </c>
      <c r="X325">
        <v>-44940208</v>
      </c>
      <c r="Y325">
        <f>(AT325*1.2)</f>
        <v>1.2E-2</v>
      </c>
      <c r="AA325">
        <v>0</v>
      </c>
      <c r="AB325">
        <v>187.59</v>
      </c>
      <c r="AC325">
        <v>17.73</v>
      </c>
      <c r="AD325">
        <v>0</v>
      </c>
      <c r="AE325">
        <v>0</v>
      </c>
      <c r="AF325">
        <v>179.17</v>
      </c>
      <c r="AG325">
        <v>16.93</v>
      </c>
      <c r="AH325">
        <v>0</v>
      </c>
      <c r="AI325">
        <v>1</v>
      </c>
      <c r="AJ325">
        <v>1</v>
      </c>
      <c r="AK325">
        <v>1</v>
      </c>
      <c r="AL325">
        <v>1</v>
      </c>
      <c r="AM325">
        <v>-2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0.01</v>
      </c>
      <c r="AU325" t="s">
        <v>114</v>
      </c>
      <c r="AV325">
        <v>0</v>
      </c>
      <c r="AW325">
        <v>2</v>
      </c>
      <c r="AX325">
        <v>55937985</v>
      </c>
      <c r="AY325">
        <v>1</v>
      </c>
      <c r="AZ325">
        <v>0</v>
      </c>
      <c r="BA325">
        <v>395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f>ROUND(Y325*Source!I252*DO325,9)</f>
        <v>4.0632000000000003E-3</v>
      </c>
      <c r="CX325">
        <f>ROUND(Y325*Source!I252,9)</f>
        <v>2.4000000000000001E-4</v>
      </c>
      <c r="CY325">
        <f>AB325</f>
        <v>187.59</v>
      </c>
      <c r="CZ325">
        <f>AF325</f>
        <v>179.17</v>
      </c>
      <c r="DA325">
        <f>AJ325</f>
        <v>1</v>
      </c>
      <c r="DB325">
        <f>ROUND((ROUND(AT325*CZ325,2)*1.2),6)</f>
        <v>2.1480000000000001</v>
      </c>
      <c r="DC325">
        <f>ROUND((ROUND(AT325*AG325,2)*1.2),6)</f>
        <v>0.20399999999999999</v>
      </c>
      <c r="DD325" t="s">
        <v>3</v>
      </c>
      <c r="DE325" t="s">
        <v>3</v>
      </c>
      <c r="DF325">
        <f t="shared" si="144"/>
        <v>0</v>
      </c>
      <c r="DG325">
        <f t="shared" si="140"/>
        <v>0.04</v>
      </c>
      <c r="DH325">
        <f t="shared" si="141"/>
        <v>0</v>
      </c>
      <c r="DI325">
        <f t="shared" si="143"/>
        <v>0</v>
      </c>
      <c r="DJ325">
        <f>DG325</f>
        <v>0.04</v>
      </c>
      <c r="DK325">
        <v>0</v>
      </c>
      <c r="DL325" t="s">
        <v>492</v>
      </c>
      <c r="DM325">
        <v>0</v>
      </c>
      <c r="DN325" t="s">
        <v>451</v>
      </c>
      <c r="DO325">
        <v>16.93</v>
      </c>
    </row>
    <row r="326" spans="1:119" x14ac:dyDescent="0.2">
      <c r="A326">
        <f>ROW(Source!A252)</f>
        <v>252</v>
      </c>
      <c r="B326">
        <v>55937296</v>
      </c>
      <c r="C326">
        <v>55937982</v>
      </c>
      <c r="D326">
        <v>55460033</v>
      </c>
      <c r="E326">
        <v>1</v>
      </c>
      <c r="F326">
        <v>1</v>
      </c>
      <c r="G326">
        <v>1081</v>
      </c>
      <c r="H326">
        <v>3</v>
      </c>
      <c r="I326" t="s">
        <v>585</v>
      </c>
      <c r="J326" t="s">
        <v>586</v>
      </c>
      <c r="K326" t="s">
        <v>587</v>
      </c>
      <c r="L326">
        <v>1346</v>
      </c>
      <c r="N326">
        <v>1009</v>
      </c>
      <c r="O326" t="s">
        <v>311</v>
      </c>
      <c r="P326" t="s">
        <v>311</v>
      </c>
      <c r="Q326">
        <v>1</v>
      </c>
      <c r="W326">
        <v>0</v>
      </c>
      <c r="X326">
        <v>-1364668115</v>
      </c>
      <c r="Y326">
        <f>(AT326*1)</f>
        <v>0.6</v>
      </c>
      <c r="AA326">
        <v>1.38</v>
      </c>
      <c r="AB326">
        <v>0</v>
      </c>
      <c r="AC326">
        <v>0</v>
      </c>
      <c r="AD326">
        <v>0</v>
      </c>
      <c r="AE326">
        <v>1.38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-2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0.6</v>
      </c>
      <c r="AU326" t="s">
        <v>113</v>
      </c>
      <c r="AV326">
        <v>0</v>
      </c>
      <c r="AW326">
        <v>2</v>
      </c>
      <c r="AX326">
        <v>55937986</v>
      </c>
      <c r="AY326">
        <v>1</v>
      </c>
      <c r="AZ326">
        <v>0</v>
      </c>
      <c r="BA326">
        <v>396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ROUND(Y326*Source!I252,9)</f>
        <v>1.2E-2</v>
      </c>
      <c r="CY326">
        <f>AA326</f>
        <v>1.38</v>
      </c>
      <c r="CZ326">
        <f>AE326</f>
        <v>1.38</v>
      </c>
      <c r="DA326">
        <f>AI326</f>
        <v>1</v>
      </c>
      <c r="DB326">
        <f>ROUND((ROUND(AT326*CZ326,2)*1),6)</f>
        <v>0.83</v>
      </c>
      <c r="DC326">
        <f>ROUND((ROUND(AT326*AG326,2)*1),6)</f>
        <v>0</v>
      </c>
      <c r="DD326" t="s">
        <v>3</v>
      </c>
      <c r="DE326" t="s">
        <v>3</v>
      </c>
      <c r="DF326">
        <f t="shared" si="144"/>
        <v>0.02</v>
      </c>
      <c r="DG326">
        <f t="shared" si="140"/>
        <v>0</v>
      </c>
      <c r="DH326">
        <f t="shared" si="141"/>
        <v>0</v>
      </c>
      <c r="DI326">
        <f t="shared" si="143"/>
        <v>0</v>
      </c>
      <c r="DJ326">
        <f>DF326</f>
        <v>0.02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ROW(Source!A252)</f>
        <v>252</v>
      </c>
      <c r="B327">
        <v>55937296</v>
      </c>
      <c r="C327">
        <v>55937982</v>
      </c>
      <c r="D327">
        <v>55460424</v>
      </c>
      <c r="E327">
        <v>1</v>
      </c>
      <c r="F327">
        <v>1</v>
      </c>
      <c r="G327">
        <v>1081</v>
      </c>
      <c r="H327">
        <v>3</v>
      </c>
      <c r="I327" t="s">
        <v>496</v>
      </c>
      <c r="J327" t="s">
        <v>497</v>
      </c>
      <c r="K327" t="s">
        <v>498</v>
      </c>
      <c r="L327">
        <v>1346</v>
      </c>
      <c r="N327">
        <v>1009</v>
      </c>
      <c r="O327" t="s">
        <v>311</v>
      </c>
      <c r="P327" t="s">
        <v>311</v>
      </c>
      <c r="Q327">
        <v>1</v>
      </c>
      <c r="W327">
        <v>0</v>
      </c>
      <c r="X327">
        <v>1309298634</v>
      </c>
      <c r="Y327">
        <f>(AT327*1)</f>
        <v>0.16</v>
      </c>
      <c r="AA327">
        <v>159.06</v>
      </c>
      <c r="AB327">
        <v>0</v>
      </c>
      <c r="AC327">
        <v>0</v>
      </c>
      <c r="AD327">
        <v>0</v>
      </c>
      <c r="AE327">
        <v>159.06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0.16</v>
      </c>
      <c r="AU327" t="s">
        <v>113</v>
      </c>
      <c r="AV327">
        <v>0</v>
      </c>
      <c r="AW327">
        <v>2</v>
      </c>
      <c r="AX327">
        <v>55937987</v>
      </c>
      <c r="AY327">
        <v>1</v>
      </c>
      <c r="AZ327">
        <v>0</v>
      </c>
      <c r="BA327">
        <v>397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ROUND(Y327*Source!I252,9)</f>
        <v>3.2000000000000002E-3</v>
      </c>
      <c r="CY327">
        <f>AA327</f>
        <v>159.06</v>
      </c>
      <c r="CZ327">
        <f>AE327</f>
        <v>159.06</v>
      </c>
      <c r="DA327">
        <f>AI327</f>
        <v>1</v>
      </c>
      <c r="DB327">
        <f>ROUND((ROUND(AT327*CZ327,2)*1),6)</f>
        <v>25.45</v>
      </c>
      <c r="DC327">
        <f>ROUND((ROUND(AT327*AG327,2)*1),6)</f>
        <v>0</v>
      </c>
      <c r="DD327" t="s">
        <v>3</v>
      </c>
      <c r="DE327" t="s">
        <v>3</v>
      </c>
      <c r="DF327">
        <f t="shared" si="144"/>
        <v>0.51</v>
      </c>
      <c r="DG327">
        <f t="shared" si="140"/>
        <v>0</v>
      </c>
      <c r="DH327">
        <f t="shared" si="141"/>
        <v>0</v>
      </c>
      <c r="DI327">
        <f t="shared" si="143"/>
        <v>0</v>
      </c>
      <c r="DJ327">
        <f>DF327</f>
        <v>0.51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ROW(Source!A252)</f>
        <v>252</v>
      </c>
      <c r="B328">
        <v>55937296</v>
      </c>
      <c r="C328">
        <v>55937982</v>
      </c>
      <c r="D328">
        <v>55482517</v>
      </c>
      <c r="E328">
        <v>1</v>
      </c>
      <c r="F328">
        <v>1</v>
      </c>
      <c r="G328">
        <v>1081</v>
      </c>
      <c r="H328">
        <v>3</v>
      </c>
      <c r="I328" t="s">
        <v>600</v>
      </c>
      <c r="J328" t="s">
        <v>601</v>
      </c>
      <c r="K328" t="s">
        <v>602</v>
      </c>
      <c r="L328">
        <v>1356</v>
      </c>
      <c r="N328">
        <v>1010</v>
      </c>
      <c r="O328" t="s">
        <v>353</v>
      </c>
      <c r="P328" t="s">
        <v>353</v>
      </c>
      <c r="Q328">
        <v>1000</v>
      </c>
      <c r="W328">
        <v>0</v>
      </c>
      <c r="X328">
        <v>1304193837</v>
      </c>
      <c r="Y328">
        <f>(AT328*1)</f>
        <v>1.2200000000000001E-2</v>
      </c>
      <c r="AA328">
        <v>226.86</v>
      </c>
      <c r="AB328">
        <v>0</v>
      </c>
      <c r="AC328">
        <v>0</v>
      </c>
      <c r="AD328">
        <v>0</v>
      </c>
      <c r="AE328">
        <v>226.86</v>
      </c>
      <c r="AF328">
        <v>0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1.2200000000000001E-2</v>
      </c>
      <c r="AU328" t="s">
        <v>113</v>
      </c>
      <c r="AV328">
        <v>0</v>
      </c>
      <c r="AW328">
        <v>2</v>
      </c>
      <c r="AX328">
        <v>55937988</v>
      </c>
      <c r="AY328">
        <v>1</v>
      </c>
      <c r="AZ328">
        <v>0</v>
      </c>
      <c r="BA328">
        <v>398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ROUND(Y328*Source!I252,9)</f>
        <v>2.4399999999999999E-4</v>
      </c>
      <c r="CY328">
        <f>AA328</f>
        <v>226.86</v>
      </c>
      <c r="CZ328">
        <f>AE328</f>
        <v>226.86</v>
      </c>
      <c r="DA328">
        <f>AI328</f>
        <v>1</v>
      </c>
      <c r="DB328">
        <f>ROUND((ROUND(AT328*CZ328,2)*1),6)</f>
        <v>2.77</v>
      </c>
      <c r="DC328">
        <f>ROUND((ROUND(AT328*AG328,2)*1),6)</f>
        <v>0</v>
      </c>
      <c r="DD328" t="s">
        <v>3</v>
      </c>
      <c r="DE328" t="s">
        <v>3</v>
      </c>
      <c r="DF328">
        <f t="shared" si="144"/>
        <v>0.06</v>
      </c>
      <c r="DG328">
        <f t="shared" si="140"/>
        <v>0</v>
      </c>
      <c r="DH328">
        <f t="shared" si="141"/>
        <v>0</v>
      </c>
      <c r="DI328">
        <f t="shared" si="143"/>
        <v>0</v>
      </c>
      <c r="DJ328">
        <f>DF328</f>
        <v>0.06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ROW(Source!A252)</f>
        <v>252</v>
      </c>
      <c r="B329">
        <v>55937296</v>
      </c>
      <c r="C329">
        <v>55937982</v>
      </c>
      <c r="D329">
        <v>55481842</v>
      </c>
      <c r="E329">
        <v>1</v>
      </c>
      <c r="F329">
        <v>1</v>
      </c>
      <c r="G329">
        <v>1081</v>
      </c>
      <c r="H329">
        <v>3</v>
      </c>
      <c r="I329" t="s">
        <v>594</v>
      </c>
      <c r="J329" t="s">
        <v>595</v>
      </c>
      <c r="K329" t="s">
        <v>596</v>
      </c>
      <c r="L329">
        <v>1354</v>
      </c>
      <c r="N329">
        <v>1010</v>
      </c>
      <c r="O329" t="s">
        <v>217</v>
      </c>
      <c r="P329" t="s">
        <v>217</v>
      </c>
      <c r="Q329">
        <v>1</v>
      </c>
      <c r="W329">
        <v>0</v>
      </c>
      <c r="X329">
        <v>-1424681180</v>
      </c>
      <c r="Y329">
        <f>(AT329*1)</f>
        <v>3.1</v>
      </c>
      <c r="AA329">
        <v>6.94</v>
      </c>
      <c r="AB329">
        <v>0</v>
      </c>
      <c r="AC329">
        <v>0</v>
      </c>
      <c r="AD329">
        <v>0</v>
      </c>
      <c r="AE329">
        <v>6.94</v>
      </c>
      <c r="AF329">
        <v>0</v>
      </c>
      <c r="AG329">
        <v>0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3.1</v>
      </c>
      <c r="AU329" t="s">
        <v>113</v>
      </c>
      <c r="AV329">
        <v>0</v>
      </c>
      <c r="AW329">
        <v>2</v>
      </c>
      <c r="AX329">
        <v>55937989</v>
      </c>
      <c r="AY329">
        <v>1</v>
      </c>
      <c r="AZ329">
        <v>0</v>
      </c>
      <c r="BA329">
        <v>399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ROUND(Y329*Source!I252,9)</f>
        <v>6.2E-2</v>
      </c>
      <c r="CY329">
        <f>AA329</f>
        <v>6.94</v>
      </c>
      <c r="CZ329">
        <f>AE329</f>
        <v>6.94</v>
      </c>
      <c r="DA329">
        <f>AI329</f>
        <v>1</v>
      </c>
      <c r="DB329">
        <f>ROUND((ROUND(AT329*CZ329,2)*1),6)</f>
        <v>21.51</v>
      </c>
      <c r="DC329">
        <f>ROUND((ROUND(AT329*AG329,2)*1),6)</f>
        <v>0</v>
      </c>
      <c r="DD329" t="s">
        <v>3</v>
      </c>
      <c r="DE329" t="s">
        <v>3</v>
      </c>
      <c r="DF329">
        <f t="shared" si="144"/>
        <v>0.43</v>
      </c>
      <c r="DG329">
        <f t="shared" si="140"/>
        <v>0</v>
      </c>
      <c r="DH329">
        <f t="shared" si="141"/>
        <v>0</v>
      </c>
      <c r="DI329">
        <f t="shared" si="143"/>
        <v>0</v>
      </c>
      <c r="DJ329">
        <f>DF329</f>
        <v>0.43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ROW(Source!A252)</f>
        <v>252</v>
      </c>
      <c r="B330">
        <v>55937296</v>
      </c>
      <c r="C330">
        <v>55937982</v>
      </c>
      <c r="D330">
        <v>55481850</v>
      </c>
      <c r="E330">
        <v>1</v>
      </c>
      <c r="F330">
        <v>1</v>
      </c>
      <c r="G330">
        <v>1081</v>
      </c>
      <c r="H330">
        <v>3</v>
      </c>
      <c r="I330" t="s">
        <v>603</v>
      </c>
      <c r="J330" t="s">
        <v>604</v>
      </c>
      <c r="K330" t="s">
        <v>605</v>
      </c>
      <c r="L330">
        <v>1356</v>
      </c>
      <c r="N330">
        <v>1010</v>
      </c>
      <c r="O330" t="s">
        <v>353</v>
      </c>
      <c r="P330" t="s">
        <v>353</v>
      </c>
      <c r="Q330">
        <v>1000</v>
      </c>
      <c r="W330">
        <v>0</v>
      </c>
      <c r="X330">
        <v>1020131354</v>
      </c>
      <c r="Y330">
        <f>(AT330*1)</f>
        <v>8.0000000000000002E-3</v>
      </c>
      <c r="AA330">
        <v>614.09</v>
      </c>
      <c r="AB330">
        <v>0</v>
      </c>
      <c r="AC330">
        <v>0</v>
      </c>
      <c r="AD330">
        <v>0</v>
      </c>
      <c r="AE330">
        <v>614.09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8.0000000000000002E-3</v>
      </c>
      <c r="AU330" t="s">
        <v>113</v>
      </c>
      <c r="AV330">
        <v>0</v>
      </c>
      <c r="AW330">
        <v>2</v>
      </c>
      <c r="AX330">
        <v>55937990</v>
      </c>
      <c r="AY330">
        <v>1</v>
      </c>
      <c r="AZ330">
        <v>0</v>
      </c>
      <c r="BA330">
        <v>400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ROUND(Y330*Source!I252,9)</f>
        <v>1.6000000000000001E-4</v>
      </c>
      <c r="CY330">
        <f>AA330</f>
        <v>614.09</v>
      </c>
      <c r="CZ330">
        <f>AE330</f>
        <v>614.09</v>
      </c>
      <c r="DA330">
        <f>AI330</f>
        <v>1</v>
      </c>
      <c r="DB330">
        <f>ROUND((ROUND(AT330*CZ330,2)*1),6)</f>
        <v>4.91</v>
      </c>
      <c r="DC330">
        <f>ROUND((ROUND(AT330*AG330,2)*1),6)</f>
        <v>0</v>
      </c>
      <c r="DD330" t="s">
        <v>3</v>
      </c>
      <c r="DE330" t="s">
        <v>3</v>
      </c>
      <c r="DF330">
        <f t="shared" si="144"/>
        <v>0.1</v>
      </c>
      <c r="DG330">
        <f t="shared" si="140"/>
        <v>0</v>
      </c>
      <c r="DH330">
        <f t="shared" si="141"/>
        <v>0</v>
      </c>
      <c r="DI330">
        <f t="shared" si="143"/>
        <v>0</v>
      </c>
      <c r="DJ330">
        <f>DF330</f>
        <v>0.1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ROW(Source!A253)</f>
        <v>253</v>
      </c>
      <c r="B331">
        <v>55937298</v>
      </c>
      <c r="C331">
        <v>55937982</v>
      </c>
      <c r="D331">
        <v>55424304</v>
      </c>
      <c r="E331">
        <v>1081</v>
      </c>
      <c r="F331">
        <v>1</v>
      </c>
      <c r="G331">
        <v>1081</v>
      </c>
      <c r="H331">
        <v>1</v>
      </c>
      <c r="I331" t="s">
        <v>449</v>
      </c>
      <c r="J331" t="s">
        <v>3</v>
      </c>
      <c r="K331" t="s">
        <v>450</v>
      </c>
      <c r="L331">
        <v>1191</v>
      </c>
      <c r="N331">
        <v>1013</v>
      </c>
      <c r="O331" t="s">
        <v>451</v>
      </c>
      <c r="P331" t="s">
        <v>451</v>
      </c>
      <c r="Q331">
        <v>1</v>
      </c>
      <c r="W331">
        <v>0</v>
      </c>
      <c r="X331">
        <v>476480486</v>
      </c>
      <c r="Y331">
        <f>(AT331*1.2)</f>
        <v>2.1960000000000002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5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1.83</v>
      </c>
      <c r="AU331" t="s">
        <v>114</v>
      </c>
      <c r="AV331">
        <v>1</v>
      </c>
      <c r="AW331">
        <v>2</v>
      </c>
      <c r="AX331">
        <v>55937983</v>
      </c>
      <c r="AY331">
        <v>1</v>
      </c>
      <c r="AZ331">
        <v>0</v>
      </c>
      <c r="BA331">
        <v>402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U331">
        <f>ROUND(AT331*Source!I253*AH331*AL331,2)</f>
        <v>0</v>
      </c>
      <c r="CV331">
        <f>ROUND(Y331*Source!I253,9)</f>
        <v>4.3920000000000001E-2</v>
      </c>
      <c r="CW331">
        <v>0</v>
      </c>
      <c r="CX331">
        <f>ROUND(Y331*Source!I253,9)</f>
        <v>4.3920000000000001E-2</v>
      </c>
      <c r="CY331">
        <f>AD331</f>
        <v>0</v>
      </c>
      <c r="CZ331">
        <f>AH331</f>
        <v>0</v>
      </c>
      <c r="DA331">
        <f>AL331</f>
        <v>1</v>
      </c>
      <c r="DB331">
        <f>ROUND((ROUND(AT331*CZ331,2)*1.2),6)</f>
        <v>0</v>
      </c>
      <c r="DC331">
        <f>ROUND((ROUND(AT331*AG331,2)*1.2),6)</f>
        <v>0</v>
      </c>
      <c r="DD331" t="s">
        <v>3</v>
      </c>
      <c r="DE331" t="s">
        <v>3</v>
      </c>
      <c r="DF331">
        <f t="shared" si="144"/>
        <v>0</v>
      </c>
      <c r="DG331">
        <f t="shared" si="140"/>
        <v>0</v>
      </c>
      <c r="DH331">
        <f t="shared" si="141"/>
        <v>0</v>
      </c>
      <c r="DI331">
        <f t="shared" si="143"/>
        <v>0</v>
      </c>
      <c r="DJ331">
        <f>DI331</f>
        <v>0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ROW(Source!A253)</f>
        <v>253</v>
      </c>
      <c r="B332">
        <v>55937298</v>
      </c>
      <c r="C332">
        <v>55937982</v>
      </c>
      <c r="D332">
        <v>55490209</v>
      </c>
      <c r="E332">
        <v>1</v>
      </c>
      <c r="F332">
        <v>1</v>
      </c>
      <c r="G332">
        <v>1081</v>
      </c>
      <c r="H332">
        <v>2</v>
      </c>
      <c r="I332" t="s">
        <v>489</v>
      </c>
      <c r="J332" t="s">
        <v>490</v>
      </c>
      <c r="K332" t="s">
        <v>491</v>
      </c>
      <c r="L332">
        <v>1368</v>
      </c>
      <c r="N332">
        <v>1011</v>
      </c>
      <c r="O332" t="s">
        <v>455</v>
      </c>
      <c r="P332" t="s">
        <v>455</v>
      </c>
      <c r="Q332">
        <v>1</v>
      </c>
      <c r="W332">
        <v>0</v>
      </c>
      <c r="X332">
        <v>874612079</v>
      </c>
      <c r="Y332">
        <f>(AT332*1.2)</f>
        <v>1.2E-2</v>
      </c>
      <c r="AA332">
        <v>0</v>
      </c>
      <c r="AB332">
        <v>1485.19</v>
      </c>
      <c r="AC332">
        <v>744.56</v>
      </c>
      <c r="AD332">
        <v>0</v>
      </c>
      <c r="AE332">
        <v>0</v>
      </c>
      <c r="AF332">
        <v>83.1</v>
      </c>
      <c r="AG332">
        <v>12.62</v>
      </c>
      <c r="AH332">
        <v>0</v>
      </c>
      <c r="AI332">
        <v>1</v>
      </c>
      <c r="AJ332">
        <v>17.07</v>
      </c>
      <c r="AK332">
        <v>56.35</v>
      </c>
      <c r="AL332">
        <v>1</v>
      </c>
      <c r="AM332">
        <v>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0.01</v>
      </c>
      <c r="AU332" t="s">
        <v>114</v>
      </c>
      <c r="AV332">
        <v>0</v>
      </c>
      <c r="AW332">
        <v>2</v>
      </c>
      <c r="AX332">
        <v>55937984</v>
      </c>
      <c r="AY332">
        <v>1</v>
      </c>
      <c r="AZ332">
        <v>0</v>
      </c>
      <c r="BA332">
        <v>403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ROUND(Y332*Source!I253*DO332,9)</f>
        <v>3.0287999999999999E-3</v>
      </c>
      <c r="CX332">
        <f>ROUND(Y332*Source!I253,9)</f>
        <v>2.4000000000000001E-4</v>
      </c>
      <c r="CY332">
        <f>AB332</f>
        <v>1485.19</v>
      </c>
      <c r="CZ332">
        <f>AF332</f>
        <v>83.1</v>
      </c>
      <c r="DA332">
        <f>AJ332</f>
        <v>17.07</v>
      </c>
      <c r="DB332">
        <f>ROUND((ROUND(AT332*CZ332,2)*1.2),6)</f>
        <v>0.996</v>
      </c>
      <c r="DC332">
        <f>ROUND((ROUND(AT332*AG332,2)*1.2),6)</f>
        <v>0.156</v>
      </c>
      <c r="DD332" t="s">
        <v>3</v>
      </c>
      <c r="DE332" t="s">
        <v>3</v>
      </c>
      <c r="DF332">
        <f t="shared" si="144"/>
        <v>0</v>
      </c>
      <c r="DG332">
        <f>ROUND(ROUND(AF332*AJ332,2)*CX332,2)</f>
        <v>0.34</v>
      </c>
      <c r="DH332">
        <f>ROUND(ROUND(AG332*AK332,2)*CX332,2)</f>
        <v>0.17</v>
      </c>
      <c r="DI332">
        <f t="shared" si="143"/>
        <v>0</v>
      </c>
      <c r="DJ332">
        <f>DG332</f>
        <v>0.34</v>
      </c>
      <c r="DK332">
        <v>0</v>
      </c>
      <c r="DL332" t="s">
        <v>492</v>
      </c>
      <c r="DM332">
        <v>0</v>
      </c>
      <c r="DN332" t="s">
        <v>451</v>
      </c>
      <c r="DO332">
        <v>12.62</v>
      </c>
    </row>
    <row r="333" spans="1:119" x14ac:dyDescent="0.2">
      <c r="A333">
        <f>ROW(Source!A253)</f>
        <v>253</v>
      </c>
      <c r="B333">
        <v>55937298</v>
      </c>
      <c r="C333">
        <v>55937982</v>
      </c>
      <c r="D333">
        <v>55489443</v>
      </c>
      <c r="E333">
        <v>1</v>
      </c>
      <c r="F333">
        <v>1</v>
      </c>
      <c r="G333">
        <v>1081</v>
      </c>
      <c r="H333">
        <v>2</v>
      </c>
      <c r="I333" t="s">
        <v>582</v>
      </c>
      <c r="J333" t="s">
        <v>583</v>
      </c>
      <c r="K333" t="s">
        <v>584</v>
      </c>
      <c r="L333">
        <v>1368</v>
      </c>
      <c r="N333">
        <v>1011</v>
      </c>
      <c r="O333" t="s">
        <v>455</v>
      </c>
      <c r="P333" t="s">
        <v>455</v>
      </c>
      <c r="Q333">
        <v>1</v>
      </c>
      <c r="W333">
        <v>0</v>
      </c>
      <c r="X333">
        <v>-44940208</v>
      </c>
      <c r="Y333">
        <f>(AT333*1.2)</f>
        <v>1.2E-2</v>
      </c>
      <c r="AA333">
        <v>0</v>
      </c>
      <c r="AB333">
        <v>2706.94</v>
      </c>
      <c r="AC333">
        <v>998.84</v>
      </c>
      <c r="AD333">
        <v>0</v>
      </c>
      <c r="AE333">
        <v>0</v>
      </c>
      <c r="AF333">
        <v>179.17</v>
      </c>
      <c r="AG333">
        <v>16.93</v>
      </c>
      <c r="AH333">
        <v>0</v>
      </c>
      <c r="AI333">
        <v>1</v>
      </c>
      <c r="AJ333">
        <v>14.43</v>
      </c>
      <c r="AK333">
        <v>56.35</v>
      </c>
      <c r="AL333">
        <v>1</v>
      </c>
      <c r="AM333">
        <v>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0.01</v>
      </c>
      <c r="AU333" t="s">
        <v>114</v>
      </c>
      <c r="AV333">
        <v>0</v>
      </c>
      <c r="AW333">
        <v>2</v>
      </c>
      <c r="AX333">
        <v>55937985</v>
      </c>
      <c r="AY333">
        <v>1</v>
      </c>
      <c r="AZ333">
        <v>0</v>
      </c>
      <c r="BA333">
        <v>404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f>ROUND(Y333*Source!I253*DO333,9)</f>
        <v>4.0632000000000003E-3</v>
      </c>
      <c r="CX333">
        <f>ROUND(Y333*Source!I253,9)</f>
        <v>2.4000000000000001E-4</v>
      </c>
      <c r="CY333">
        <f>AB333</f>
        <v>2706.94</v>
      </c>
      <c r="CZ333">
        <f>AF333</f>
        <v>179.17</v>
      </c>
      <c r="DA333">
        <f>AJ333</f>
        <v>14.43</v>
      </c>
      <c r="DB333">
        <f>ROUND((ROUND(AT333*CZ333,2)*1.2),6)</f>
        <v>2.1480000000000001</v>
      </c>
      <c r="DC333">
        <f>ROUND((ROUND(AT333*AG333,2)*1.2),6)</f>
        <v>0.20399999999999999</v>
      </c>
      <c r="DD333" t="s">
        <v>3</v>
      </c>
      <c r="DE333" t="s">
        <v>3</v>
      </c>
      <c r="DF333">
        <f t="shared" si="144"/>
        <v>0</v>
      </c>
      <c r="DG333">
        <f>ROUND(ROUND(AF333*AJ333,2)*CX333,2)</f>
        <v>0.62</v>
      </c>
      <c r="DH333">
        <f>ROUND(ROUND(AG333*AK333,2)*CX333,2)</f>
        <v>0.23</v>
      </c>
      <c r="DI333">
        <f t="shared" si="143"/>
        <v>0</v>
      </c>
      <c r="DJ333">
        <f>DG333</f>
        <v>0.62</v>
      </c>
      <c r="DK333">
        <v>0</v>
      </c>
      <c r="DL333" t="s">
        <v>492</v>
      </c>
      <c r="DM333">
        <v>0</v>
      </c>
      <c r="DN333" t="s">
        <v>451</v>
      </c>
      <c r="DO333">
        <v>16.93</v>
      </c>
    </row>
    <row r="334" spans="1:119" x14ac:dyDescent="0.2">
      <c r="A334">
        <f>ROW(Source!A253)</f>
        <v>253</v>
      </c>
      <c r="B334">
        <v>55937298</v>
      </c>
      <c r="C334">
        <v>55937982</v>
      </c>
      <c r="D334">
        <v>55460033</v>
      </c>
      <c r="E334">
        <v>1</v>
      </c>
      <c r="F334">
        <v>1</v>
      </c>
      <c r="G334">
        <v>1081</v>
      </c>
      <c r="H334">
        <v>3</v>
      </c>
      <c r="I334" t="s">
        <v>585</v>
      </c>
      <c r="J334" t="s">
        <v>586</v>
      </c>
      <c r="K334" t="s">
        <v>587</v>
      </c>
      <c r="L334">
        <v>1346</v>
      </c>
      <c r="N334">
        <v>1009</v>
      </c>
      <c r="O334" t="s">
        <v>311</v>
      </c>
      <c r="P334" t="s">
        <v>311</v>
      </c>
      <c r="Q334">
        <v>1</v>
      </c>
      <c r="W334">
        <v>0</v>
      </c>
      <c r="X334">
        <v>-1364668115</v>
      </c>
      <c r="Y334">
        <f>(AT334*1)</f>
        <v>0.6</v>
      </c>
      <c r="AA334">
        <v>33.64</v>
      </c>
      <c r="AB334">
        <v>0</v>
      </c>
      <c r="AC334">
        <v>0</v>
      </c>
      <c r="AD334">
        <v>0</v>
      </c>
      <c r="AE334">
        <v>1.38</v>
      </c>
      <c r="AF334">
        <v>0</v>
      </c>
      <c r="AG334">
        <v>0</v>
      </c>
      <c r="AH334">
        <v>0</v>
      </c>
      <c r="AI334">
        <v>24.38</v>
      </c>
      <c r="AJ334">
        <v>1</v>
      </c>
      <c r="AK334">
        <v>1</v>
      </c>
      <c r="AL334">
        <v>1</v>
      </c>
      <c r="AM334">
        <v>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0.6</v>
      </c>
      <c r="AU334" t="s">
        <v>113</v>
      </c>
      <c r="AV334">
        <v>0</v>
      </c>
      <c r="AW334">
        <v>2</v>
      </c>
      <c r="AX334">
        <v>55937986</v>
      </c>
      <c r="AY334">
        <v>1</v>
      </c>
      <c r="AZ334">
        <v>0</v>
      </c>
      <c r="BA334">
        <v>405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ROUND(Y334*Source!I253,9)</f>
        <v>1.2E-2</v>
      </c>
      <c r="CY334">
        <f>AA334</f>
        <v>33.64</v>
      </c>
      <c r="CZ334">
        <f>AE334</f>
        <v>1.38</v>
      </c>
      <c r="DA334">
        <f>AI334</f>
        <v>24.38</v>
      </c>
      <c r="DB334">
        <f>ROUND((ROUND(AT334*CZ334,2)*1),6)</f>
        <v>0.83</v>
      </c>
      <c r="DC334">
        <f>ROUND((ROUND(AT334*AG334,2)*1),6)</f>
        <v>0</v>
      </c>
      <c r="DD334" t="s">
        <v>3</v>
      </c>
      <c r="DE334" t="s">
        <v>3</v>
      </c>
      <c r="DF334">
        <f>ROUND(ROUND(AE334*AI334,2)*CX334,2)</f>
        <v>0.4</v>
      </c>
      <c r="DG334">
        <f t="shared" ref="DG334:DG347" si="145">ROUND(ROUND(AF334,2)*CX334,2)</f>
        <v>0</v>
      </c>
      <c r="DH334">
        <f t="shared" ref="DH334:DH347" si="146">ROUND(ROUND(AG334,2)*CX334,2)</f>
        <v>0</v>
      </c>
      <c r="DI334">
        <f t="shared" si="143"/>
        <v>0</v>
      </c>
      <c r="DJ334">
        <f>DF334</f>
        <v>0.4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ROW(Source!A253)</f>
        <v>253</v>
      </c>
      <c r="B335">
        <v>55937298</v>
      </c>
      <c r="C335">
        <v>55937982</v>
      </c>
      <c r="D335">
        <v>55460424</v>
      </c>
      <c r="E335">
        <v>1</v>
      </c>
      <c r="F335">
        <v>1</v>
      </c>
      <c r="G335">
        <v>1081</v>
      </c>
      <c r="H335">
        <v>3</v>
      </c>
      <c r="I335" t="s">
        <v>496</v>
      </c>
      <c r="J335" t="s">
        <v>497</v>
      </c>
      <c r="K335" t="s">
        <v>498</v>
      </c>
      <c r="L335">
        <v>1346</v>
      </c>
      <c r="N335">
        <v>1009</v>
      </c>
      <c r="O335" t="s">
        <v>311</v>
      </c>
      <c r="P335" t="s">
        <v>311</v>
      </c>
      <c r="Q335">
        <v>1</v>
      </c>
      <c r="W335">
        <v>0</v>
      </c>
      <c r="X335">
        <v>1309298634</v>
      </c>
      <c r="Y335">
        <f>(AT335*1)</f>
        <v>0.16</v>
      </c>
      <c r="AA335">
        <v>286.31</v>
      </c>
      <c r="AB335">
        <v>0</v>
      </c>
      <c r="AC335">
        <v>0</v>
      </c>
      <c r="AD335">
        <v>0</v>
      </c>
      <c r="AE335">
        <v>159.06</v>
      </c>
      <c r="AF335">
        <v>0</v>
      </c>
      <c r="AG335">
        <v>0</v>
      </c>
      <c r="AH335">
        <v>0</v>
      </c>
      <c r="AI335">
        <v>1.8</v>
      </c>
      <c r="AJ335">
        <v>1</v>
      </c>
      <c r="AK335">
        <v>1</v>
      </c>
      <c r="AL335">
        <v>1</v>
      </c>
      <c r="AM335">
        <v>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0.16</v>
      </c>
      <c r="AU335" t="s">
        <v>113</v>
      </c>
      <c r="AV335">
        <v>0</v>
      </c>
      <c r="AW335">
        <v>2</v>
      </c>
      <c r="AX335">
        <v>55937987</v>
      </c>
      <c r="AY335">
        <v>1</v>
      </c>
      <c r="AZ335">
        <v>0</v>
      </c>
      <c r="BA335">
        <v>406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ROUND(Y335*Source!I253,9)</f>
        <v>3.2000000000000002E-3</v>
      </c>
      <c r="CY335">
        <f>AA335</f>
        <v>286.31</v>
      </c>
      <c r="CZ335">
        <f>AE335</f>
        <v>159.06</v>
      </c>
      <c r="DA335">
        <f>AI335</f>
        <v>1.8</v>
      </c>
      <c r="DB335">
        <f>ROUND((ROUND(AT335*CZ335,2)*1),6)</f>
        <v>25.45</v>
      </c>
      <c r="DC335">
        <f>ROUND((ROUND(AT335*AG335,2)*1),6)</f>
        <v>0</v>
      </c>
      <c r="DD335" t="s">
        <v>3</v>
      </c>
      <c r="DE335" t="s">
        <v>3</v>
      </c>
      <c r="DF335">
        <f>ROUND(ROUND(AE335*AI335,2)*CX335,2)</f>
        <v>0.92</v>
      </c>
      <c r="DG335">
        <f t="shared" si="145"/>
        <v>0</v>
      </c>
      <c r="DH335">
        <f t="shared" si="146"/>
        <v>0</v>
      </c>
      <c r="DI335">
        <f t="shared" si="143"/>
        <v>0</v>
      </c>
      <c r="DJ335">
        <f>DF335</f>
        <v>0.92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ROW(Source!A253)</f>
        <v>253</v>
      </c>
      <c r="B336">
        <v>55937298</v>
      </c>
      <c r="C336">
        <v>55937982</v>
      </c>
      <c r="D336">
        <v>55482517</v>
      </c>
      <c r="E336">
        <v>1</v>
      </c>
      <c r="F336">
        <v>1</v>
      </c>
      <c r="G336">
        <v>1081</v>
      </c>
      <c r="H336">
        <v>3</v>
      </c>
      <c r="I336" t="s">
        <v>600</v>
      </c>
      <c r="J336" t="s">
        <v>601</v>
      </c>
      <c r="K336" t="s">
        <v>602</v>
      </c>
      <c r="L336">
        <v>1356</v>
      </c>
      <c r="N336">
        <v>1010</v>
      </c>
      <c r="O336" t="s">
        <v>353</v>
      </c>
      <c r="P336" t="s">
        <v>353</v>
      </c>
      <c r="Q336">
        <v>1000</v>
      </c>
      <c r="W336">
        <v>0</v>
      </c>
      <c r="X336">
        <v>1304193837</v>
      </c>
      <c r="Y336">
        <f>(AT336*1)</f>
        <v>1.2200000000000001E-2</v>
      </c>
      <c r="AA336">
        <v>1556.26</v>
      </c>
      <c r="AB336">
        <v>0</v>
      </c>
      <c r="AC336">
        <v>0</v>
      </c>
      <c r="AD336">
        <v>0</v>
      </c>
      <c r="AE336">
        <v>226.86</v>
      </c>
      <c r="AF336">
        <v>0</v>
      </c>
      <c r="AG336">
        <v>0</v>
      </c>
      <c r="AH336">
        <v>0</v>
      </c>
      <c r="AI336">
        <v>6.86</v>
      </c>
      <c r="AJ336">
        <v>1</v>
      </c>
      <c r="AK336">
        <v>1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1.2200000000000001E-2</v>
      </c>
      <c r="AU336" t="s">
        <v>113</v>
      </c>
      <c r="AV336">
        <v>0</v>
      </c>
      <c r="AW336">
        <v>2</v>
      </c>
      <c r="AX336">
        <v>55937988</v>
      </c>
      <c r="AY336">
        <v>1</v>
      </c>
      <c r="AZ336">
        <v>0</v>
      </c>
      <c r="BA336">
        <v>407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ROUND(Y336*Source!I253,9)</f>
        <v>2.4399999999999999E-4</v>
      </c>
      <c r="CY336">
        <f>AA336</f>
        <v>1556.26</v>
      </c>
      <c r="CZ336">
        <f>AE336</f>
        <v>226.86</v>
      </c>
      <c r="DA336">
        <f>AI336</f>
        <v>6.86</v>
      </c>
      <c r="DB336">
        <f>ROUND((ROUND(AT336*CZ336,2)*1),6)</f>
        <v>2.77</v>
      </c>
      <c r="DC336">
        <f>ROUND((ROUND(AT336*AG336,2)*1),6)</f>
        <v>0</v>
      </c>
      <c r="DD336" t="s">
        <v>3</v>
      </c>
      <c r="DE336" t="s">
        <v>3</v>
      </c>
      <c r="DF336">
        <f>ROUND(ROUND(AE336*AI336,2)*CX336,2)</f>
        <v>0.38</v>
      </c>
      <c r="DG336">
        <f t="shared" si="145"/>
        <v>0</v>
      </c>
      <c r="DH336">
        <f t="shared" si="146"/>
        <v>0</v>
      </c>
      <c r="DI336">
        <f t="shared" si="143"/>
        <v>0</v>
      </c>
      <c r="DJ336">
        <f>DF336</f>
        <v>0.38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ROW(Source!A253)</f>
        <v>253</v>
      </c>
      <c r="B337">
        <v>55937298</v>
      </c>
      <c r="C337">
        <v>55937982</v>
      </c>
      <c r="D337">
        <v>55481842</v>
      </c>
      <c r="E337">
        <v>1</v>
      </c>
      <c r="F337">
        <v>1</v>
      </c>
      <c r="G337">
        <v>1081</v>
      </c>
      <c r="H337">
        <v>3</v>
      </c>
      <c r="I337" t="s">
        <v>594</v>
      </c>
      <c r="J337" t="s">
        <v>595</v>
      </c>
      <c r="K337" t="s">
        <v>596</v>
      </c>
      <c r="L337">
        <v>1354</v>
      </c>
      <c r="N337">
        <v>1010</v>
      </c>
      <c r="O337" t="s">
        <v>217</v>
      </c>
      <c r="P337" t="s">
        <v>217</v>
      </c>
      <c r="Q337">
        <v>1</v>
      </c>
      <c r="W337">
        <v>0</v>
      </c>
      <c r="X337">
        <v>-1424681180</v>
      </c>
      <c r="Y337">
        <f>(AT337*1)</f>
        <v>3.1</v>
      </c>
      <c r="AA337">
        <v>25.33</v>
      </c>
      <c r="AB337">
        <v>0</v>
      </c>
      <c r="AC337">
        <v>0</v>
      </c>
      <c r="AD337">
        <v>0</v>
      </c>
      <c r="AE337">
        <v>6.94</v>
      </c>
      <c r="AF337">
        <v>0</v>
      </c>
      <c r="AG337">
        <v>0</v>
      </c>
      <c r="AH337">
        <v>0</v>
      </c>
      <c r="AI337">
        <v>3.65</v>
      </c>
      <c r="AJ337">
        <v>1</v>
      </c>
      <c r="AK337">
        <v>1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3.1</v>
      </c>
      <c r="AU337" t="s">
        <v>113</v>
      </c>
      <c r="AV337">
        <v>0</v>
      </c>
      <c r="AW337">
        <v>2</v>
      </c>
      <c r="AX337">
        <v>55937989</v>
      </c>
      <c r="AY337">
        <v>1</v>
      </c>
      <c r="AZ337">
        <v>0</v>
      </c>
      <c r="BA337">
        <v>408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ROUND(Y337*Source!I253,9)</f>
        <v>6.2E-2</v>
      </c>
      <c r="CY337">
        <f>AA337</f>
        <v>25.33</v>
      </c>
      <c r="CZ337">
        <f>AE337</f>
        <v>6.94</v>
      </c>
      <c r="DA337">
        <f>AI337</f>
        <v>3.65</v>
      </c>
      <c r="DB337">
        <f>ROUND((ROUND(AT337*CZ337,2)*1),6)</f>
        <v>21.51</v>
      </c>
      <c r="DC337">
        <f>ROUND((ROUND(AT337*AG337,2)*1),6)</f>
        <v>0</v>
      </c>
      <c r="DD337" t="s">
        <v>3</v>
      </c>
      <c r="DE337" t="s">
        <v>3</v>
      </c>
      <c r="DF337">
        <f>ROUND(ROUND(AE337*AI337,2)*CX337,2)</f>
        <v>1.57</v>
      </c>
      <c r="DG337">
        <f t="shared" si="145"/>
        <v>0</v>
      </c>
      <c r="DH337">
        <f t="shared" si="146"/>
        <v>0</v>
      </c>
      <c r="DI337">
        <f t="shared" si="143"/>
        <v>0</v>
      </c>
      <c r="DJ337">
        <f>DF337</f>
        <v>1.57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ROW(Source!A253)</f>
        <v>253</v>
      </c>
      <c r="B338">
        <v>55937298</v>
      </c>
      <c r="C338">
        <v>55937982</v>
      </c>
      <c r="D338">
        <v>55481850</v>
      </c>
      <c r="E338">
        <v>1</v>
      </c>
      <c r="F338">
        <v>1</v>
      </c>
      <c r="G338">
        <v>1081</v>
      </c>
      <c r="H338">
        <v>3</v>
      </c>
      <c r="I338" t="s">
        <v>603</v>
      </c>
      <c r="J338" t="s">
        <v>604</v>
      </c>
      <c r="K338" t="s">
        <v>605</v>
      </c>
      <c r="L338">
        <v>1356</v>
      </c>
      <c r="N338">
        <v>1010</v>
      </c>
      <c r="O338" t="s">
        <v>353</v>
      </c>
      <c r="P338" t="s">
        <v>353</v>
      </c>
      <c r="Q338">
        <v>1000</v>
      </c>
      <c r="W338">
        <v>0</v>
      </c>
      <c r="X338">
        <v>1020131354</v>
      </c>
      <c r="Y338">
        <f>(AT338*1)</f>
        <v>8.0000000000000002E-3</v>
      </c>
      <c r="AA338">
        <v>1197.48</v>
      </c>
      <c r="AB338">
        <v>0</v>
      </c>
      <c r="AC338">
        <v>0</v>
      </c>
      <c r="AD338">
        <v>0</v>
      </c>
      <c r="AE338">
        <v>614.09</v>
      </c>
      <c r="AF338">
        <v>0</v>
      </c>
      <c r="AG338">
        <v>0</v>
      </c>
      <c r="AH338">
        <v>0</v>
      </c>
      <c r="AI338">
        <v>1.95</v>
      </c>
      <c r="AJ338">
        <v>1</v>
      </c>
      <c r="AK338">
        <v>1</v>
      </c>
      <c r="AL338">
        <v>1</v>
      </c>
      <c r="AM338">
        <v>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8.0000000000000002E-3</v>
      </c>
      <c r="AU338" t="s">
        <v>113</v>
      </c>
      <c r="AV338">
        <v>0</v>
      </c>
      <c r="AW338">
        <v>2</v>
      </c>
      <c r="AX338">
        <v>55937990</v>
      </c>
      <c r="AY338">
        <v>1</v>
      </c>
      <c r="AZ338">
        <v>0</v>
      </c>
      <c r="BA338">
        <v>409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ROUND(Y338*Source!I253,9)</f>
        <v>1.6000000000000001E-4</v>
      </c>
      <c r="CY338">
        <f>AA338</f>
        <v>1197.48</v>
      </c>
      <c r="CZ338">
        <f>AE338</f>
        <v>614.09</v>
      </c>
      <c r="DA338">
        <f>AI338</f>
        <v>1.95</v>
      </c>
      <c r="DB338">
        <f>ROUND((ROUND(AT338*CZ338,2)*1),6)</f>
        <v>4.91</v>
      </c>
      <c r="DC338">
        <f>ROUND((ROUND(AT338*AG338,2)*1),6)</f>
        <v>0</v>
      </c>
      <c r="DD338" t="s">
        <v>3</v>
      </c>
      <c r="DE338" t="s">
        <v>3</v>
      </c>
      <c r="DF338">
        <f>ROUND(ROUND(AE338*AI338,2)*CX338,2)</f>
        <v>0.19</v>
      </c>
      <c r="DG338">
        <f t="shared" si="145"/>
        <v>0</v>
      </c>
      <c r="DH338">
        <f t="shared" si="146"/>
        <v>0</v>
      </c>
      <c r="DI338">
        <f t="shared" si="143"/>
        <v>0</v>
      </c>
      <c r="DJ338">
        <f>DF338</f>
        <v>0.19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ROW(Source!A256)</f>
        <v>256</v>
      </c>
      <c r="B339">
        <v>55937296</v>
      </c>
      <c r="C339">
        <v>55937994</v>
      </c>
      <c r="D339">
        <v>55424304</v>
      </c>
      <c r="E339">
        <v>1081</v>
      </c>
      <c r="F339">
        <v>1</v>
      </c>
      <c r="G339">
        <v>1081</v>
      </c>
      <c r="H339">
        <v>1</v>
      </c>
      <c r="I339" t="s">
        <v>449</v>
      </c>
      <c r="J339" t="s">
        <v>3</v>
      </c>
      <c r="K339" t="s">
        <v>450</v>
      </c>
      <c r="L339">
        <v>1191</v>
      </c>
      <c r="N339">
        <v>1013</v>
      </c>
      <c r="O339" t="s">
        <v>451</v>
      </c>
      <c r="P339" t="s">
        <v>451</v>
      </c>
      <c r="Q339">
        <v>1</v>
      </c>
      <c r="W339">
        <v>0</v>
      </c>
      <c r="X339">
        <v>476480486</v>
      </c>
      <c r="Y339">
        <f>(AT339*1.2)</f>
        <v>48.24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40.200000000000003</v>
      </c>
      <c r="AU339" t="s">
        <v>114</v>
      </c>
      <c r="AV339">
        <v>1</v>
      </c>
      <c r="AW339">
        <v>2</v>
      </c>
      <c r="AX339">
        <v>55937995</v>
      </c>
      <c r="AY339">
        <v>1</v>
      </c>
      <c r="AZ339">
        <v>0</v>
      </c>
      <c r="BA339">
        <v>411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U339">
        <f>ROUND(AT339*Source!I256*AH339*AL339,2)</f>
        <v>0</v>
      </c>
      <c r="CV339">
        <f>ROUND(Y339*Source!I256,9)</f>
        <v>43.415999999999997</v>
      </c>
      <c r="CW339">
        <v>0</v>
      </c>
      <c r="CX339">
        <f>ROUND(Y339*Source!I256,9)</f>
        <v>43.415999999999997</v>
      </c>
      <c r="CY339">
        <f>AD339</f>
        <v>0</v>
      </c>
      <c r="CZ339">
        <f>AH339</f>
        <v>0</v>
      </c>
      <c r="DA339">
        <f>AL339</f>
        <v>1</v>
      </c>
      <c r="DB339">
        <f>ROUND((ROUND(AT339*CZ339,2)*1.2),6)</f>
        <v>0</v>
      </c>
      <c r="DC339">
        <f>ROUND((ROUND(AT339*AG339,2)*1.2),6)</f>
        <v>0</v>
      </c>
      <c r="DD339" t="s">
        <v>3</v>
      </c>
      <c r="DE339" t="s">
        <v>3</v>
      </c>
      <c r="DF339">
        <f t="shared" ref="DF339:DF349" si="147">ROUND(ROUND(AE339,2)*CX339,2)</f>
        <v>0</v>
      </c>
      <c r="DG339">
        <f t="shared" si="145"/>
        <v>0</v>
      </c>
      <c r="DH339">
        <f t="shared" si="146"/>
        <v>0</v>
      </c>
      <c r="DI339">
        <f t="shared" si="143"/>
        <v>0</v>
      </c>
      <c r="DJ339">
        <f>DI339</f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ROW(Source!A256)</f>
        <v>256</v>
      </c>
      <c r="B340">
        <v>55937296</v>
      </c>
      <c r="C340">
        <v>55937994</v>
      </c>
      <c r="D340">
        <v>55490209</v>
      </c>
      <c r="E340">
        <v>1</v>
      </c>
      <c r="F340">
        <v>1</v>
      </c>
      <c r="G340">
        <v>1081</v>
      </c>
      <c r="H340">
        <v>2</v>
      </c>
      <c r="I340" t="s">
        <v>489</v>
      </c>
      <c r="J340" t="s">
        <v>490</v>
      </c>
      <c r="K340" t="s">
        <v>491</v>
      </c>
      <c r="L340">
        <v>1368</v>
      </c>
      <c r="N340">
        <v>1011</v>
      </c>
      <c r="O340" t="s">
        <v>455</v>
      </c>
      <c r="P340" t="s">
        <v>455</v>
      </c>
      <c r="Q340">
        <v>1</v>
      </c>
      <c r="W340">
        <v>0</v>
      </c>
      <c r="X340">
        <v>874612079</v>
      </c>
      <c r="Y340">
        <f>(AT340*1.2)</f>
        <v>3.5999999999999997E-2</v>
      </c>
      <c r="AA340">
        <v>0</v>
      </c>
      <c r="AB340">
        <v>88.67</v>
      </c>
      <c r="AC340">
        <v>13.47</v>
      </c>
      <c r="AD340">
        <v>0</v>
      </c>
      <c r="AE340">
        <v>0</v>
      </c>
      <c r="AF340">
        <v>83.1</v>
      </c>
      <c r="AG340">
        <v>12.62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0.03</v>
      </c>
      <c r="AU340" t="s">
        <v>114</v>
      </c>
      <c r="AV340">
        <v>0</v>
      </c>
      <c r="AW340">
        <v>2</v>
      </c>
      <c r="AX340">
        <v>55937996</v>
      </c>
      <c r="AY340">
        <v>1</v>
      </c>
      <c r="AZ340">
        <v>0</v>
      </c>
      <c r="BA340">
        <v>412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f>ROUND(Y340*Source!I256*DO340,9)</f>
        <v>0.40888799999999997</v>
      </c>
      <c r="CX340">
        <f>ROUND(Y340*Source!I256,9)</f>
        <v>3.2399999999999998E-2</v>
      </c>
      <c r="CY340">
        <f>AB340</f>
        <v>88.67</v>
      </c>
      <c r="CZ340">
        <f>AF340</f>
        <v>83.1</v>
      </c>
      <c r="DA340">
        <f>AJ340</f>
        <v>1</v>
      </c>
      <c r="DB340">
        <f>ROUND((ROUND(AT340*CZ340,2)*1.2),6)</f>
        <v>2.988</v>
      </c>
      <c r="DC340">
        <f>ROUND((ROUND(AT340*AG340,2)*1.2),6)</f>
        <v>0.45600000000000002</v>
      </c>
      <c r="DD340" t="s">
        <v>3</v>
      </c>
      <c r="DE340" t="s">
        <v>3</v>
      </c>
      <c r="DF340">
        <f t="shared" si="147"/>
        <v>0</v>
      </c>
      <c r="DG340">
        <f t="shared" si="145"/>
        <v>2.69</v>
      </c>
      <c r="DH340">
        <f t="shared" si="146"/>
        <v>0.41</v>
      </c>
      <c r="DI340">
        <f t="shared" si="143"/>
        <v>0</v>
      </c>
      <c r="DJ340">
        <f>DG340</f>
        <v>2.69</v>
      </c>
      <c r="DK340">
        <v>0</v>
      </c>
      <c r="DL340" t="s">
        <v>492</v>
      </c>
      <c r="DM340">
        <v>0</v>
      </c>
      <c r="DN340" t="s">
        <v>451</v>
      </c>
      <c r="DO340">
        <v>12.62</v>
      </c>
    </row>
    <row r="341" spans="1:119" x14ac:dyDescent="0.2">
      <c r="A341">
        <f>ROW(Source!A256)</f>
        <v>256</v>
      </c>
      <c r="B341">
        <v>55937296</v>
      </c>
      <c r="C341">
        <v>55937994</v>
      </c>
      <c r="D341">
        <v>55490330</v>
      </c>
      <c r="E341">
        <v>1</v>
      </c>
      <c r="F341">
        <v>1</v>
      </c>
      <c r="G341">
        <v>1081</v>
      </c>
      <c r="H341">
        <v>2</v>
      </c>
      <c r="I341" t="s">
        <v>452</v>
      </c>
      <c r="J341" t="s">
        <v>453</v>
      </c>
      <c r="K341" t="s">
        <v>454</v>
      </c>
      <c r="L341">
        <v>1368</v>
      </c>
      <c r="N341">
        <v>1011</v>
      </c>
      <c r="O341" t="s">
        <v>455</v>
      </c>
      <c r="P341" t="s">
        <v>455</v>
      </c>
      <c r="Q341">
        <v>1</v>
      </c>
      <c r="W341">
        <v>0</v>
      </c>
      <c r="X341">
        <v>-2083101341</v>
      </c>
      <c r="Y341">
        <f>(AT341*1.2)</f>
        <v>13.2</v>
      </c>
      <c r="AA341">
        <v>0</v>
      </c>
      <c r="AB341">
        <v>0.85</v>
      </c>
      <c r="AC341">
        <v>0</v>
      </c>
      <c r="AD341">
        <v>0</v>
      </c>
      <c r="AE341">
        <v>0</v>
      </c>
      <c r="AF341">
        <v>0.8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11</v>
      </c>
      <c r="AU341" t="s">
        <v>114</v>
      </c>
      <c r="AV341">
        <v>0</v>
      </c>
      <c r="AW341">
        <v>2</v>
      </c>
      <c r="AX341">
        <v>55937997</v>
      </c>
      <c r="AY341">
        <v>1</v>
      </c>
      <c r="AZ341">
        <v>0</v>
      </c>
      <c r="BA341">
        <v>413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ROUND(Y341*Source!I256*DO341,9)</f>
        <v>0</v>
      </c>
      <c r="CX341">
        <f>ROUND(Y341*Source!I256,9)</f>
        <v>11.88</v>
      </c>
      <c r="CY341">
        <f>AB341</f>
        <v>0.85</v>
      </c>
      <c r="CZ341">
        <f>AF341</f>
        <v>0.8</v>
      </c>
      <c r="DA341">
        <f>AJ341</f>
        <v>1</v>
      </c>
      <c r="DB341">
        <f>ROUND((ROUND(AT341*CZ341,2)*1.2),6)</f>
        <v>10.56</v>
      </c>
      <c r="DC341">
        <f>ROUND((ROUND(AT341*AG341,2)*1.2),6)</f>
        <v>0</v>
      </c>
      <c r="DD341" t="s">
        <v>3</v>
      </c>
      <c r="DE341" t="s">
        <v>3</v>
      </c>
      <c r="DF341">
        <f t="shared" si="147"/>
        <v>0</v>
      </c>
      <c r="DG341">
        <f t="shared" si="145"/>
        <v>9.5</v>
      </c>
      <c r="DH341">
        <f t="shared" si="146"/>
        <v>0</v>
      </c>
      <c r="DI341">
        <f t="shared" si="143"/>
        <v>0</v>
      </c>
      <c r="DJ341">
        <f>DG341</f>
        <v>9.5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ROW(Source!A256)</f>
        <v>256</v>
      </c>
      <c r="B342">
        <v>55937296</v>
      </c>
      <c r="C342">
        <v>55937994</v>
      </c>
      <c r="D342">
        <v>55461750</v>
      </c>
      <c r="E342">
        <v>1</v>
      </c>
      <c r="F342">
        <v>1</v>
      </c>
      <c r="G342">
        <v>1081</v>
      </c>
      <c r="H342">
        <v>3</v>
      </c>
      <c r="I342" t="s">
        <v>606</v>
      </c>
      <c r="J342" t="s">
        <v>607</v>
      </c>
      <c r="K342" t="s">
        <v>608</v>
      </c>
      <c r="L342">
        <v>1355</v>
      </c>
      <c r="N342">
        <v>1010</v>
      </c>
      <c r="O342" t="s">
        <v>60</v>
      </c>
      <c r="P342" t="s">
        <v>60</v>
      </c>
      <c r="Q342">
        <v>100</v>
      </c>
      <c r="W342">
        <v>0</v>
      </c>
      <c r="X342">
        <v>-252588073</v>
      </c>
      <c r="Y342">
        <f>(AT342*1)</f>
        <v>2.08</v>
      </c>
      <c r="AA342">
        <v>16.260000000000002</v>
      </c>
      <c r="AB342">
        <v>0</v>
      </c>
      <c r="AC342">
        <v>0</v>
      </c>
      <c r="AD342">
        <v>0</v>
      </c>
      <c r="AE342">
        <v>15.04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-2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2.08</v>
      </c>
      <c r="AU342" t="s">
        <v>113</v>
      </c>
      <c r="AV342">
        <v>0</v>
      </c>
      <c r="AW342">
        <v>2</v>
      </c>
      <c r="AX342">
        <v>55937998</v>
      </c>
      <c r="AY342">
        <v>1</v>
      </c>
      <c r="AZ342">
        <v>0</v>
      </c>
      <c r="BA342">
        <v>414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ROUND(Y342*Source!I256,9)</f>
        <v>1.8720000000000001</v>
      </c>
      <c r="CY342">
        <f>AA342</f>
        <v>16.260000000000002</v>
      </c>
      <c r="CZ342">
        <f>AE342</f>
        <v>15.04</v>
      </c>
      <c r="DA342">
        <f>AI342</f>
        <v>1</v>
      </c>
      <c r="DB342">
        <f>ROUND((ROUND(AT342*CZ342,2)*1),6)</f>
        <v>31.28</v>
      </c>
      <c r="DC342">
        <f>ROUND((ROUND(AT342*AG342,2)*1),6)</f>
        <v>0</v>
      </c>
      <c r="DD342" t="s">
        <v>3</v>
      </c>
      <c r="DE342" t="s">
        <v>3</v>
      </c>
      <c r="DF342">
        <f t="shared" si="147"/>
        <v>28.15</v>
      </c>
      <c r="DG342">
        <f t="shared" si="145"/>
        <v>0</v>
      </c>
      <c r="DH342">
        <f t="shared" si="146"/>
        <v>0</v>
      </c>
      <c r="DI342">
        <f t="shared" si="143"/>
        <v>0</v>
      </c>
      <c r="DJ342">
        <f>DF342</f>
        <v>28.15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ROW(Source!A256)</f>
        <v>256</v>
      </c>
      <c r="B343">
        <v>55937296</v>
      </c>
      <c r="C343">
        <v>55937994</v>
      </c>
      <c r="D343">
        <v>55461849</v>
      </c>
      <c r="E343">
        <v>1</v>
      </c>
      <c r="F343">
        <v>1</v>
      </c>
      <c r="G343">
        <v>1081</v>
      </c>
      <c r="H343">
        <v>3</v>
      </c>
      <c r="I343" t="s">
        <v>609</v>
      </c>
      <c r="J343" t="s">
        <v>610</v>
      </c>
      <c r="K343" t="s">
        <v>611</v>
      </c>
      <c r="L343">
        <v>1355</v>
      </c>
      <c r="N343">
        <v>1010</v>
      </c>
      <c r="O343" t="s">
        <v>60</v>
      </c>
      <c r="P343" t="s">
        <v>60</v>
      </c>
      <c r="Q343">
        <v>100</v>
      </c>
      <c r="W343">
        <v>0</v>
      </c>
      <c r="X343">
        <v>-503553846</v>
      </c>
      <c r="Y343">
        <f>(AT343*1)</f>
        <v>2.08</v>
      </c>
      <c r="AA343">
        <v>17.47</v>
      </c>
      <c r="AB343">
        <v>0</v>
      </c>
      <c r="AC343">
        <v>0</v>
      </c>
      <c r="AD343">
        <v>0</v>
      </c>
      <c r="AE343">
        <v>16.16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2.08</v>
      </c>
      <c r="AU343" t="s">
        <v>113</v>
      </c>
      <c r="AV343">
        <v>0</v>
      </c>
      <c r="AW343">
        <v>2</v>
      </c>
      <c r="AX343">
        <v>55937999</v>
      </c>
      <c r="AY343">
        <v>1</v>
      </c>
      <c r="AZ343">
        <v>0</v>
      </c>
      <c r="BA343">
        <v>415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ROUND(Y343*Source!I256,9)</f>
        <v>1.8720000000000001</v>
      </c>
      <c r="CY343">
        <f>AA343</f>
        <v>17.47</v>
      </c>
      <c r="CZ343">
        <f>AE343</f>
        <v>16.16</v>
      </c>
      <c r="DA343">
        <f>AI343</f>
        <v>1</v>
      </c>
      <c r="DB343">
        <f>ROUND((ROUND(AT343*CZ343,2)*1),6)</f>
        <v>33.61</v>
      </c>
      <c r="DC343">
        <f>ROUND((ROUND(AT343*AG343,2)*1),6)</f>
        <v>0</v>
      </c>
      <c r="DD343" t="s">
        <v>3</v>
      </c>
      <c r="DE343" t="s">
        <v>3</v>
      </c>
      <c r="DF343">
        <f t="shared" si="147"/>
        <v>30.25</v>
      </c>
      <c r="DG343">
        <f t="shared" si="145"/>
        <v>0</v>
      </c>
      <c r="DH343">
        <f t="shared" si="146"/>
        <v>0</v>
      </c>
      <c r="DI343">
        <f t="shared" si="143"/>
        <v>0</v>
      </c>
      <c r="DJ343">
        <f>DF343</f>
        <v>30.25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ROW(Source!A256)</f>
        <v>256</v>
      </c>
      <c r="B344">
        <v>55937296</v>
      </c>
      <c r="C344">
        <v>55937994</v>
      </c>
      <c r="D344">
        <v>55482445</v>
      </c>
      <c r="E344">
        <v>1</v>
      </c>
      <c r="F344">
        <v>1</v>
      </c>
      <c r="G344">
        <v>1081</v>
      </c>
      <c r="H344">
        <v>3</v>
      </c>
      <c r="I344" t="s">
        <v>612</v>
      </c>
      <c r="J344" t="s">
        <v>613</v>
      </c>
      <c r="K344" t="s">
        <v>614</v>
      </c>
      <c r="L344">
        <v>1356</v>
      </c>
      <c r="N344">
        <v>1010</v>
      </c>
      <c r="O344" t="s">
        <v>353</v>
      </c>
      <c r="P344" t="s">
        <v>353</v>
      </c>
      <c r="Q344">
        <v>1000</v>
      </c>
      <c r="W344">
        <v>0</v>
      </c>
      <c r="X344">
        <v>-285397556</v>
      </c>
      <c r="Y344">
        <f>(AT344*1)</f>
        <v>0.20399999999999999</v>
      </c>
      <c r="AA344">
        <v>318.77999999999997</v>
      </c>
      <c r="AB344">
        <v>0</v>
      </c>
      <c r="AC344">
        <v>0</v>
      </c>
      <c r="AD344">
        <v>0</v>
      </c>
      <c r="AE344">
        <v>294.89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0.20399999999999999</v>
      </c>
      <c r="AU344" t="s">
        <v>113</v>
      </c>
      <c r="AV344">
        <v>0</v>
      </c>
      <c r="AW344">
        <v>2</v>
      </c>
      <c r="AX344">
        <v>55938000</v>
      </c>
      <c r="AY344">
        <v>1</v>
      </c>
      <c r="AZ344">
        <v>0</v>
      </c>
      <c r="BA344">
        <v>416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ROUND(Y344*Source!I256,9)</f>
        <v>0.18360000000000001</v>
      </c>
      <c r="CY344">
        <f>AA344</f>
        <v>318.77999999999997</v>
      </c>
      <c r="CZ344">
        <f>AE344</f>
        <v>294.89</v>
      </c>
      <c r="DA344">
        <f>AI344</f>
        <v>1</v>
      </c>
      <c r="DB344">
        <f>ROUND((ROUND(AT344*CZ344,2)*1),6)</f>
        <v>60.16</v>
      </c>
      <c r="DC344">
        <f>ROUND((ROUND(AT344*AG344,2)*1),6)</f>
        <v>0</v>
      </c>
      <c r="DD344" t="s">
        <v>3</v>
      </c>
      <c r="DE344" t="s">
        <v>3</v>
      </c>
      <c r="DF344">
        <f t="shared" si="147"/>
        <v>54.14</v>
      </c>
      <c r="DG344">
        <f t="shared" si="145"/>
        <v>0</v>
      </c>
      <c r="DH344">
        <f t="shared" si="146"/>
        <v>0</v>
      </c>
      <c r="DI344">
        <f t="shared" si="143"/>
        <v>0</v>
      </c>
      <c r="DJ344">
        <f>DF344</f>
        <v>54.14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ROW(Source!A256)</f>
        <v>256</v>
      </c>
      <c r="B345">
        <v>55937296</v>
      </c>
      <c r="C345">
        <v>55937994</v>
      </c>
      <c r="D345">
        <v>55481831</v>
      </c>
      <c r="E345">
        <v>1</v>
      </c>
      <c r="F345">
        <v>1</v>
      </c>
      <c r="G345">
        <v>1081</v>
      </c>
      <c r="H345">
        <v>3</v>
      </c>
      <c r="I345" t="s">
        <v>615</v>
      </c>
      <c r="J345" t="s">
        <v>616</v>
      </c>
      <c r="K345" t="s">
        <v>617</v>
      </c>
      <c r="L345">
        <v>1354</v>
      </c>
      <c r="N345">
        <v>1010</v>
      </c>
      <c r="O345" t="s">
        <v>217</v>
      </c>
      <c r="P345" t="s">
        <v>217</v>
      </c>
      <c r="Q345">
        <v>1</v>
      </c>
      <c r="W345">
        <v>0</v>
      </c>
      <c r="X345">
        <v>1770676808</v>
      </c>
      <c r="Y345">
        <f>(AT345*1)</f>
        <v>204</v>
      </c>
      <c r="AA345">
        <v>5.58</v>
      </c>
      <c r="AB345">
        <v>0</v>
      </c>
      <c r="AC345">
        <v>0</v>
      </c>
      <c r="AD345">
        <v>0</v>
      </c>
      <c r="AE345">
        <v>5.16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204</v>
      </c>
      <c r="AU345" t="s">
        <v>113</v>
      </c>
      <c r="AV345">
        <v>0</v>
      </c>
      <c r="AW345">
        <v>2</v>
      </c>
      <c r="AX345">
        <v>55938001</v>
      </c>
      <c r="AY345">
        <v>1</v>
      </c>
      <c r="AZ345">
        <v>0</v>
      </c>
      <c r="BA345">
        <v>417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ROUND(Y345*Source!I256,9)</f>
        <v>183.6</v>
      </c>
      <c r="CY345">
        <f>AA345</f>
        <v>5.58</v>
      </c>
      <c r="CZ345">
        <f>AE345</f>
        <v>5.16</v>
      </c>
      <c r="DA345">
        <f>AI345</f>
        <v>1</v>
      </c>
      <c r="DB345">
        <f>ROUND((ROUND(AT345*CZ345,2)*1),6)</f>
        <v>1052.6400000000001</v>
      </c>
      <c r="DC345">
        <f>ROUND((ROUND(AT345*AG345,2)*1),6)</f>
        <v>0</v>
      </c>
      <c r="DD345" t="s">
        <v>3</v>
      </c>
      <c r="DE345" t="s">
        <v>3</v>
      </c>
      <c r="DF345">
        <f t="shared" si="147"/>
        <v>947.38</v>
      </c>
      <c r="DG345">
        <f t="shared" si="145"/>
        <v>0</v>
      </c>
      <c r="DH345">
        <f t="shared" si="146"/>
        <v>0</v>
      </c>
      <c r="DI345">
        <f t="shared" si="143"/>
        <v>0</v>
      </c>
      <c r="DJ345">
        <f>DF345</f>
        <v>947.38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ROW(Source!A256)</f>
        <v>256</v>
      </c>
      <c r="B346">
        <v>55937296</v>
      </c>
      <c r="C346">
        <v>55937994</v>
      </c>
      <c r="D346">
        <v>55488088</v>
      </c>
      <c r="E346">
        <v>1</v>
      </c>
      <c r="F346">
        <v>1</v>
      </c>
      <c r="G346">
        <v>1081</v>
      </c>
      <c r="H346">
        <v>3</v>
      </c>
      <c r="I346" t="s">
        <v>414</v>
      </c>
      <c r="J346" t="s">
        <v>415</v>
      </c>
      <c r="K346" t="s">
        <v>804</v>
      </c>
      <c r="L346">
        <v>1303</v>
      </c>
      <c r="N346">
        <v>1003</v>
      </c>
      <c r="O346" t="s">
        <v>337</v>
      </c>
      <c r="P346" t="s">
        <v>337</v>
      </c>
      <c r="Q346">
        <v>1000</v>
      </c>
      <c r="W346">
        <v>0</v>
      </c>
      <c r="X346">
        <v>-1847978610</v>
      </c>
      <c r="Y346">
        <f>AT346</f>
        <v>0.10199999999999999</v>
      </c>
      <c r="AA346">
        <v>5272.11</v>
      </c>
      <c r="AB346">
        <v>0</v>
      </c>
      <c r="AC346">
        <v>0</v>
      </c>
      <c r="AD346">
        <v>0</v>
      </c>
      <c r="AE346">
        <v>5272.11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 t="s">
        <v>3</v>
      </c>
      <c r="AT346">
        <v>0.10199999999999999</v>
      </c>
      <c r="AU346" t="s">
        <v>3</v>
      </c>
      <c r="AV346">
        <v>0</v>
      </c>
      <c r="AW346">
        <v>1</v>
      </c>
      <c r="AX346">
        <v>-1</v>
      </c>
      <c r="AY346">
        <v>0</v>
      </c>
      <c r="AZ346">
        <v>0</v>
      </c>
      <c r="BA346" t="s">
        <v>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ROUND(Y346*Source!I256,9)</f>
        <v>9.1800000000000007E-2</v>
      </c>
      <c r="CY346">
        <f>AA346</f>
        <v>5272.11</v>
      </c>
      <c r="CZ346">
        <f>AE346</f>
        <v>5272.11</v>
      </c>
      <c r="DA346">
        <f>AI346</f>
        <v>1</v>
      </c>
      <c r="DB346">
        <f>ROUND(ROUND(AT346*CZ346,2),6)</f>
        <v>537.76</v>
      </c>
      <c r="DC346">
        <f>ROUND(ROUND(AT346*AG346,2),6)</f>
        <v>0</v>
      </c>
      <c r="DD346" t="s">
        <v>3</v>
      </c>
      <c r="DE346" t="s">
        <v>3</v>
      </c>
      <c r="DF346">
        <f t="shared" si="147"/>
        <v>483.98</v>
      </c>
      <c r="DG346">
        <f t="shared" si="145"/>
        <v>0</v>
      </c>
      <c r="DH346">
        <f t="shared" si="146"/>
        <v>0</v>
      </c>
      <c r="DI346">
        <f t="shared" si="143"/>
        <v>0</v>
      </c>
      <c r="DJ346">
        <f>DF346</f>
        <v>483.98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ROW(Source!A257)</f>
        <v>257</v>
      </c>
      <c r="B347">
        <v>55937298</v>
      </c>
      <c r="C347">
        <v>55937994</v>
      </c>
      <c r="D347">
        <v>55424304</v>
      </c>
      <c r="E347">
        <v>1081</v>
      </c>
      <c r="F347">
        <v>1</v>
      </c>
      <c r="G347">
        <v>1081</v>
      </c>
      <c r="H347">
        <v>1</v>
      </c>
      <c r="I347" t="s">
        <v>449</v>
      </c>
      <c r="J347" t="s">
        <v>3</v>
      </c>
      <c r="K347" t="s">
        <v>450</v>
      </c>
      <c r="L347">
        <v>1191</v>
      </c>
      <c r="N347">
        <v>1013</v>
      </c>
      <c r="O347" t="s">
        <v>451</v>
      </c>
      <c r="P347" t="s">
        <v>451</v>
      </c>
      <c r="Q347">
        <v>1</v>
      </c>
      <c r="W347">
        <v>0</v>
      </c>
      <c r="X347">
        <v>476480486</v>
      </c>
      <c r="Y347">
        <f>(AT347*1.2)</f>
        <v>48.24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1</v>
      </c>
      <c r="AK347">
        <v>1</v>
      </c>
      <c r="AL347">
        <v>1</v>
      </c>
      <c r="AM347">
        <v>5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40.200000000000003</v>
      </c>
      <c r="AU347" t="s">
        <v>114</v>
      </c>
      <c r="AV347">
        <v>1</v>
      </c>
      <c r="AW347">
        <v>2</v>
      </c>
      <c r="AX347">
        <v>55937995</v>
      </c>
      <c r="AY347">
        <v>1</v>
      </c>
      <c r="AZ347">
        <v>0</v>
      </c>
      <c r="BA347">
        <v>419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U347">
        <f>ROUND(AT347*Source!I257*AH347*AL347,2)</f>
        <v>0</v>
      </c>
      <c r="CV347">
        <f>ROUND(Y347*Source!I257,9)</f>
        <v>43.415999999999997</v>
      </c>
      <c r="CW347">
        <v>0</v>
      </c>
      <c r="CX347">
        <f>ROUND(Y347*Source!I257,9)</f>
        <v>43.415999999999997</v>
      </c>
      <c r="CY347">
        <f>AD347</f>
        <v>0</v>
      </c>
      <c r="CZ347">
        <f>AH347</f>
        <v>0</v>
      </c>
      <c r="DA347">
        <f>AL347</f>
        <v>1</v>
      </c>
      <c r="DB347">
        <f>ROUND((ROUND(AT347*CZ347,2)*1.2),6)</f>
        <v>0</v>
      </c>
      <c r="DC347">
        <f>ROUND((ROUND(AT347*AG347,2)*1.2),6)</f>
        <v>0</v>
      </c>
      <c r="DD347" t="s">
        <v>3</v>
      </c>
      <c r="DE347" t="s">
        <v>3</v>
      </c>
      <c r="DF347">
        <f t="shared" si="147"/>
        <v>0</v>
      </c>
      <c r="DG347">
        <f t="shared" si="145"/>
        <v>0</v>
      </c>
      <c r="DH347">
        <f t="shared" si="146"/>
        <v>0</v>
      </c>
      <c r="DI347">
        <f t="shared" si="143"/>
        <v>0</v>
      </c>
      <c r="DJ347">
        <f>DI347</f>
        <v>0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ROW(Source!A257)</f>
        <v>257</v>
      </c>
      <c r="B348">
        <v>55937298</v>
      </c>
      <c r="C348">
        <v>55937994</v>
      </c>
      <c r="D348">
        <v>55490209</v>
      </c>
      <c r="E348">
        <v>1</v>
      </c>
      <c r="F348">
        <v>1</v>
      </c>
      <c r="G348">
        <v>1081</v>
      </c>
      <c r="H348">
        <v>2</v>
      </c>
      <c r="I348" t="s">
        <v>489</v>
      </c>
      <c r="J348" t="s">
        <v>490</v>
      </c>
      <c r="K348" t="s">
        <v>491</v>
      </c>
      <c r="L348">
        <v>1368</v>
      </c>
      <c r="N348">
        <v>1011</v>
      </c>
      <c r="O348" t="s">
        <v>455</v>
      </c>
      <c r="P348" t="s">
        <v>455</v>
      </c>
      <c r="Q348">
        <v>1</v>
      </c>
      <c r="W348">
        <v>0</v>
      </c>
      <c r="X348">
        <v>874612079</v>
      </c>
      <c r="Y348">
        <f>(AT348*1.2)</f>
        <v>3.5999999999999997E-2</v>
      </c>
      <c r="AA348">
        <v>0</v>
      </c>
      <c r="AB348">
        <v>1513.56</v>
      </c>
      <c r="AC348">
        <v>758.78</v>
      </c>
      <c r="AD348">
        <v>0</v>
      </c>
      <c r="AE348">
        <v>0</v>
      </c>
      <c r="AF348">
        <v>83.1</v>
      </c>
      <c r="AG348">
        <v>12.62</v>
      </c>
      <c r="AH348">
        <v>0</v>
      </c>
      <c r="AI348">
        <v>1</v>
      </c>
      <c r="AJ348">
        <v>17.07</v>
      </c>
      <c r="AK348">
        <v>56.35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0.03</v>
      </c>
      <c r="AU348" t="s">
        <v>114</v>
      </c>
      <c r="AV348">
        <v>0</v>
      </c>
      <c r="AW348">
        <v>2</v>
      </c>
      <c r="AX348">
        <v>55937996</v>
      </c>
      <c r="AY348">
        <v>1</v>
      </c>
      <c r="AZ348">
        <v>0</v>
      </c>
      <c r="BA348">
        <v>420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f>ROUND(Y348*Source!I257*DO348,9)</f>
        <v>0.40888799999999997</v>
      </c>
      <c r="CX348">
        <f>ROUND(Y348*Source!I257,9)</f>
        <v>3.2399999999999998E-2</v>
      </c>
      <c r="CY348">
        <f>AB348</f>
        <v>1513.56</v>
      </c>
      <c r="CZ348">
        <f>AF348</f>
        <v>83.1</v>
      </c>
      <c r="DA348">
        <f>AJ348</f>
        <v>17.07</v>
      </c>
      <c r="DB348">
        <f>ROUND((ROUND(AT348*CZ348,2)*1.2),6)</f>
        <v>2.988</v>
      </c>
      <c r="DC348">
        <f>ROUND((ROUND(AT348*AG348,2)*1.2),6)</f>
        <v>0.45600000000000002</v>
      </c>
      <c r="DD348" t="s">
        <v>3</v>
      </c>
      <c r="DE348" t="s">
        <v>3</v>
      </c>
      <c r="DF348">
        <f t="shared" si="147"/>
        <v>0</v>
      </c>
      <c r="DG348">
        <f>ROUND(ROUND(AF348*AJ348,2)*CX348,2)</f>
        <v>45.96</v>
      </c>
      <c r="DH348">
        <f>ROUND(ROUND(AG348*AK348,2)*CX348,2)</f>
        <v>23.04</v>
      </c>
      <c r="DI348">
        <f t="shared" si="143"/>
        <v>0</v>
      </c>
      <c r="DJ348">
        <f>DG348</f>
        <v>45.96</v>
      </c>
      <c r="DK348">
        <v>0</v>
      </c>
      <c r="DL348" t="s">
        <v>492</v>
      </c>
      <c r="DM348">
        <v>0</v>
      </c>
      <c r="DN348" t="s">
        <v>451</v>
      </c>
      <c r="DO348">
        <v>12.62</v>
      </c>
    </row>
    <row r="349" spans="1:119" x14ac:dyDescent="0.2">
      <c r="A349">
        <f>ROW(Source!A257)</f>
        <v>257</v>
      </c>
      <c r="B349">
        <v>55937298</v>
      </c>
      <c r="C349">
        <v>55937994</v>
      </c>
      <c r="D349">
        <v>55490330</v>
      </c>
      <c r="E349">
        <v>1</v>
      </c>
      <c r="F349">
        <v>1</v>
      </c>
      <c r="G349">
        <v>1081</v>
      </c>
      <c r="H349">
        <v>2</v>
      </c>
      <c r="I349" t="s">
        <v>452</v>
      </c>
      <c r="J349" t="s">
        <v>453</v>
      </c>
      <c r="K349" t="s">
        <v>454</v>
      </c>
      <c r="L349">
        <v>1368</v>
      </c>
      <c r="N349">
        <v>1011</v>
      </c>
      <c r="O349" t="s">
        <v>455</v>
      </c>
      <c r="P349" t="s">
        <v>455</v>
      </c>
      <c r="Q349">
        <v>1</v>
      </c>
      <c r="W349">
        <v>0</v>
      </c>
      <c r="X349">
        <v>-2083101341</v>
      </c>
      <c r="Y349">
        <f>(AT349*1.2)</f>
        <v>13.2</v>
      </c>
      <c r="AA349">
        <v>0</v>
      </c>
      <c r="AB349">
        <v>8.08</v>
      </c>
      <c r="AC349">
        <v>0</v>
      </c>
      <c r="AD349">
        <v>0</v>
      </c>
      <c r="AE349">
        <v>0</v>
      </c>
      <c r="AF349">
        <v>0.8</v>
      </c>
      <c r="AG349">
        <v>0</v>
      </c>
      <c r="AH349">
        <v>0</v>
      </c>
      <c r="AI349">
        <v>1</v>
      </c>
      <c r="AJ349">
        <v>9.4600000000000009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11</v>
      </c>
      <c r="AU349" t="s">
        <v>114</v>
      </c>
      <c r="AV349">
        <v>0</v>
      </c>
      <c r="AW349">
        <v>2</v>
      </c>
      <c r="AX349">
        <v>55937997</v>
      </c>
      <c r="AY349">
        <v>1</v>
      </c>
      <c r="AZ349">
        <v>0</v>
      </c>
      <c r="BA349">
        <v>421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f>ROUND(Y349*Source!I257*DO349,9)</f>
        <v>0</v>
      </c>
      <c r="CX349">
        <f>ROUND(Y349*Source!I257,9)</f>
        <v>11.88</v>
      </c>
      <c r="CY349">
        <f>AB349</f>
        <v>8.08</v>
      </c>
      <c r="CZ349">
        <f>AF349</f>
        <v>0.8</v>
      </c>
      <c r="DA349">
        <f>AJ349</f>
        <v>9.4600000000000009</v>
      </c>
      <c r="DB349">
        <f>ROUND((ROUND(AT349*CZ349,2)*1.2),6)</f>
        <v>10.56</v>
      </c>
      <c r="DC349">
        <f>ROUND((ROUND(AT349*AG349,2)*1.2),6)</f>
        <v>0</v>
      </c>
      <c r="DD349" t="s">
        <v>3</v>
      </c>
      <c r="DE349" t="s">
        <v>3</v>
      </c>
      <c r="DF349">
        <f t="shared" si="147"/>
        <v>0</v>
      </c>
      <c r="DG349">
        <f>ROUND(ROUND(AF349*AJ349,2)*CX349,2)</f>
        <v>89.93</v>
      </c>
      <c r="DH349">
        <f t="shared" ref="DH349:DH356" si="148">ROUND(ROUND(AG349,2)*CX349,2)</f>
        <v>0</v>
      </c>
      <c r="DI349">
        <f t="shared" si="143"/>
        <v>0</v>
      </c>
      <c r="DJ349">
        <f>DG349</f>
        <v>89.93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ROW(Source!A257)</f>
        <v>257</v>
      </c>
      <c r="B350">
        <v>55937298</v>
      </c>
      <c r="C350">
        <v>55937994</v>
      </c>
      <c r="D350">
        <v>55461750</v>
      </c>
      <c r="E350">
        <v>1</v>
      </c>
      <c r="F350">
        <v>1</v>
      </c>
      <c r="G350">
        <v>1081</v>
      </c>
      <c r="H350">
        <v>3</v>
      </c>
      <c r="I350" t="s">
        <v>606</v>
      </c>
      <c r="J350" t="s">
        <v>607</v>
      </c>
      <c r="K350" t="s">
        <v>608</v>
      </c>
      <c r="L350">
        <v>1355</v>
      </c>
      <c r="N350">
        <v>1010</v>
      </c>
      <c r="O350" t="s">
        <v>60</v>
      </c>
      <c r="P350" t="s">
        <v>60</v>
      </c>
      <c r="Q350">
        <v>100</v>
      </c>
      <c r="W350">
        <v>0</v>
      </c>
      <c r="X350">
        <v>-252588073</v>
      </c>
      <c r="Y350">
        <f>(AT350*1)</f>
        <v>2.08</v>
      </c>
      <c r="AA350">
        <v>64.87</v>
      </c>
      <c r="AB350">
        <v>0</v>
      </c>
      <c r="AC350">
        <v>0</v>
      </c>
      <c r="AD350">
        <v>0</v>
      </c>
      <c r="AE350">
        <v>15.04</v>
      </c>
      <c r="AF350">
        <v>0</v>
      </c>
      <c r="AG350">
        <v>0</v>
      </c>
      <c r="AH350">
        <v>0</v>
      </c>
      <c r="AI350">
        <v>3.99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2.08</v>
      </c>
      <c r="AU350" t="s">
        <v>113</v>
      </c>
      <c r="AV350">
        <v>0</v>
      </c>
      <c r="AW350">
        <v>2</v>
      </c>
      <c r="AX350">
        <v>55937998</v>
      </c>
      <c r="AY350">
        <v>1</v>
      </c>
      <c r="AZ350">
        <v>0</v>
      </c>
      <c r="BA350">
        <v>422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ROUND(Y350*Source!I257,9)</f>
        <v>1.8720000000000001</v>
      </c>
      <c r="CY350">
        <f>AA350</f>
        <v>64.87</v>
      </c>
      <c r="CZ350">
        <f>AE350</f>
        <v>15.04</v>
      </c>
      <c r="DA350">
        <f>AI350</f>
        <v>3.99</v>
      </c>
      <c r="DB350">
        <f>ROUND((ROUND(AT350*CZ350,2)*1),6)</f>
        <v>31.28</v>
      </c>
      <c r="DC350">
        <f>ROUND((ROUND(AT350*AG350,2)*1),6)</f>
        <v>0</v>
      </c>
      <c r="DD350" t="s">
        <v>3</v>
      </c>
      <c r="DE350" t="s">
        <v>3</v>
      </c>
      <c r="DF350">
        <f>ROUND(ROUND(AE350*AI350,2)*CX350,2)</f>
        <v>112.34</v>
      </c>
      <c r="DG350">
        <f t="shared" ref="DG350:DG356" si="149">ROUND(ROUND(AF350,2)*CX350,2)</f>
        <v>0</v>
      </c>
      <c r="DH350">
        <f t="shared" si="148"/>
        <v>0</v>
      </c>
      <c r="DI350">
        <f t="shared" si="143"/>
        <v>0</v>
      </c>
      <c r="DJ350">
        <f>DF350</f>
        <v>112.34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ROW(Source!A257)</f>
        <v>257</v>
      </c>
      <c r="B351">
        <v>55937298</v>
      </c>
      <c r="C351">
        <v>55937994</v>
      </c>
      <c r="D351">
        <v>55461849</v>
      </c>
      <c r="E351">
        <v>1</v>
      </c>
      <c r="F351">
        <v>1</v>
      </c>
      <c r="G351">
        <v>1081</v>
      </c>
      <c r="H351">
        <v>3</v>
      </c>
      <c r="I351" t="s">
        <v>609</v>
      </c>
      <c r="J351" t="s">
        <v>610</v>
      </c>
      <c r="K351" t="s">
        <v>611</v>
      </c>
      <c r="L351">
        <v>1355</v>
      </c>
      <c r="N351">
        <v>1010</v>
      </c>
      <c r="O351" t="s">
        <v>60</v>
      </c>
      <c r="P351" t="s">
        <v>60</v>
      </c>
      <c r="Q351">
        <v>100</v>
      </c>
      <c r="W351">
        <v>0</v>
      </c>
      <c r="X351">
        <v>-503553846</v>
      </c>
      <c r="Y351">
        <f>(AT351*1)</f>
        <v>2.08</v>
      </c>
      <c r="AA351">
        <v>43.15</v>
      </c>
      <c r="AB351">
        <v>0</v>
      </c>
      <c r="AC351">
        <v>0</v>
      </c>
      <c r="AD351">
        <v>0</v>
      </c>
      <c r="AE351">
        <v>16.16</v>
      </c>
      <c r="AF351">
        <v>0</v>
      </c>
      <c r="AG351">
        <v>0</v>
      </c>
      <c r="AH351">
        <v>0</v>
      </c>
      <c r="AI351">
        <v>2.4700000000000002</v>
      </c>
      <c r="AJ351">
        <v>1</v>
      </c>
      <c r="AK351">
        <v>1</v>
      </c>
      <c r="AL351">
        <v>1</v>
      </c>
      <c r="AM351">
        <v>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2.08</v>
      </c>
      <c r="AU351" t="s">
        <v>113</v>
      </c>
      <c r="AV351">
        <v>0</v>
      </c>
      <c r="AW351">
        <v>2</v>
      </c>
      <c r="AX351">
        <v>55937999</v>
      </c>
      <c r="AY351">
        <v>1</v>
      </c>
      <c r="AZ351">
        <v>0</v>
      </c>
      <c r="BA351">
        <v>423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ROUND(Y351*Source!I257,9)</f>
        <v>1.8720000000000001</v>
      </c>
      <c r="CY351">
        <f>AA351</f>
        <v>43.15</v>
      </c>
      <c r="CZ351">
        <f>AE351</f>
        <v>16.16</v>
      </c>
      <c r="DA351">
        <f>AI351</f>
        <v>2.4700000000000002</v>
      </c>
      <c r="DB351">
        <f>ROUND((ROUND(AT351*CZ351,2)*1),6)</f>
        <v>33.61</v>
      </c>
      <c r="DC351">
        <f>ROUND((ROUND(AT351*AG351,2)*1),6)</f>
        <v>0</v>
      </c>
      <c r="DD351" t="s">
        <v>3</v>
      </c>
      <c r="DE351" t="s">
        <v>3</v>
      </c>
      <c r="DF351">
        <f>ROUND(ROUND(AE351*AI351,2)*CX351,2)</f>
        <v>74.73</v>
      </c>
      <c r="DG351">
        <f t="shared" si="149"/>
        <v>0</v>
      </c>
      <c r="DH351">
        <f t="shared" si="148"/>
        <v>0</v>
      </c>
      <c r="DI351">
        <f t="shared" si="143"/>
        <v>0</v>
      </c>
      <c r="DJ351">
        <f>DF351</f>
        <v>74.73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ROW(Source!A257)</f>
        <v>257</v>
      </c>
      <c r="B352">
        <v>55937298</v>
      </c>
      <c r="C352">
        <v>55937994</v>
      </c>
      <c r="D352">
        <v>55482445</v>
      </c>
      <c r="E352">
        <v>1</v>
      </c>
      <c r="F352">
        <v>1</v>
      </c>
      <c r="G352">
        <v>1081</v>
      </c>
      <c r="H352">
        <v>3</v>
      </c>
      <c r="I352" t="s">
        <v>612</v>
      </c>
      <c r="J352" t="s">
        <v>613</v>
      </c>
      <c r="K352" t="s">
        <v>614</v>
      </c>
      <c r="L352">
        <v>1356</v>
      </c>
      <c r="N352">
        <v>1010</v>
      </c>
      <c r="O352" t="s">
        <v>353</v>
      </c>
      <c r="P352" t="s">
        <v>353</v>
      </c>
      <c r="Q352">
        <v>1000</v>
      </c>
      <c r="W352">
        <v>0</v>
      </c>
      <c r="X352">
        <v>-285397556</v>
      </c>
      <c r="Y352">
        <f>(AT352*1)</f>
        <v>0.20399999999999999</v>
      </c>
      <c r="AA352">
        <v>1125.28</v>
      </c>
      <c r="AB352">
        <v>0</v>
      </c>
      <c r="AC352">
        <v>0</v>
      </c>
      <c r="AD352">
        <v>0</v>
      </c>
      <c r="AE352">
        <v>294.89</v>
      </c>
      <c r="AF352">
        <v>0</v>
      </c>
      <c r="AG352">
        <v>0</v>
      </c>
      <c r="AH352">
        <v>0</v>
      </c>
      <c r="AI352">
        <v>3.53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0.20399999999999999</v>
      </c>
      <c r="AU352" t="s">
        <v>113</v>
      </c>
      <c r="AV352">
        <v>0</v>
      </c>
      <c r="AW352">
        <v>2</v>
      </c>
      <c r="AX352">
        <v>55938000</v>
      </c>
      <c r="AY352">
        <v>1</v>
      </c>
      <c r="AZ352">
        <v>0</v>
      </c>
      <c r="BA352">
        <v>424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ROUND(Y352*Source!I257,9)</f>
        <v>0.18360000000000001</v>
      </c>
      <c r="CY352">
        <f>AA352</f>
        <v>1125.28</v>
      </c>
      <c r="CZ352">
        <f>AE352</f>
        <v>294.89</v>
      </c>
      <c r="DA352">
        <f>AI352</f>
        <v>3.53</v>
      </c>
      <c r="DB352">
        <f>ROUND((ROUND(AT352*CZ352,2)*1),6)</f>
        <v>60.16</v>
      </c>
      <c r="DC352">
        <f>ROUND((ROUND(AT352*AG352,2)*1),6)</f>
        <v>0</v>
      </c>
      <c r="DD352" t="s">
        <v>3</v>
      </c>
      <c r="DE352" t="s">
        <v>3</v>
      </c>
      <c r="DF352">
        <f>ROUND(ROUND(AE352*AI352,2)*CX352,2)</f>
        <v>191.12</v>
      </c>
      <c r="DG352">
        <f t="shared" si="149"/>
        <v>0</v>
      </c>
      <c r="DH352">
        <f t="shared" si="148"/>
        <v>0</v>
      </c>
      <c r="DI352">
        <f t="shared" si="143"/>
        <v>0</v>
      </c>
      <c r="DJ352">
        <f>DF352</f>
        <v>191.12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ROW(Source!A257)</f>
        <v>257</v>
      </c>
      <c r="B353">
        <v>55937298</v>
      </c>
      <c r="C353">
        <v>55937994</v>
      </c>
      <c r="D353">
        <v>55481831</v>
      </c>
      <c r="E353">
        <v>1</v>
      </c>
      <c r="F353">
        <v>1</v>
      </c>
      <c r="G353">
        <v>1081</v>
      </c>
      <c r="H353">
        <v>3</v>
      </c>
      <c r="I353" t="s">
        <v>615</v>
      </c>
      <c r="J353" t="s">
        <v>616</v>
      </c>
      <c r="K353" t="s">
        <v>617</v>
      </c>
      <c r="L353">
        <v>1354</v>
      </c>
      <c r="N353">
        <v>1010</v>
      </c>
      <c r="O353" t="s">
        <v>217</v>
      </c>
      <c r="P353" t="s">
        <v>217</v>
      </c>
      <c r="Q353">
        <v>1</v>
      </c>
      <c r="W353">
        <v>0</v>
      </c>
      <c r="X353">
        <v>1770676808</v>
      </c>
      <c r="Y353">
        <f>(AT353*1)</f>
        <v>204</v>
      </c>
      <c r="AA353">
        <v>34.58</v>
      </c>
      <c r="AB353">
        <v>0</v>
      </c>
      <c r="AC353">
        <v>0</v>
      </c>
      <c r="AD353">
        <v>0</v>
      </c>
      <c r="AE353">
        <v>5.16</v>
      </c>
      <c r="AF353">
        <v>0</v>
      </c>
      <c r="AG353">
        <v>0</v>
      </c>
      <c r="AH353">
        <v>0</v>
      </c>
      <c r="AI353">
        <v>6.2</v>
      </c>
      <c r="AJ353">
        <v>1</v>
      </c>
      <c r="AK353">
        <v>1</v>
      </c>
      <c r="AL353">
        <v>1</v>
      </c>
      <c r="AM353">
        <v>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204</v>
      </c>
      <c r="AU353" t="s">
        <v>113</v>
      </c>
      <c r="AV353">
        <v>0</v>
      </c>
      <c r="AW353">
        <v>2</v>
      </c>
      <c r="AX353">
        <v>55938001</v>
      </c>
      <c r="AY353">
        <v>1</v>
      </c>
      <c r="AZ353">
        <v>0</v>
      </c>
      <c r="BA353">
        <v>425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ROUND(Y353*Source!I257,9)</f>
        <v>183.6</v>
      </c>
      <c r="CY353">
        <f>AA353</f>
        <v>34.58</v>
      </c>
      <c r="CZ353">
        <f>AE353</f>
        <v>5.16</v>
      </c>
      <c r="DA353">
        <f>AI353</f>
        <v>6.2</v>
      </c>
      <c r="DB353">
        <f>ROUND((ROUND(AT353*CZ353,2)*1),6)</f>
        <v>1052.6400000000001</v>
      </c>
      <c r="DC353">
        <f>ROUND((ROUND(AT353*AG353,2)*1),6)</f>
        <v>0</v>
      </c>
      <c r="DD353" t="s">
        <v>3</v>
      </c>
      <c r="DE353" t="s">
        <v>3</v>
      </c>
      <c r="DF353">
        <f>ROUND(ROUND(AE353*AI353,2)*CX353,2)</f>
        <v>5873.36</v>
      </c>
      <c r="DG353">
        <f t="shared" si="149"/>
        <v>0</v>
      </c>
      <c r="DH353">
        <f t="shared" si="148"/>
        <v>0</v>
      </c>
      <c r="DI353">
        <f t="shared" si="143"/>
        <v>0</v>
      </c>
      <c r="DJ353">
        <f>DF353</f>
        <v>5873.36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ROW(Source!A257)</f>
        <v>257</v>
      </c>
      <c r="B354">
        <v>55937298</v>
      </c>
      <c r="C354">
        <v>55937994</v>
      </c>
      <c r="D354">
        <v>55488088</v>
      </c>
      <c r="E354">
        <v>1</v>
      </c>
      <c r="F354">
        <v>1</v>
      </c>
      <c r="G354">
        <v>1081</v>
      </c>
      <c r="H354">
        <v>3</v>
      </c>
      <c r="I354" t="s">
        <v>414</v>
      </c>
      <c r="J354" t="s">
        <v>415</v>
      </c>
      <c r="K354" t="s">
        <v>804</v>
      </c>
      <c r="L354">
        <v>1303</v>
      </c>
      <c r="N354">
        <v>1003</v>
      </c>
      <c r="O354" t="s">
        <v>337</v>
      </c>
      <c r="P354" t="s">
        <v>337</v>
      </c>
      <c r="Q354">
        <v>1000</v>
      </c>
      <c r="W354">
        <v>0</v>
      </c>
      <c r="X354">
        <v>-1847978610</v>
      </c>
      <c r="Y354">
        <f>AT354</f>
        <v>0.10199999999999999</v>
      </c>
      <c r="AA354">
        <v>59153.07</v>
      </c>
      <c r="AB354">
        <v>0</v>
      </c>
      <c r="AC354">
        <v>0</v>
      </c>
      <c r="AD354">
        <v>0</v>
      </c>
      <c r="AE354">
        <v>5272.11</v>
      </c>
      <c r="AF354">
        <v>0</v>
      </c>
      <c r="AG354">
        <v>0</v>
      </c>
      <c r="AH354">
        <v>0</v>
      </c>
      <c r="AI354">
        <v>11.22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0.10199999999999999</v>
      </c>
      <c r="AU354" t="s">
        <v>3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ROUND(Y354*Source!I257,9)</f>
        <v>9.1800000000000007E-2</v>
      </c>
      <c r="CY354">
        <f>AA354</f>
        <v>59153.07</v>
      </c>
      <c r="CZ354">
        <f>AE354</f>
        <v>5272.11</v>
      </c>
      <c r="DA354">
        <f>AI354</f>
        <v>11.22</v>
      </c>
      <c r="DB354">
        <f>ROUND(ROUND(AT354*CZ354,2),6)</f>
        <v>537.76</v>
      </c>
      <c r="DC354">
        <f>ROUND(ROUND(AT354*AG354,2),6)</f>
        <v>0</v>
      </c>
      <c r="DD354" t="s">
        <v>3</v>
      </c>
      <c r="DE354" t="s">
        <v>3</v>
      </c>
      <c r="DF354">
        <f>ROUND(ROUND(AE354*AI354,2)*CX354,2)</f>
        <v>5430.25</v>
      </c>
      <c r="DG354">
        <f t="shared" si="149"/>
        <v>0</v>
      </c>
      <c r="DH354">
        <f t="shared" si="148"/>
        <v>0</v>
      </c>
      <c r="DI354">
        <f t="shared" si="143"/>
        <v>0</v>
      </c>
      <c r="DJ354">
        <f>DF354</f>
        <v>5430.25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ROW(Source!A260)</f>
        <v>260</v>
      </c>
      <c r="B355">
        <v>55937296</v>
      </c>
      <c r="C355">
        <v>55938020</v>
      </c>
      <c r="D355">
        <v>55424304</v>
      </c>
      <c r="E355">
        <v>1081</v>
      </c>
      <c r="F355">
        <v>1</v>
      </c>
      <c r="G355">
        <v>1081</v>
      </c>
      <c r="H355">
        <v>1</v>
      </c>
      <c r="I355" t="s">
        <v>449</v>
      </c>
      <c r="J355" t="s">
        <v>3</v>
      </c>
      <c r="K355" t="s">
        <v>450</v>
      </c>
      <c r="L355">
        <v>1191</v>
      </c>
      <c r="N355">
        <v>1013</v>
      </c>
      <c r="O355" t="s">
        <v>451</v>
      </c>
      <c r="P355" t="s">
        <v>451</v>
      </c>
      <c r="Q355">
        <v>1</v>
      </c>
      <c r="W355">
        <v>0</v>
      </c>
      <c r="X355">
        <v>476480486</v>
      </c>
      <c r="Y355">
        <f>(AT355*1.2)</f>
        <v>1.512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1.26</v>
      </c>
      <c r="AU355" t="s">
        <v>114</v>
      </c>
      <c r="AV355">
        <v>1</v>
      </c>
      <c r="AW355">
        <v>2</v>
      </c>
      <c r="AX355">
        <v>55938024</v>
      </c>
      <c r="AY355">
        <v>1</v>
      </c>
      <c r="AZ355">
        <v>0</v>
      </c>
      <c r="BA355">
        <v>427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U355">
        <f>ROUND(AT355*Source!I260*AH355*AL355,2)</f>
        <v>0</v>
      </c>
      <c r="CV355">
        <f>ROUND(Y355*Source!I260,9)</f>
        <v>12.03552</v>
      </c>
      <c r="CW355">
        <v>0</v>
      </c>
      <c r="CX355">
        <f>ROUND(Y355*Source!I260,9)</f>
        <v>12.03552</v>
      </c>
      <c r="CY355">
        <f>AD355</f>
        <v>0</v>
      </c>
      <c r="CZ355">
        <f>AH355</f>
        <v>0</v>
      </c>
      <c r="DA355">
        <f>AL355</f>
        <v>1</v>
      </c>
      <c r="DB355">
        <f>ROUND((ROUND(AT355*CZ355,2)*1.2),6)</f>
        <v>0</v>
      </c>
      <c r="DC355">
        <f>ROUND((ROUND(AT355*AG355,2)*1.2),6)</f>
        <v>0</v>
      </c>
      <c r="DD355" t="s">
        <v>3</v>
      </c>
      <c r="DE355" t="s">
        <v>3</v>
      </c>
      <c r="DF355">
        <f>ROUND(ROUND(AE355,2)*CX355,2)</f>
        <v>0</v>
      </c>
      <c r="DG355">
        <f t="shared" si="149"/>
        <v>0</v>
      </c>
      <c r="DH355">
        <f t="shared" si="148"/>
        <v>0</v>
      </c>
      <c r="DI355">
        <f t="shared" si="143"/>
        <v>0</v>
      </c>
      <c r="DJ355">
        <f>DI355</f>
        <v>0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ROW(Source!A261)</f>
        <v>261</v>
      </c>
      <c r="B356">
        <v>55937298</v>
      </c>
      <c r="C356">
        <v>55938020</v>
      </c>
      <c r="D356">
        <v>55424304</v>
      </c>
      <c r="E356">
        <v>1081</v>
      </c>
      <c r="F356">
        <v>1</v>
      </c>
      <c r="G356">
        <v>1081</v>
      </c>
      <c r="H356">
        <v>1</v>
      </c>
      <c r="I356" t="s">
        <v>449</v>
      </c>
      <c r="J356" t="s">
        <v>3</v>
      </c>
      <c r="K356" t="s">
        <v>450</v>
      </c>
      <c r="L356">
        <v>1191</v>
      </c>
      <c r="N356">
        <v>1013</v>
      </c>
      <c r="O356" t="s">
        <v>451</v>
      </c>
      <c r="P356" t="s">
        <v>451</v>
      </c>
      <c r="Q356">
        <v>1</v>
      </c>
      <c r="W356">
        <v>0</v>
      </c>
      <c r="X356">
        <v>476480486</v>
      </c>
      <c r="Y356">
        <f>(AT356*1.2)</f>
        <v>1.512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5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1.26</v>
      </c>
      <c r="AU356" t="s">
        <v>114</v>
      </c>
      <c r="AV356">
        <v>1</v>
      </c>
      <c r="AW356">
        <v>2</v>
      </c>
      <c r="AX356">
        <v>55938024</v>
      </c>
      <c r="AY356">
        <v>1</v>
      </c>
      <c r="AZ356">
        <v>0</v>
      </c>
      <c r="BA356">
        <v>429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U356">
        <f>ROUND(AT356*Source!I261*AH356*AL356,2)</f>
        <v>0</v>
      </c>
      <c r="CV356">
        <f>ROUND(Y356*Source!I261,9)</f>
        <v>12.03552</v>
      </c>
      <c r="CW356">
        <v>0</v>
      </c>
      <c r="CX356">
        <f>ROUND(Y356*Source!I261,9)</f>
        <v>12.03552</v>
      </c>
      <c r="CY356">
        <f>AD356</f>
        <v>0</v>
      </c>
      <c r="CZ356">
        <f>AH356</f>
        <v>0</v>
      </c>
      <c r="DA356">
        <f>AL356</f>
        <v>1</v>
      </c>
      <c r="DB356">
        <f>ROUND((ROUND(AT356*CZ356,2)*1.2),6)</f>
        <v>0</v>
      </c>
      <c r="DC356">
        <f>ROUND((ROUND(AT356*AG356,2)*1.2),6)</f>
        <v>0</v>
      </c>
      <c r="DD356" t="s">
        <v>3</v>
      </c>
      <c r="DE356" t="s">
        <v>3</v>
      </c>
      <c r="DF356">
        <f>ROUND(ROUND(AE356,2)*CX356,2)</f>
        <v>0</v>
      </c>
      <c r="DG356">
        <f t="shared" si="149"/>
        <v>0</v>
      </c>
      <c r="DH356">
        <f t="shared" si="148"/>
        <v>0</v>
      </c>
      <c r="DI356">
        <f t="shared" si="143"/>
        <v>0</v>
      </c>
      <c r="DJ356">
        <f>DI356</f>
        <v>0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43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55985910</v>
      </c>
      <c r="C1">
        <v>55985908</v>
      </c>
      <c r="D1">
        <v>55424304</v>
      </c>
      <c r="E1">
        <v>1081</v>
      </c>
      <c r="F1">
        <v>1</v>
      </c>
      <c r="G1">
        <v>1081</v>
      </c>
      <c r="H1">
        <v>1</v>
      </c>
      <c r="I1" t="s">
        <v>449</v>
      </c>
      <c r="J1" t="s">
        <v>3</v>
      </c>
      <c r="K1" t="s">
        <v>450</v>
      </c>
      <c r="L1">
        <v>1191</v>
      </c>
      <c r="N1">
        <v>1013</v>
      </c>
      <c r="O1" t="s">
        <v>451</v>
      </c>
      <c r="P1" t="s">
        <v>451</v>
      </c>
      <c r="Q1">
        <v>1</v>
      </c>
      <c r="X1">
        <v>1.8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0.64800000000000002</v>
      </c>
      <c r="AH1">
        <v>2</v>
      </c>
      <c r="AI1">
        <v>55985909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55985910</v>
      </c>
      <c r="C2">
        <v>55985908</v>
      </c>
      <c r="D2">
        <v>55424304</v>
      </c>
      <c r="E2">
        <v>1081</v>
      </c>
      <c r="F2">
        <v>1</v>
      </c>
      <c r="G2">
        <v>1081</v>
      </c>
      <c r="H2">
        <v>1</v>
      </c>
      <c r="I2" t="s">
        <v>449</v>
      </c>
      <c r="J2" t="s">
        <v>3</v>
      </c>
      <c r="K2" t="s">
        <v>450</v>
      </c>
      <c r="L2">
        <v>1191</v>
      </c>
      <c r="N2">
        <v>1013</v>
      </c>
      <c r="O2" t="s">
        <v>451</v>
      </c>
      <c r="P2" t="s">
        <v>451</v>
      </c>
      <c r="Q2">
        <v>1</v>
      </c>
      <c r="X2">
        <v>1.8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25</v>
      </c>
      <c r="AG2">
        <v>0.64800000000000002</v>
      </c>
      <c r="AH2">
        <v>2</v>
      </c>
      <c r="AI2">
        <v>55985909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55985913</v>
      </c>
      <c r="C3">
        <v>55985911</v>
      </c>
      <c r="D3">
        <v>55424304</v>
      </c>
      <c r="E3">
        <v>1081</v>
      </c>
      <c r="F3">
        <v>1</v>
      </c>
      <c r="G3">
        <v>1081</v>
      </c>
      <c r="H3">
        <v>1</v>
      </c>
      <c r="I3" t="s">
        <v>449</v>
      </c>
      <c r="J3" t="s">
        <v>3</v>
      </c>
      <c r="K3" t="s">
        <v>450</v>
      </c>
      <c r="L3">
        <v>1191</v>
      </c>
      <c r="N3">
        <v>1013</v>
      </c>
      <c r="O3" t="s">
        <v>451</v>
      </c>
      <c r="P3" t="s">
        <v>451</v>
      </c>
      <c r="Q3">
        <v>1</v>
      </c>
      <c r="X3">
        <v>11.7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25</v>
      </c>
      <c r="AG3">
        <v>4.2119999999999997</v>
      </c>
      <c r="AH3">
        <v>2</v>
      </c>
      <c r="AI3">
        <v>55985912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ROW(Source!A31)</f>
        <v>31</v>
      </c>
      <c r="B4">
        <v>55985913</v>
      </c>
      <c r="C4">
        <v>55985911</v>
      </c>
      <c r="D4">
        <v>55424304</v>
      </c>
      <c r="E4">
        <v>1081</v>
      </c>
      <c r="F4">
        <v>1</v>
      </c>
      <c r="G4">
        <v>1081</v>
      </c>
      <c r="H4">
        <v>1</v>
      </c>
      <c r="I4" t="s">
        <v>449</v>
      </c>
      <c r="J4" t="s">
        <v>3</v>
      </c>
      <c r="K4" t="s">
        <v>450</v>
      </c>
      <c r="L4">
        <v>1191</v>
      </c>
      <c r="N4">
        <v>1013</v>
      </c>
      <c r="O4" t="s">
        <v>451</v>
      </c>
      <c r="P4" t="s">
        <v>451</v>
      </c>
      <c r="Q4">
        <v>1</v>
      </c>
      <c r="X4">
        <v>11.7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25</v>
      </c>
      <c r="AG4">
        <v>4.2119999999999997</v>
      </c>
      <c r="AH4">
        <v>2</v>
      </c>
      <c r="AI4">
        <v>55985912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ROW(Source!A32)</f>
        <v>32</v>
      </c>
      <c r="B5">
        <v>55985924</v>
      </c>
      <c r="C5">
        <v>55985914</v>
      </c>
      <c r="D5">
        <v>55424304</v>
      </c>
      <c r="E5">
        <v>1081</v>
      </c>
      <c r="F5">
        <v>1</v>
      </c>
      <c r="G5">
        <v>1081</v>
      </c>
      <c r="H5">
        <v>1</v>
      </c>
      <c r="I5" t="s">
        <v>449</v>
      </c>
      <c r="J5" t="s">
        <v>3</v>
      </c>
      <c r="K5" t="s">
        <v>450</v>
      </c>
      <c r="L5">
        <v>1191</v>
      </c>
      <c r="N5">
        <v>1013</v>
      </c>
      <c r="O5" t="s">
        <v>451</v>
      </c>
      <c r="P5" t="s">
        <v>451</v>
      </c>
      <c r="Q5">
        <v>1</v>
      </c>
      <c r="X5">
        <v>6.01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25</v>
      </c>
      <c r="AG5">
        <v>2.1635999999999997</v>
      </c>
      <c r="AH5">
        <v>2</v>
      </c>
      <c r="AI5">
        <v>55985915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ROW(Source!A32)</f>
        <v>32</v>
      </c>
      <c r="B6">
        <v>55985925</v>
      </c>
      <c r="C6">
        <v>55985914</v>
      </c>
      <c r="D6">
        <v>55490330</v>
      </c>
      <c r="E6">
        <v>1</v>
      </c>
      <c r="F6">
        <v>1</v>
      </c>
      <c r="G6">
        <v>1081</v>
      </c>
      <c r="H6">
        <v>2</v>
      </c>
      <c r="I6" t="s">
        <v>452</v>
      </c>
      <c r="J6" t="s">
        <v>453</v>
      </c>
      <c r="K6" t="s">
        <v>454</v>
      </c>
      <c r="L6">
        <v>1368</v>
      </c>
      <c r="N6">
        <v>1011</v>
      </c>
      <c r="O6" t="s">
        <v>455</v>
      </c>
      <c r="P6" t="s">
        <v>455</v>
      </c>
      <c r="Q6">
        <v>1</v>
      </c>
      <c r="X6">
        <v>0.25</v>
      </c>
      <c r="Y6">
        <v>0</v>
      </c>
      <c r="Z6">
        <v>0.8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25</v>
      </c>
      <c r="AG6">
        <v>0.09</v>
      </c>
      <c r="AH6">
        <v>2</v>
      </c>
      <c r="AI6">
        <v>55985916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ROW(Source!A32)</f>
        <v>32</v>
      </c>
      <c r="B7">
        <v>55985926</v>
      </c>
      <c r="C7">
        <v>55985914</v>
      </c>
      <c r="D7">
        <v>55490331</v>
      </c>
      <c r="E7">
        <v>1</v>
      </c>
      <c r="F7">
        <v>1</v>
      </c>
      <c r="G7">
        <v>1081</v>
      </c>
      <c r="H7">
        <v>2</v>
      </c>
      <c r="I7" t="s">
        <v>456</v>
      </c>
      <c r="J7" t="s">
        <v>457</v>
      </c>
      <c r="K7" t="s">
        <v>458</v>
      </c>
      <c r="L7">
        <v>1368</v>
      </c>
      <c r="N7">
        <v>1011</v>
      </c>
      <c r="O7" t="s">
        <v>455</v>
      </c>
      <c r="P7" t="s">
        <v>455</v>
      </c>
      <c r="Q7">
        <v>1</v>
      </c>
      <c r="X7">
        <v>0.56000000000000005</v>
      </c>
      <c r="Y7">
        <v>0</v>
      </c>
      <c r="Z7">
        <v>1.1100000000000001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0.2016</v>
      </c>
      <c r="AH7">
        <v>2</v>
      </c>
      <c r="AI7">
        <v>55985917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ROW(Source!A32)</f>
        <v>32</v>
      </c>
      <c r="B8">
        <v>55985927</v>
      </c>
      <c r="C8">
        <v>55985914</v>
      </c>
      <c r="D8">
        <v>55459340</v>
      </c>
      <c r="E8">
        <v>1</v>
      </c>
      <c r="F8">
        <v>1</v>
      </c>
      <c r="G8">
        <v>1081</v>
      </c>
      <c r="H8">
        <v>3</v>
      </c>
      <c r="I8" t="s">
        <v>459</v>
      </c>
      <c r="J8" t="s">
        <v>460</v>
      </c>
      <c r="K8" t="s">
        <v>461</v>
      </c>
      <c r="L8">
        <v>1354</v>
      </c>
      <c r="N8">
        <v>1010</v>
      </c>
      <c r="O8" t="s">
        <v>217</v>
      </c>
      <c r="P8" t="s">
        <v>217</v>
      </c>
      <c r="Q8">
        <v>1</v>
      </c>
      <c r="X8">
        <v>7</v>
      </c>
      <c r="Y8">
        <v>0.89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</v>
      </c>
      <c r="AH8">
        <v>2</v>
      </c>
      <c r="AI8">
        <v>55985918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55985928</v>
      </c>
      <c r="C9">
        <v>55985914</v>
      </c>
      <c r="D9">
        <v>55460882</v>
      </c>
      <c r="E9">
        <v>1</v>
      </c>
      <c r="F9">
        <v>1</v>
      </c>
      <c r="G9">
        <v>1081</v>
      </c>
      <c r="H9">
        <v>3</v>
      </c>
      <c r="I9" t="s">
        <v>462</v>
      </c>
      <c r="J9" t="s">
        <v>463</v>
      </c>
      <c r="K9" t="s">
        <v>464</v>
      </c>
      <c r="L9">
        <v>1348</v>
      </c>
      <c r="N9">
        <v>1009</v>
      </c>
      <c r="O9" t="s">
        <v>287</v>
      </c>
      <c r="P9" t="s">
        <v>287</v>
      </c>
      <c r="Q9">
        <v>1000</v>
      </c>
      <c r="X9">
        <v>1.0000000000000001E-5</v>
      </c>
      <c r="Y9">
        <v>14327.51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0</v>
      </c>
      <c r="AH9">
        <v>2</v>
      </c>
      <c r="AI9">
        <v>55985919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55985929</v>
      </c>
      <c r="C10">
        <v>55985914</v>
      </c>
      <c r="D10">
        <v>55461127</v>
      </c>
      <c r="E10">
        <v>1</v>
      </c>
      <c r="F10">
        <v>1</v>
      </c>
      <c r="G10">
        <v>1081</v>
      </c>
      <c r="H10">
        <v>3</v>
      </c>
      <c r="I10" t="s">
        <v>465</v>
      </c>
      <c r="J10" t="s">
        <v>466</v>
      </c>
      <c r="K10" t="s">
        <v>467</v>
      </c>
      <c r="L10">
        <v>1355</v>
      </c>
      <c r="N10">
        <v>1010</v>
      </c>
      <c r="O10" t="s">
        <v>60</v>
      </c>
      <c r="P10" t="s">
        <v>60</v>
      </c>
      <c r="Q10">
        <v>100</v>
      </c>
      <c r="X10">
        <v>7.0000000000000007E-2</v>
      </c>
      <c r="Y10">
        <v>4.6100000000000003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24</v>
      </c>
      <c r="AG10">
        <v>0</v>
      </c>
      <c r="AH10">
        <v>2</v>
      </c>
      <c r="AI10">
        <v>55985920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ROW(Source!A32)</f>
        <v>32</v>
      </c>
      <c r="B11">
        <v>55985930</v>
      </c>
      <c r="C11">
        <v>55985914</v>
      </c>
      <c r="D11">
        <v>55459554</v>
      </c>
      <c r="E11">
        <v>1</v>
      </c>
      <c r="F11">
        <v>1</v>
      </c>
      <c r="G11">
        <v>1081</v>
      </c>
      <c r="H11">
        <v>3</v>
      </c>
      <c r="I11" t="s">
        <v>468</v>
      </c>
      <c r="J11" t="s">
        <v>469</v>
      </c>
      <c r="K11" t="s">
        <v>470</v>
      </c>
      <c r="L11">
        <v>1346</v>
      </c>
      <c r="N11">
        <v>1009</v>
      </c>
      <c r="O11" t="s">
        <v>311</v>
      </c>
      <c r="P11" t="s">
        <v>311</v>
      </c>
      <c r="Q11">
        <v>1</v>
      </c>
      <c r="X11">
        <v>4.3999999999999997E-2</v>
      </c>
      <c r="Y11">
        <v>5.01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24</v>
      </c>
      <c r="AG11">
        <v>0</v>
      </c>
      <c r="AH11">
        <v>2</v>
      </c>
      <c r="AI11">
        <v>55985921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ROW(Source!A32)</f>
        <v>32</v>
      </c>
      <c r="B12">
        <v>55985931</v>
      </c>
      <c r="C12">
        <v>55985914</v>
      </c>
      <c r="D12">
        <v>55459793</v>
      </c>
      <c r="E12">
        <v>1</v>
      </c>
      <c r="F12">
        <v>1</v>
      </c>
      <c r="G12">
        <v>1081</v>
      </c>
      <c r="H12">
        <v>3</v>
      </c>
      <c r="I12" t="s">
        <v>471</v>
      </c>
      <c r="J12" t="s">
        <v>472</v>
      </c>
      <c r="K12" t="s">
        <v>473</v>
      </c>
      <c r="L12">
        <v>1348</v>
      </c>
      <c r="N12">
        <v>1009</v>
      </c>
      <c r="O12" t="s">
        <v>287</v>
      </c>
      <c r="P12" t="s">
        <v>287</v>
      </c>
      <c r="Q12">
        <v>1000</v>
      </c>
      <c r="X12">
        <v>2.0000000000000002E-5</v>
      </c>
      <c r="Y12">
        <v>64123.05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24</v>
      </c>
      <c r="AG12">
        <v>0</v>
      </c>
      <c r="AH12">
        <v>2</v>
      </c>
      <c r="AI12">
        <v>55985922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ROW(Source!A32)</f>
        <v>32</v>
      </c>
      <c r="B13">
        <v>55985932</v>
      </c>
      <c r="C13">
        <v>55985914</v>
      </c>
      <c r="D13">
        <v>55469262</v>
      </c>
      <c r="E13">
        <v>1</v>
      </c>
      <c r="F13">
        <v>1</v>
      </c>
      <c r="G13">
        <v>1081</v>
      </c>
      <c r="H13">
        <v>3</v>
      </c>
      <c r="I13" t="s">
        <v>474</v>
      </c>
      <c r="J13" t="s">
        <v>475</v>
      </c>
      <c r="K13" t="s">
        <v>476</v>
      </c>
      <c r="L13">
        <v>1354</v>
      </c>
      <c r="N13">
        <v>1010</v>
      </c>
      <c r="O13" t="s">
        <v>217</v>
      </c>
      <c r="P13" t="s">
        <v>217</v>
      </c>
      <c r="Q13">
        <v>1</v>
      </c>
      <c r="X13">
        <v>0.09</v>
      </c>
      <c r="Y13">
        <v>10.53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24</v>
      </c>
      <c r="AG13">
        <v>0</v>
      </c>
      <c r="AH13">
        <v>2</v>
      </c>
      <c r="AI13">
        <v>55985923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ROW(Source!A32)</f>
        <v>32</v>
      </c>
      <c r="B14">
        <v>55985933</v>
      </c>
      <c r="C14">
        <v>55985914</v>
      </c>
      <c r="D14">
        <v>55439336</v>
      </c>
      <c r="E14">
        <v>1081</v>
      </c>
      <c r="F14">
        <v>1</v>
      </c>
      <c r="G14">
        <v>1081</v>
      </c>
      <c r="H14">
        <v>3</v>
      </c>
      <c r="I14" t="s">
        <v>618</v>
      </c>
      <c r="J14" t="s">
        <v>3</v>
      </c>
      <c r="K14" t="s">
        <v>619</v>
      </c>
      <c r="L14">
        <v>1301</v>
      </c>
      <c r="N14">
        <v>1003</v>
      </c>
      <c r="O14" t="s">
        <v>332</v>
      </c>
      <c r="P14" t="s">
        <v>332</v>
      </c>
      <c r="Q14">
        <v>1</v>
      </c>
      <c r="X14">
        <v>1.02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24</v>
      </c>
      <c r="AG14">
        <v>0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ROW(Source!A32)</f>
        <v>32</v>
      </c>
      <c r="B15">
        <v>55985934</v>
      </c>
      <c r="C15">
        <v>55985914</v>
      </c>
      <c r="D15">
        <v>55441122</v>
      </c>
      <c r="E15">
        <v>1081</v>
      </c>
      <c r="F15">
        <v>1</v>
      </c>
      <c r="G15">
        <v>1081</v>
      </c>
      <c r="H15">
        <v>3</v>
      </c>
      <c r="I15" t="s">
        <v>620</v>
      </c>
      <c r="J15" t="s">
        <v>3</v>
      </c>
      <c r="K15" t="s">
        <v>621</v>
      </c>
      <c r="L15">
        <v>1354</v>
      </c>
      <c r="N15">
        <v>1010</v>
      </c>
      <c r="O15" t="s">
        <v>217</v>
      </c>
      <c r="P15" t="s">
        <v>217</v>
      </c>
      <c r="Q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24</v>
      </c>
      <c r="AG15">
        <v>0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ROW(Source!A32)</f>
        <v>32</v>
      </c>
      <c r="B16">
        <v>55985935</v>
      </c>
      <c r="C16">
        <v>55985914</v>
      </c>
      <c r="D16">
        <v>55441122</v>
      </c>
      <c r="E16">
        <v>1081</v>
      </c>
      <c r="F16">
        <v>1</v>
      </c>
      <c r="G16">
        <v>1081</v>
      </c>
      <c r="H16">
        <v>3</v>
      </c>
      <c r="I16" t="s">
        <v>620</v>
      </c>
      <c r="J16" t="s">
        <v>3</v>
      </c>
      <c r="K16" t="s">
        <v>622</v>
      </c>
      <c r="L16">
        <v>1354</v>
      </c>
      <c r="N16">
        <v>1010</v>
      </c>
      <c r="O16" t="s">
        <v>217</v>
      </c>
      <c r="P16" t="s">
        <v>217</v>
      </c>
      <c r="Q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24</v>
      </c>
      <c r="AG16">
        <v>0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ROW(Source!A32)</f>
        <v>32</v>
      </c>
      <c r="B17">
        <v>55985936</v>
      </c>
      <c r="C17">
        <v>55985914</v>
      </c>
      <c r="D17">
        <v>55441139</v>
      </c>
      <c r="E17">
        <v>1081</v>
      </c>
      <c r="F17">
        <v>1</v>
      </c>
      <c r="G17">
        <v>1081</v>
      </c>
      <c r="H17">
        <v>3</v>
      </c>
      <c r="I17" t="s">
        <v>623</v>
      </c>
      <c r="J17" t="s">
        <v>3</v>
      </c>
      <c r="K17" t="s">
        <v>624</v>
      </c>
      <c r="L17">
        <v>1301</v>
      </c>
      <c r="N17">
        <v>1003</v>
      </c>
      <c r="O17" t="s">
        <v>332</v>
      </c>
      <c r="P17" t="s">
        <v>332</v>
      </c>
      <c r="Q17">
        <v>1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24</v>
      </c>
      <c r="AG17">
        <v>0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ROW(Source!A32)</f>
        <v>32</v>
      </c>
      <c r="B18">
        <v>55985937</v>
      </c>
      <c r="C18">
        <v>55985914</v>
      </c>
      <c r="D18">
        <v>55453278</v>
      </c>
      <c r="E18">
        <v>1081</v>
      </c>
      <c r="F18">
        <v>1</v>
      </c>
      <c r="G18">
        <v>1081</v>
      </c>
      <c r="H18">
        <v>3</v>
      </c>
      <c r="I18" t="s">
        <v>625</v>
      </c>
      <c r="J18" t="s">
        <v>3</v>
      </c>
      <c r="K18" t="s">
        <v>626</v>
      </c>
      <c r="L18">
        <v>1301</v>
      </c>
      <c r="N18">
        <v>1003</v>
      </c>
      <c r="O18" t="s">
        <v>332</v>
      </c>
      <c r="P18" t="s">
        <v>332</v>
      </c>
      <c r="Q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24</v>
      </c>
      <c r="AG18">
        <v>0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ROW(Source!A33)</f>
        <v>33</v>
      </c>
      <c r="B19">
        <v>55985924</v>
      </c>
      <c r="C19">
        <v>55985914</v>
      </c>
      <c r="D19">
        <v>55424304</v>
      </c>
      <c r="E19">
        <v>1081</v>
      </c>
      <c r="F19">
        <v>1</v>
      </c>
      <c r="G19">
        <v>1081</v>
      </c>
      <c r="H19">
        <v>1</v>
      </c>
      <c r="I19" t="s">
        <v>449</v>
      </c>
      <c r="J19" t="s">
        <v>3</v>
      </c>
      <c r="K19" t="s">
        <v>450</v>
      </c>
      <c r="L19">
        <v>1191</v>
      </c>
      <c r="N19">
        <v>1013</v>
      </c>
      <c r="O19" t="s">
        <v>451</v>
      </c>
      <c r="P19" t="s">
        <v>451</v>
      </c>
      <c r="Q19">
        <v>1</v>
      </c>
      <c r="X19">
        <v>6.01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25</v>
      </c>
      <c r="AG19">
        <v>2.1635999999999997</v>
      </c>
      <c r="AH19">
        <v>2</v>
      </c>
      <c r="AI19">
        <v>55985915</v>
      </c>
      <c r="AJ19">
        <v>14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ROW(Source!A33)</f>
        <v>33</v>
      </c>
      <c r="B20">
        <v>55985925</v>
      </c>
      <c r="C20">
        <v>55985914</v>
      </c>
      <c r="D20">
        <v>55490330</v>
      </c>
      <c r="E20">
        <v>1</v>
      </c>
      <c r="F20">
        <v>1</v>
      </c>
      <c r="G20">
        <v>1081</v>
      </c>
      <c r="H20">
        <v>2</v>
      </c>
      <c r="I20" t="s">
        <v>452</v>
      </c>
      <c r="J20" t="s">
        <v>453</v>
      </c>
      <c r="K20" t="s">
        <v>454</v>
      </c>
      <c r="L20">
        <v>1368</v>
      </c>
      <c r="N20">
        <v>1011</v>
      </c>
      <c r="O20" t="s">
        <v>455</v>
      </c>
      <c r="P20" t="s">
        <v>455</v>
      </c>
      <c r="Q20">
        <v>1</v>
      </c>
      <c r="X20">
        <v>0.25</v>
      </c>
      <c r="Y20">
        <v>0</v>
      </c>
      <c r="Z20">
        <v>0.8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25</v>
      </c>
      <c r="AG20">
        <v>0.09</v>
      </c>
      <c r="AH20">
        <v>2</v>
      </c>
      <c r="AI20">
        <v>55985916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ROW(Source!A33)</f>
        <v>33</v>
      </c>
      <c r="B21">
        <v>55985926</v>
      </c>
      <c r="C21">
        <v>55985914</v>
      </c>
      <c r="D21">
        <v>55490331</v>
      </c>
      <c r="E21">
        <v>1</v>
      </c>
      <c r="F21">
        <v>1</v>
      </c>
      <c r="G21">
        <v>1081</v>
      </c>
      <c r="H21">
        <v>2</v>
      </c>
      <c r="I21" t="s">
        <v>456</v>
      </c>
      <c r="J21" t="s">
        <v>457</v>
      </c>
      <c r="K21" t="s">
        <v>458</v>
      </c>
      <c r="L21">
        <v>1368</v>
      </c>
      <c r="N21">
        <v>1011</v>
      </c>
      <c r="O21" t="s">
        <v>455</v>
      </c>
      <c r="P21" t="s">
        <v>455</v>
      </c>
      <c r="Q21">
        <v>1</v>
      </c>
      <c r="X21">
        <v>0.56000000000000005</v>
      </c>
      <c r="Y21">
        <v>0</v>
      </c>
      <c r="Z21">
        <v>1.1100000000000001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25</v>
      </c>
      <c r="AG21">
        <v>0.2016</v>
      </c>
      <c r="AH21">
        <v>2</v>
      </c>
      <c r="AI21">
        <v>55985917</v>
      </c>
      <c r="AJ21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ROW(Source!A33)</f>
        <v>33</v>
      </c>
      <c r="B22">
        <v>55985927</v>
      </c>
      <c r="C22">
        <v>55985914</v>
      </c>
      <c r="D22">
        <v>55459340</v>
      </c>
      <c r="E22">
        <v>1</v>
      </c>
      <c r="F22">
        <v>1</v>
      </c>
      <c r="G22">
        <v>1081</v>
      </c>
      <c r="H22">
        <v>3</v>
      </c>
      <c r="I22" t="s">
        <v>459</v>
      </c>
      <c r="J22" t="s">
        <v>460</v>
      </c>
      <c r="K22" t="s">
        <v>461</v>
      </c>
      <c r="L22">
        <v>1354</v>
      </c>
      <c r="N22">
        <v>1010</v>
      </c>
      <c r="O22" t="s">
        <v>217</v>
      </c>
      <c r="P22" t="s">
        <v>217</v>
      </c>
      <c r="Q22">
        <v>1</v>
      </c>
      <c r="X22">
        <v>7</v>
      </c>
      <c r="Y22">
        <v>0.89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24</v>
      </c>
      <c r="AG22">
        <v>0</v>
      </c>
      <c r="AH22">
        <v>2</v>
      </c>
      <c r="AI22">
        <v>55985918</v>
      </c>
      <c r="AJ22">
        <v>17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ROW(Source!A33)</f>
        <v>33</v>
      </c>
      <c r="B23">
        <v>55985928</v>
      </c>
      <c r="C23">
        <v>55985914</v>
      </c>
      <c r="D23">
        <v>55460882</v>
      </c>
      <c r="E23">
        <v>1</v>
      </c>
      <c r="F23">
        <v>1</v>
      </c>
      <c r="G23">
        <v>1081</v>
      </c>
      <c r="H23">
        <v>3</v>
      </c>
      <c r="I23" t="s">
        <v>462</v>
      </c>
      <c r="J23" t="s">
        <v>463</v>
      </c>
      <c r="K23" t="s">
        <v>464</v>
      </c>
      <c r="L23">
        <v>1348</v>
      </c>
      <c r="N23">
        <v>1009</v>
      </c>
      <c r="O23" t="s">
        <v>287</v>
      </c>
      <c r="P23" t="s">
        <v>287</v>
      </c>
      <c r="Q23">
        <v>1000</v>
      </c>
      <c r="X23">
        <v>1.0000000000000001E-5</v>
      </c>
      <c r="Y23">
        <v>14327.51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0</v>
      </c>
      <c r="AH23">
        <v>2</v>
      </c>
      <c r="AI23">
        <v>55985919</v>
      </c>
      <c r="AJ23">
        <v>18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ROW(Source!A33)</f>
        <v>33</v>
      </c>
      <c r="B24">
        <v>55985929</v>
      </c>
      <c r="C24">
        <v>55985914</v>
      </c>
      <c r="D24">
        <v>55461127</v>
      </c>
      <c r="E24">
        <v>1</v>
      </c>
      <c r="F24">
        <v>1</v>
      </c>
      <c r="G24">
        <v>1081</v>
      </c>
      <c r="H24">
        <v>3</v>
      </c>
      <c r="I24" t="s">
        <v>465</v>
      </c>
      <c r="J24" t="s">
        <v>466</v>
      </c>
      <c r="K24" t="s">
        <v>467</v>
      </c>
      <c r="L24">
        <v>1355</v>
      </c>
      <c r="N24">
        <v>1010</v>
      </c>
      <c r="O24" t="s">
        <v>60</v>
      </c>
      <c r="P24" t="s">
        <v>60</v>
      </c>
      <c r="Q24">
        <v>100</v>
      </c>
      <c r="X24">
        <v>7.0000000000000007E-2</v>
      </c>
      <c r="Y24">
        <v>4.6100000000000003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0</v>
      </c>
      <c r="AH24">
        <v>2</v>
      </c>
      <c r="AI24">
        <v>55985920</v>
      </c>
      <c r="AJ24">
        <v>19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ROW(Source!A33)</f>
        <v>33</v>
      </c>
      <c r="B25">
        <v>55985930</v>
      </c>
      <c r="C25">
        <v>55985914</v>
      </c>
      <c r="D25">
        <v>55459554</v>
      </c>
      <c r="E25">
        <v>1</v>
      </c>
      <c r="F25">
        <v>1</v>
      </c>
      <c r="G25">
        <v>1081</v>
      </c>
      <c r="H25">
        <v>3</v>
      </c>
      <c r="I25" t="s">
        <v>468</v>
      </c>
      <c r="J25" t="s">
        <v>469</v>
      </c>
      <c r="K25" t="s">
        <v>470</v>
      </c>
      <c r="L25">
        <v>1346</v>
      </c>
      <c r="N25">
        <v>1009</v>
      </c>
      <c r="O25" t="s">
        <v>311</v>
      </c>
      <c r="P25" t="s">
        <v>311</v>
      </c>
      <c r="Q25">
        <v>1</v>
      </c>
      <c r="X25">
        <v>4.3999999999999997E-2</v>
      </c>
      <c r="Y25">
        <v>5.01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24</v>
      </c>
      <c r="AG25">
        <v>0</v>
      </c>
      <c r="AH25">
        <v>2</v>
      </c>
      <c r="AI25">
        <v>55985921</v>
      </c>
      <c r="AJ25">
        <v>20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ROW(Source!A33)</f>
        <v>33</v>
      </c>
      <c r="B26">
        <v>55985931</v>
      </c>
      <c r="C26">
        <v>55985914</v>
      </c>
      <c r="D26">
        <v>55459793</v>
      </c>
      <c r="E26">
        <v>1</v>
      </c>
      <c r="F26">
        <v>1</v>
      </c>
      <c r="G26">
        <v>1081</v>
      </c>
      <c r="H26">
        <v>3</v>
      </c>
      <c r="I26" t="s">
        <v>471</v>
      </c>
      <c r="J26" t="s">
        <v>472</v>
      </c>
      <c r="K26" t="s">
        <v>473</v>
      </c>
      <c r="L26">
        <v>1348</v>
      </c>
      <c r="N26">
        <v>1009</v>
      </c>
      <c r="O26" t="s">
        <v>287</v>
      </c>
      <c r="P26" t="s">
        <v>287</v>
      </c>
      <c r="Q26">
        <v>1000</v>
      </c>
      <c r="X26">
        <v>2.0000000000000002E-5</v>
      </c>
      <c r="Y26">
        <v>64123.05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24</v>
      </c>
      <c r="AG26">
        <v>0</v>
      </c>
      <c r="AH26">
        <v>2</v>
      </c>
      <c r="AI26">
        <v>55985922</v>
      </c>
      <c r="AJ26">
        <v>21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ROW(Source!A33)</f>
        <v>33</v>
      </c>
      <c r="B27">
        <v>55985932</v>
      </c>
      <c r="C27">
        <v>55985914</v>
      </c>
      <c r="D27">
        <v>55469262</v>
      </c>
      <c r="E27">
        <v>1</v>
      </c>
      <c r="F27">
        <v>1</v>
      </c>
      <c r="G27">
        <v>1081</v>
      </c>
      <c r="H27">
        <v>3</v>
      </c>
      <c r="I27" t="s">
        <v>474</v>
      </c>
      <c r="J27" t="s">
        <v>475</v>
      </c>
      <c r="K27" t="s">
        <v>476</v>
      </c>
      <c r="L27">
        <v>1354</v>
      </c>
      <c r="N27">
        <v>1010</v>
      </c>
      <c r="O27" t="s">
        <v>217</v>
      </c>
      <c r="P27" t="s">
        <v>217</v>
      </c>
      <c r="Q27">
        <v>1</v>
      </c>
      <c r="X27">
        <v>0.09</v>
      </c>
      <c r="Y27">
        <v>10.53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24</v>
      </c>
      <c r="AG27">
        <v>0</v>
      </c>
      <c r="AH27">
        <v>2</v>
      </c>
      <c r="AI27">
        <v>55985923</v>
      </c>
      <c r="AJ27">
        <v>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ROW(Source!A33)</f>
        <v>33</v>
      </c>
      <c r="B28">
        <v>55985933</v>
      </c>
      <c r="C28">
        <v>55985914</v>
      </c>
      <c r="D28">
        <v>55439336</v>
      </c>
      <c r="E28">
        <v>1081</v>
      </c>
      <c r="F28">
        <v>1</v>
      </c>
      <c r="G28">
        <v>1081</v>
      </c>
      <c r="H28">
        <v>3</v>
      </c>
      <c r="I28" t="s">
        <v>618</v>
      </c>
      <c r="J28" t="s">
        <v>3</v>
      </c>
      <c r="K28" t="s">
        <v>619</v>
      </c>
      <c r="L28">
        <v>1301</v>
      </c>
      <c r="N28">
        <v>1003</v>
      </c>
      <c r="O28" t="s">
        <v>332</v>
      </c>
      <c r="P28" t="s">
        <v>332</v>
      </c>
      <c r="Q28">
        <v>1</v>
      </c>
      <c r="X28">
        <v>1.02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24</v>
      </c>
      <c r="AG28">
        <v>0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ROW(Source!A33)</f>
        <v>33</v>
      </c>
      <c r="B29">
        <v>55985934</v>
      </c>
      <c r="C29">
        <v>55985914</v>
      </c>
      <c r="D29">
        <v>55441122</v>
      </c>
      <c r="E29">
        <v>1081</v>
      </c>
      <c r="F29">
        <v>1</v>
      </c>
      <c r="G29">
        <v>1081</v>
      </c>
      <c r="H29">
        <v>3</v>
      </c>
      <c r="I29" t="s">
        <v>620</v>
      </c>
      <c r="J29" t="s">
        <v>3</v>
      </c>
      <c r="K29" t="s">
        <v>621</v>
      </c>
      <c r="L29">
        <v>1354</v>
      </c>
      <c r="N29">
        <v>1010</v>
      </c>
      <c r="O29" t="s">
        <v>217</v>
      </c>
      <c r="P29" t="s">
        <v>217</v>
      </c>
      <c r="Q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24</v>
      </c>
      <c r="AG29">
        <v>0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ROW(Source!A33)</f>
        <v>33</v>
      </c>
      <c r="B30">
        <v>55985935</v>
      </c>
      <c r="C30">
        <v>55985914</v>
      </c>
      <c r="D30">
        <v>55441122</v>
      </c>
      <c r="E30">
        <v>1081</v>
      </c>
      <c r="F30">
        <v>1</v>
      </c>
      <c r="G30">
        <v>1081</v>
      </c>
      <c r="H30">
        <v>3</v>
      </c>
      <c r="I30" t="s">
        <v>620</v>
      </c>
      <c r="J30" t="s">
        <v>3</v>
      </c>
      <c r="K30" t="s">
        <v>622</v>
      </c>
      <c r="L30">
        <v>1354</v>
      </c>
      <c r="N30">
        <v>1010</v>
      </c>
      <c r="O30" t="s">
        <v>217</v>
      </c>
      <c r="P30" t="s">
        <v>217</v>
      </c>
      <c r="Q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24</v>
      </c>
      <c r="AG30">
        <v>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ROW(Source!A33)</f>
        <v>33</v>
      </c>
      <c r="B31">
        <v>55985936</v>
      </c>
      <c r="C31">
        <v>55985914</v>
      </c>
      <c r="D31">
        <v>55441139</v>
      </c>
      <c r="E31">
        <v>1081</v>
      </c>
      <c r="F31">
        <v>1</v>
      </c>
      <c r="G31">
        <v>1081</v>
      </c>
      <c r="H31">
        <v>3</v>
      </c>
      <c r="I31" t="s">
        <v>623</v>
      </c>
      <c r="J31" t="s">
        <v>3</v>
      </c>
      <c r="K31" t="s">
        <v>624</v>
      </c>
      <c r="L31">
        <v>1301</v>
      </c>
      <c r="N31">
        <v>1003</v>
      </c>
      <c r="O31" t="s">
        <v>332</v>
      </c>
      <c r="P31" t="s">
        <v>332</v>
      </c>
      <c r="Q31">
        <v>1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24</v>
      </c>
      <c r="AG31">
        <v>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ROW(Source!A33)</f>
        <v>33</v>
      </c>
      <c r="B32">
        <v>55985937</v>
      </c>
      <c r="C32">
        <v>55985914</v>
      </c>
      <c r="D32">
        <v>55453278</v>
      </c>
      <c r="E32">
        <v>1081</v>
      </c>
      <c r="F32">
        <v>1</v>
      </c>
      <c r="G32">
        <v>1081</v>
      </c>
      <c r="H32">
        <v>3</v>
      </c>
      <c r="I32" t="s">
        <v>625</v>
      </c>
      <c r="J32" t="s">
        <v>3</v>
      </c>
      <c r="K32" t="s">
        <v>626</v>
      </c>
      <c r="L32">
        <v>1301</v>
      </c>
      <c r="N32">
        <v>1003</v>
      </c>
      <c r="O32" t="s">
        <v>332</v>
      </c>
      <c r="P32" t="s">
        <v>332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24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ROW(Source!A34)</f>
        <v>34</v>
      </c>
      <c r="B33">
        <v>55985945</v>
      </c>
      <c r="C33">
        <v>55985938</v>
      </c>
      <c r="D33">
        <v>55424304</v>
      </c>
      <c r="E33">
        <v>1081</v>
      </c>
      <c r="F33">
        <v>1</v>
      </c>
      <c r="G33">
        <v>1081</v>
      </c>
      <c r="H33">
        <v>1</v>
      </c>
      <c r="I33" t="s">
        <v>449</v>
      </c>
      <c r="J33" t="s">
        <v>3</v>
      </c>
      <c r="K33" t="s">
        <v>450</v>
      </c>
      <c r="L33">
        <v>1191</v>
      </c>
      <c r="N33">
        <v>1013</v>
      </c>
      <c r="O33" t="s">
        <v>451</v>
      </c>
      <c r="P33" t="s">
        <v>451</v>
      </c>
      <c r="Q33">
        <v>1</v>
      </c>
      <c r="X33">
        <v>1.36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25</v>
      </c>
      <c r="AG33">
        <v>0.48960000000000004</v>
      </c>
      <c r="AH33">
        <v>2</v>
      </c>
      <c r="AI33">
        <v>55985939</v>
      </c>
      <c r="AJ33">
        <v>23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ROW(Source!A34)</f>
        <v>34</v>
      </c>
      <c r="B34">
        <v>55985946</v>
      </c>
      <c r="C34">
        <v>55985938</v>
      </c>
      <c r="D34">
        <v>55490330</v>
      </c>
      <c r="E34">
        <v>1</v>
      </c>
      <c r="F34">
        <v>1</v>
      </c>
      <c r="G34">
        <v>1081</v>
      </c>
      <c r="H34">
        <v>2</v>
      </c>
      <c r="I34" t="s">
        <v>452</v>
      </c>
      <c r="J34" t="s">
        <v>453</v>
      </c>
      <c r="K34" t="s">
        <v>454</v>
      </c>
      <c r="L34">
        <v>1368</v>
      </c>
      <c r="N34">
        <v>1011</v>
      </c>
      <c r="O34" t="s">
        <v>455</v>
      </c>
      <c r="P34" t="s">
        <v>455</v>
      </c>
      <c r="Q34">
        <v>1</v>
      </c>
      <c r="X34">
        <v>1.7000000000000001E-2</v>
      </c>
      <c r="Y34">
        <v>0</v>
      </c>
      <c r="Z34">
        <v>0.8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25</v>
      </c>
      <c r="AG34">
        <v>6.1200000000000004E-3</v>
      </c>
      <c r="AH34">
        <v>2</v>
      </c>
      <c r="AI34">
        <v>55985940</v>
      </c>
      <c r="AJ34">
        <v>24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ROW(Source!A34)</f>
        <v>34</v>
      </c>
      <c r="B35">
        <v>55985947</v>
      </c>
      <c r="C35">
        <v>55985938</v>
      </c>
      <c r="D35">
        <v>55490296</v>
      </c>
      <c r="E35">
        <v>1</v>
      </c>
      <c r="F35">
        <v>1</v>
      </c>
      <c r="G35">
        <v>1081</v>
      </c>
      <c r="H35">
        <v>2</v>
      </c>
      <c r="I35" t="s">
        <v>477</v>
      </c>
      <c r="J35" t="s">
        <v>478</v>
      </c>
      <c r="K35" t="s">
        <v>479</v>
      </c>
      <c r="L35">
        <v>1368</v>
      </c>
      <c r="N35">
        <v>1011</v>
      </c>
      <c r="O35" t="s">
        <v>455</v>
      </c>
      <c r="P35" t="s">
        <v>455</v>
      </c>
      <c r="Q35">
        <v>1</v>
      </c>
      <c r="X35">
        <v>0.02</v>
      </c>
      <c r="Y35">
        <v>0</v>
      </c>
      <c r="Z35">
        <v>0.47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25</v>
      </c>
      <c r="AG35">
        <v>7.1999999999999998E-3</v>
      </c>
      <c r="AH35">
        <v>2</v>
      </c>
      <c r="AI35">
        <v>55985941</v>
      </c>
      <c r="AJ35">
        <v>25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ROW(Source!A34)</f>
        <v>34</v>
      </c>
      <c r="B36">
        <v>55985948</v>
      </c>
      <c r="C36">
        <v>55985938</v>
      </c>
      <c r="D36">
        <v>55461074</v>
      </c>
      <c r="E36">
        <v>1</v>
      </c>
      <c r="F36">
        <v>1</v>
      </c>
      <c r="G36">
        <v>1081</v>
      </c>
      <c r="H36">
        <v>3</v>
      </c>
      <c r="I36" t="s">
        <v>480</v>
      </c>
      <c r="J36" t="s">
        <v>481</v>
      </c>
      <c r="K36" t="s">
        <v>482</v>
      </c>
      <c r="L36">
        <v>1346</v>
      </c>
      <c r="N36">
        <v>1009</v>
      </c>
      <c r="O36" t="s">
        <v>311</v>
      </c>
      <c r="P36" t="s">
        <v>311</v>
      </c>
      <c r="Q36">
        <v>1</v>
      </c>
      <c r="X36">
        <v>6.2700000000000004E-3</v>
      </c>
      <c r="Y36">
        <v>27.62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24</v>
      </c>
      <c r="AG36">
        <v>0</v>
      </c>
      <c r="AH36">
        <v>2</v>
      </c>
      <c r="AI36">
        <v>55985942</v>
      </c>
      <c r="AJ36">
        <v>26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ROW(Source!A34)</f>
        <v>34</v>
      </c>
      <c r="B37">
        <v>55985949</v>
      </c>
      <c r="C37">
        <v>55985938</v>
      </c>
      <c r="D37">
        <v>55459793</v>
      </c>
      <c r="E37">
        <v>1</v>
      </c>
      <c r="F37">
        <v>1</v>
      </c>
      <c r="G37">
        <v>1081</v>
      </c>
      <c r="H37">
        <v>3</v>
      </c>
      <c r="I37" t="s">
        <v>471</v>
      </c>
      <c r="J37" t="s">
        <v>472</v>
      </c>
      <c r="K37" t="s">
        <v>473</v>
      </c>
      <c r="L37">
        <v>1348</v>
      </c>
      <c r="N37">
        <v>1009</v>
      </c>
      <c r="O37" t="s">
        <v>287</v>
      </c>
      <c r="P37" t="s">
        <v>287</v>
      </c>
      <c r="Q37">
        <v>1000</v>
      </c>
      <c r="X37">
        <v>1.0000000000000001E-5</v>
      </c>
      <c r="Y37">
        <v>64123.05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24</v>
      </c>
      <c r="AG37">
        <v>0</v>
      </c>
      <c r="AH37">
        <v>2</v>
      </c>
      <c r="AI37">
        <v>55985943</v>
      </c>
      <c r="AJ37">
        <v>27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ROW(Source!A34)</f>
        <v>34</v>
      </c>
      <c r="B38">
        <v>55985950</v>
      </c>
      <c r="C38">
        <v>55985938</v>
      </c>
      <c r="D38">
        <v>55469253</v>
      </c>
      <c r="E38">
        <v>1</v>
      </c>
      <c r="F38">
        <v>1</v>
      </c>
      <c r="G38">
        <v>1081</v>
      </c>
      <c r="H38">
        <v>3</v>
      </c>
      <c r="I38" t="s">
        <v>483</v>
      </c>
      <c r="J38" t="s">
        <v>484</v>
      </c>
      <c r="K38" t="s">
        <v>485</v>
      </c>
      <c r="L38">
        <v>1354</v>
      </c>
      <c r="N38">
        <v>1010</v>
      </c>
      <c r="O38" t="s">
        <v>217</v>
      </c>
      <c r="P38" t="s">
        <v>217</v>
      </c>
      <c r="Q38">
        <v>1</v>
      </c>
      <c r="X38">
        <v>0.1</v>
      </c>
      <c r="Y38">
        <v>15.25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24</v>
      </c>
      <c r="AG38">
        <v>0</v>
      </c>
      <c r="AH38">
        <v>2</v>
      </c>
      <c r="AI38">
        <v>55985944</v>
      </c>
      <c r="AJ38">
        <v>28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ROW(Source!A34)</f>
        <v>34</v>
      </c>
      <c r="B39">
        <v>55985951</v>
      </c>
      <c r="C39">
        <v>55985938</v>
      </c>
      <c r="D39">
        <v>55441128</v>
      </c>
      <c r="E39">
        <v>1081</v>
      </c>
      <c r="F39">
        <v>1</v>
      </c>
      <c r="G39">
        <v>1081</v>
      </c>
      <c r="H39">
        <v>3</v>
      </c>
      <c r="I39" t="s">
        <v>627</v>
      </c>
      <c r="J39" t="s">
        <v>3</v>
      </c>
      <c r="K39" t="s">
        <v>628</v>
      </c>
      <c r="L39">
        <v>1354</v>
      </c>
      <c r="N39">
        <v>1010</v>
      </c>
      <c r="O39" t="s">
        <v>217</v>
      </c>
      <c r="P39" t="s">
        <v>217</v>
      </c>
      <c r="Q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24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ROW(Source!A35)</f>
        <v>35</v>
      </c>
      <c r="B40">
        <v>55985945</v>
      </c>
      <c r="C40">
        <v>55985938</v>
      </c>
      <c r="D40">
        <v>55424304</v>
      </c>
      <c r="E40">
        <v>1081</v>
      </c>
      <c r="F40">
        <v>1</v>
      </c>
      <c r="G40">
        <v>1081</v>
      </c>
      <c r="H40">
        <v>1</v>
      </c>
      <c r="I40" t="s">
        <v>449</v>
      </c>
      <c r="J40" t="s">
        <v>3</v>
      </c>
      <c r="K40" t="s">
        <v>450</v>
      </c>
      <c r="L40">
        <v>1191</v>
      </c>
      <c r="N40">
        <v>1013</v>
      </c>
      <c r="O40" t="s">
        <v>451</v>
      </c>
      <c r="P40" t="s">
        <v>451</v>
      </c>
      <c r="Q40">
        <v>1</v>
      </c>
      <c r="X40">
        <v>1.36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25</v>
      </c>
      <c r="AG40">
        <v>0.48960000000000004</v>
      </c>
      <c r="AH40">
        <v>2</v>
      </c>
      <c r="AI40">
        <v>55985939</v>
      </c>
      <c r="AJ40">
        <v>29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ROW(Source!A35)</f>
        <v>35</v>
      </c>
      <c r="B41">
        <v>55985946</v>
      </c>
      <c r="C41">
        <v>55985938</v>
      </c>
      <c r="D41">
        <v>55490330</v>
      </c>
      <c r="E41">
        <v>1</v>
      </c>
      <c r="F41">
        <v>1</v>
      </c>
      <c r="G41">
        <v>1081</v>
      </c>
      <c r="H41">
        <v>2</v>
      </c>
      <c r="I41" t="s">
        <v>452</v>
      </c>
      <c r="J41" t="s">
        <v>453</v>
      </c>
      <c r="K41" t="s">
        <v>454</v>
      </c>
      <c r="L41">
        <v>1368</v>
      </c>
      <c r="N41">
        <v>1011</v>
      </c>
      <c r="O41" t="s">
        <v>455</v>
      </c>
      <c r="P41" t="s">
        <v>455</v>
      </c>
      <c r="Q41">
        <v>1</v>
      </c>
      <c r="X41">
        <v>1.7000000000000001E-2</v>
      </c>
      <c r="Y41">
        <v>0</v>
      </c>
      <c r="Z41">
        <v>0.8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25</v>
      </c>
      <c r="AG41">
        <v>6.1200000000000004E-3</v>
      </c>
      <c r="AH41">
        <v>2</v>
      </c>
      <c r="AI41">
        <v>55985940</v>
      </c>
      <c r="AJ41">
        <v>30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ROW(Source!A35)</f>
        <v>35</v>
      </c>
      <c r="B42">
        <v>55985947</v>
      </c>
      <c r="C42">
        <v>55985938</v>
      </c>
      <c r="D42">
        <v>55490296</v>
      </c>
      <c r="E42">
        <v>1</v>
      </c>
      <c r="F42">
        <v>1</v>
      </c>
      <c r="G42">
        <v>1081</v>
      </c>
      <c r="H42">
        <v>2</v>
      </c>
      <c r="I42" t="s">
        <v>477</v>
      </c>
      <c r="J42" t="s">
        <v>478</v>
      </c>
      <c r="K42" t="s">
        <v>479</v>
      </c>
      <c r="L42">
        <v>1368</v>
      </c>
      <c r="N42">
        <v>1011</v>
      </c>
      <c r="O42" t="s">
        <v>455</v>
      </c>
      <c r="P42" t="s">
        <v>455</v>
      </c>
      <c r="Q42">
        <v>1</v>
      </c>
      <c r="X42">
        <v>0.02</v>
      </c>
      <c r="Y42">
        <v>0</v>
      </c>
      <c r="Z42">
        <v>0.47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25</v>
      </c>
      <c r="AG42">
        <v>7.1999999999999998E-3</v>
      </c>
      <c r="AH42">
        <v>2</v>
      </c>
      <c r="AI42">
        <v>55985941</v>
      </c>
      <c r="AJ42">
        <v>31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ROW(Source!A35)</f>
        <v>35</v>
      </c>
      <c r="B43">
        <v>55985948</v>
      </c>
      <c r="C43">
        <v>55985938</v>
      </c>
      <c r="D43">
        <v>55461074</v>
      </c>
      <c r="E43">
        <v>1</v>
      </c>
      <c r="F43">
        <v>1</v>
      </c>
      <c r="G43">
        <v>1081</v>
      </c>
      <c r="H43">
        <v>3</v>
      </c>
      <c r="I43" t="s">
        <v>480</v>
      </c>
      <c r="J43" t="s">
        <v>481</v>
      </c>
      <c r="K43" t="s">
        <v>482</v>
      </c>
      <c r="L43">
        <v>1346</v>
      </c>
      <c r="N43">
        <v>1009</v>
      </c>
      <c r="O43" t="s">
        <v>311</v>
      </c>
      <c r="P43" t="s">
        <v>311</v>
      </c>
      <c r="Q43">
        <v>1</v>
      </c>
      <c r="X43">
        <v>6.2700000000000004E-3</v>
      </c>
      <c r="Y43">
        <v>27.62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24</v>
      </c>
      <c r="AG43">
        <v>0</v>
      </c>
      <c r="AH43">
        <v>2</v>
      </c>
      <c r="AI43">
        <v>55985942</v>
      </c>
      <c r="AJ43">
        <v>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ROW(Source!A35)</f>
        <v>35</v>
      </c>
      <c r="B44">
        <v>55985949</v>
      </c>
      <c r="C44">
        <v>55985938</v>
      </c>
      <c r="D44">
        <v>55459793</v>
      </c>
      <c r="E44">
        <v>1</v>
      </c>
      <c r="F44">
        <v>1</v>
      </c>
      <c r="G44">
        <v>1081</v>
      </c>
      <c r="H44">
        <v>3</v>
      </c>
      <c r="I44" t="s">
        <v>471</v>
      </c>
      <c r="J44" t="s">
        <v>472</v>
      </c>
      <c r="K44" t="s">
        <v>473</v>
      </c>
      <c r="L44">
        <v>1348</v>
      </c>
      <c r="N44">
        <v>1009</v>
      </c>
      <c r="O44" t="s">
        <v>287</v>
      </c>
      <c r="P44" t="s">
        <v>287</v>
      </c>
      <c r="Q44">
        <v>1000</v>
      </c>
      <c r="X44">
        <v>1.0000000000000001E-5</v>
      </c>
      <c r="Y44">
        <v>64123.05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24</v>
      </c>
      <c r="AG44">
        <v>0</v>
      </c>
      <c r="AH44">
        <v>2</v>
      </c>
      <c r="AI44">
        <v>55985943</v>
      </c>
      <c r="AJ44">
        <v>33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ROW(Source!A35)</f>
        <v>35</v>
      </c>
      <c r="B45">
        <v>55985950</v>
      </c>
      <c r="C45">
        <v>55985938</v>
      </c>
      <c r="D45">
        <v>55469253</v>
      </c>
      <c r="E45">
        <v>1</v>
      </c>
      <c r="F45">
        <v>1</v>
      </c>
      <c r="G45">
        <v>1081</v>
      </c>
      <c r="H45">
        <v>3</v>
      </c>
      <c r="I45" t="s">
        <v>483</v>
      </c>
      <c r="J45" t="s">
        <v>484</v>
      </c>
      <c r="K45" t="s">
        <v>485</v>
      </c>
      <c r="L45">
        <v>1354</v>
      </c>
      <c r="N45">
        <v>1010</v>
      </c>
      <c r="O45" t="s">
        <v>217</v>
      </c>
      <c r="P45" t="s">
        <v>217</v>
      </c>
      <c r="Q45">
        <v>1</v>
      </c>
      <c r="X45">
        <v>0.1</v>
      </c>
      <c r="Y45">
        <v>15.25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24</v>
      </c>
      <c r="AG45">
        <v>0</v>
      </c>
      <c r="AH45">
        <v>2</v>
      </c>
      <c r="AI45">
        <v>55985944</v>
      </c>
      <c r="AJ45">
        <v>34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ROW(Source!A35)</f>
        <v>35</v>
      </c>
      <c r="B46">
        <v>55985951</v>
      </c>
      <c r="C46">
        <v>55985938</v>
      </c>
      <c r="D46">
        <v>55441128</v>
      </c>
      <c r="E46">
        <v>1081</v>
      </c>
      <c r="F46">
        <v>1</v>
      </c>
      <c r="G46">
        <v>1081</v>
      </c>
      <c r="H46">
        <v>3</v>
      </c>
      <c r="I46" t="s">
        <v>627</v>
      </c>
      <c r="J46" t="s">
        <v>3</v>
      </c>
      <c r="K46" t="s">
        <v>628</v>
      </c>
      <c r="L46">
        <v>1354</v>
      </c>
      <c r="N46">
        <v>1010</v>
      </c>
      <c r="O46" t="s">
        <v>217</v>
      </c>
      <c r="P46" t="s">
        <v>217</v>
      </c>
      <c r="Q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24</v>
      </c>
      <c r="AG46">
        <v>0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ROW(Source!A36)</f>
        <v>36</v>
      </c>
      <c r="B47">
        <v>55985954</v>
      </c>
      <c r="C47">
        <v>55985952</v>
      </c>
      <c r="D47">
        <v>55424304</v>
      </c>
      <c r="E47">
        <v>1081</v>
      </c>
      <c r="F47">
        <v>1</v>
      </c>
      <c r="G47">
        <v>1081</v>
      </c>
      <c r="H47">
        <v>1</v>
      </c>
      <c r="I47" t="s">
        <v>449</v>
      </c>
      <c r="J47" t="s">
        <v>3</v>
      </c>
      <c r="K47" t="s">
        <v>450</v>
      </c>
      <c r="L47">
        <v>1191</v>
      </c>
      <c r="N47">
        <v>1013</v>
      </c>
      <c r="O47" t="s">
        <v>451</v>
      </c>
      <c r="P47" t="s">
        <v>451</v>
      </c>
      <c r="Q47">
        <v>1</v>
      </c>
      <c r="X47">
        <v>1.68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25</v>
      </c>
      <c r="AG47">
        <v>0.6048</v>
      </c>
      <c r="AH47">
        <v>2</v>
      </c>
      <c r="AI47">
        <v>55985953</v>
      </c>
      <c r="AJ47">
        <v>35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ROW(Source!A37)</f>
        <v>37</v>
      </c>
      <c r="B48">
        <v>55985954</v>
      </c>
      <c r="C48">
        <v>55985952</v>
      </c>
      <c r="D48">
        <v>55424304</v>
      </c>
      <c r="E48">
        <v>1081</v>
      </c>
      <c r="F48">
        <v>1</v>
      </c>
      <c r="G48">
        <v>1081</v>
      </c>
      <c r="H48">
        <v>1</v>
      </c>
      <c r="I48" t="s">
        <v>449</v>
      </c>
      <c r="J48" t="s">
        <v>3</v>
      </c>
      <c r="K48" t="s">
        <v>450</v>
      </c>
      <c r="L48">
        <v>1191</v>
      </c>
      <c r="N48">
        <v>1013</v>
      </c>
      <c r="O48" t="s">
        <v>451</v>
      </c>
      <c r="P48" t="s">
        <v>451</v>
      </c>
      <c r="Q48">
        <v>1</v>
      </c>
      <c r="X48">
        <v>1.68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25</v>
      </c>
      <c r="AG48">
        <v>0.6048</v>
      </c>
      <c r="AH48">
        <v>2</v>
      </c>
      <c r="AI48">
        <v>55985953</v>
      </c>
      <c r="AJ48">
        <v>36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ROW(Source!A38)</f>
        <v>38</v>
      </c>
      <c r="B49">
        <v>55985959</v>
      </c>
      <c r="C49">
        <v>55985955</v>
      </c>
      <c r="D49">
        <v>55424304</v>
      </c>
      <c r="E49">
        <v>1081</v>
      </c>
      <c r="F49">
        <v>1</v>
      </c>
      <c r="G49">
        <v>1081</v>
      </c>
      <c r="H49">
        <v>1</v>
      </c>
      <c r="I49" t="s">
        <v>449</v>
      </c>
      <c r="J49" t="s">
        <v>3</v>
      </c>
      <c r="K49" t="s">
        <v>450</v>
      </c>
      <c r="L49">
        <v>1191</v>
      </c>
      <c r="N49">
        <v>1013</v>
      </c>
      <c r="O49" t="s">
        <v>451</v>
      </c>
      <c r="P49" t="s">
        <v>451</v>
      </c>
      <c r="Q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25</v>
      </c>
      <c r="AG49">
        <v>0.36</v>
      </c>
      <c r="AH49">
        <v>2</v>
      </c>
      <c r="AI49">
        <v>55985956</v>
      </c>
      <c r="AJ49">
        <v>37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ROW(Source!A38)</f>
        <v>38</v>
      </c>
      <c r="B50">
        <v>55985960</v>
      </c>
      <c r="C50">
        <v>55985955</v>
      </c>
      <c r="D50">
        <v>55459793</v>
      </c>
      <c r="E50">
        <v>1</v>
      </c>
      <c r="F50">
        <v>1</v>
      </c>
      <c r="G50">
        <v>1081</v>
      </c>
      <c r="H50">
        <v>3</v>
      </c>
      <c r="I50" t="s">
        <v>471</v>
      </c>
      <c r="J50" t="s">
        <v>472</v>
      </c>
      <c r="K50" t="s">
        <v>473</v>
      </c>
      <c r="L50">
        <v>1348</v>
      </c>
      <c r="N50">
        <v>1009</v>
      </c>
      <c r="O50" t="s">
        <v>287</v>
      </c>
      <c r="P50" t="s">
        <v>287</v>
      </c>
      <c r="Q50">
        <v>1000</v>
      </c>
      <c r="X50">
        <v>1.0000000000000001E-5</v>
      </c>
      <c r="Y50">
        <v>64123.05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24</v>
      </c>
      <c r="AG50">
        <v>0</v>
      </c>
      <c r="AH50">
        <v>2</v>
      </c>
      <c r="AI50">
        <v>55985957</v>
      </c>
      <c r="AJ50">
        <v>38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ROW(Source!A38)</f>
        <v>38</v>
      </c>
      <c r="B51">
        <v>55985961</v>
      </c>
      <c r="C51">
        <v>55985955</v>
      </c>
      <c r="D51">
        <v>55487942</v>
      </c>
      <c r="E51">
        <v>1</v>
      </c>
      <c r="F51">
        <v>1</v>
      </c>
      <c r="G51">
        <v>1081</v>
      </c>
      <c r="H51">
        <v>3</v>
      </c>
      <c r="I51" t="s">
        <v>486</v>
      </c>
      <c r="J51" t="s">
        <v>487</v>
      </c>
      <c r="K51" t="s">
        <v>488</v>
      </c>
      <c r="L51">
        <v>1303</v>
      </c>
      <c r="N51">
        <v>1003</v>
      </c>
      <c r="O51" t="s">
        <v>337</v>
      </c>
      <c r="P51" t="s">
        <v>337</v>
      </c>
      <c r="Q51">
        <v>1000</v>
      </c>
      <c r="X51">
        <v>2E-3</v>
      </c>
      <c r="Y51">
        <v>516.63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24</v>
      </c>
      <c r="AG51">
        <v>0</v>
      </c>
      <c r="AH51">
        <v>2</v>
      </c>
      <c r="AI51">
        <v>55985958</v>
      </c>
      <c r="AJ51">
        <v>39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ROW(Source!A38)</f>
        <v>38</v>
      </c>
      <c r="B52">
        <v>55985962</v>
      </c>
      <c r="C52">
        <v>55985955</v>
      </c>
      <c r="D52">
        <v>55431425</v>
      </c>
      <c r="E52">
        <v>1081</v>
      </c>
      <c r="F52">
        <v>1</v>
      </c>
      <c r="G52">
        <v>1081</v>
      </c>
      <c r="H52">
        <v>3</v>
      </c>
      <c r="I52" t="s">
        <v>629</v>
      </c>
      <c r="J52" t="s">
        <v>3</v>
      </c>
      <c r="K52" t="s">
        <v>630</v>
      </c>
      <c r="L52">
        <v>1354</v>
      </c>
      <c r="N52">
        <v>1010</v>
      </c>
      <c r="O52" t="s">
        <v>217</v>
      </c>
      <c r="P52" t="s">
        <v>217</v>
      </c>
      <c r="Q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24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ROW(Source!A39)</f>
        <v>39</v>
      </c>
      <c r="B53">
        <v>55985959</v>
      </c>
      <c r="C53">
        <v>55985955</v>
      </c>
      <c r="D53">
        <v>55424304</v>
      </c>
      <c r="E53">
        <v>1081</v>
      </c>
      <c r="F53">
        <v>1</v>
      </c>
      <c r="G53">
        <v>1081</v>
      </c>
      <c r="H53">
        <v>1</v>
      </c>
      <c r="I53" t="s">
        <v>449</v>
      </c>
      <c r="J53" t="s">
        <v>3</v>
      </c>
      <c r="K53" t="s">
        <v>450</v>
      </c>
      <c r="L53">
        <v>1191</v>
      </c>
      <c r="N53">
        <v>1013</v>
      </c>
      <c r="O53" t="s">
        <v>451</v>
      </c>
      <c r="P53" t="s">
        <v>451</v>
      </c>
      <c r="Q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25</v>
      </c>
      <c r="AG53">
        <v>0.36</v>
      </c>
      <c r="AH53">
        <v>2</v>
      </c>
      <c r="AI53">
        <v>55985956</v>
      </c>
      <c r="AJ53">
        <v>40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ROW(Source!A39)</f>
        <v>39</v>
      </c>
      <c r="B54">
        <v>55985960</v>
      </c>
      <c r="C54">
        <v>55985955</v>
      </c>
      <c r="D54">
        <v>55459793</v>
      </c>
      <c r="E54">
        <v>1</v>
      </c>
      <c r="F54">
        <v>1</v>
      </c>
      <c r="G54">
        <v>1081</v>
      </c>
      <c r="H54">
        <v>3</v>
      </c>
      <c r="I54" t="s">
        <v>471</v>
      </c>
      <c r="J54" t="s">
        <v>472</v>
      </c>
      <c r="K54" t="s">
        <v>473</v>
      </c>
      <c r="L54">
        <v>1348</v>
      </c>
      <c r="N54">
        <v>1009</v>
      </c>
      <c r="O54" t="s">
        <v>287</v>
      </c>
      <c r="P54" t="s">
        <v>287</v>
      </c>
      <c r="Q54">
        <v>1000</v>
      </c>
      <c r="X54">
        <v>1.0000000000000001E-5</v>
      </c>
      <c r="Y54">
        <v>64123.05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24</v>
      </c>
      <c r="AG54">
        <v>0</v>
      </c>
      <c r="AH54">
        <v>2</v>
      </c>
      <c r="AI54">
        <v>55985957</v>
      </c>
      <c r="AJ54">
        <v>41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ROW(Source!A39)</f>
        <v>39</v>
      </c>
      <c r="B55">
        <v>55985961</v>
      </c>
      <c r="C55">
        <v>55985955</v>
      </c>
      <c r="D55">
        <v>55487942</v>
      </c>
      <c r="E55">
        <v>1</v>
      </c>
      <c r="F55">
        <v>1</v>
      </c>
      <c r="G55">
        <v>1081</v>
      </c>
      <c r="H55">
        <v>3</v>
      </c>
      <c r="I55" t="s">
        <v>486</v>
      </c>
      <c r="J55" t="s">
        <v>487</v>
      </c>
      <c r="K55" t="s">
        <v>488</v>
      </c>
      <c r="L55">
        <v>1303</v>
      </c>
      <c r="N55">
        <v>1003</v>
      </c>
      <c r="O55" t="s">
        <v>337</v>
      </c>
      <c r="P55" t="s">
        <v>337</v>
      </c>
      <c r="Q55">
        <v>1000</v>
      </c>
      <c r="X55">
        <v>2E-3</v>
      </c>
      <c r="Y55">
        <v>516.63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24</v>
      </c>
      <c r="AG55">
        <v>0</v>
      </c>
      <c r="AH55">
        <v>2</v>
      </c>
      <c r="AI55">
        <v>55985958</v>
      </c>
      <c r="AJ55">
        <v>42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ROW(Source!A39)</f>
        <v>39</v>
      </c>
      <c r="B56">
        <v>55985962</v>
      </c>
      <c r="C56">
        <v>55985955</v>
      </c>
      <c r="D56">
        <v>55431425</v>
      </c>
      <c r="E56">
        <v>1081</v>
      </c>
      <c r="F56">
        <v>1</v>
      </c>
      <c r="G56">
        <v>1081</v>
      </c>
      <c r="H56">
        <v>3</v>
      </c>
      <c r="I56" t="s">
        <v>629</v>
      </c>
      <c r="J56" t="s">
        <v>3</v>
      </c>
      <c r="K56" t="s">
        <v>630</v>
      </c>
      <c r="L56">
        <v>1354</v>
      </c>
      <c r="N56">
        <v>1010</v>
      </c>
      <c r="O56" t="s">
        <v>217</v>
      </c>
      <c r="P56" t="s">
        <v>217</v>
      </c>
      <c r="Q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24</v>
      </c>
      <c r="AG56">
        <v>0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ROW(Source!A40)</f>
        <v>40</v>
      </c>
      <c r="B57">
        <v>55985965</v>
      </c>
      <c r="C57">
        <v>55985963</v>
      </c>
      <c r="D57">
        <v>55424304</v>
      </c>
      <c r="E57">
        <v>1081</v>
      </c>
      <c r="F57">
        <v>1</v>
      </c>
      <c r="G57">
        <v>1081</v>
      </c>
      <c r="H57">
        <v>1</v>
      </c>
      <c r="I57" t="s">
        <v>449</v>
      </c>
      <c r="J57" t="s">
        <v>3</v>
      </c>
      <c r="K57" t="s">
        <v>450</v>
      </c>
      <c r="L57">
        <v>1191</v>
      </c>
      <c r="N57">
        <v>1013</v>
      </c>
      <c r="O57" t="s">
        <v>451</v>
      </c>
      <c r="P57" t="s">
        <v>451</v>
      </c>
      <c r="Q57">
        <v>1</v>
      </c>
      <c r="X57">
        <v>0.84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25</v>
      </c>
      <c r="AG57">
        <v>0.3024</v>
      </c>
      <c r="AH57">
        <v>2</v>
      </c>
      <c r="AI57">
        <v>55985964</v>
      </c>
      <c r="AJ57">
        <v>43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ROW(Source!A41)</f>
        <v>41</v>
      </c>
      <c r="B58">
        <v>55985965</v>
      </c>
      <c r="C58">
        <v>55985963</v>
      </c>
      <c r="D58">
        <v>55424304</v>
      </c>
      <c r="E58">
        <v>1081</v>
      </c>
      <c r="F58">
        <v>1</v>
      </c>
      <c r="G58">
        <v>1081</v>
      </c>
      <c r="H58">
        <v>1</v>
      </c>
      <c r="I58" t="s">
        <v>449</v>
      </c>
      <c r="J58" t="s">
        <v>3</v>
      </c>
      <c r="K58" t="s">
        <v>450</v>
      </c>
      <c r="L58">
        <v>1191</v>
      </c>
      <c r="N58">
        <v>1013</v>
      </c>
      <c r="O58" t="s">
        <v>451</v>
      </c>
      <c r="P58" t="s">
        <v>451</v>
      </c>
      <c r="Q58">
        <v>1</v>
      </c>
      <c r="X58">
        <v>0.84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25</v>
      </c>
      <c r="AG58">
        <v>0.3024</v>
      </c>
      <c r="AH58">
        <v>2</v>
      </c>
      <c r="AI58">
        <v>55985964</v>
      </c>
      <c r="AJ58">
        <v>44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ROW(Source!A42)</f>
        <v>42</v>
      </c>
      <c r="B59">
        <v>55985973</v>
      </c>
      <c r="C59">
        <v>55985966</v>
      </c>
      <c r="D59">
        <v>55424304</v>
      </c>
      <c r="E59">
        <v>1081</v>
      </c>
      <c r="F59">
        <v>1</v>
      </c>
      <c r="G59">
        <v>1081</v>
      </c>
      <c r="H59">
        <v>1</v>
      </c>
      <c r="I59" t="s">
        <v>449</v>
      </c>
      <c r="J59" t="s">
        <v>3</v>
      </c>
      <c r="K59" t="s">
        <v>450</v>
      </c>
      <c r="L59">
        <v>1191</v>
      </c>
      <c r="N59">
        <v>1013</v>
      </c>
      <c r="O59" t="s">
        <v>451</v>
      </c>
      <c r="P59" t="s">
        <v>451</v>
      </c>
      <c r="Q59">
        <v>1</v>
      </c>
      <c r="X59">
        <v>84.67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25</v>
      </c>
      <c r="AG59">
        <v>30.481199999999998</v>
      </c>
      <c r="AH59">
        <v>2</v>
      </c>
      <c r="AI59">
        <v>55985967</v>
      </c>
      <c r="AJ59">
        <v>45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ROW(Source!A42)</f>
        <v>42</v>
      </c>
      <c r="B60">
        <v>55985974</v>
      </c>
      <c r="C60">
        <v>55985966</v>
      </c>
      <c r="D60">
        <v>55490209</v>
      </c>
      <c r="E60">
        <v>1</v>
      </c>
      <c r="F60">
        <v>1</v>
      </c>
      <c r="G60">
        <v>1081</v>
      </c>
      <c r="H60">
        <v>2</v>
      </c>
      <c r="I60" t="s">
        <v>489</v>
      </c>
      <c r="J60" t="s">
        <v>490</v>
      </c>
      <c r="K60" t="s">
        <v>491</v>
      </c>
      <c r="L60">
        <v>1368</v>
      </c>
      <c r="N60">
        <v>1011</v>
      </c>
      <c r="O60" t="s">
        <v>455</v>
      </c>
      <c r="P60" t="s">
        <v>455</v>
      </c>
      <c r="Q60">
        <v>1</v>
      </c>
      <c r="X60">
        <v>1.03</v>
      </c>
      <c r="Y60">
        <v>0</v>
      </c>
      <c r="Z60">
        <v>83.1</v>
      </c>
      <c r="AA60">
        <v>12.62</v>
      </c>
      <c r="AB60">
        <v>0</v>
      </c>
      <c r="AC60">
        <v>0</v>
      </c>
      <c r="AD60">
        <v>1</v>
      </c>
      <c r="AE60">
        <v>0</v>
      </c>
      <c r="AF60" t="s">
        <v>25</v>
      </c>
      <c r="AG60">
        <v>0.37079999999999996</v>
      </c>
      <c r="AH60">
        <v>2</v>
      </c>
      <c r="AI60">
        <v>55985968</v>
      </c>
      <c r="AJ60">
        <v>46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ROW(Source!A42)</f>
        <v>42</v>
      </c>
      <c r="B61">
        <v>55985975</v>
      </c>
      <c r="C61">
        <v>55985966</v>
      </c>
      <c r="D61">
        <v>55490324</v>
      </c>
      <c r="E61">
        <v>1</v>
      </c>
      <c r="F61">
        <v>1</v>
      </c>
      <c r="G61">
        <v>1081</v>
      </c>
      <c r="H61">
        <v>2</v>
      </c>
      <c r="I61" t="s">
        <v>493</v>
      </c>
      <c r="J61" t="s">
        <v>494</v>
      </c>
      <c r="K61" t="s">
        <v>495</v>
      </c>
      <c r="L61">
        <v>1368</v>
      </c>
      <c r="N61">
        <v>1011</v>
      </c>
      <c r="O61" t="s">
        <v>455</v>
      </c>
      <c r="P61" t="s">
        <v>455</v>
      </c>
      <c r="Q61">
        <v>1</v>
      </c>
      <c r="X61">
        <v>22.08</v>
      </c>
      <c r="Y61">
        <v>0</v>
      </c>
      <c r="Z61">
        <v>0.35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25</v>
      </c>
      <c r="AG61">
        <v>7.9487999999999994</v>
      </c>
      <c r="AH61">
        <v>2</v>
      </c>
      <c r="AI61">
        <v>55985969</v>
      </c>
      <c r="AJ61">
        <v>47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ROW(Source!A42)</f>
        <v>42</v>
      </c>
      <c r="B62">
        <v>55985976</v>
      </c>
      <c r="C62">
        <v>55985966</v>
      </c>
      <c r="D62">
        <v>55460424</v>
      </c>
      <c r="E62">
        <v>1</v>
      </c>
      <c r="F62">
        <v>1</v>
      </c>
      <c r="G62">
        <v>1081</v>
      </c>
      <c r="H62">
        <v>3</v>
      </c>
      <c r="I62" t="s">
        <v>496</v>
      </c>
      <c r="J62" t="s">
        <v>497</v>
      </c>
      <c r="K62" t="s">
        <v>498</v>
      </c>
      <c r="L62">
        <v>1346</v>
      </c>
      <c r="N62">
        <v>1009</v>
      </c>
      <c r="O62" t="s">
        <v>311</v>
      </c>
      <c r="P62" t="s">
        <v>311</v>
      </c>
      <c r="Q62">
        <v>1</v>
      </c>
      <c r="X62">
        <v>0.21</v>
      </c>
      <c r="Y62">
        <v>159.06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24</v>
      </c>
      <c r="AG62">
        <v>0</v>
      </c>
      <c r="AH62">
        <v>2</v>
      </c>
      <c r="AI62">
        <v>55985970</v>
      </c>
      <c r="AJ62">
        <v>48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ROW(Source!A42)</f>
        <v>42</v>
      </c>
      <c r="B63">
        <v>55985977</v>
      </c>
      <c r="C63">
        <v>55985966</v>
      </c>
      <c r="D63">
        <v>55459340</v>
      </c>
      <c r="E63">
        <v>1</v>
      </c>
      <c r="F63">
        <v>1</v>
      </c>
      <c r="G63">
        <v>1081</v>
      </c>
      <c r="H63">
        <v>3</v>
      </c>
      <c r="I63" t="s">
        <v>459</v>
      </c>
      <c r="J63" t="s">
        <v>460</v>
      </c>
      <c r="K63" t="s">
        <v>461</v>
      </c>
      <c r="L63">
        <v>1354</v>
      </c>
      <c r="N63">
        <v>1010</v>
      </c>
      <c r="O63" t="s">
        <v>217</v>
      </c>
      <c r="P63" t="s">
        <v>217</v>
      </c>
      <c r="Q63">
        <v>1</v>
      </c>
      <c r="X63">
        <v>4.08</v>
      </c>
      <c r="Y63">
        <v>0.89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24</v>
      </c>
      <c r="AG63">
        <v>0</v>
      </c>
      <c r="AH63">
        <v>2</v>
      </c>
      <c r="AI63">
        <v>55985971</v>
      </c>
      <c r="AJ63">
        <v>49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ROW(Source!A42)</f>
        <v>42</v>
      </c>
      <c r="B64">
        <v>55985978</v>
      </c>
      <c r="C64">
        <v>55985966</v>
      </c>
      <c r="D64">
        <v>55487873</v>
      </c>
      <c r="E64">
        <v>1</v>
      </c>
      <c r="F64">
        <v>1</v>
      </c>
      <c r="G64">
        <v>1081</v>
      </c>
      <c r="H64">
        <v>3</v>
      </c>
      <c r="I64" t="s">
        <v>499</v>
      </c>
      <c r="J64" t="s">
        <v>500</v>
      </c>
      <c r="K64" t="s">
        <v>501</v>
      </c>
      <c r="L64">
        <v>1303</v>
      </c>
      <c r="N64">
        <v>1003</v>
      </c>
      <c r="O64" t="s">
        <v>337</v>
      </c>
      <c r="P64" t="s">
        <v>337</v>
      </c>
      <c r="Q64">
        <v>1000</v>
      </c>
      <c r="X64">
        <v>1.5299999999999999E-2</v>
      </c>
      <c r="Y64">
        <v>2897.31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24</v>
      </c>
      <c r="AG64">
        <v>0</v>
      </c>
      <c r="AH64">
        <v>2</v>
      </c>
      <c r="AI64">
        <v>55985972</v>
      </c>
      <c r="AJ64">
        <v>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ROW(Source!A42)</f>
        <v>42</v>
      </c>
      <c r="B65">
        <v>55985979</v>
      </c>
      <c r="C65">
        <v>55985966</v>
      </c>
      <c r="D65">
        <v>55433774</v>
      </c>
      <c r="E65">
        <v>1081</v>
      </c>
      <c r="F65">
        <v>1</v>
      </c>
      <c r="G65">
        <v>1081</v>
      </c>
      <c r="H65">
        <v>3</v>
      </c>
      <c r="I65" t="s">
        <v>631</v>
      </c>
      <c r="J65" t="s">
        <v>3</v>
      </c>
      <c r="K65" t="s">
        <v>632</v>
      </c>
      <c r="L65">
        <v>1354</v>
      </c>
      <c r="N65">
        <v>1010</v>
      </c>
      <c r="O65" t="s">
        <v>217</v>
      </c>
      <c r="P65" t="s">
        <v>217</v>
      </c>
      <c r="Q65">
        <v>1</v>
      </c>
      <c r="X65">
        <v>100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24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ROW(Source!A42)</f>
        <v>42</v>
      </c>
      <c r="B66">
        <v>55985980</v>
      </c>
      <c r="C66">
        <v>55985966</v>
      </c>
      <c r="D66">
        <v>55434288</v>
      </c>
      <c r="E66">
        <v>1081</v>
      </c>
      <c r="F66">
        <v>1</v>
      </c>
      <c r="G66">
        <v>1081</v>
      </c>
      <c r="H66">
        <v>3</v>
      </c>
      <c r="I66" t="s">
        <v>633</v>
      </c>
      <c r="J66" t="s">
        <v>3</v>
      </c>
      <c r="K66" t="s">
        <v>634</v>
      </c>
      <c r="L66">
        <v>1358</v>
      </c>
      <c r="N66">
        <v>1010</v>
      </c>
      <c r="O66" t="s">
        <v>75</v>
      </c>
      <c r="P66" t="s">
        <v>75</v>
      </c>
      <c r="Q66">
        <v>10</v>
      </c>
      <c r="X66">
        <v>10.199999999999999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24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ROW(Source!A43)</f>
        <v>43</v>
      </c>
      <c r="B67">
        <v>55985973</v>
      </c>
      <c r="C67">
        <v>55985966</v>
      </c>
      <c r="D67">
        <v>55424304</v>
      </c>
      <c r="E67">
        <v>1081</v>
      </c>
      <c r="F67">
        <v>1</v>
      </c>
      <c r="G67">
        <v>1081</v>
      </c>
      <c r="H67">
        <v>1</v>
      </c>
      <c r="I67" t="s">
        <v>449</v>
      </c>
      <c r="J67" t="s">
        <v>3</v>
      </c>
      <c r="K67" t="s">
        <v>450</v>
      </c>
      <c r="L67">
        <v>1191</v>
      </c>
      <c r="N67">
        <v>1013</v>
      </c>
      <c r="O67" t="s">
        <v>451</v>
      </c>
      <c r="P67" t="s">
        <v>451</v>
      </c>
      <c r="Q67">
        <v>1</v>
      </c>
      <c r="X67">
        <v>84.67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25</v>
      </c>
      <c r="AG67">
        <v>30.481199999999998</v>
      </c>
      <c r="AH67">
        <v>2</v>
      </c>
      <c r="AI67">
        <v>55985967</v>
      </c>
      <c r="AJ67">
        <v>51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ROW(Source!A43)</f>
        <v>43</v>
      </c>
      <c r="B68">
        <v>55985974</v>
      </c>
      <c r="C68">
        <v>55985966</v>
      </c>
      <c r="D68">
        <v>55490209</v>
      </c>
      <c r="E68">
        <v>1</v>
      </c>
      <c r="F68">
        <v>1</v>
      </c>
      <c r="G68">
        <v>1081</v>
      </c>
      <c r="H68">
        <v>2</v>
      </c>
      <c r="I68" t="s">
        <v>489</v>
      </c>
      <c r="J68" t="s">
        <v>490</v>
      </c>
      <c r="K68" t="s">
        <v>491</v>
      </c>
      <c r="L68">
        <v>1368</v>
      </c>
      <c r="N68">
        <v>1011</v>
      </c>
      <c r="O68" t="s">
        <v>455</v>
      </c>
      <c r="P68" t="s">
        <v>455</v>
      </c>
      <c r="Q68">
        <v>1</v>
      </c>
      <c r="X68">
        <v>1.03</v>
      </c>
      <c r="Y68">
        <v>0</v>
      </c>
      <c r="Z68">
        <v>83.1</v>
      </c>
      <c r="AA68">
        <v>12.62</v>
      </c>
      <c r="AB68">
        <v>0</v>
      </c>
      <c r="AC68">
        <v>0</v>
      </c>
      <c r="AD68">
        <v>1</v>
      </c>
      <c r="AE68">
        <v>0</v>
      </c>
      <c r="AF68" t="s">
        <v>25</v>
      </c>
      <c r="AG68">
        <v>0.37079999999999996</v>
      </c>
      <c r="AH68">
        <v>2</v>
      </c>
      <c r="AI68">
        <v>55985968</v>
      </c>
      <c r="AJ68">
        <v>52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ROW(Source!A43)</f>
        <v>43</v>
      </c>
      <c r="B69">
        <v>55985975</v>
      </c>
      <c r="C69">
        <v>55985966</v>
      </c>
      <c r="D69">
        <v>55490324</v>
      </c>
      <c r="E69">
        <v>1</v>
      </c>
      <c r="F69">
        <v>1</v>
      </c>
      <c r="G69">
        <v>1081</v>
      </c>
      <c r="H69">
        <v>2</v>
      </c>
      <c r="I69" t="s">
        <v>493</v>
      </c>
      <c r="J69" t="s">
        <v>494</v>
      </c>
      <c r="K69" t="s">
        <v>495</v>
      </c>
      <c r="L69">
        <v>1368</v>
      </c>
      <c r="N69">
        <v>1011</v>
      </c>
      <c r="O69" t="s">
        <v>455</v>
      </c>
      <c r="P69" t="s">
        <v>455</v>
      </c>
      <c r="Q69">
        <v>1</v>
      </c>
      <c r="X69">
        <v>22.08</v>
      </c>
      <c r="Y69">
        <v>0</v>
      </c>
      <c r="Z69">
        <v>0.35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25</v>
      </c>
      <c r="AG69">
        <v>7.9487999999999994</v>
      </c>
      <c r="AH69">
        <v>2</v>
      </c>
      <c r="AI69">
        <v>55985969</v>
      </c>
      <c r="AJ69">
        <v>53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ROW(Source!A43)</f>
        <v>43</v>
      </c>
      <c r="B70">
        <v>55985976</v>
      </c>
      <c r="C70">
        <v>55985966</v>
      </c>
      <c r="D70">
        <v>55460424</v>
      </c>
      <c r="E70">
        <v>1</v>
      </c>
      <c r="F70">
        <v>1</v>
      </c>
      <c r="G70">
        <v>1081</v>
      </c>
      <c r="H70">
        <v>3</v>
      </c>
      <c r="I70" t="s">
        <v>496</v>
      </c>
      <c r="J70" t="s">
        <v>497</v>
      </c>
      <c r="K70" t="s">
        <v>498</v>
      </c>
      <c r="L70">
        <v>1346</v>
      </c>
      <c r="N70">
        <v>1009</v>
      </c>
      <c r="O70" t="s">
        <v>311</v>
      </c>
      <c r="P70" t="s">
        <v>311</v>
      </c>
      <c r="Q70">
        <v>1</v>
      </c>
      <c r="X70">
        <v>0.21</v>
      </c>
      <c r="Y70">
        <v>159.06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24</v>
      </c>
      <c r="AG70">
        <v>0</v>
      </c>
      <c r="AH70">
        <v>2</v>
      </c>
      <c r="AI70">
        <v>55985970</v>
      </c>
      <c r="AJ70">
        <v>54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ROW(Source!A43)</f>
        <v>43</v>
      </c>
      <c r="B71">
        <v>55985977</v>
      </c>
      <c r="C71">
        <v>55985966</v>
      </c>
      <c r="D71">
        <v>55459340</v>
      </c>
      <c r="E71">
        <v>1</v>
      </c>
      <c r="F71">
        <v>1</v>
      </c>
      <c r="G71">
        <v>1081</v>
      </c>
      <c r="H71">
        <v>3</v>
      </c>
      <c r="I71" t="s">
        <v>459</v>
      </c>
      <c r="J71" t="s">
        <v>460</v>
      </c>
      <c r="K71" t="s">
        <v>461</v>
      </c>
      <c r="L71">
        <v>1354</v>
      </c>
      <c r="N71">
        <v>1010</v>
      </c>
      <c r="O71" t="s">
        <v>217</v>
      </c>
      <c r="P71" t="s">
        <v>217</v>
      </c>
      <c r="Q71">
        <v>1</v>
      </c>
      <c r="X71">
        <v>4.08</v>
      </c>
      <c r="Y71">
        <v>0.89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24</v>
      </c>
      <c r="AG71">
        <v>0</v>
      </c>
      <c r="AH71">
        <v>2</v>
      </c>
      <c r="AI71">
        <v>55985971</v>
      </c>
      <c r="AJ71">
        <v>55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ROW(Source!A43)</f>
        <v>43</v>
      </c>
      <c r="B72">
        <v>55985978</v>
      </c>
      <c r="C72">
        <v>55985966</v>
      </c>
      <c r="D72">
        <v>55487873</v>
      </c>
      <c r="E72">
        <v>1</v>
      </c>
      <c r="F72">
        <v>1</v>
      </c>
      <c r="G72">
        <v>1081</v>
      </c>
      <c r="H72">
        <v>3</v>
      </c>
      <c r="I72" t="s">
        <v>499</v>
      </c>
      <c r="J72" t="s">
        <v>500</v>
      </c>
      <c r="K72" t="s">
        <v>501</v>
      </c>
      <c r="L72">
        <v>1303</v>
      </c>
      <c r="N72">
        <v>1003</v>
      </c>
      <c r="O72" t="s">
        <v>337</v>
      </c>
      <c r="P72" t="s">
        <v>337</v>
      </c>
      <c r="Q72">
        <v>1000</v>
      </c>
      <c r="X72">
        <v>1.5299999999999999E-2</v>
      </c>
      <c r="Y72">
        <v>2897.31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24</v>
      </c>
      <c r="AG72">
        <v>0</v>
      </c>
      <c r="AH72">
        <v>2</v>
      </c>
      <c r="AI72">
        <v>55985972</v>
      </c>
      <c r="AJ72">
        <v>56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ROW(Source!A43)</f>
        <v>43</v>
      </c>
      <c r="B73">
        <v>55985979</v>
      </c>
      <c r="C73">
        <v>55985966</v>
      </c>
      <c r="D73">
        <v>55433774</v>
      </c>
      <c r="E73">
        <v>1081</v>
      </c>
      <c r="F73">
        <v>1</v>
      </c>
      <c r="G73">
        <v>1081</v>
      </c>
      <c r="H73">
        <v>3</v>
      </c>
      <c r="I73" t="s">
        <v>631</v>
      </c>
      <c r="J73" t="s">
        <v>3</v>
      </c>
      <c r="K73" t="s">
        <v>632</v>
      </c>
      <c r="L73">
        <v>1354</v>
      </c>
      <c r="N73">
        <v>1010</v>
      </c>
      <c r="O73" t="s">
        <v>217</v>
      </c>
      <c r="P73" t="s">
        <v>217</v>
      </c>
      <c r="Q73">
        <v>1</v>
      </c>
      <c r="X73">
        <v>100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24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ROW(Source!A43)</f>
        <v>43</v>
      </c>
      <c r="B74">
        <v>55985980</v>
      </c>
      <c r="C74">
        <v>55985966</v>
      </c>
      <c r="D74">
        <v>55434288</v>
      </c>
      <c r="E74">
        <v>1081</v>
      </c>
      <c r="F74">
        <v>1</v>
      </c>
      <c r="G74">
        <v>1081</v>
      </c>
      <c r="H74">
        <v>3</v>
      </c>
      <c r="I74" t="s">
        <v>633</v>
      </c>
      <c r="J74" t="s">
        <v>3</v>
      </c>
      <c r="K74" t="s">
        <v>634</v>
      </c>
      <c r="L74">
        <v>1358</v>
      </c>
      <c r="N74">
        <v>1010</v>
      </c>
      <c r="O74" t="s">
        <v>75</v>
      </c>
      <c r="P74" t="s">
        <v>75</v>
      </c>
      <c r="Q74">
        <v>10</v>
      </c>
      <c r="X74">
        <v>10.199999999999999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24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ROW(Source!A44)</f>
        <v>44</v>
      </c>
      <c r="B75">
        <v>55985983</v>
      </c>
      <c r="C75">
        <v>55985981</v>
      </c>
      <c r="D75">
        <v>55424304</v>
      </c>
      <c r="E75">
        <v>1081</v>
      </c>
      <c r="F75">
        <v>1</v>
      </c>
      <c r="G75">
        <v>1081</v>
      </c>
      <c r="H75">
        <v>1</v>
      </c>
      <c r="I75" t="s">
        <v>449</v>
      </c>
      <c r="J75" t="s">
        <v>3</v>
      </c>
      <c r="K75" t="s">
        <v>450</v>
      </c>
      <c r="L75">
        <v>1191</v>
      </c>
      <c r="N75">
        <v>1013</v>
      </c>
      <c r="O75" t="s">
        <v>451</v>
      </c>
      <c r="P75" t="s">
        <v>451</v>
      </c>
      <c r="Q75">
        <v>1</v>
      </c>
      <c r="X75">
        <v>1.68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25</v>
      </c>
      <c r="AG75">
        <v>0.6048</v>
      </c>
      <c r="AH75">
        <v>2</v>
      </c>
      <c r="AI75">
        <v>55985982</v>
      </c>
      <c r="AJ75">
        <v>57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ROW(Source!A45)</f>
        <v>45</v>
      </c>
      <c r="B76">
        <v>55985983</v>
      </c>
      <c r="C76">
        <v>55985981</v>
      </c>
      <c r="D76">
        <v>55424304</v>
      </c>
      <c r="E76">
        <v>1081</v>
      </c>
      <c r="F76">
        <v>1</v>
      </c>
      <c r="G76">
        <v>1081</v>
      </c>
      <c r="H76">
        <v>1</v>
      </c>
      <c r="I76" t="s">
        <v>449</v>
      </c>
      <c r="J76" t="s">
        <v>3</v>
      </c>
      <c r="K76" t="s">
        <v>450</v>
      </c>
      <c r="L76">
        <v>1191</v>
      </c>
      <c r="N76">
        <v>1013</v>
      </c>
      <c r="O76" t="s">
        <v>451</v>
      </c>
      <c r="P76" t="s">
        <v>451</v>
      </c>
      <c r="Q76">
        <v>1</v>
      </c>
      <c r="X76">
        <v>1.68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 t="s">
        <v>25</v>
      </c>
      <c r="AG76">
        <v>0.6048</v>
      </c>
      <c r="AH76">
        <v>2</v>
      </c>
      <c r="AI76">
        <v>55985982</v>
      </c>
      <c r="AJ76">
        <v>58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ROW(Source!A46)</f>
        <v>46</v>
      </c>
      <c r="B77">
        <v>55985989</v>
      </c>
      <c r="C77">
        <v>55985984</v>
      </c>
      <c r="D77">
        <v>55424304</v>
      </c>
      <c r="E77">
        <v>1081</v>
      </c>
      <c r="F77">
        <v>1</v>
      </c>
      <c r="G77">
        <v>1081</v>
      </c>
      <c r="H77">
        <v>1</v>
      </c>
      <c r="I77" t="s">
        <v>449</v>
      </c>
      <c r="J77" t="s">
        <v>3</v>
      </c>
      <c r="K77" t="s">
        <v>450</v>
      </c>
      <c r="L77">
        <v>1191</v>
      </c>
      <c r="N77">
        <v>1013</v>
      </c>
      <c r="O77" t="s">
        <v>451</v>
      </c>
      <c r="P77" t="s">
        <v>451</v>
      </c>
      <c r="Q77">
        <v>1</v>
      </c>
      <c r="X77">
        <v>0.6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25</v>
      </c>
      <c r="AG77">
        <v>0.216</v>
      </c>
      <c r="AH77">
        <v>2</v>
      </c>
      <c r="AI77">
        <v>55985985</v>
      </c>
      <c r="AJ77">
        <v>59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ROW(Source!A46)</f>
        <v>46</v>
      </c>
      <c r="B78">
        <v>55985990</v>
      </c>
      <c r="C78">
        <v>55985984</v>
      </c>
      <c r="D78">
        <v>55490263</v>
      </c>
      <c r="E78">
        <v>1</v>
      </c>
      <c r="F78">
        <v>1</v>
      </c>
      <c r="G78">
        <v>1081</v>
      </c>
      <c r="H78">
        <v>2</v>
      </c>
      <c r="I78" t="s">
        <v>502</v>
      </c>
      <c r="J78" t="s">
        <v>503</v>
      </c>
      <c r="K78" t="s">
        <v>504</v>
      </c>
      <c r="L78">
        <v>1368</v>
      </c>
      <c r="N78">
        <v>1011</v>
      </c>
      <c r="O78" t="s">
        <v>455</v>
      </c>
      <c r="P78" t="s">
        <v>455</v>
      </c>
      <c r="Q78">
        <v>1</v>
      </c>
      <c r="X78">
        <v>0.06</v>
      </c>
      <c r="Y78">
        <v>0</v>
      </c>
      <c r="Z78">
        <v>0.77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25</v>
      </c>
      <c r="AG78">
        <v>2.1599999999999998E-2</v>
      </c>
      <c r="AH78">
        <v>2</v>
      </c>
      <c r="AI78">
        <v>55985986</v>
      </c>
      <c r="AJ78">
        <v>60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ROW(Source!A46)</f>
        <v>46</v>
      </c>
      <c r="B79">
        <v>55985991</v>
      </c>
      <c r="C79">
        <v>55985984</v>
      </c>
      <c r="D79">
        <v>55413657</v>
      </c>
      <c r="E79">
        <v>1081</v>
      </c>
      <c r="F79">
        <v>1</v>
      </c>
      <c r="G79">
        <v>1081</v>
      </c>
      <c r="H79">
        <v>3</v>
      </c>
      <c r="I79" t="s">
        <v>635</v>
      </c>
      <c r="J79" t="s">
        <v>3</v>
      </c>
      <c r="K79" t="s">
        <v>636</v>
      </c>
      <c r="L79">
        <v>1339</v>
      </c>
      <c r="N79">
        <v>1007</v>
      </c>
      <c r="O79" t="s">
        <v>581</v>
      </c>
      <c r="P79" t="s">
        <v>581</v>
      </c>
      <c r="Q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24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ROW(Source!A46)</f>
        <v>46</v>
      </c>
      <c r="B80">
        <v>55985992</v>
      </c>
      <c r="C80">
        <v>55985984</v>
      </c>
      <c r="D80">
        <v>55461072</v>
      </c>
      <c r="E80">
        <v>1</v>
      </c>
      <c r="F80">
        <v>1</v>
      </c>
      <c r="G80">
        <v>1081</v>
      </c>
      <c r="H80">
        <v>3</v>
      </c>
      <c r="I80" t="s">
        <v>505</v>
      </c>
      <c r="J80" t="s">
        <v>506</v>
      </c>
      <c r="K80" t="s">
        <v>507</v>
      </c>
      <c r="L80">
        <v>1348</v>
      </c>
      <c r="N80">
        <v>1009</v>
      </c>
      <c r="O80" t="s">
        <v>287</v>
      </c>
      <c r="P80" t="s">
        <v>287</v>
      </c>
      <c r="Q80">
        <v>1000</v>
      </c>
      <c r="X80">
        <v>3.0000000000000001E-5</v>
      </c>
      <c r="Y80">
        <v>37835.07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24</v>
      </c>
      <c r="AG80">
        <v>0</v>
      </c>
      <c r="AH80">
        <v>2</v>
      </c>
      <c r="AI80">
        <v>55985987</v>
      </c>
      <c r="AJ80">
        <v>61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ROW(Source!A46)</f>
        <v>46</v>
      </c>
      <c r="B81">
        <v>55985993</v>
      </c>
      <c r="C81">
        <v>55985984</v>
      </c>
      <c r="D81">
        <v>55461761</v>
      </c>
      <c r="E81">
        <v>1</v>
      </c>
      <c r="F81">
        <v>1</v>
      </c>
      <c r="G81">
        <v>1081</v>
      </c>
      <c r="H81">
        <v>3</v>
      </c>
      <c r="I81" t="s">
        <v>508</v>
      </c>
      <c r="J81" t="s">
        <v>509</v>
      </c>
      <c r="K81" t="s">
        <v>510</v>
      </c>
      <c r="L81">
        <v>1348</v>
      </c>
      <c r="N81">
        <v>1009</v>
      </c>
      <c r="O81" t="s">
        <v>287</v>
      </c>
      <c r="P81" t="s">
        <v>287</v>
      </c>
      <c r="Q81">
        <v>1000</v>
      </c>
      <c r="X81">
        <v>1.0000000000000001E-5</v>
      </c>
      <c r="Y81">
        <v>17047.89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24</v>
      </c>
      <c r="AG81">
        <v>0</v>
      </c>
      <c r="AH81">
        <v>2</v>
      </c>
      <c r="AI81">
        <v>55985988</v>
      </c>
      <c r="AJ81">
        <v>62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ROW(Source!A46)</f>
        <v>46</v>
      </c>
      <c r="B82">
        <v>55985994</v>
      </c>
      <c r="C82">
        <v>55985984</v>
      </c>
      <c r="D82">
        <v>55441552</v>
      </c>
      <c r="E82">
        <v>1081</v>
      </c>
      <c r="F82">
        <v>1</v>
      </c>
      <c r="G82">
        <v>1081</v>
      </c>
      <c r="H82">
        <v>3</v>
      </c>
      <c r="I82" t="s">
        <v>637</v>
      </c>
      <c r="J82" t="s">
        <v>3</v>
      </c>
      <c r="K82" t="s">
        <v>638</v>
      </c>
      <c r="L82">
        <v>1354</v>
      </c>
      <c r="N82">
        <v>1010</v>
      </c>
      <c r="O82" t="s">
        <v>217</v>
      </c>
      <c r="P82" t="s">
        <v>217</v>
      </c>
      <c r="Q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24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ROW(Source!A47)</f>
        <v>47</v>
      </c>
      <c r="B83">
        <v>55985989</v>
      </c>
      <c r="C83">
        <v>55985984</v>
      </c>
      <c r="D83">
        <v>55424304</v>
      </c>
      <c r="E83">
        <v>1081</v>
      </c>
      <c r="F83">
        <v>1</v>
      </c>
      <c r="G83">
        <v>1081</v>
      </c>
      <c r="H83">
        <v>1</v>
      </c>
      <c r="I83" t="s">
        <v>449</v>
      </c>
      <c r="J83" t="s">
        <v>3</v>
      </c>
      <c r="K83" t="s">
        <v>450</v>
      </c>
      <c r="L83">
        <v>1191</v>
      </c>
      <c r="N83">
        <v>1013</v>
      </c>
      <c r="O83" t="s">
        <v>451</v>
      </c>
      <c r="P83" t="s">
        <v>451</v>
      </c>
      <c r="Q83">
        <v>1</v>
      </c>
      <c r="X83">
        <v>0.6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25</v>
      </c>
      <c r="AG83">
        <v>0.216</v>
      </c>
      <c r="AH83">
        <v>2</v>
      </c>
      <c r="AI83">
        <v>55985985</v>
      </c>
      <c r="AJ83">
        <v>63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ROW(Source!A47)</f>
        <v>47</v>
      </c>
      <c r="B84">
        <v>55985990</v>
      </c>
      <c r="C84">
        <v>55985984</v>
      </c>
      <c r="D84">
        <v>55490263</v>
      </c>
      <c r="E84">
        <v>1</v>
      </c>
      <c r="F84">
        <v>1</v>
      </c>
      <c r="G84">
        <v>1081</v>
      </c>
      <c r="H84">
        <v>2</v>
      </c>
      <c r="I84" t="s">
        <v>502</v>
      </c>
      <c r="J84" t="s">
        <v>503</v>
      </c>
      <c r="K84" t="s">
        <v>504</v>
      </c>
      <c r="L84">
        <v>1368</v>
      </c>
      <c r="N84">
        <v>1011</v>
      </c>
      <c r="O84" t="s">
        <v>455</v>
      </c>
      <c r="P84" t="s">
        <v>455</v>
      </c>
      <c r="Q84">
        <v>1</v>
      </c>
      <c r="X84">
        <v>0.06</v>
      </c>
      <c r="Y84">
        <v>0</v>
      </c>
      <c r="Z84">
        <v>0.77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25</v>
      </c>
      <c r="AG84">
        <v>2.1599999999999998E-2</v>
      </c>
      <c r="AH84">
        <v>2</v>
      </c>
      <c r="AI84">
        <v>55985986</v>
      </c>
      <c r="AJ84">
        <v>64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ROW(Source!A47)</f>
        <v>47</v>
      </c>
      <c r="B85">
        <v>55985991</v>
      </c>
      <c r="C85">
        <v>55985984</v>
      </c>
      <c r="D85">
        <v>55413657</v>
      </c>
      <c r="E85">
        <v>1081</v>
      </c>
      <c r="F85">
        <v>1</v>
      </c>
      <c r="G85">
        <v>1081</v>
      </c>
      <c r="H85">
        <v>3</v>
      </c>
      <c r="I85" t="s">
        <v>635</v>
      </c>
      <c r="J85" t="s">
        <v>3</v>
      </c>
      <c r="K85" t="s">
        <v>636</v>
      </c>
      <c r="L85">
        <v>1339</v>
      </c>
      <c r="N85">
        <v>1007</v>
      </c>
      <c r="O85" t="s">
        <v>581</v>
      </c>
      <c r="P85" t="s">
        <v>581</v>
      </c>
      <c r="Q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24</v>
      </c>
      <c r="AG85">
        <v>0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ROW(Source!A47)</f>
        <v>47</v>
      </c>
      <c r="B86">
        <v>55985992</v>
      </c>
      <c r="C86">
        <v>55985984</v>
      </c>
      <c r="D86">
        <v>55461072</v>
      </c>
      <c r="E86">
        <v>1</v>
      </c>
      <c r="F86">
        <v>1</v>
      </c>
      <c r="G86">
        <v>1081</v>
      </c>
      <c r="H86">
        <v>3</v>
      </c>
      <c r="I86" t="s">
        <v>505</v>
      </c>
      <c r="J86" t="s">
        <v>506</v>
      </c>
      <c r="K86" t="s">
        <v>507</v>
      </c>
      <c r="L86">
        <v>1348</v>
      </c>
      <c r="N86">
        <v>1009</v>
      </c>
      <c r="O86" t="s">
        <v>287</v>
      </c>
      <c r="P86" t="s">
        <v>287</v>
      </c>
      <c r="Q86">
        <v>1000</v>
      </c>
      <c r="X86">
        <v>3.0000000000000001E-5</v>
      </c>
      <c r="Y86">
        <v>37835.07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24</v>
      </c>
      <c r="AG86">
        <v>0</v>
      </c>
      <c r="AH86">
        <v>2</v>
      </c>
      <c r="AI86">
        <v>55985987</v>
      </c>
      <c r="AJ86">
        <v>65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ROW(Source!A47)</f>
        <v>47</v>
      </c>
      <c r="B87">
        <v>55985993</v>
      </c>
      <c r="C87">
        <v>55985984</v>
      </c>
      <c r="D87">
        <v>55461761</v>
      </c>
      <c r="E87">
        <v>1</v>
      </c>
      <c r="F87">
        <v>1</v>
      </c>
      <c r="G87">
        <v>1081</v>
      </c>
      <c r="H87">
        <v>3</v>
      </c>
      <c r="I87" t="s">
        <v>508</v>
      </c>
      <c r="J87" t="s">
        <v>509</v>
      </c>
      <c r="K87" t="s">
        <v>510</v>
      </c>
      <c r="L87">
        <v>1348</v>
      </c>
      <c r="N87">
        <v>1009</v>
      </c>
      <c r="O87" t="s">
        <v>287</v>
      </c>
      <c r="P87" t="s">
        <v>287</v>
      </c>
      <c r="Q87">
        <v>1000</v>
      </c>
      <c r="X87">
        <v>1.0000000000000001E-5</v>
      </c>
      <c r="Y87">
        <v>17047.89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24</v>
      </c>
      <c r="AG87">
        <v>0</v>
      </c>
      <c r="AH87">
        <v>2</v>
      </c>
      <c r="AI87">
        <v>55985988</v>
      </c>
      <c r="AJ87">
        <v>66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ROW(Source!A47)</f>
        <v>47</v>
      </c>
      <c r="B88">
        <v>55985994</v>
      </c>
      <c r="C88">
        <v>55985984</v>
      </c>
      <c r="D88">
        <v>55441552</v>
      </c>
      <c r="E88">
        <v>1081</v>
      </c>
      <c r="F88">
        <v>1</v>
      </c>
      <c r="G88">
        <v>1081</v>
      </c>
      <c r="H88">
        <v>3</v>
      </c>
      <c r="I88" t="s">
        <v>637</v>
      </c>
      <c r="J88" t="s">
        <v>3</v>
      </c>
      <c r="K88" t="s">
        <v>638</v>
      </c>
      <c r="L88">
        <v>1354</v>
      </c>
      <c r="N88">
        <v>1010</v>
      </c>
      <c r="O88" t="s">
        <v>217</v>
      </c>
      <c r="P88" t="s">
        <v>217</v>
      </c>
      <c r="Q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24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ROW(Source!A48)</f>
        <v>48</v>
      </c>
      <c r="B89">
        <v>55986003</v>
      </c>
      <c r="C89">
        <v>55985995</v>
      </c>
      <c r="D89">
        <v>55424304</v>
      </c>
      <c r="E89">
        <v>1081</v>
      </c>
      <c r="F89">
        <v>1</v>
      </c>
      <c r="G89">
        <v>1081</v>
      </c>
      <c r="H89">
        <v>1</v>
      </c>
      <c r="I89" t="s">
        <v>449</v>
      </c>
      <c r="J89" t="s">
        <v>3</v>
      </c>
      <c r="K89" t="s">
        <v>450</v>
      </c>
      <c r="L89">
        <v>1191</v>
      </c>
      <c r="N89">
        <v>1013</v>
      </c>
      <c r="O89" t="s">
        <v>451</v>
      </c>
      <c r="P89" t="s">
        <v>451</v>
      </c>
      <c r="Q89">
        <v>1</v>
      </c>
      <c r="X89">
        <v>18.38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79</v>
      </c>
      <c r="AG89">
        <v>15.218639999999997</v>
      </c>
      <c r="AH89">
        <v>2</v>
      </c>
      <c r="AI89">
        <v>55985996</v>
      </c>
      <c r="AJ89">
        <v>67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ROW(Source!A48)</f>
        <v>48</v>
      </c>
      <c r="B90">
        <v>55986004</v>
      </c>
      <c r="C90">
        <v>55985995</v>
      </c>
      <c r="D90">
        <v>55490209</v>
      </c>
      <c r="E90">
        <v>1</v>
      </c>
      <c r="F90">
        <v>1</v>
      </c>
      <c r="G90">
        <v>1081</v>
      </c>
      <c r="H90">
        <v>2</v>
      </c>
      <c r="I90" t="s">
        <v>489</v>
      </c>
      <c r="J90" t="s">
        <v>490</v>
      </c>
      <c r="K90" t="s">
        <v>491</v>
      </c>
      <c r="L90">
        <v>1368</v>
      </c>
      <c r="N90">
        <v>1011</v>
      </c>
      <c r="O90" t="s">
        <v>455</v>
      </c>
      <c r="P90" t="s">
        <v>455</v>
      </c>
      <c r="Q90">
        <v>1</v>
      </c>
      <c r="X90">
        <v>1.36</v>
      </c>
      <c r="Y90">
        <v>0</v>
      </c>
      <c r="Z90">
        <v>83.1</v>
      </c>
      <c r="AA90">
        <v>12.62</v>
      </c>
      <c r="AB90">
        <v>0</v>
      </c>
      <c r="AC90">
        <v>0</v>
      </c>
      <c r="AD90">
        <v>1</v>
      </c>
      <c r="AE90">
        <v>0</v>
      </c>
      <c r="AF90" t="s">
        <v>78</v>
      </c>
      <c r="AG90">
        <v>1.224</v>
      </c>
      <c r="AH90">
        <v>2</v>
      </c>
      <c r="AI90">
        <v>55985997</v>
      </c>
      <c r="AJ90">
        <v>68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ROW(Source!A48)</f>
        <v>48</v>
      </c>
      <c r="B91">
        <v>55986005</v>
      </c>
      <c r="C91">
        <v>55985995</v>
      </c>
      <c r="D91">
        <v>55490331</v>
      </c>
      <c r="E91">
        <v>1</v>
      </c>
      <c r="F91">
        <v>1</v>
      </c>
      <c r="G91">
        <v>1081</v>
      </c>
      <c r="H91">
        <v>2</v>
      </c>
      <c r="I91" t="s">
        <v>456</v>
      </c>
      <c r="J91" t="s">
        <v>457</v>
      </c>
      <c r="K91" t="s">
        <v>458</v>
      </c>
      <c r="L91">
        <v>1368</v>
      </c>
      <c r="N91">
        <v>1011</v>
      </c>
      <c r="O91" t="s">
        <v>455</v>
      </c>
      <c r="P91" t="s">
        <v>455</v>
      </c>
      <c r="Q91">
        <v>1</v>
      </c>
      <c r="X91">
        <v>0.54</v>
      </c>
      <c r="Y91">
        <v>0</v>
      </c>
      <c r="Z91">
        <v>1.1100000000000001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78</v>
      </c>
      <c r="AG91">
        <v>0.48599999999999999</v>
      </c>
      <c r="AH91">
        <v>2</v>
      </c>
      <c r="AI91">
        <v>55985998</v>
      </c>
      <c r="AJ91">
        <v>69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ROW(Source!A48)</f>
        <v>48</v>
      </c>
      <c r="B92">
        <v>55986006</v>
      </c>
      <c r="C92">
        <v>55985995</v>
      </c>
      <c r="D92">
        <v>55490296</v>
      </c>
      <c r="E92">
        <v>1</v>
      </c>
      <c r="F92">
        <v>1</v>
      </c>
      <c r="G92">
        <v>1081</v>
      </c>
      <c r="H92">
        <v>2</v>
      </c>
      <c r="I92" t="s">
        <v>477</v>
      </c>
      <c r="J92" t="s">
        <v>478</v>
      </c>
      <c r="K92" t="s">
        <v>479</v>
      </c>
      <c r="L92">
        <v>1368</v>
      </c>
      <c r="N92">
        <v>1011</v>
      </c>
      <c r="O92" t="s">
        <v>455</v>
      </c>
      <c r="P92" t="s">
        <v>455</v>
      </c>
      <c r="Q92">
        <v>1</v>
      </c>
      <c r="X92">
        <v>0.24</v>
      </c>
      <c r="Y92">
        <v>0</v>
      </c>
      <c r="Z92">
        <v>0.47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78</v>
      </c>
      <c r="AG92">
        <v>0.216</v>
      </c>
      <c r="AH92">
        <v>2</v>
      </c>
      <c r="AI92">
        <v>55985999</v>
      </c>
      <c r="AJ92">
        <v>70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ROW(Source!A48)</f>
        <v>48</v>
      </c>
      <c r="B93">
        <v>55986007</v>
      </c>
      <c r="C93">
        <v>55985995</v>
      </c>
      <c r="D93">
        <v>55461690</v>
      </c>
      <c r="E93">
        <v>1</v>
      </c>
      <c r="F93">
        <v>1</v>
      </c>
      <c r="G93">
        <v>1081</v>
      </c>
      <c r="H93">
        <v>3</v>
      </c>
      <c r="I93" t="s">
        <v>511</v>
      </c>
      <c r="J93" t="s">
        <v>512</v>
      </c>
      <c r="K93" t="s">
        <v>513</v>
      </c>
      <c r="L93">
        <v>1296</v>
      </c>
      <c r="N93">
        <v>1002</v>
      </c>
      <c r="O93" t="s">
        <v>514</v>
      </c>
      <c r="P93" t="s">
        <v>514</v>
      </c>
      <c r="Q93">
        <v>1</v>
      </c>
      <c r="X93">
        <v>2.52</v>
      </c>
      <c r="Y93">
        <v>125.73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77</v>
      </c>
      <c r="AG93">
        <v>1.512</v>
      </c>
      <c r="AH93">
        <v>2</v>
      </c>
      <c r="AI93">
        <v>55986000</v>
      </c>
      <c r="AJ93">
        <v>71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ROW(Source!A48)</f>
        <v>48</v>
      </c>
      <c r="B94">
        <v>55986008</v>
      </c>
      <c r="C94">
        <v>55985995</v>
      </c>
      <c r="D94">
        <v>55469262</v>
      </c>
      <c r="E94">
        <v>1</v>
      </c>
      <c r="F94">
        <v>1</v>
      </c>
      <c r="G94">
        <v>1081</v>
      </c>
      <c r="H94">
        <v>3</v>
      </c>
      <c r="I94" t="s">
        <v>474</v>
      </c>
      <c r="J94" t="s">
        <v>475</v>
      </c>
      <c r="K94" t="s">
        <v>476</v>
      </c>
      <c r="L94">
        <v>1354</v>
      </c>
      <c r="N94">
        <v>1010</v>
      </c>
      <c r="O94" t="s">
        <v>217</v>
      </c>
      <c r="P94" t="s">
        <v>217</v>
      </c>
      <c r="Q94">
        <v>1</v>
      </c>
      <c r="X94">
        <v>9.6000000000000002E-2</v>
      </c>
      <c r="Y94">
        <v>10.53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77</v>
      </c>
      <c r="AG94">
        <v>5.7599999999999998E-2</v>
      </c>
      <c r="AH94">
        <v>2</v>
      </c>
      <c r="AI94">
        <v>55986001</v>
      </c>
      <c r="AJ94">
        <v>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ROW(Source!A48)</f>
        <v>48</v>
      </c>
      <c r="B95">
        <v>55986009</v>
      </c>
      <c r="C95">
        <v>55985995</v>
      </c>
      <c r="D95">
        <v>55469472</v>
      </c>
      <c r="E95">
        <v>1</v>
      </c>
      <c r="F95">
        <v>1</v>
      </c>
      <c r="G95">
        <v>1081</v>
      </c>
      <c r="H95">
        <v>3</v>
      </c>
      <c r="I95" t="s">
        <v>515</v>
      </c>
      <c r="J95" t="s">
        <v>516</v>
      </c>
      <c r="K95" t="s">
        <v>517</v>
      </c>
      <c r="L95">
        <v>1355</v>
      </c>
      <c r="N95">
        <v>1010</v>
      </c>
      <c r="O95" t="s">
        <v>60</v>
      </c>
      <c r="P95" t="s">
        <v>60</v>
      </c>
      <c r="Q95">
        <v>100</v>
      </c>
      <c r="X95">
        <v>0.61</v>
      </c>
      <c r="Y95">
        <v>278.73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77</v>
      </c>
      <c r="AG95">
        <v>0.36599999999999999</v>
      </c>
      <c r="AH95">
        <v>2</v>
      </c>
      <c r="AI95">
        <v>55986002</v>
      </c>
      <c r="AJ95">
        <v>73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ROW(Source!A48)</f>
        <v>48</v>
      </c>
      <c r="B96">
        <v>55986010</v>
      </c>
      <c r="C96">
        <v>55985995</v>
      </c>
      <c r="D96">
        <v>55445665</v>
      </c>
      <c r="E96">
        <v>1081</v>
      </c>
      <c r="F96">
        <v>1</v>
      </c>
      <c r="G96">
        <v>1081</v>
      </c>
      <c r="H96">
        <v>3</v>
      </c>
      <c r="I96" t="s">
        <v>639</v>
      </c>
      <c r="J96" t="s">
        <v>3</v>
      </c>
      <c r="K96" t="s">
        <v>640</v>
      </c>
      <c r="L96">
        <v>1354</v>
      </c>
      <c r="N96">
        <v>1010</v>
      </c>
      <c r="O96" t="s">
        <v>217</v>
      </c>
      <c r="P96" t="s">
        <v>217</v>
      </c>
      <c r="Q96">
        <v>1</v>
      </c>
      <c r="X96">
        <v>10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77</v>
      </c>
      <c r="AG96">
        <v>6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ROW(Source!A49)</f>
        <v>49</v>
      </c>
      <c r="B97">
        <v>55986003</v>
      </c>
      <c r="C97">
        <v>55985995</v>
      </c>
      <c r="D97">
        <v>55424304</v>
      </c>
      <c r="E97">
        <v>1081</v>
      </c>
      <c r="F97">
        <v>1</v>
      </c>
      <c r="G97">
        <v>1081</v>
      </c>
      <c r="H97">
        <v>1</v>
      </c>
      <c r="I97" t="s">
        <v>449</v>
      </c>
      <c r="J97" t="s">
        <v>3</v>
      </c>
      <c r="K97" t="s">
        <v>450</v>
      </c>
      <c r="L97">
        <v>1191</v>
      </c>
      <c r="N97">
        <v>1013</v>
      </c>
      <c r="O97" t="s">
        <v>451</v>
      </c>
      <c r="P97" t="s">
        <v>451</v>
      </c>
      <c r="Q97">
        <v>1</v>
      </c>
      <c r="X97">
        <v>18.38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79</v>
      </c>
      <c r="AG97">
        <v>15.218639999999997</v>
      </c>
      <c r="AH97">
        <v>2</v>
      </c>
      <c r="AI97">
        <v>55985996</v>
      </c>
      <c r="AJ97">
        <v>74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ROW(Source!A49)</f>
        <v>49</v>
      </c>
      <c r="B98">
        <v>55986004</v>
      </c>
      <c r="C98">
        <v>55985995</v>
      </c>
      <c r="D98">
        <v>55490209</v>
      </c>
      <c r="E98">
        <v>1</v>
      </c>
      <c r="F98">
        <v>1</v>
      </c>
      <c r="G98">
        <v>1081</v>
      </c>
      <c r="H98">
        <v>2</v>
      </c>
      <c r="I98" t="s">
        <v>489</v>
      </c>
      <c r="J98" t="s">
        <v>490</v>
      </c>
      <c r="K98" t="s">
        <v>491</v>
      </c>
      <c r="L98">
        <v>1368</v>
      </c>
      <c r="N98">
        <v>1011</v>
      </c>
      <c r="O98" t="s">
        <v>455</v>
      </c>
      <c r="P98" t="s">
        <v>455</v>
      </c>
      <c r="Q98">
        <v>1</v>
      </c>
      <c r="X98">
        <v>1.36</v>
      </c>
      <c r="Y98">
        <v>0</v>
      </c>
      <c r="Z98">
        <v>83.1</v>
      </c>
      <c r="AA98">
        <v>12.62</v>
      </c>
      <c r="AB98">
        <v>0</v>
      </c>
      <c r="AC98">
        <v>0</v>
      </c>
      <c r="AD98">
        <v>1</v>
      </c>
      <c r="AE98">
        <v>0</v>
      </c>
      <c r="AF98" t="s">
        <v>78</v>
      </c>
      <c r="AG98">
        <v>1.224</v>
      </c>
      <c r="AH98">
        <v>2</v>
      </c>
      <c r="AI98">
        <v>55985997</v>
      </c>
      <c r="AJ98">
        <v>75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ROW(Source!A49)</f>
        <v>49</v>
      </c>
      <c r="B99">
        <v>55986005</v>
      </c>
      <c r="C99">
        <v>55985995</v>
      </c>
      <c r="D99">
        <v>55490331</v>
      </c>
      <c r="E99">
        <v>1</v>
      </c>
      <c r="F99">
        <v>1</v>
      </c>
      <c r="G99">
        <v>1081</v>
      </c>
      <c r="H99">
        <v>2</v>
      </c>
      <c r="I99" t="s">
        <v>456</v>
      </c>
      <c r="J99" t="s">
        <v>457</v>
      </c>
      <c r="K99" t="s">
        <v>458</v>
      </c>
      <c r="L99">
        <v>1368</v>
      </c>
      <c r="N99">
        <v>1011</v>
      </c>
      <c r="O99" t="s">
        <v>455</v>
      </c>
      <c r="P99" t="s">
        <v>455</v>
      </c>
      <c r="Q99">
        <v>1</v>
      </c>
      <c r="X99">
        <v>0.54</v>
      </c>
      <c r="Y99">
        <v>0</v>
      </c>
      <c r="Z99">
        <v>1.1100000000000001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78</v>
      </c>
      <c r="AG99">
        <v>0.48599999999999999</v>
      </c>
      <c r="AH99">
        <v>2</v>
      </c>
      <c r="AI99">
        <v>55985998</v>
      </c>
      <c r="AJ99">
        <v>76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ROW(Source!A49)</f>
        <v>49</v>
      </c>
      <c r="B100">
        <v>55986006</v>
      </c>
      <c r="C100">
        <v>55985995</v>
      </c>
      <c r="D100">
        <v>55490296</v>
      </c>
      <c r="E100">
        <v>1</v>
      </c>
      <c r="F100">
        <v>1</v>
      </c>
      <c r="G100">
        <v>1081</v>
      </c>
      <c r="H100">
        <v>2</v>
      </c>
      <c r="I100" t="s">
        <v>477</v>
      </c>
      <c r="J100" t="s">
        <v>478</v>
      </c>
      <c r="K100" t="s">
        <v>479</v>
      </c>
      <c r="L100">
        <v>1368</v>
      </c>
      <c r="N100">
        <v>1011</v>
      </c>
      <c r="O100" t="s">
        <v>455</v>
      </c>
      <c r="P100" t="s">
        <v>455</v>
      </c>
      <c r="Q100">
        <v>1</v>
      </c>
      <c r="X100">
        <v>0.24</v>
      </c>
      <c r="Y100">
        <v>0</v>
      </c>
      <c r="Z100">
        <v>0.47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78</v>
      </c>
      <c r="AG100">
        <v>0.216</v>
      </c>
      <c r="AH100">
        <v>2</v>
      </c>
      <c r="AI100">
        <v>55985999</v>
      </c>
      <c r="AJ100">
        <v>77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ROW(Source!A49)</f>
        <v>49</v>
      </c>
      <c r="B101">
        <v>55986007</v>
      </c>
      <c r="C101">
        <v>55985995</v>
      </c>
      <c r="D101">
        <v>55461690</v>
      </c>
      <c r="E101">
        <v>1</v>
      </c>
      <c r="F101">
        <v>1</v>
      </c>
      <c r="G101">
        <v>1081</v>
      </c>
      <c r="H101">
        <v>3</v>
      </c>
      <c r="I101" t="s">
        <v>511</v>
      </c>
      <c r="J101" t="s">
        <v>512</v>
      </c>
      <c r="K101" t="s">
        <v>513</v>
      </c>
      <c r="L101">
        <v>1296</v>
      </c>
      <c r="N101">
        <v>1002</v>
      </c>
      <c r="O101" t="s">
        <v>514</v>
      </c>
      <c r="P101" t="s">
        <v>514</v>
      </c>
      <c r="Q101">
        <v>1</v>
      </c>
      <c r="X101">
        <v>2.52</v>
      </c>
      <c r="Y101">
        <v>125.73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77</v>
      </c>
      <c r="AG101">
        <v>1.512</v>
      </c>
      <c r="AH101">
        <v>2</v>
      </c>
      <c r="AI101">
        <v>55986000</v>
      </c>
      <c r="AJ101">
        <v>78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ROW(Source!A49)</f>
        <v>49</v>
      </c>
      <c r="B102">
        <v>55986008</v>
      </c>
      <c r="C102">
        <v>55985995</v>
      </c>
      <c r="D102">
        <v>55469262</v>
      </c>
      <c r="E102">
        <v>1</v>
      </c>
      <c r="F102">
        <v>1</v>
      </c>
      <c r="G102">
        <v>1081</v>
      </c>
      <c r="H102">
        <v>3</v>
      </c>
      <c r="I102" t="s">
        <v>474</v>
      </c>
      <c r="J102" t="s">
        <v>475</v>
      </c>
      <c r="K102" t="s">
        <v>476</v>
      </c>
      <c r="L102">
        <v>1354</v>
      </c>
      <c r="N102">
        <v>1010</v>
      </c>
      <c r="O102" t="s">
        <v>217</v>
      </c>
      <c r="P102" t="s">
        <v>217</v>
      </c>
      <c r="Q102">
        <v>1</v>
      </c>
      <c r="X102">
        <v>9.6000000000000002E-2</v>
      </c>
      <c r="Y102">
        <v>10.53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77</v>
      </c>
      <c r="AG102">
        <v>5.7599999999999998E-2</v>
      </c>
      <c r="AH102">
        <v>2</v>
      </c>
      <c r="AI102">
        <v>55986001</v>
      </c>
      <c r="AJ102">
        <v>79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ROW(Source!A49)</f>
        <v>49</v>
      </c>
      <c r="B103">
        <v>55986009</v>
      </c>
      <c r="C103">
        <v>55985995</v>
      </c>
      <c r="D103">
        <v>55469472</v>
      </c>
      <c r="E103">
        <v>1</v>
      </c>
      <c r="F103">
        <v>1</v>
      </c>
      <c r="G103">
        <v>1081</v>
      </c>
      <c r="H103">
        <v>3</v>
      </c>
      <c r="I103" t="s">
        <v>515</v>
      </c>
      <c r="J103" t="s">
        <v>516</v>
      </c>
      <c r="K103" t="s">
        <v>517</v>
      </c>
      <c r="L103">
        <v>1355</v>
      </c>
      <c r="N103">
        <v>1010</v>
      </c>
      <c r="O103" t="s">
        <v>60</v>
      </c>
      <c r="P103" t="s">
        <v>60</v>
      </c>
      <c r="Q103">
        <v>100</v>
      </c>
      <c r="X103">
        <v>0.61</v>
      </c>
      <c r="Y103">
        <v>278.73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77</v>
      </c>
      <c r="AG103">
        <v>0.36599999999999999</v>
      </c>
      <c r="AH103">
        <v>2</v>
      </c>
      <c r="AI103">
        <v>55986002</v>
      </c>
      <c r="AJ103">
        <v>80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ROW(Source!A49)</f>
        <v>49</v>
      </c>
      <c r="B104">
        <v>55986010</v>
      </c>
      <c r="C104">
        <v>55985995</v>
      </c>
      <c r="D104">
        <v>55445665</v>
      </c>
      <c r="E104">
        <v>1081</v>
      </c>
      <c r="F104">
        <v>1</v>
      </c>
      <c r="G104">
        <v>1081</v>
      </c>
      <c r="H104">
        <v>3</v>
      </c>
      <c r="I104" t="s">
        <v>639</v>
      </c>
      <c r="J104" t="s">
        <v>3</v>
      </c>
      <c r="K104" t="s">
        <v>640</v>
      </c>
      <c r="L104">
        <v>1354</v>
      </c>
      <c r="N104">
        <v>1010</v>
      </c>
      <c r="O104" t="s">
        <v>217</v>
      </c>
      <c r="P104" t="s">
        <v>217</v>
      </c>
      <c r="Q104">
        <v>1</v>
      </c>
      <c r="X104">
        <v>10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77</v>
      </c>
      <c r="AG104">
        <v>6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ROW(Source!A50)</f>
        <v>50</v>
      </c>
      <c r="B105">
        <v>55986013</v>
      </c>
      <c r="C105">
        <v>55986011</v>
      </c>
      <c r="D105">
        <v>55424304</v>
      </c>
      <c r="E105">
        <v>1081</v>
      </c>
      <c r="F105">
        <v>1</v>
      </c>
      <c r="G105">
        <v>1081</v>
      </c>
      <c r="H105">
        <v>1</v>
      </c>
      <c r="I105" t="s">
        <v>449</v>
      </c>
      <c r="J105" t="s">
        <v>3</v>
      </c>
      <c r="K105" t="s">
        <v>450</v>
      </c>
      <c r="L105">
        <v>1191</v>
      </c>
      <c r="N105">
        <v>1013</v>
      </c>
      <c r="O105" t="s">
        <v>451</v>
      </c>
      <c r="P105" t="s">
        <v>451</v>
      </c>
      <c r="Q105">
        <v>1</v>
      </c>
      <c r="X105">
        <v>7.0000000000000007E-2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25</v>
      </c>
      <c r="AG105">
        <v>2.52E-2</v>
      </c>
      <c r="AH105">
        <v>2</v>
      </c>
      <c r="AI105">
        <v>55986012</v>
      </c>
      <c r="AJ105">
        <v>81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ROW(Source!A50)</f>
        <v>50</v>
      </c>
      <c r="B106">
        <v>55986014</v>
      </c>
      <c r="C106">
        <v>55986011</v>
      </c>
      <c r="D106">
        <v>55448129</v>
      </c>
      <c r="E106">
        <v>1081</v>
      </c>
      <c r="F106">
        <v>1</v>
      </c>
      <c r="G106">
        <v>1081</v>
      </c>
      <c r="H106">
        <v>3</v>
      </c>
      <c r="I106" t="s">
        <v>641</v>
      </c>
      <c r="J106" t="s">
        <v>3</v>
      </c>
      <c r="K106" t="s">
        <v>642</v>
      </c>
      <c r="L106">
        <v>1354</v>
      </c>
      <c r="N106">
        <v>1010</v>
      </c>
      <c r="O106" t="s">
        <v>217</v>
      </c>
      <c r="P106" t="s">
        <v>217</v>
      </c>
      <c r="Q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24</v>
      </c>
      <c r="AG106">
        <v>0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ROW(Source!A51)</f>
        <v>51</v>
      </c>
      <c r="B107">
        <v>55986013</v>
      </c>
      <c r="C107">
        <v>55986011</v>
      </c>
      <c r="D107">
        <v>55424304</v>
      </c>
      <c r="E107">
        <v>1081</v>
      </c>
      <c r="F107">
        <v>1</v>
      </c>
      <c r="G107">
        <v>1081</v>
      </c>
      <c r="H107">
        <v>1</v>
      </c>
      <c r="I107" t="s">
        <v>449</v>
      </c>
      <c r="J107" t="s">
        <v>3</v>
      </c>
      <c r="K107" t="s">
        <v>450</v>
      </c>
      <c r="L107">
        <v>1191</v>
      </c>
      <c r="N107">
        <v>1013</v>
      </c>
      <c r="O107" t="s">
        <v>451</v>
      </c>
      <c r="P107" t="s">
        <v>451</v>
      </c>
      <c r="Q107">
        <v>1</v>
      </c>
      <c r="X107">
        <v>7.0000000000000007E-2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25</v>
      </c>
      <c r="AG107">
        <v>2.52E-2</v>
      </c>
      <c r="AH107">
        <v>2</v>
      </c>
      <c r="AI107">
        <v>55986012</v>
      </c>
      <c r="AJ107">
        <v>82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ROW(Source!A51)</f>
        <v>51</v>
      </c>
      <c r="B108">
        <v>55986014</v>
      </c>
      <c r="C108">
        <v>55986011</v>
      </c>
      <c r="D108">
        <v>55448129</v>
      </c>
      <c r="E108">
        <v>1081</v>
      </c>
      <c r="F108">
        <v>1</v>
      </c>
      <c r="G108">
        <v>1081</v>
      </c>
      <c r="H108">
        <v>3</v>
      </c>
      <c r="I108" t="s">
        <v>641</v>
      </c>
      <c r="J108" t="s">
        <v>3</v>
      </c>
      <c r="K108" t="s">
        <v>642</v>
      </c>
      <c r="L108">
        <v>1354</v>
      </c>
      <c r="N108">
        <v>1010</v>
      </c>
      <c r="O108" t="s">
        <v>217</v>
      </c>
      <c r="P108" t="s">
        <v>217</v>
      </c>
      <c r="Q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24</v>
      </c>
      <c r="AG108">
        <v>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ROW(Source!A52)</f>
        <v>52</v>
      </c>
      <c r="B109">
        <v>55986022</v>
      </c>
      <c r="C109">
        <v>55986015</v>
      </c>
      <c r="D109">
        <v>55424304</v>
      </c>
      <c r="E109">
        <v>1081</v>
      </c>
      <c r="F109">
        <v>1</v>
      </c>
      <c r="G109">
        <v>1081</v>
      </c>
      <c r="H109">
        <v>1</v>
      </c>
      <c r="I109" t="s">
        <v>449</v>
      </c>
      <c r="J109" t="s">
        <v>3</v>
      </c>
      <c r="K109" t="s">
        <v>450</v>
      </c>
      <c r="L109">
        <v>1191</v>
      </c>
      <c r="N109">
        <v>1013</v>
      </c>
      <c r="O109" t="s">
        <v>451</v>
      </c>
      <c r="P109" t="s">
        <v>451</v>
      </c>
      <c r="Q109">
        <v>1</v>
      </c>
      <c r="X109">
        <v>11.57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79</v>
      </c>
      <c r="AG109">
        <v>9.579959999999998</v>
      </c>
      <c r="AH109">
        <v>2</v>
      </c>
      <c r="AI109">
        <v>55986016</v>
      </c>
      <c r="AJ109">
        <v>83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ROW(Source!A52)</f>
        <v>52</v>
      </c>
      <c r="B110">
        <v>55986023</v>
      </c>
      <c r="C110">
        <v>55986015</v>
      </c>
      <c r="D110">
        <v>55490209</v>
      </c>
      <c r="E110">
        <v>1</v>
      </c>
      <c r="F110">
        <v>1</v>
      </c>
      <c r="G110">
        <v>1081</v>
      </c>
      <c r="H110">
        <v>2</v>
      </c>
      <c r="I110" t="s">
        <v>489</v>
      </c>
      <c r="J110" t="s">
        <v>490</v>
      </c>
      <c r="K110" t="s">
        <v>491</v>
      </c>
      <c r="L110">
        <v>1368</v>
      </c>
      <c r="N110">
        <v>1011</v>
      </c>
      <c r="O110" t="s">
        <v>455</v>
      </c>
      <c r="P110" t="s">
        <v>455</v>
      </c>
      <c r="Q110">
        <v>1</v>
      </c>
      <c r="X110">
        <v>0.18</v>
      </c>
      <c r="Y110">
        <v>0</v>
      </c>
      <c r="Z110">
        <v>83.1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78</v>
      </c>
      <c r="AG110">
        <v>0.16199999999999998</v>
      </c>
      <c r="AH110">
        <v>2</v>
      </c>
      <c r="AI110">
        <v>55986017</v>
      </c>
      <c r="AJ110">
        <v>84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ROW(Source!A52)</f>
        <v>52</v>
      </c>
      <c r="B111">
        <v>55986024</v>
      </c>
      <c r="C111">
        <v>55986015</v>
      </c>
      <c r="D111">
        <v>55490330</v>
      </c>
      <c r="E111">
        <v>1</v>
      </c>
      <c r="F111">
        <v>1</v>
      </c>
      <c r="G111">
        <v>1081</v>
      </c>
      <c r="H111">
        <v>2</v>
      </c>
      <c r="I111" t="s">
        <v>452</v>
      </c>
      <c r="J111" t="s">
        <v>453</v>
      </c>
      <c r="K111" t="s">
        <v>454</v>
      </c>
      <c r="L111">
        <v>1368</v>
      </c>
      <c r="N111">
        <v>1011</v>
      </c>
      <c r="O111" t="s">
        <v>455</v>
      </c>
      <c r="P111" t="s">
        <v>455</v>
      </c>
      <c r="Q111">
        <v>1</v>
      </c>
      <c r="X111">
        <v>1.38</v>
      </c>
      <c r="Y111">
        <v>0</v>
      </c>
      <c r="Z111">
        <v>0.8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78</v>
      </c>
      <c r="AG111">
        <v>1.2419999999999998</v>
      </c>
      <c r="AH111">
        <v>2</v>
      </c>
      <c r="AI111">
        <v>55986018</v>
      </c>
      <c r="AJ111">
        <v>85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ROW(Source!A52)</f>
        <v>52</v>
      </c>
      <c r="B112">
        <v>55986025</v>
      </c>
      <c r="C112">
        <v>55986015</v>
      </c>
      <c r="D112">
        <v>55490296</v>
      </c>
      <c r="E112">
        <v>1</v>
      </c>
      <c r="F112">
        <v>1</v>
      </c>
      <c r="G112">
        <v>1081</v>
      </c>
      <c r="H112">
        <v>2</v>
      </c>
      <c r="I112" t="s">
        <v>477</v>
      </c>
      <c r="J112" t="s">
        <v>478</v>
      </c>
      <c r="K112" t="s">
        <v>479</v>
      </c>
      <c r="L112">
        <v>1368</v>
      </c>
      <c r="N112">
        <v>1011</v>
      </c>
      <c r="O112" t="s">
        <v>455</v>
      </c>
      <c r="P112" t="s">
        <v>455</v>
      </c>
      <c r="Q112">
        <v>1</v>
      </c>
      <c r="X112">
        <v>5.6</v>
      </c>
      <c r="Y112">
        <v>0</v>
      </c>
      <c r="Z112">
        <v>0.47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78</v>
      </c>
      <c r="AG112">
        <v>5.04</v>
      </c>
      <c r="AH112">
        <v>2</v>
      </c>
      <c r="AI112">
        <v>55986019</v>
      </c>
      <c r="AJ112">
        <v>86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ROW(Source!A52)</f>
        <v>52</v>
      </c>
      <c r="B113">
        <v>55986026</v>
      </c>
      <c r="C113">
        <v>55986015</v>
      </c>
      <c r="D113">
        <v>55461073</v>
      </c>
      <c r="E113">
        <v>1</v>
      </c>
      <c r="F113">
        <v>1</v>
      </c>
      <c r="G113">
        <v>1081</v>
      </c>
      <c r="H113">
        <v>3</v>
      </c>
      <c r="I113" t="s">
        <v>518</v>
      </c>
      <c r="J113" t="s">
        <v>519</v>
      </c>
      <c r="K113" t="s">
        <v>520</v>
      </c>
      <c r="L113">
        <v>1346</v>
      </c>
      <c r="N113">
        <v>1009</v>
      </c>
      <c r="O113" t="s">
        <v>311</v>
      </c>
      <c r="P113" t="s">
        <v>311</v>
      </c>
      <c r="Q113">
        <v>1</v>
      </c>
      <c r="X113">
        <v>2.72</v>
      </c>
      <c r="Y113">
        <v>20.62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77</v>
      </c>
      <c r="AG113">
        <v>1.6320000000000001</v>
      </c>
      <c r="AH113">
        <v>2</v>
      </c>
      <c r="AI113">
        <v>55986020</v>
      </c>
      <c r="AJ113">
        <v>87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ROW(Source!A52)</f>
        <v>52</v>
      </c>
      <c r="B114">
        <v>55986027</v>
      </c>
      <c r="C114">
        <v>55986015</v>
      </c>
      <c r="D114">
        <v>55469253</v>
      </c>
      <c r="E114">
        <v>1</v>
      </c>
      <c r="F114">
        <v>1</v>
      </c>
      <c r="G114">
        <v>1081</v>
      </c>
      <c r="H114">
        <v>3</v>
      </c>
      <c r="I114" t="s">
        <v>483</v>
      </c>
      <c r="J114" t="s">
        <v>484</v>
      </c>
      <c r="K114" t="s">
        <v>485</v>
      </c>
      <c r="L114">
        <v>1354</v>
      </c>
      <c r="N114">
        <v>1010</v>
      </c>
      <c r="O114" t="s">
        <v>217</v>
      </c>
      <c r="P114" t="s">
        <v>217</v>
      </c>
      <c r="Q114">
        <v>1</v>
      </c>
      <c r="X114">
        <v>5</v>
      </c>
      <c r="Y114">
        <v>15.25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77</v>
      </c>
      <c r="AG114">
        <v>3</v>
      </c>
      <c r="AH114">
        <v>2</v>
      </c>
      <c r="AI114">
        <v>55986021</v>
      </c>
      <c r="AJ114">
        <v>88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ROW(Source!A52)</f>
        <v>52</v>
      </c>
      <c r="B115">
        <v>55986028</v>
      </c>
      <c r="C115">
        <v>55986015</v>
      </c>
      <c r="D115">
        <v>55444671</v>
      </c>
      <c r="E115">
        <v>1081</v>
      </c>
      <c r="F115">
        <v>1</v>
      </c>
      <c r="G115">
        <v>1081</v>
      </c>
      <c r="H115">
        <v>3</v>
      </c>
      <c r="I115" t="s">
        <v>643</v>
      </c>
      <c r="J115" t="s">
        <v>3</v>
      </c>
      <c r="K115" t="s">
        <v>644</v>
      </c>
      <c r="L115">
        <v>1354</v>
      </c>
      <c r="N115">
        <v>1010</v>
      </c>
      <c r="O115" t="s">
        <v>217</v>
      </c>
      <c r="P115" t="s">
        <v>217</v>
      </c>
      <c r="Q115">
        <v>1</v>
      </c>
      <c r="X115">
        <v>100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77</v>
      </c>
      <c r="AG115">
        <v>60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ROW(Source!A53)</f>
        <v>53</v>
      </c>
      <c r="B116">
        <v>55986022</v>
      </c>
      <c r="C116">
        <v>55986015</v>
      </c>
      <c r="D116">
        <v>55424304</v>
      </c>
      <c r="E116">
        <v>1081</v>
      </c>
      <c r="F116">
        <v>1</v>
      </c>
      <c r="G116">
        <v>1081</v>
      </c>
      <c r="H116">
        <v>1</v>
      </c>
      <c r="I116" t="s">
        <v>449</v>
      </c>
      <c r="J116" t="s">
        <v>3</v>
      </c>
      <c r="K116" t="s">
        <v>450</v>
      </c>
      <c r="L116">
        <v>1191</v>
      </c>
      <c r="N116">
        <v>1013</v>
      </c>
      <c r="O116" t="s">
        <v>451</v>
      </c>
      <c r="P116" t="s">
        <v>451</v>
      </c>
      <c r="Q116">
        <v>1</v>
      </c>
      <c r="X116">
        <v>11.57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 t="s">
        <v>79</v>
      </c>
      <c r="AG116">
        <v>9.579959999999998</v>
      </c>
      <c r="AH116">
        <v>2</v>
      </c>
      <c r="AI116">
        <v>55986016</v>
      </c>
      <c r="AJ116">
        <v>89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ROW(Source!A53)</f>
        <v>53</v>
      </c>
      <c r="B117">
        <v>55986023</v>
      </c>
      <c r="C117">
        <v>55986015</v>
      </c>
      <c r="D117">
        <v>55490209</v>
      </c>
      <c r="E117">
        <v>1</v>
      </c>
      <c r="F117">
        <v>1</v>
      </c>
      <c r="G117">
        <v>1081</v>
      </c>
      <c r="H117">
        <v>2</v>
      </c>
      <c r="I117" t="s">
        <v>489</v>
      </c>
      <c r="J117" t="s">
        <v>490</v>
      </c>
      <c r="K117" t="s">
        <v>491</v>
      </c>
      <c r="L117">
        <v>1368</v>
      </c>
      <c r="N117">
        <v>1011</v>
      </c>
      <c r="O117" t="s">
        <v>455</v>
      </c>
      <c r="P117" t="s">
        <v>455</v>
      </c>
      <c r="Q117">
        <v>1</v>
      </c>
      <c r="X117">
        <v>0.18</v>
      </c>
      <c r="Y117">
        <v>0</v>
      </c>
      <c r="Z117">
        <v>83.1</v>
      </c>
      <c r="AA117">
        <v>12.62</v>
      </c>
      <c r="AB117">
        <v>0</v>
      </c>
      <c r="AC117">
        <v>0</v>
      </c>
      <c r="AD117">
        <v>1</v>
      </c>
      <c r="AE117">
        <v>0</v>
      </c>
      <c r="AF117" t="s">
        <v>78</v>
      </c>
      <c r="AG117">
        <v>0.16199999999999998</v>
      </c>
      <c r="AH117">
        <v>2</v>
      </c>
      <c r="AI117">
        <v>55986017</v>
      </c>
      <c r="AJ117">
        <v>90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ROW(Source!A53)</f>
        <v>53</v>
      </c>
      <c r="B118">
        <v>55986024</v>
      </c>
      <c r="C118">
        <v>55986015</v>
      </c>
      <c r="D118">
        <v>55490330</v>
      </c>
      <c r="E118">
        <v>1</v>
      </c>
      <c r="F118">
        <v>1</v>
      </c>
      <c r="G118">
        <v>1081</v>
      </c>
      <c r="H118">
        <v>2</v>
      </c>
      <c r="I118" t="s">
        <v>452</v>
      </c>
      <c r="J118" t="s">
        <v>453</v>
      </c>
      <c r="K118" t="s">
        <v>454</v>
      </c>
      <c r="L118">
        <v>1368</v>
      </c>
      <c r="N118">
        <v>1011</v>
      </c>
      <c r="O118" t="s">
        <v>455</v>
      </c>
      <c r="P118" t="s">
        <v>455</v>
      </c>
      <c r="Q118">
        <v>1</v>
      </c>
      <c r="X118">
        <v>1.38</v>
      </c>
      <c r="Y118">
        <v>0</v>
      </c>
      <c r="Z118">
        <v>0.8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78</v>
      </c>
      <c r="AG118">
        <v>1.2419999999999998</v>
      </c>
      <c r="AH118">
        <v>2</v>
      </c>
      <c r="AI118">
        <v>55986018</v>
      </c>
      <c r="AJ118">
        <v>91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ROW(Source!A53)</f>
        <v>53</v>
      </c>
      <c r="B119">
        <v>55986025</v>
      </c>
      <c r="C119">
        <v>55986015</v>
      </c>
      <c r="D119">
        <v>55490296</v>
      </c>
      <c r="E119">
        <v>1</v>
      </c>
      <c r="F119">
        <v>1</v>
      </c>
      <c r="G119">
        <v>1081</v>
      </c>
      <c r="H119">
        <v>2</v>
      </c>
      <c r="I119" t="s">
        <v>477</v>
      </c>
      <c r="J119" t="s">
        <v>478</v>
      </c>
      <c r="K119" t="s">
        <v>479</v>
      </c>
      <c r="L119">
        <v>1368</v>
      </c>
      <c r="N119">
        <v>1011</v>
      </c>
      <c r="O119" t="s">
        <v>455</v>
      </c>
      <c r="P119" t="s">
        <v>455</v>
      </c>
      <c r="Q119">
        <v>1</v>
      </c>
      <c r="X119">
        <v>5.6</v>
      </c>
      <c r="Y119">
        <v>0</v>
      </c>
      <c r="Z119">
        <v>0.47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78</v>
      </c>
      <c r="AG119">
        <v>5.04</v>
      </c>
      <c r="AH119">
        <v>2</v>
      </c>
      <c r="AI119">
        <v>55986019</v>
      </c>
      <c r="AJ119">
        <v>92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ROW(Source!A53)</f>
        <v>53</v>
      </c>
      <c r="B120">
        <v>55986026</v>
      </c>
      <c r="C120">
        <v>55986015</v>
      </c>
      <c r="D120">
        <v>55461073</v>
      </c>
      <c r="E120">
        <v>1</v>
      </c>
      <c r="F120">
        <v>1</v>
      </c>
      <c r="G120">
        <v>1081</v>
      </c>
      <c r="H120">
        <v>3</v>
      </c>
      <c r="I120" t="s">
        <v>518</v>
      </c>
      <c r="J120" t="s">
        <v>519</v>
      </c>
      <c r="K120" t="s">
        <v>520</v>
      </c>
      <c r="L120">
        <v>1346</v>
      </c>
      <c r="N120">
        <v>1009</v>
      </c>
      <c r="O120" t="s">
        <v>311</v>
      </c>
      <c r="P120" t="s">
        <v>311</v>
      </c>
      <c r="Q120">
        <v>1</v>
      </c>
      <c r="X120">
        <v>2.72</v>
      </c>
      <c r="Y120">
        <v>20.62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77</v>
      </c>
      <c r="AG120">
        <v>1.6320000000000001</v>
      </c>
      <c r="AH120">
        <v>2</v>
      </c>
      <c r="AI120">
        <v>55986020</v>
      </c>
      <c r="AJ120">
        <v>93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ROW(Source!A53)</f>
        <v>53</v>
      </c>
      <c r="B121">
        <v>55986027</v>
      </c>
      <c r="C121">
        <v>55986015</v>
      </c>
      <c r="D121">
        <v>55469253</v>
      </c>
      <c r="E121">
        <v>1</v>
      </c>
      <c r="F121">
        <v>1</v>
      </c>
      <c r="G121">
        <v>1081</v>
      </c>
      <c r="H121">
        <v>3</v>
      </c>
      <c r="I121" t="s">
        <v>483</v>
      </c>
      <c r="J121" t="s">
        <v>484</v>
      </c>
      <c r="K121" t="s">
        <v>485</v>
      </c>
      <c r="L121">
        <v>1354</v>
      </c>
      <c r="N121">
        <v>1010</v>
      </c>
      <c r="O121" t="s">
        <v>217</v>
      </c>
      <c r="P121" t="s">
        <v>217</v>
      </c>
      <c r="Q121">
        <v>1</v>
      </c>
      <c r="X121">
        <v>5</v>
      </c>
      <c r="Y121">
        <v>15.25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77</v>
      </c>
      <c r="AG121">
        <v>3</v>
      </c>
      <c r="AH121">
        <v>2</v>
      </c>
      <c r="AI121">
        <v>55986021</v>
      </c>
      <c r="AJ121">
        <v>94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ROW(Source!A53)</f>
        <v>53</v>
      </c>
      <c r="B122">
        <v>55986028</v>
      </c>
      <c r="C122">
        <v>55986015</v>
      </c>
      <c r="D122">
        <v>55444671</v>
      </c>
      <c r="E122">
        <v>1081</v>
      </c>
      <c r="F122">
        <v>1</v>
      </c>
      <c r="G122">
        <v>1081</v>
      </c>
      <c r="H122">
        <v>3</v>
      </c>
      <c r="I122" t="s">
        <v>643</v>
      </c>
      <c r="J122" t="s">
        <v>3</v>
      </c>
      <c r="K122" t="s">
        <v>644</v>
      </c>
      <c r="L122">
        <v>1354</v>
      </c>
      <c r="N122">
        <v>1010</v>
      </c>
      <c r="O122" t="s">
        <v>217</v>
      </c>
      <c r="P122" t="s">
        <v>217</v>
      </c>
      <c r="Q122">
        <v>1</v>
      </c>
      <c r="X122">
        <v>100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77</v>
      </c>
      <c r="AG122">
        <v>60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ROW(Source!A54)</f>
        <v>54</v>
      </c>
      <c r="B123">
        <v>55986034</v>
      </c>
      <c r="C123">
        <v>55986029</v>
      </c>
      <c r="D123">
        <v>55424304</v>
      </c>
      <c r="E123">
        <v>1081</v>
      </c>
      <c r="F123">
        <v>1</v>
      </c>
      <c r="G123">
        <v>1081</v>
      </c>
      <c r="H123">
        <v>1</v>
      </c>
      <c r="I123" t="s">
        <v>449</v>
      </c>
      <c r="J123" t="s">
        <v>3</v>
      </c>
      <c r="K123" t="s">
        <v>450</v>
      </c>
      <c r="L123">
        <v>1191</v>
      </c>
      <c r="N123">
        <v>1013</v>
      </c>
      <c r="O123" t="s">
        <v>451</v>
      </c>
      <c r="P123" t="s">
        <v>451</v>
      </c>
      <c r="Q123">
        <v>1</v>
      </c>
      <c r="X123">
        <v>1.03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79</v>
      </c>
      <c r="AG123">
        <v>0.85283999999999982</v>
      </c>
      <c r="AH123">
        <v>2</v>
      </c>
      <c r="AI123">
        <v>55986030</v>
      </c>
      <c r="AJ123">
        <v>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ROW(Source!A54)</f>
        <v>54</v>
      </c>
      <c r="B124">
        <v>55986035</v>
      </c>
      <c r="C124">
        <v>55986029</v>
      </c>
      <c r="D124">
        <v>55490209</v>
      </c>
      <c r="E124">
        <v>1</v>
      </c>
      <c r="F124">
        <v>1</v>
      </c>
      <c r="G124">
        <v>1081</v>
      </c>
      <c r="H124">
        <v>2</v>
      </c>
      <c r="I124" t="s">
        <v>489</v>
      </c>
      <c r="J124" t="s">
        <v>490</v>
      </c>
      <c r="K124" t="s">
        <v>491</v>
      </c>
      <c r="L124">
        <v>1368</v>
      </c>
      <c r="N124">
        <v>1011</v>
      </c>
      <c r="O124" t="s">
        <v>455</v>
      </c>
      <c r="P124" t="s">
        <v>455</v>
      </c>
      <c r="Q124">
        <v>1</v>
      </c>
      <c r="X124">
        <v>0.01</v>
      </c>
      <c r="Y124">
        <v>0</v>
      </c>
      <c r="Z124">
        <v>83.1</v>
      </c>
      <c r="AA124">
        <v>12.62</v>
      </c>
      <c r="AB124">
        <v>0</v>
      </c>
      <c r="AC124">
        <v>0</v>
      </c>
      <c r="AD124">
        <v>1</v>
      </c>
      <c r="AE124">
        <v>0</v>
      </c>
      <c r="AF124" t="s">
        <v>78</v>
      </c>
      <c r="AG124">
        <v>8.9999999999999993E-3</v>
      </c>
      <c r="AH124">
        <v>2</v>
      </c>
      <c r="AI124">
        <v>55986031</v>
      </c>
      <c r="AJ124">
        <v>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ROW(Source!A54)</f>
        <v>54</v>
      </c>
      <c r="B125">
        <v>55986036</v>
      </c>
      <c r="C125">
        <v>55986029</v>
      </c>
      <c r="D125">
        <v>55489523</v>
      </c>
      <c r="E125">
        <v>1</v>
      </c>
      <c r="F125">
        <v>1</v>
      </c>
      <c r="G125">
        <v>1081</v>
      </c>
      <c r="H125">
        <v>2</v>
      </c>
      <c r="I125" t="s">
        <v>521</v>
      </c>
      <c r="J125" t="s">
        <v>522</v>
      </c>
      <c r="K125" t="s">
        <v>523</v>
      </c>
      <c r="L125">
        <v>1368</v>
      </c>
      <c r="N125">
        <v>1011</v>
      </c>
      <c r="O125" t="s">
        <v>455</v>
      </c>
      <c r="P125" t="s">
        <v>455</v>
      </c>
      <c r="Q125">
        <v>1</v>
      </c>
      <c r="X125">
        <v>0.26</v>
      </c>
      <c r="Y125">
        <v>0</v>
      </c>
      <c r="Z125">
        <v>0.32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78</v>
      </c>
      <c r="AG125">
        <v>0.23399999999999999</v>
      </c>
      <c r="AH125">
        <v>2</v>
      </c>
      <c r="AI125">
        <v>55986032</v>
      </c>
      <c r="AJ125">
        <v>97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ROW(Source!A54)</f>
        <v>54</v>
      </c>
      <c r="B126">
        <v>55986037</v>
      </c>
      <c r="C126">
        <v>55986029</v>
      </c>
      <c r="D126">
        <v>55461047</v>
      </c>
      <c r="E126">
        <v>1</v>
      </c>
      <c r="F126">
        <v>1</v>
      </c>
      <c r="G126">
        <v>1081</v>
      </c>
      <c r="H126">
        <v>3</v>
      </c>
      <c r="I126" t="s">
        <v>524</v>
      </c>
      <c r="J126" t="s">
        <v>525</v>
      </c>
      <c r="K126" t="s">
        <v>526</v>
      </c>
      <c r="L126">
        <v>1346</v>
      </c>
      <c r="N126">
        <v>1009</v>
      </c>
      <c r="O126" t="s">
        <v>311</v>
      </c>
      <c r="P126" t="s">
        <v>311</v>
      </c>
      <c r="Q126">
        <v>1</v>
      </c>
      <c r="X126">
        <v>0.25</v>
      </c>
      <c r="Y126">
        <v>15.02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77</v>
      </c>
      <c r="AG126">
        <v>0.15</v>
      </c>
      <c r="AH126">
        <v>2</v>
      </c>
      <c r="AI126">
        <v>55986033</v>
      </c>
      <c r="AJ126">
        <v>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ROW(Source!A54)</f>
        <v>54</v>
      </c>
      <c r="B127">
        <v>55986038</v>
      </c>
      <c r="C127">
        <v>55986029</v>
      </c>
      <c r="D127">
        <v>55416982</v>
      </c>
      <c r="E127">
        <v>1081</v>
      </c>
      <c r="F127">
        <v>1</v>
      </c>
      <c r="G127">
        <v>1081</v>
      </c>
      <c r="H127">
        <v>3</v>
      </c>
      <c r="I127" t="s">
        <v>645</v>
      </c>
      <c r="J127" t="s">
        <v>3</v>
      </c>
      <c r="K127" t="s">
        <v>646</v>
      </c>
      <c r="L127">
        <v>1348</v>
      </c>
      <c r="N127">
        <v>1009</v>
      </c>
      <c r="O127" t="s">
        <v>287</v>
      </c>
      <c r="P127" t="s">
        <v>287</v>
      </c>
      <c r="Q127">
        <v>1000</v>
      </c>
      <c r="X127">
        <v>2.0000000000000001E-4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77</v>
      </c>
      <c r="AG127">
        <v>1.2E-4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ROW(Source!A54)</f>
        <v>54</v>
      </c>
      <c r="B128">
        <v>55986039</v>
      </c>
      <c r="C128">
        <v>55986029</v>
      </c>
      <c r="D128">
        <v>55442036</v>
      </c>
      <c r="E128">
        <v>1081</v>
      </c>
      <c r="F128">
        <v>1</v>
      </c>
      <c r="G128">
        <v>1081</v>
      </c>
      <c r="H128">
        <v>3</v>
      </c>
      <c r="I128" t="s">
        <v>647</v>
      </c>
      <c r="J128" t="s">
        <v>3</v>
      </c>
      <c r="K128" t="s">
        <v>648</v>
      </c>
      <c r="L128">
        <v>1354</v>
      </c>
      <c r="N128">
        <v>1010</v>
      </c>
      <c r="O128" t="s">
        <v>217</v>
      </c>
      <c r="P128" t="s">
        <v>217</v>
      </c>
      <c r="Q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77</v>
      </c>
      <c r="AG128">
        <v>0.6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ROW(Source!A55)</f>
        <v>55</v>
      </c>
      <c r="B129">
        <v>55986034</v>
      </c>
      <c r="C129">
        <v>55986029</v>
      </c>
      <c r="D129">
        <v>55424304</v>
      </c>
      <c r="E129">
        <v>1081</v>
      </c>
      <c r="F129">
        <v>1</v>
      </c>
      <c r="G129">
        <v>1081</v>
      </c>
      <c r="H129">
        <v>1</v>
      </c>
      <c r="I129" t="s">
        <v>449</v>
      </c>
      <c r="J129" t="s">
        <v>3</v>
      </c>
      <c r="K129" t="s">
        <v>450</v>
      </c>
      <c r="L129">
        <v>1191</v>
      </c>
      <c r="N129">
        <v>1013</v>
      </c>
      <c r="O129" t="s">
        <v>451</v>
      </c>
      <c r="P129" t="s">
        <v>451</v>
      </c>
      <c r="Q129">
        <v>1</v>
      </c>
      <c r="X129">
        <v>1.03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79</v>
      </c>
      <c r="AG129">
        <v>0.85283999999999982</v>
      </c>
      <c r="AH129">
        <v>2</v>
      </c>
      <c r="AI129">
        <v>55986030</v>
      </c>
      <c r="AJ129">
        <v>99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ROW(Source!A55)</f>
        <v>55</v>
      </c>
      <c r="B130">
        <v>55986035</v>
      </c>
      <c r="C130">
        <v>55986029</v>
      </c>
      <c r="D130">
        <v>55490209</v>
      </c>
      <c r="E130">
        <v>1</v>
      </c>
      <c r="F130">
        <v>1</v>
      </c>
      <c r="G130">
        <v>1081</v>
      </c>
      <c r="H130">
        <v>2</v>
      </c>
      <c r="I130" t="s">
        <v>489</v>
      </c>
      <c r="J130" t="s">
        <v>490</v>
      </c>
      <c r="K130" t="s">
        <v>491</v>
      </c>
      <c r="L130">
        <v>1368</v>
      </c>
      <c r="N130">
        <v>1011</v>
      </c>
      <c r="O130" t="s">
        <v>455</v>
      </c>
      <c r="P130" t="s">
        <v>455</v>
      </c>
      <c r="Q130">
        <v>1</v>
      </c>
      <c r="X130">
        <v>0.01</v>
      </c>
      <c r="Y130">
        <v>0</v>
      </c>
      <c r="Z130">
        <v>83.1</v>
      </c>
      <c r="AA130">
        <v>12.62</v>
      </c>
      <c r="AB130">
        <v>0</v>
      </c>
      <c r="AC130">
        <v>0</v>
      </c>
      <c r="AD130">
        <v>1</v>
      </c>
      <c r="AE130">
        <v>0</v>
      </c>
      <c r="AF130" t="s">
        <v>78</v>
      </c>
      <c r="AG130">
        <v>8.9999999999999993E-3</v>
      </c>
      <c r="AH130">
        <v>2</v>
      </c>
      <c r="AI130">
        <v>55986031</v>
      </c>
      <c r="AJ130">
        <v>100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ROW(Source!A55)</f>
        <v>55</v>
      </c>
      <c r="B131">
        <v>55986036</v>
      </c>
      <c r="C131">
        <v>55986029</v>
      </c>
      <c r="D131">
        <v>55489523</v>
      </c>
      <c r="E131">
        <v>1</v>
      </c>
      <c r="F131">
        <v>1</v>
      </c>
      <c r="G131">
        <v>1081</v>
      </c>
      <c r="H131">
        <v>2</v>
      </c>
      <c r="I131" t="s">
        <v>521</v>
      </c>
      <c r="J131" t="s">
        <v>522</v>
      </c>
      <c r="K131" t="s">
        <v>523</v>
      </c>
      <c r="L131">
        <v>1368</v>
      </c>
      <c r="N131">
        <v>1011</v>
      </c>
      <c r="O131" t="s">
        <v>455</v>
      </c>
      <c r="P131" t="s">
        <v>455</v>
      </c>
      <c r="Q131">
        <v>1</v>
      </c>
      <c r="X131">
        <v>0.26</v>
      </c>
      <c r="Y131">
        <v>0</v>
      </c>
      <c r="Z131">
        <v>0.32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78</v>
      </c>
      <c r="AG131">
        <v>0.23399999999999999</v>
      </c>
      <c r="AH131">
        <v>2</v>
      </c>
      <c r="AI131">
        <v>55986032</v>
      </c>
      <c r="AJ131">
        <v>101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ROW(Source!A55)</f>
        <v>55</v>
      </c>
      <c r="B132">
        <v>55986037</v>
      </c>
      <c r="C132">
        <v>55986029</v>
      </c>
      <c r="D132">
        <v>55461047</v>
      </c>
      <c r="E132">
        <v>1</v>
      </c>
      <c r="F132">
        <v>1</v>
      </c>
      <c r="G132">
        <v>1081</v>
      </c>
      <c r="H132">
        <v>3</v>
      </c>
      <c r="I132" t="s">
        <v>524</v>
      </c>
      <c r="J132" t="s">
        <v>525</v>
      </c>
      <c r="K132" t="s">
        <v>526</v>
      </c>
      <c r="L132">
        <v>1346</v>
      </c>
      <c r="N132">
        <v>1009</v>
      </c>
      <c r="O132" t="s">
        <v>311</v>
      </c>
      <c r="P132" t="s">
        <v>311</v>
      </c>
      <c r="Q132">
        <v>1</v>
      </c>
      <c r="X132">
        <v>0.25</v>
      </c>
      <c r="Y132">
        <v>15.02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77</v>
      </c>
      <c r="AG132">
        <v>0.15</v>
      </c>
      <c r="AH132">
        <v>2</v>
      </c>
      <c r="AI132">
        <v>55986033</v>
      </c>
      <c r="AJ132">
        <v>102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ROW(Source!A55)</f>
        <v>55</v>
      </c>
      <c r="B133">
        <v>55986038</v>
      </c>
      <c r="C133">
        <v>55986029</v>
      </c>
      <c r="D133">
        <v>55416982</v>
      </c>
      <c r="E133">
        <v>1081</v>
      </c>
      <c r="F133">
        <v>1</v>
      </c>
      <c r="G133">
        <v>1081</v>
      </c>
      <c r="H133">
        <v>3</v>
      </c>
      <c r="I133" t="s">
        <v>645</v>
      </c>
      <c r="J133" t="s">
        <v>3</v>
      </c>
      <c r="K133" t="s">
        <v>646</v>
      </c>
      <c r="L133">
        <v>1348</v>
      </c>
      <c r="N133">
        <v>1009</v>
      </c>
      <c r="O133" t="s">
        <v>287</v>
      </c>
      <c r="P133" t="s">
        <v>287</v>
      </c>
      <c r="Q133">
        <v>1000</v>
      </c>
      <c r="X133">
        <v>2.0000000000000001E-4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77</v>
      </c>
      <c r="AG133">
        <v>1.2E-4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ROW(Source!A55)</f>
        <v>55</v>
      </c>
      <c r="B134">
        <v>55986039</v>
      </c>
      <c r="C134">
        <v>55986029</v>
      </c>
      <c r="D134">
        <v>55442036</v>
      </c>
      <c r="E134">
        <v>1081</v>
      </c>
      <c r="F134">
        <v>1</v>
      </c>
      <c r="G134">
        <v>1081</v>
      </c>
      <c r="H134">
        <v>3</v>
      </c>
      <c r="I134" t="s">
        <v>647</v>
      </c>
      <c r="J134" t="s">
        <v>3</v>
      </c>
      <c r="K134" t="s">
        <v>648</v>
      </c>
      <c r="L134">
        <v>1354</v>
      </c>
      <c r="N134">
        <v>1010</v>
      </c>
      <c r="O134" t="s">
        <v>217</v>
      </c>
      <c r="P134" t="s">
        <v>217</v>
      </c>
      <c r="Q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77</v>
      </c>
      <c r="AG134">
        <v>0.6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ROW(Source!A56)</f>
        <v>56</v>
      </c>
      <c r="B135">
        <v>55986046</v>
      </c>
      <c r="C135">
        <v>55986040</v>
      </c>
      <c r="D135">
        <v>55424304</v>
      </c>
      <c r="E135">
        <v>1081</v>
      </c>
      <c r="F135">
        <v>1</v>
      </c>
      <c r="G135">
        <v>1081</v>
      </c>
      <c r="H135">
        <v>1</v>
      </c>
      <c r="I135" t="s">
        <v>449</v>
      </c>
      <c r="J135" t="s">
        <v>3</v>
      </c>
      <c r="K135" t="s">
        <v>450</v>
      </c>
      <c r="L135">
        <v>1191</v>
      </c>
      <c r="N135">
        <v>1013</v>
      </c>
      <c r="O135" t="s">
        <v>451</v>
      </c>
      <c r="P135" t="s">
        <v>451</v>
      </c>
      <c r="Q135">
        <v>1</v>
      </c>
      <c r="X135">
        <v>24.8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79</v>
      </c>
      <c r="AG135">
        <v>20.534399999999998</v>
      </c>
      <c r="AH135">
        <v>2</v>
      </c>
      <c r="AI135">
        <v>55986041</v>
      </c>
      <c r="AJ135">
        <v>103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ROW(Source!A56)</f>
        <v>56</v>
      </c>
      <c r="B136">
        <v>55986047</v>
      </c>
      <c r="C136">
        <v>55986040</v>
      </c>
      <c r="D136">
        <v>55490209</v>
      </c>
      <c r="E136">
        <v>1</v>
      </c>
      <c r="F136">
        <v>1</v>
      </c>
      <c r="G136">
        <v>1081</v>
      </c>
      <c r="H136">
        <v>2</v>
      </c>
      <c r="I136" t="s">
        <v>489</v>
      </c>
      <c r="J136" t="s">
        <v>490</v>
      </c>
      <c r="K136" t="s">
        <v>491</v>
      </c>
      <c r="L136">
        <v>1368</v>
      </c>
      <c r="N136">
        <v>1011</v>
      </c>
      <c r="O136" t="s">
        <v>455</v>
      </c>
      <c r="P136" t="s">
        <v>455</v>
      </c>
      <c r="Q136">
        <v>1</v>
      </c>
      <c r="X136">
        <v>0.02</v>
      </c>
      <c r="Y136">
        <v>0</v>
      </c>
      <c r="Z136">
        <v>83.1</v>
      </c>
      <c r="AA136">
        <v>12.62</v>
      </c>
      <c r="AB136">
        <v>0</v>
      </c>
      <c r="AC136">
        <v>0</v>
      </c>
      <c r="AD136">
        <v>1</v>
      </c>
      <c r="AE136">
        <v>0</v>
      </c>
      <c r="AF136" t="s">
        <v>78</v>
      </c>
      <c r="AG136">
        <v>1.7999999999999999E-2</v>
      </c>
      <c r="AH136">
        <v>2</v>
      </c>
      <c r="AI136">
        <v>55986042</v>
      </c>
      <c r="AJ136">
        <v>104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ROW(Source!A56)</f>
        <v>56</v>
      </c>
      <c r="B137">
        <v>55986048</v>
      </c>
      <c r="C137">
        <v>55986040</v>
      </c>
      <c r="D137">
        <v>55490263</v>
      </c>
      <c r="E137">
        <v>1</v>
      </c>
      <c r="F137">
        <v>1</v>
      </c>
      <c r="G137">
        <v>1081</v>
      </c>
      <c r="H137">
        <v>2</v>
      </c>
      <c r="I137" t="s">
        <v>502</v>
      </c>
      <c r="J137" t="s">
        <v>503</v>
      </c>
      <c r="K137" t="s">
        <v>504</v>
      </c>
      <c r="L137">
        <v>1368</v>
      </c>
      <c r="N137">
        <v>1011</v>
      </c>
      <c r="O137" t="s">
        <v>455</v>
      </c>
      <c r="P137" t="s">
        <v>455</v>
      </c>
      <c r="Q137">
        <v>1</v>
      </c>
      <c r="X137">
        <v>8</v>
      </c>
      <c r="Y137">
        <v>0</v>
      </c>
      <c r="Z137">
        <v>0.77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78</v>
      </c>
      <c r="AG137">
        <v>7.1999999999999993</v>
      </c>
      <c r="AH137">
        <v>2</v>
      </c>
      <c r="AI137">
        <v>55986043</v>
      </c>
      <c r="AJ137">
        <v>105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ROW(Source!A56)</f>
        <v>56</v>
      </c>
      <c r="B138">
        <v>55986049</v>
      </c>
      <c r="C138">
        <v>55986040</v>
      </c>
      <c r="D138">
        <v>55460658</v>
      </c>
      <c r="E138">
        <v>1</v>
      </c>
      <c r="F138">
        <v>1</v>
      </c>
      <c r="G138">
        <v>1081</v>
      </c>
      <c r="H138">
        <v>3</v>
      </c>
      <c r="I138" t="s">
        <v>527</v>
      </c>
      <c r="J138" t="s">
        <v>528</v>
      </c>
      <c r="K138" t="s">
        <v>529</v>
      </c>
      <c r="L138">
        <v>1296</v>
      </c>
      <c r="N138">
        <v>1002</v>
      </c>
      <c r="O138" t="s">
        <v>514</v>
      </c>
      <c r="P138" t="s">
        <v>514</v>
      </c>
      <c r="Q138">
        <v>1</v>
      </c>
      <c r="X138">
        <v>2.1267</v>
      </c>
      <c r="Y138">
        <v>84.21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77</v>
      </c>
      <c r="AG138">
        <v>1.2760199999999999</v>
      </c>
      <c r="AH138">
        <v>2</v>
      </c>
      <c r="AI138">
        <v>55986044</v>
      </c>
      <c r="AJ138">
        <v>106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ROW(Source!A56)</f>
        <v>56</v>
      </c>
      <c r="B139">
        <v>55986050</v>
      </c>
      <c r="C139">
        <v>55986040</v>
      </c>
      <c r="D139">
        <v>55461822</v>
      </c>
      <c r="E139">
        <v>1</v>
      </c>
      <c r="F139">
        <v>1</v>
      </c>
      <c r="G139">
        <v>1081</v>
      </c>
      <c r="H139">
        <v>3</v>
      </c>
      <c r="I139" t="s">
        <v>530</v>
      </c>
      <c r="J139" t="s">
        <v>531</v>
      </c>
      <c r="K139" t="s">
        <v>532</v>
      </c>
      <c r="L139">
        <v>1355</v>
      </c>
      <c r="N139">
        <v>1010</v>
      </c>
      <c r="O139" t="s">
        <v>60</v>
      </c>
      <c r="P139" t="s">
        <v>60</v>
      </c>
      <c r="Q139">
        <v>100</v>
      </c>
      <c r="X139">
        <v>4.04</v>
      </c>
      <c r="Y139">
        <v>43.8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77</v>
      </c>
      <c r="AG139">
        <v>2.4239999999999999</v>
      </c>
      <c r="AH139">
        <v>2</v>
      </c>
      <c r="AI139">
        <v>55986045</v>
      </c>
      <c r="AJ139">
        <v>107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ROW(Source!A56)</f>
        <v>56</v>
      </c>
      <c r="B140">
        <v>55986051</v>
      </c>
      <c r="C140">
        <v>55986040</v>
      </c>
      <c r="D140">
        <v>55440627</v>
      </c>
      <c r="E140">
        <v>1081</v>
      </c>
      <c r="F140">
        <v>1</v>
      </c>
      <c r="G140">
        <v>1081</v>
      </c>
      <c r="H140">
        <v>3</v>
      </c>
      <c r="I140" t="s">
        <v>649</v>
      </c>
      <c r="J140" t="s">
        <v>3</v>
      </c>
      <c r="K140" t="s">
        <v>650</v>
      </c>
      <c r="L140">
        <v>1354</v>
      </c>
      <c r="N140">
        <v>1010</v>
      </c>
      <c r="O140" t="s">
        <v>217</v>
      </c>
      <c r="P140" t="s">
        <v>217</v>
      </c>
      <c r="Q140">
        <v>1</v>
      </c>
      <c r="X140">
        <v>1.7633000000000001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77</v>
      </c>
      <c r="AG140">
        <v>1.0579799999999999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ROW(Source!A56)</f>
        <v>56</v>
      </c>
      <c r="B141">
        <v>55986052</v>
      </c>
      <c r="C141">
        <v>55986040</v>
      </c>
      <c r="D141">
        <v>55449246</v>
      </c>
      <c r="E141">
        <v>1081</v>
      </c>
      <c r="F141">
        <v>1</v>
      </c>
      <c r="G141">
        <v>1081</v>
      </c>
      <c r="H141">
        <v>3</v>
      </c>
      <c r="I141" t="s">
        <v>651</v>
      </c>
      <c r="J141" t="s">
        <v>3</v>
      </c>
      <c r="K141" t="s">
        <v>652</v>
      </c>
      <c r="L141">
        <v>1354</v>
      </c>
      <c r="N141">
        <v>1010</v>
      </c>
      <c r="O141" t="s">
        <v>217</v>
      </c>
      <c r="P141" t="s">
        <v>217</v>
      </c>
      <c r="Q141">
        <v>1</v>
      </c>
      <c r="X141">
        <v>100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77</v>
      </c>
      <c r="AG141">
        <v>60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ROW(Source!A57)</f>
        <v>57</v>
      </c>
      <c r="B142">
        <v>55986046</v>
      </c>
      <c r="C142">
        <v>55986040</v>
      </c>
      <c r="D142">
        <v>55424304</v>
      </c>
      <c r="E142">
        <v>1081</v>
      </c>
      <c r="F142">
        <v>1</v>
      </c>
      <c r="G142">
        <v>1081</v>
      </c>
      <c r="H142">
        <v>1</v>
      </c>
      <c r="I142" t="s">
        <v>449</v>
      </c>
      <c r="J142" t="s">
        <v>3</v>
      </c>
      <c r="K142" t="s">
        <v>450</v>
      </c>
      <c r="L142">
        <v>1191</v>
      </c>
      <c r="N142">
        <v>1013</v>
      </c>
      <c r="O142" t="s">
        <v>451</v>
      </c>
      <c r="P142" t="s">
        <v>451</v>
      </c>
      <c r="Q142">
        <v>1</v>
      </c>
      <c r="X142">
        <v>24.8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 t="s">
        <v>79</v>
      </c>
      <c r="AG142">
        <v>20.534399999999998</v>
      </c>
      <c r="AH142">
        <v>2</v>
      </c>
      <c r="AI142">
        <v>55986041</v>
      </c>
      <c r="AJ142">
        <v>108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ROW(Source!A57)</f>
        <v>57</v>
      </c>
      <c r="B143">
        <v>55986047</v>
      </c>
      <c r="C143">
        <v>55986040</v>
      </c>
      <c r="D143">
        <v>55490209</v>
      </c>
      <c r="E143">
        <v>1</v>
      </c>
      <c r="F143">
        <v>1</v>
      </c>
      <c r="G143">
        <v>1081</v>
      </c>
      <c r="H143">
        <v>2</v>
      </c>
      <c r="I143" t="s">
        <v>489</v>
      </c>
      <c r="J143" t="s">
        <v>490</v>
      </c>
      <c r="K143" t="s">
        <v>491</v>
      </c>
      <c r="L143">
        <v>1368</v>
      </c>
      <c r="N143">
        <v>1011</v>
      </c>
      <c r="O143" t="s">
        <v>455</v>
      </c>
      <c r="P143" t="s">
        <v>455</v>
      </c>
      <c r="Q143">
        <v>1</v>
      </c>
      <c r="X143">
        <v>0.02</v>
      </c>
      <c r="Y143">
        <v>0</v>
      </c>
      <c r="Z143">
        <v>83.1</v>
      </c>
      <c r="AA143">
        <v>12.62</v>
      </c>
      <c r="AB143">
        <v>0</v>
      </c>
      <c r="AC143">
        <v>0</v>
      </c>
      <c r="AD143">
        <v>1</v>
      </c>
      <c r="AE143">
        <v>0</v>
      </c>
      <c r="AF143" t="s">
        <v>78</v>
      </c>
      <c r="AG143">
        <v>1.7999999999999999E-2</v>
      </c>
      <c r="AH143">
        <v>2</v>
      </c>
      <c r="AI143">
        <v>55986042</v>
      </c>
      <c r="AJ143">
        <v>109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ROW(Source!A57)</f>
        <v>57</v>
      </c>
      <c r="B144">
        <v>55986048</v>
      </c>
      <c r="C144">
        <v>55986040</v>
      </c>
      <c r="D144">
        <v>55490263</v>
      </c>
      <c r="E144">
        <v>1</v>
      </c>
      <c r="F144">
        <v>1</v>
      </c>
      <c r="G144">
        <v>1081</v>
      </c>
      <c r="H144">
        <v>2</v>
      </c>
      <c r="I144" t="s">
        <v>502</v>
      </c>
      <c r="J144" t="s">
        <v>503</v>
      </c>
      <c r="K144" t="s">
        <v>504</v>
      </c>
      <c r="L144">
        <v>1368</v>
      </c>
      <c r="N144">
        <v>1011</v>
      </c>
      <c r="O144" t="s">
        <v>455</v>
      </c>
      <c r="P144" t="s">
        <v>455</v>
      </c>
      <c r="Q144">
        <v>1</v>
      </c>
      <c r="X144">
        <v>8</v>
      </c>
      <c r="Y144">
        <v>0</v>
      </c>
      <c r="Z144">
        <v>0.77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78</v>
      </c>
      <c r="AG144">
        <v>7.1999999999999993</v>
      </c>
      <c r="AH144">
        <v>2</v>
      </c>
      <c r="AI144">
        <v>55986043</v>
      </c>
      <c r="AJ144">
        <v>110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ROW(Source!A57)</f>
        <v>57</v>
      </c>
      <c r="B145">
        <v>55986049</v>
      </c>
      <c r="C145">
        <v>55986040</v>
      </c>
      <c r="D145">
        <v>55460658</v>
      </c>
      <c r="E145">
        <v>1</v>
      </c>
      <c r="F145">
        <v>1</v>
      </c>
      <c r="G145">
        <v>1081</v>
      </c>
      <c r="H145">
        <v>3</v>
      </c>
      <c r="I145" t="s">
        <v>527</v>
      </c>
      <c r="J145" t="s">
        <v>528</v>
      </c>
      <c r="K145" t="s">
        <v>529</v>
      </c>
      <c r="L145">
        <v>1296</v>
      </c>
      <c r="N145">
        <v>1002</v>
      </c>
      <c r="O145" t="s">
        <v>514</v>
      </c>
      <c r="P145" t="s">
        <v>514</v>
      </c>
      <c r="Q145">
        <v>1</v>
      </c>
      <c r="X145">
        <v>2.1267</v>
      </c>
      <c r="Y145">
        <v>84.21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77</v>
      </c>
      <c r="AG145">
        <v>1.2760199999999999</v>
      </c>
      <c r="AH145">
        <v>2</v>
      </c>
      <c r="AI145">
        <v>55986044</v>
      </c>
      <c r="AJ145">
        <v>111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ROW(Source!A57)</f>
        <v>57</v>
      </c>
      <c r="B146">
        <v>55986050</v>
      </c>
      <c r="C146">
        <v>55986040</v>
      </c>
      <c r="D146">
        <v>55461822</v>
      </c>
      <c r="E146">
        <v>1</v>
      </c>
      <c r="F146">
        <v>1</v>
      </c>
      <c r="G146">
        <v>1081</v>
      </c>
      <c r="H146">
        <v>3</v>
      </c>
      <c r="I146" t="s">
        <v>530</v>
      </c>
      <c r="J146" t="s">
        <v>531</v>
      </c>
      <c r="K146" t="s">
        <v>532</v>
      </c>
      <c r="L146">
        <v>1355</v>
      </c>
      <c r="N146">
        <v>1010</v>
      </c>
      <c r="O146" t="s">
        <v>60</v>
      </c>
      <c r="P146" t="s">
        <v>60</v>
      </c>
      <c r="Q146">
        <v>100</v>
      </c>
      <c r="X146">
        <v>4.04</v>
      </c>
      <c r="Y146">
        <v>43.8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77</v>
      </c>
      <c r="AG146">
        <v>2.4239999999999999</v>
      </c>
      <c r="AH146">
        <v>2</v>
      </c>
      <c r="AI146">
        <v>55986045</v>
      </c>
      <c r="AJ146">
        <v>112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ROW(Source!A57)</f>
        <v>57</v>
      </c>
      <c r="B147">
        <v>55986051</v>
      </c>
      <c r="C147">
        <v>55986040</v>
      </c>
      <c r="D147">
        <v>55440627</v>
      </c>
      <c r="E147">
        <v>1081</v>
      </c>
      <c r="F147">
        <v>1</v>
      </c>
      <c r="G147">
        <v>1081</v>
      </c>
      <c r="H147">
        <v>3</v>
      </c>
      <c r="I147" t="s">
        <v>649</v>
      </c>
      <c r="J147" t="s">
        <v>3</v>
      </c>
      <c r="K147" t="s">
        <v>650</v>
      </c>
      <c r="L147">
        <v>1354</v>
      </c>
      <c r="N147">
        <v>1010</v>
      </c>
      <c r="O147" t="s">
        <v>217</v>
      </c>
      <c r="P147" t="s">
        <v>217</v>
      </c>
      <c r="Q147">
        <v>1</v>
      </c>
      <c r="X147">
        <v>1.7633000000000001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77</v>
      </c>
      <c r="AG147">
        <v>1.0579799999999999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ROW(Source!A57)</f>
        <v>57</v>
      </c>
      <c r="B148">
        <v>55986052</v>
      </c>
      <c r="C148">
        <v>55986040</v>
      </c>
      <c r="D148">
        <v>55449246</v>
      </c>
      <c r="E148">
        <v>1081</v>
      </c>
      <c r="F148">
        <v>1</v>
      </c>
      <c r="G148">
        <v>1081</v>
      </c>
      <c r="H148">
        <v>3</v>
      </c>
      <c r="I148" t="s">
        <v>651</v>
      </c>
      <c r="J148" t="s">
        <v>3</v>
      </c>
      <c r="K148" t="s">
        <v>652</v>
      </c>
      <c r="L148">
        <v>1354</v>
      </c>
      <c r="N148">
        <v>1010</v>
      </c>
      <c r="O148" t="s">
        <v>217</v>
      </c>
      <c r="P148" t="s">
        <v>217</v>
      </c>
      <c r="Q148">
        <v>1</v>
      </c>
      <c r="X148">
        <v>100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77</v>
      </c>
      <c r="AG148">
        <v>60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ROW(Source!A58)</f>
        <v>58</v>
      </c>
      <c r="B149">
        <v>55986055</v>
      </c>
      <c r="C149">
        <v>55986053</v>
      </c>
      <c r="D149">
        <v>55424304</v>
      </c>
      <c r="E149">
        <v>1081</v>
      </c>
      <c r="F149">
        <v>1</v>
      </c>
      <c r="G149">
        <v>1081</v>
      </c>
      <c r="H149">
        <v>1</v>
      </c>
      <c r="I149" t="s">
        <v>449</v>
      </c>
      <c r="J149" t="s">
        <v>3</v>
      </c>
      <c r="K149" t="s">
        <v>450</v>
      </c>
      <c r="L149">
        <v>1191</v>
      </c>
      <c r="N149">
        <v>1013</v>
      </c>
      <c r="O149" t="s">
        <v>451</v>
      </c>
      <c r="P149" t="s">
        <v>451</v>
      </c>
      <c r="Q149">
        <v>1</v>
      </c>
      <c r="X149">
        <v>9.64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 t="s">
        <v>114</v>
      </c>
      <c r="AG149">
        <v>11.568</v>
      </c>
      <c r="AH149">
        <v>2</v>
      </c>
      <c r="AI149">
        <v>55986054</v>
      </c>
      <c r="AJ149">
        <v>113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ROW(Source!A59)</f>
        <v>59</v>
      </c>
      <c r="B150">
        <v>55986055</v>
      </c>
      <c r="C150">
        <v>55986053</v>
      </c>
      <c r="D150">
        <v>55424304</v>
      </c>
      <c r="E150">
        <v>1081</v>
      </c>
      <c r="F150">
        <v>1</v>
      </c>
      <c r="G150">
        <v>1081</v>
      </c>
      <c r="H150">
        <v>1</v>
      </c>
      <c r="I150" t="s">
        <v>449</v>
      </c>
      <c r="J150" t="s">
        <v>3</v>
      </c>
      <c r="K150" t="s">
        <v>450</v>
      </c>
      <c r="L150">
        <v>1191</v>
      </c>
      <c r="N150">
        <v>1013</v>
      </c>
      <c r="O150" t="s">
        <v>451</v>
      </c>
      <c r="P150" t="s">
        <v>451</v>
      </c>
      <c r="Q150">
        <v>1</v>
      </c>
      <c r="X150">
        <v>9.64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 t="s">
        <v>114</v>
      </c>
      <c r="AG150">
        <v>11.568</v>
      </c>
      <c r="AH150">
        <v>2</v>
      </c>
      <c r="AI150">
        <v>55986054</v>
      </c>
      <c r="AJ150">
        <v>114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ROW(Source!A60)</f>
        <v>60</v>
      </c>
      <c r="B151">
        <v>55986059</v>
      </c>
      <c r="C151">
        <v>55986056</v>
      </c>
      <c r="D151">
        <v>55424304</v>
      </c>
      <c r="E151">
        <v>1081</v>
      </c>
      <c r="F151">
        <v>1</v>
      </c>
      <c r="G151">
        <v>1081</v>
      </c>
      <c r="H151">
        <v>1</v>
      </c>
      <c r="I151" t="s">
        <v>449</v>
      </c>
      <c r="J151" t="s">
        <v>3</v>
      </c>
      <c r="K151" t="s">
        <v>450</v>
      </c>
      <c r="L151">
        <v>1191</v>
      </c>
      <c r="N151">
        <v>1013</v>
      </c>
      <c r="O151" t="s">
        <v>451</v>
      </c>
      <c r="P151" t="s">
        <v>451</v>
      </c>
      <c r="Q151">
        <v>1</v>
      </c>
      <c r="X151">
        <v>30.44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114</v>
      </c>
      <c r="AG151">
        <v>36.527999999999999</v>
      </c>
      <c r="AH151">
        <v>2</v>
      </c>
      <c r="AI151">
        <v>55986057</v>
      </c>
      <c r="AJ151">
        <v>115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ROW(Source!A60)</f>
        <v>60</v>
      </c>
      <c r="B152">
        <v>55986060</v>
      </c>
      <c r="C152">
        <v>55986056</v>
      </c>
      <c r="D152">
        <v>55424288</v>
      </c>
      <c r="E152">
        <v>1081</v>
      </c>
      <c r="F152">
        <v>1</v>
      </c>
      <c r="G152">
        <v>1081</v>
      </c>
      <c r="H152">
        <v>3</v>
      </c>
      <c r="I152" t="s">
        <v>533</v>
      </c>
      <c r="J152" t="s">
        <v>3</v>
      </c>
      <c r="K152" t="s">
        <v>534</v>
      </c>
      <c r="L152">
        <v>1348</v>
      </c>
      <c r="N152">
        <v>1009</v>
      </c>
      <c r="O152" t="s">
        <v>287</v>
      </c>
      <c r="P152" t="s">
        <v>287</v>
      </c>
      <c r="Q152">
        <v>1000</v>
      </c>
      <c r="X152">
        <v>0.247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113</v>
      </c>
      <c r="AG152">
        <v>0.247</v>
      </c>
      <c r="AH152">
        <v>2</v>
      </c>
      <c r="AI152">
        <v>55986058</v>
      </c>
      <c r="AJ152">
        <v>116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ROW(Source!A61)</f>
        <v>61</v>
      </c>
      <c r="B153">
        <v>55986059</v>
      </c>
      <c r="C153">
        <v>55986056</v>
      </c>
      <c r="D153">
        <v>55424304</v>
      </c>
      <c r="E153">
        <v>1081</v>
      </c>
      <c r="F153">
        <v>1</v>
      </c>
      <c r="G153">
        <v>1081</v>
      </c>
      <c r="H153">
        <v>1</v>
      </c>
      <c r="I153" t="s">
        <v>449</v>
      </c>
      <c r="J153" t="s">
        <v>3</v>
      </c>
      <c r="K153" t="s">
        <v>450</v>
      </c>
      <c r="L153">
        <v>1191</v>
      </c>
      <c r="N153">
        <v>1013</v>
      </c>
      <c r="O153" t="s">
        <v>451</v>
      </c>
      <c r="P153" t="s">
        <v>451</v>
      </c>
      <c r="Q153">
        <v>1</v>
      </c>
      <c r="X153">
        <v>30.44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114</v>
      </c>
      <c r="AG153">
        <v>36.527999999999999</v>
      </c>
      <c r="AH153">
        <v>2</v>
      </c>
      <c r="AI153">
        <v>55986057</v>
      </c>
      <c r="AJ153">
        <v>117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ROW(Source!A61)</f>
        <v>61</v>
      </c>
      <c r="B154">
        <v>55986060</v>
      </c>
      <c r="C154">
        <v>55986056</v>
      </c>
      <c r="D154">
        <v>55424288</v>
      </c>
      <c r="E154">
        <v>1081</v>
      </c>
      <c r="F154">
        <v>1</v>
      </c>
      <c r="G154">
        <v>1081</v>
      </c>
      <c r="H154">
        <v>3</v>
      </c>
      <c r="I154" t="s">
        <v>533</v>
      </c>
      <c r="J154" t="s">
        <v>3</v>
      </c>
      <c r="K154" t="s">
        <v>534</v>
      </c>
      <c r="L154">
        <v>1348</v>
      </c>
      <c r="N154">
        <v>1009</v>
      </c>
      <c r="O154" t="s">
        <v>287</v>
      </c>
      <c r="P154" t="s">
        <v>287</v>
      </c>
      <c r="Q154">
        <v>1000</v>
      </c>
      <c r="X154">
        <v>0.247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113</v>
      </c>
      <c r="AG154">
        <v>0.247</v>
      </c>
      <c r="AH154">
        <v>2</v>
      </c>
      <c r="AI154">
        <v>55986058</v>
      </c>
      <c r="AJ154">
        <v>118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ROW(Source!A97)</f>
        <v>97</v>
      </c>
      <c r="B155">
        <v>55937479</v>
      </c>
      <c r="C155">
        <v>55937478</v>
      </c>
      <c r="D155">
        <v>55424304</v>
      </c>
      <c r="E155">
        <v>1081</v>
      </c>
      <c r="F155">
        <v>1</v>
      </c>
      <c r="G155">
        <v>1081</v>
      </c>
      <c r="H155">
        <v>1</v>
      </c>
      <c r="I155" t="s">
        <v>449</v>
      </c>
      <c r="J155" t="s">
        <v>3</v>
      </c>
      <c r="K155" t="s">
        <v>450</v>
      </c>
      <c r="L155">
        <v>1191</v>
      </c>
      <c r="N155">
        <v>1013</v>
      </c>
      <c r="O155" t="s">
        <v>451</v>
      </c>
      <c r="P155" t="s">
        <v>451</v>
      </c>
      <c r="Q155">
        <v>1</v>
      </c>
      <c r="X155">
        <v>1.8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114</v>
      </c>
      <c r="AG155">
        <v>2.16</v>
      </c>
      <c r="AH155">
        <v>2</v>
      </c>
      <c r="AI155">
        <v>55937479</v>
      </c>
      <c r="AJ155">
        <v>119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ROW(Source!A98)</f>
        <v>98</v>
      </c>
      <c r="B156">
        <v>55937479</v>
      </c>
      <c r="C156">
        <v>55937478</v>
      </c>
      <c r="D156">
        <v>55424304</v>
      </c>
      <c r="E156">
        <v>1081</v>
      </c>
      <c r="F156">
        <v>1</v>
      </c>
      <c r="G156">
        <v>1081</v>
      </c>
      <c r="H156">
        <v>1</v>
      </c>
      <c r="I156" t="s">
        <v>449</v>
      </c>
      <c r="J156" t="s">
        <v>3</v>
      </c>
      <c r="K156" t="s">
        <v>450</v>
      </c>
      <c r="L156">
        <v>1191</v>
      </c>
      <c r="N156">
        <v>1013</v>
      </c>
      <c r="O156" t="s">
        <v>451</v>
      </c>
      <c r="P156" t="s">
        <v>451</v>
      </c>
      <c r="Q156">
        <v>1</v>
      </c>
      <c r="X156">
        <v>1.8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1</v>
      </c>
      <c r="AF156" t="s">
        <v>114</v>
      </c>
      <c r="AG156">
        <v>2.16</v>
      </c>
      <c r="AH156">
        <v>2</v>
      </c>
      <c r="AI156">
        <v>55937479</v>
      </c>
      <c r="AJ156">
        <v>120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ROW(Source!A101)</f>
        <v>101</v>
      </c>
      <c r="B157">
        <v>55937489</v>
      </c>
      <c r="C157">
        <v>55937488</v>
      </c>
      <c r="D157">
        <v>55424304</v>
      </c>
      <c r="E157">
        <v>1081</v>
      </c>
      <c r="F157">
        <v>1</v>
      </c>
      <c r="G157">
        <v>1081</v>
      </c>
      <c r="H157">
        <v>1</v>
      </c>
      <c r="I157" t="s">
        <v>449</v>
      </c>
      <c r="J157" t="s">
        <v>3</v>
      </c>
      <c r="K157" t="s">
        <v>450</v>
      </c>
      <c r="L157">
        <v>1191</v>
      </c>
      <c r="N157">
        <v>1013</v>
      </c>
      <c r="O157" t="s">
        <v>451</v>
      </c>
      <c r="P157" t="s">
        <v>451</v>
      </c>
      <c r="Q157">
        <v>1</v>
      </c>
      <c r="X157">
        <v>11.7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 t="s">
        <v>114</v>
      </c>
      <c r="AG157">
        <v>14.04</v>
      </c>
      <c r="AH157">
        <v>2</v>
      </c>
      <c r="AI157">
        <v>55937489</v>
      </c>
      <c r="AJ157">
        <v>121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ROW(Source!A102)</f>
        <v>102</v>
      </c>
      <c r="B158">
        <v>55937489</v>
      </c>
      <c r="C158">
        <v>55937488</v>
      </c>
      <c r="D158">
        <v>55424304</v>
      </c>
      <c r="E158">
        <v>1081</v>
      </c>
      <c r="F158">
        <v>1</v>
      </c>
      <c r="G158">
        <v>1081</v>
      </c>
      <c r="H158">
        <v>1</v>
      </c>
      <c r="I158" t="s">
        <v>449</v>
      </c>
      <c r="J158" t="s">
        <v>3</v>
      </c>
      <c r="K158" t="s">
        <v>450</v>
      </c>
      <c r="L158">
        <v>1191</v>
      </c>
      <c r="N158">
        <v>1013</v>
      </c>
      <c r="O158" t="s">
        <v>451</v>
      </c>
      <c r="P158" t="s">
        <v>451</v>
      </c>
      <c r="Q158">
        <v>1</v>
      </c>
      <c r="X158">
        <v>11.7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1</v>
      </c>
      <c r="AF158" t="s">
        <v>114</v>
      </c>
      <c r="AG158">
        <v>14.04</v>
      </c>
      <c r="AH158">
        <v>2</v>
      </c>
      <c r="AI158">
        <v>55937489</v>
      </c>
      <c r="AJ158">
        <v>122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ROW(Source!A105)</f>
        <v>105</v>
      </c>
      <c r="B159">
        <v>55937498</v>
      </c>
      <c r="C159">
        <v>55937497</v>
      </c>
      <c r="D159">
        <v>55424304</v>
      </c>
      <c r="E159">
        <v>1081</v>
      </c>
      <c r="F159">
        <v>1</v>
      </c>
      <c r="G159">
        <v>1081</v>
      </c>
      <c r="H159">
        <v>1</v>
      </c>
      <c r="I159" t="s">
        <v>449</v>
      </c>
      <c r="J159" t="s">
        <v>3</v>
      </c>
      <c r="K159" t="s">
        <v>450</v>
      </c>
      <c r="L159">
        <v>1191</v>
      </c>
      <c r="N159">
        <v>1013</v>
      </c>
      <c r="O159" t="s">
        <v>451</v>
      </c>
      <c r="P159" t="s">
        <v>451</v>
      </c>
      <c r="Q159">
        <v>1</v>
      </c>
      <c r="X159">
        <v>6.01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1</v>
      </c>
      <c r="AF159" t="s">
        <v>114</v>
      </c>
      <c r="AG159">
        <v>7.2119999999999997</v>
      </c>
      <c r="AH159">
        <v>2</v>
      </c>
      <c r="AI159">
        <v>55937498</v>
      </c>
      <c r="AJ159">
        <v>123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ROW(Source!A105)</f>
        <v>105</v>
      </c>
      <c r="B160">
        <v>55937499</v>
      </c>
      <c r="C160">
        <v>55937497</v>
      </c>
      <c r="D160">
        <v>55490330</v>
      </c>
      <c r="E160">
        <v>1</v>
      </c>
      <c r="F160">
        <v>1</v>
      </c>
      <c r="G160">
        <v>1081</v>
      </c>
      <c r="H160">
        <v>2</v>
      </c>
      <c r="I160" t="s">
        <v>452</v>
      </c>
      <c r="J160" t="s">
        <v>453</v>
      </c>
      <c r="K160" t="s">
        <v>454</v>
      </c>
      <c r="L160">
        <v>1368</v>
      </c>
      <c r="N160">
        <v>1011</v>
      </c>
      <c r="O160" t="s">
        <v>455</v>
      </c>
      <c r="P160" t="s">
        <v>455</v>
      </c>
      <c r="Q160">
        <v>1</v>
      </c>
      <c r="X160">
        <v>0.25</v>
      </c>
      <c r="Y160">
        <v>0</v>
      </c>
      <c r="Z160">
        <v>0.8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114</v>
      </c>
      <c r="AG160">
        <v>0.3</v>
      </c>
      <c r="AH160">
        <v>2</v>
      </c>
      <c r="AI160">
        <v>55937499</v>
      </c>
      <c r="AJ160">
        <v>124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ROW(Source!A105)</f>
        <v>105</v>
      </c>
      <c r="B161">
        <v>55937500</v>
      </c>
      <c r="C161">
        <v>55937497</v>
      </c>
      <c r="D161">
        <v>55490331</v>
      </c>
      <c r="E161">
        <v>1</v>
      </c>
      <c r="F161">
        <v>1</v>
      </c>
      <c r="G161">
        <v>1081</v>
      </c>
      <c r="H161">
        <v>2</v>
      </c>
      <c r="I161" t="s">
        <v>456</v>
      </c>
      <c r="J161" t="s">
        <v>457</v>
      </c>
      <c r="K161" t="s">
        <v>458</v>
      </c>
      <c r="L161">
        <v>1368</v>
      </c>
      <c r="N161">
        <v>1011</v>
      </c>
      <c r="O161" t="s">
        <v>455</v>
      </c>
      <c r="P161" t="s">
        <v>455</v>
      </c>
      <c r="Q161">
        <v>1</v>
      </c>
      <c r="X161">
        <v>0.56000000000000005</v>
      </c>
      <c r="Y161">
        <v>0</v>
      </c>
      <c r="Z161">
        <v>1.1100000000000001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114</v>
      </c>
      <c r="AG161">
        <v>0.67200000000000004</v>
      </c>
      <c r="AH161">
        <v>2</v>
      </c>
      <c r="AI161">
        <v>55937500</v>
      </c>
      <c r="AJ161">
        <v>125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ROW(Source!A105)</f>
        <v>105</v>
      </c>
      <c r="B162">
        <v>55937501</v>
      </c>
      <c r="C162">
        <v>55937497</v>
      </c>
      <c r="D162">
        <v>55459340</v>
      </c>
      <c r="E162">
        <v>1</v>
      </c>
      <c r="F162">
        <v>1</v>
      </c>
      <c r="G162">
        <v>1081</v>
      </c>
      <c r="H162">
        <v>3</v>
      </c>
      <c r="I162" t="s">
        <v>459</v>
      </c>
      <c r="J162" t="s">
        <v>460</v>
      </c>
      <c r="K162" t="s">
        <v>461</v>
      </c>
      <c r="L162">
        <v>1354</v>
      </c>
      <c r="N162">
        <v>1010</v>
      </c>
      <c r="O162" t="s">
        <v>217</v>
      </c>
      <c r="P162" t="s">
        <v>217</v>
      </c>
      <c r="Q162">
        <v>1</v>
      </c>
      <c r="X162">
        <v>7</v>
      </c>
      <c r="Y162">
        <v>0.89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113</v>
      </c>
      <c r="AG162">
        <v>7</v>
      </c>
      <c r="AH162">
        <v>2</v>
      </c>
      <c r="AI162">
        <v>55937501</v>
      </c>
      <c r="AJ162">
        <v>126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ROW(Source!A105)</f>
        <v>105</v>
      </c>
      <c r="B163">
        <v>55937502</v>
      </c>
      <c r="C163">
        <v>55937497</v>
      </c>
      <c r="D163">
        <v>55460882</v>
      </c>
      <c r="E163">
        <v>1</v>
      </c>
      <c r="F163">
        <v>1</v>
      </c>
      <c r="G163">
        <v>1081</v>
      </c>
      <c r="H163">
        <v>3</v>
      </c>
      <c r="I163" t="s">
        <v>462</v>
      </c>
      <c r="J163" t="s">
        <v>463</v>
      </c>
      <c r="K163" t="s">
        <v>464</v>
      </c>
      <c r="L163">
        <v>1348</v>
      </c>
      <c r="N163">
        <v>1009</v>
      </c>
      <c r="O163" t="s">
        <v>287</v>
      </c>
      <c r="P163" t="s">
        <v>287</v>
      </c>
      <c r="Q163">
        <v>1000</v>
      </c>
      <c r="X163">
        <v>1.0000000000000001E-5</v>
      </c>
      <c r="Y163">
        <v>14327.51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113</v>
      </c>
      <c r="AG163">
        <v>1.0000000000000001E-5</v>
      </c>
      <c r="AH163">
        <v>2</v>
      </c>
      <c r="AI163">
        <v>55937502</v>
      </c>
      <c r="AJ163">
        <v>127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ROW(Source!A105)</f>
        <v>105</v>
      </c>
      <c r="B164">
        <v>55937503</v>
      </c>
      <c r="C164">
        <v>55937497</v>
      </c>
      <c r="D164">
        <v>55461127</v>
      </c>
      <c r="E164">
        <v>1</v>
      </c>
      <c r="F164">
        <v>1</v>
      </c>
      <c r="G164">
        <v>1081</v>
      </c>
      <c r="H164">
        <v>3</v>
      </c>
      <c r="I164" t="s">
        <v>465</v>
      </c>
      <c r="J164" t="s">
        <v>466</v>
      </c>
      <c r="K164" t="s">
        <v>467</v>
      </c>
      <c r="L164">
        <v>1355</v>
      </c>
      <c r="N164">
        <v>1010</v>
      </c>
      <c r="O164" t="s">
        <v>60</v>
      </c>
      <c r="P164" t="s">
        <v>60</v>
      </c>
      <c r="Q164">
        <v>100</v>
      </c>
      <c r="X164">
        <v>7.0000000000000007E-2</v>
      </c>
      <c r="Y164">
        <v>4.6100000000000003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113</v>
      </c>
      <c r="AG164">
        <v>7.0000000000000007E-2</v>
      </c>
      <c r="AH164">
        <v>2</v>
      </c>
      <c r="AI164">
        <v>55937503</v>
      </c>
      <c r="AJ164">
        <v>128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ROW(Source!A105)</f>
        <v>105</v>
      </c>
      <c r="B165">
        <v>55937504</v>
      </c>
      <c r="C165">
        <v>55937497</v>
      </c>
      <c r="D165">
        <v>55459554</v>
      </c>
      <c r="E165">
        <v>1</v>
      </c>
      <c r="F165">
        <v>1</v>
      </c>
      <c r="G165">
        <v>1081</v>
      </c>
      <c r="H165">
        <v>3</v>
      </c>
      <c r="I165" t="s">
        <v>468</v>
      </c>
      <c r="J165" t="s">
        <v>469</v>
      </c>
      <c r="K165" t="s">
        <v>470</v>
      </c>
      <c r="L165">
        <v>1346</v>
      </c>
      <c r="N165">
        <v>1009</v>
      </c>
      <c r="O165" t="s">
        <v>311</v>
      </c>
      <c r="P165" t="s">
        <v>311</v>
      </c>
      <c r="Q165">
        <v>1</v>
      </c>
      <c r="X165">
        <v>4.3999999999999997E-2</v>
      </c>
      <c r="Y165">
        <v>5.01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113</v>
      </c>
      <c r="AG165">
        <v>4.3999999999999997E-2</v>
      </c>
      <c r="AH165">
        <v>2</v>
      </c>
      <c r="AI165">
        <v>55937504</v>
      </c>
      <c r="AJ165">
        <v>129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ROW(Source!A105)</f>
        <v>105</v>
      </c>
      <c r="B166">
        <v>55937505</v>
      </c>
      <c r="C166">
        <v>55937497</v>
      </c>
      <c r="D166">
        <v>55459793</v>
      </c>
      <c r="E166">
        <v>1</v>
      </c>
      <c r="F166">
        <v>1</v>
      </c>
      <c r="G166">
        <v>1081</v>
      </c>
      <c r="H166">
        <v>3</v>
      </c>
      <c r="I166" t="s">
        <v>471</v>
      </c>
      <c r="J166" t="s">
        <v>472</v>
      </c>
      <c r="K166" t="s">
        <v>473</v>
      </c>
      <c r="L166">
        <v>1348</v>
      </c>
      <c r="N166">
        <v>1009</v>
      </c>
      <c r="O166" t="s">
        <v>287</v>
      </c>
      <c r="P166" t="s">
        <v>287</v>
      </c>
      <c r="Q166">
        <v>1000</v>
      </c>
      <c r="X166">
        <v>2.0000000000000002E-5</v>
      </c>
      <c r="Y166">
        <v>64123.05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113</v>
      </c>
      <c r="AG166">
        <v>2.0000000000000002E-5</v>
      </c>
      <c r="AH166">
        <v>2</v>
      </c>
      <c r="AI166">
        <v>55937505</v>
      </c>
      <c r="AJ166">
        <v>130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ROW(Source!A105)</f>
        <v>105</v>
      </c>
      <c r="B167">
        <v>55937506</v>
      </c>
      <c r="C167">
        <v>55937497</v>
      </c>
      <c r="D167">
        <v>55469262</v>
      </c>
      <c r="E167">
        <v>1</v>
      </c>
      <c r="F167">
        <v>1</v>
      </c>
      <c r="G167">
        <v>1081</v>
      </c>
      <c r="H167">
        <v>3</v>
      </c>
      <c r="I167" t="s">
        <v>474</v>
      </c>
      <c r="J167" t="s">
        <v>475</v>
      </c>
      <c r="K167" t="s">
        <v>476</v>
      </c>
      <c r="L167">
        <v>1354</v>
      </c>
      <c r="N167">
        <v>1010</v>
      </c>
      <c r="O167" t="s">
        <v>217</v>
      </c>
      <c r="P167" t="s">
        <v>217</v>
      </c>
      <c r="Q167">
        <v>1</v>
      </c>
      <c r="X167">
        <v>0.09</v>
      </c>
      <c r="Y167">
        <v>10.53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113</v>
      </c>
      <c r="AG167">
        <v>0.09</v>
      </c>
      <c r="AH167">
        <v>2</v>
      </c>
      <c r="AI167">
        <v>55937506</v>
      </c>
      <c r="AJ167">
        <v>131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ROW(Source!A105)</f>
        <v>105</v>
      </c>
      <c r="B168">
        <v>55937507</v>
      </c>
      <c r="C168">
        <v>55937497</v>
      </c>
      <c r="D168">
        <v>55439336</v>
      </c>
      <c r="E168">
        <v>1081</v>
      </c>
      <c r="F168">
        <v>1</v>
      </c>
      <c r="G168">
        <v>1081</v>
      </c>
      <c r="H168">
        <v>3</v>
      </c>
      <c r="I168" t="s">
        <v>618</v>
      </c>
      <c r="J168" t="s">
        <v>3</v>
      </c>
      <c r="K168" t="s">
        <v>619</v>
      </c>
      <c r="L168">
        <v>1301</v>
      </c>
      <c r="N168">
        <v>1003</v>
      </c>
      <c r="O168" t="s">
        <v>332</v>
      </c>
      <c r="P168" t="s">
        <v>332</v>
      </c>
      <c r="Q168">
        <v>1</v>
      </c>
      <c r="X168">
        <v>1.02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113</v>
      </c>
      <c r="AG168">
        <v>1.02</v>
      </c>
      <c r="AH168">
        <v>3</v>
      </c>
      <c r="AI168">
        <v>-1</v>
      </c>
      <c r="AJ168" t="s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ROW(Source!A105)</f>
        <v>105</v>
      </c>
      <c r="B169">
        <v>55937508</v>
      </c>
      <c r="C169">
        <v>55937497</v>
      </c>
      <c r="D169">
        <v>55441123</v>
      </c>
      <c r="E169">
        <v>1081</v>
      </c>
      <c r="F169">
        <v>1</v>
      </c>
      <c r="G169">
        <v>1081</v>
      </c>
      <c r="H169">
        <v>3</v>
      </c>
      <c r="I169" t="s">
        <v>620</v>
      </c>
      <c r="J169" t="s">
        <v>3</v>
      </c>
      <c r="K169" t="s">
        <v>621</v>
      </c>
      <c r="L169">
        <v>1354</v>
      </c>
      <c r="N169">
        <v>1010</v>
      </c>
      <c r="O169" t="s">
        <v>217</v>
      </c>
      <c r="P169" t="s">
        <v>217</v>
      </c>
      <c r="Q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113</v>
      </c>
      <c r="AG169">
        <v>1</v>
      </c>
      <c r="AH169">
        <v>3</v>
      </c>
      <c r="AI169">
        <v>-1</v>
      </c>
      <c r="AJ169" t="s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ROW(Source!A105)</f>
        <v>105</v>
      </c>
      <c r="B170">
        <v>55937509</v>
      </c>
      <c r="C170">
        <v>55937497</v>
      </c>
      <c r="D170">
        <v>55441124</v>
      </c>
      <c r="E170">
        <v>1081</v>
      </c>
      <c r="F170">
        <v>1</v>
      </c>
      <c r="G170">
        <v>1081</v>
      </c>
      <c r="H170">
        <v>3</v>
      </c>
      <c r="I170" t="s">
        <v>620</v>
      </c>
      <c r="J170" t="s">
        <v>3</v>
      </c>
      <c r="K170" t="s">
        <v>622</v>
      </c>
      <c r="L170">
        <v>1354</v>
      </c>
      <c r="N170">
        <v>1010</v>
      </c>
      <c r="O170" t="s">
        <v>217</v>
      </c>
      <c r="P170" t="s">
        <v>217</v>
      </c>
      <c r="Q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113</v>
      </c>
      <c r="AG170">
        <v>1</v>
      </c>
      <c r="AH170">
        <v>3</v>
      </c>
      <c r="AI170">
        <v>-1</v>
      </c>
      <c r="AJ170" t="s">
        <v>3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ROW(Source!A105)</f>
        <v>105</v>
      </c>
      <c r="B171">
        <v>55937510</v>
      </c>
      <c r="C171">
        <v>55937497</v>
      </c>
      <c r="D171">
        <v>55441139</v>
      </c>
      <c r="E171">
        <v>1081</v>
      </c>
      <c r="F171">
        <v>1</v>
      </c>
      <c r="G171">
        <v>1081</v>
      </c>
      <c r="H171">
        <v>3</v>
      </c>
      <c r="I171" t="s">
        <v>623</v>
      </c>
      <c r="J171" t="s">
        <v>3</v>
      </c>
      <c r="K171" t="s">
        <v>624</v>
      </c>
      <c r="L171">
        <v>1301</v>
      </c>
      <c r="N171">
        <v>1003</v>
      </c>
      <c r="O171" t="s">
        <v>332</v>
      </c>
      <c r="P171" t="s">
        <v>332</v>
      </c>
      <c r="Q171">
        <v>1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113</v>
      </c>
      <c r="AG171">
        <v>2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ROW(Source!A105)</f>
        <v>105</v>
      </c>
      <c r="B172">
        <v>55937511</v>
      </c>
      <c r="C172">
        <v>55937497</v>
      </c>
      <c r="D172">
        <v>55453282</v>
      </c>
      <c r="E172">
        <v>1081</v>
      </c>
      <c r="F172">
        <v>1</v>
      </c>
      <c r="G172">
        <v>1081</v>
      </c>
      <c r="H172">
        <v>3</v>
      </c>
      <c r="I172" t="s">
        <v>625</v>
      </c>
      <c r="J172" t="s">
        <v>3</v>
      </c>
      <c r="K172" t="s">
        <v>626</v>
      </c>
      <c r="L172">
        <v>1301</v>
      </c>
      <c r="N172">
        <v>1003</v>
      </c>
      <c r="O172" t="s">
        <v>332</v>
      </c>
      <c r="P172" t="s">
        <v>332</v>
      </c>
      <c r="Q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113</v>
      </c>
      <c r="AG172">
        <v>1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ROW(Source!A106)</f>
        <v>106</v>
      </c>
      <c r="B173">
        <v>55937498</v>
      </c>
      <c r="C173">
        <v>55937497</v>
      </c>
      <c r="D173">
        <v>55424304</v>
      </c>
      <c r="E173">
        <v>1081</v>
      </c>
      <c r="F173">
        <v>1</v>
      </c>
      <c r="G173">
        <v>1081</v>
      </c>
      <c r="H173">
        <v>1</v>
      </c>
      <c r="I173" t="s">
        <v>449</v>
      </c>
      <c r="J173" t="s">
        <v>3</v>
      </c>
      <c r="K173" t="s">
        <v>450</v>
      </c>
      <c r="L173">
        <v>1191</v>
      </c>
      <c r="N173">
        <v>1013</v>
      </c>
      <c r="O173" t="s">
        <v>451</v>
      </c>
      <c r="P173" t="s">
        <v>451</v>
      </c>
      <c r="Q173">
        <v>1</v>
      </c>
      <c r="X173">
        <v>6.01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 t="s">
        <v>114</v>
      </c>
      <c r="AG173">
        <v>7.2119999999999997</v>
      </c>
      <c r="AH173">
        <v>2</v>
      </c>
      <c r="AI173">
        <v>55937498</v>
      </c>
      <c r="AJ173">
        <v>133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ROW(Source!A106)</f>
        <v>106</v>
      </c>
      <c r="B174">
        <v>55937499</v>
      </c>
      <c r="C174">
        <v>55937497</v>
      </c>
      <c r="D174">
        <v>55490330</v>
      </c>
      <c r="E174">
        <v>1</v>
      </c>
      <c r="F174">
        <v>1</v>
      </c>
      <c r="G174">
        <v>1081</v>
      </c>
      <c r="H174">
        <v>2</v>
      </c>
      <c r="I174" t="s">
        <v>452</v>
      </c>
      <c r="J174" t="s">
        <v>453</v>
      </c>
      <c r="K174" t="s">
        <v>454</v>
      </c>
      <c r="L174">
        <v>1368</v>
      </c>
      <c r="N174">
        <v>1011</v>
      </c>
      <c r="O174" t="s">
        <v>455</v>
      </c>
      <c r="P174" t="s">
        <v>455</v>
      </c>
      <c r="Q174">
        <v>1</v>
      </c>
      <c r="X174">
        <v>0.25</v>
      </c>
      <c r="Y174">
        <v>0</v>
      </c>
      <c r="Z174">
        <v>0.8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114</v>
      </c>
      <c r="AG174">
        <v>0.3</v>
      </c>
      <c r="AH174">
        <v>2</v>
      </c>
      <c r="AI174">
        <v>55937499</v>
      </c>
      <c r="AJ174">
        <v>134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ROW(Source!A106)</f>
        <v>106</v>
      </c>
      <c r="B175">
        <v>55937500</v>
      </c>
      <c r="C175">
        <v>55937497</v>
      </c>
      <c r="D175">
        <v>55490331</v>
      </c>
      <c r="E175">
        <v>1</v>
      </c>
      <c r="F175">
        <v>1</v>
      </c>
      <c r="G175">
        <v>1081</v>
      </c>
      <c r="H175">
        <v>2</v>
      </c>
      <c r="I175" t="s">
        <v>456</v>
      </c>
      <c r="J175" t="s">
        <v>457</v>
      </c>
      <c r="K175" t="s">
        <v>458</v>
      </c>
      <c r="L175">
        <v>1368</v>
      </c>
      <c r="N175">
        <v>1011</v>
      </c>
      <c r="O175" t="s">
        <v>455</v>
      </c>
      <c r="P175" t="s">
        <v>455</v>
      </c>
      <c r="Q175">
        <v>1</v>
      </c>
      <c r="X175">
        <v>0.56000000000000005</v>
      </c>
      <c r="Y175">
        <v>0</v>
      </c>
      <c r="Z175">
        <v>1.1100000000000001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114</v>
      </c>
      <c r="AG175">
        <v>0.67200000000000004</v>
      </c>
      <c r="AH175">
        <v>2</v>
      </c>
      <c r="AI175">
        <v>55937500</v>
      </c>
      <c r="AJ175">
        <v>135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ROW(Source!A106)</f>
        <v>106</v>
      </c>
      <c r="B176">
        <v>55937501</v>
      </c>
      <c r="C176">
        <v>55937497</v>
      </c>
      <c r="D176">
        <v>55459340</v>
      </c>
      <c r="E176">
        <v>1</v>
      </c>
      <c r="F176">
        <v>1</v>
      </c>
      <c r="G176">
        <v>1081</v>
      </c>
      <c r="H176">
        <v>3</v>
      </c>
      <c r="I176" t="s">
        <v>459</v>
      </c>
      <c r="J176" t="s">
        <v>460</v>
      </c>
      <c r="K176" t="s">
        <v>461</v>
      </c>
      <c r="L176">
        <v>1354</v>
      </c>
      <c r="N176">
        <v>1010</v>
      </c>
      <c r="O176" t="s">
        <v>217</v>
      </c>
      <c r="P176" t="s">
        <v>217</v>
      </c>
      <c r="Q176">
        <v>1</v>
      </c>
      <c r="X176">
        <v>7</v>
      </c>
      <c r="Y176">
        <v>0.89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113</v>
      </c>
      <c r="AG176">
        <v>7</v>
      </c>
      <c r="AH176">
        <v>2</v>
      </c>
      <c r="AI176">
        <v>55937501</v>
      </c>
      <c r="AJ176">
        <v>136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ROW(Source!A106)</f>
        <v>106</v>
      </c>
      <c r="B177">
        <v>55937502</v>
      </c>
      <c r="C177">
        <v>55937497</v>
      </c>
      <c r="D177">
        <v>55460882</v>
      </c>
      <c r="E177">
        <v>1</v>
      </c>
      <c r="F177">
        <v>1</v>
      </c>
      <c r="G177">
        <v>1081</v>
      </c>
      <c r="H177">
        <v>3</v>
      </c>
      <c r="I177" t="s">
        <v>462</v>
      </c>
      <c r="J177" t="s">
        <v>463</v>
      </c>
      <c r="K177" t="s">
        <v>464</v>
      </c>
      <c r="L177">
        <v>1348</v>
      </c>
      <c r="N177">
        <v>1009</v>
      </c>
      <c r="O177" t="s">
        <v>287</v>
      </c>
      <c r="P177" t="s">
        <v>287</v>
      </c>
      <c r="Q177">
        <v>1000</v>
      </c>
      <c r="X177">
        <v>1.0000000000000001E-5</v>
      </c>
      <c r="Y177">
        <v>14327.51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113</v>
      </c>
      <c r="AG177">
        <v>1.0000000000000001E-5</v>
      </c>
      <c r="AH177">
        <v>2</v>
      </c>
      <c r="AI177">
        <v>55937502</v>
      </c>
      <c r="AJ177">
        <v>137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ROW(Source!A106)</f>
        <v>106</v>
      </c>
      <c r="B178">
        <v>55937503</v>
      </c>
      <c r="C178">
        <v>55937497</v>
      </c>
      <c r="D178">
        <v>55461127</v>
      </c>
      <c r="E178">
        <v>1</v>
      </c>
      <c r="F178">
        <v>1</v>
      </c>
      <c r="G178">
        <v>1081</v>
      </c>
      <c r="H178">
        <v>3</v>
      </c>
      <c r="I178" t="s">
        <v>465</v>
      </c>
      <c r="J178" t="s">
        <v>466</v>
      </c>
      <c r="K178" t="s">
        <v>467</v>
      </c>
      <c r="L178">
        <v>1355</v>
      </c>
      <c r="N178">
        <v>1010</v>
      </c>
      <c r="O178" t="s">
        <v>60</v>
      </c>
      <c r="P178" t="s">
        <v>60</v>
      </c>
      <c r="Q178">
        <v>100</v>
      </c>
      <c r="X178">
        <v>7.0000000000000007E-2</v>
      </c>
      <c r="Y178">
        <v>4.6100000000000003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113</v>
      </c>
      <c r="AG178">
        <v>7.0000000000000007E-2</v>
      </c>
      <c r="AH178">
        <v>2</v>
      </c>
      <c r="AI178">
        <v>55937503</v>
      </c>
      <c r="AJ178">
        <v>138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ROW(Source!A106)</f>
        <v>106</v>
      </c>
      <c r="B179">
        <v>55937504</v>
      </c>
      <c r="C179">
        <v>55937497</v>
      </c>
      <c r="D179">
        <v>55459554</v>
      </c>
      <c r="E179">
        <v>1</v>
      </c>
      <c r="F179">
        <v>1</v>
      </c>
      <c r="G179">
        <v>1081</v>
      </c>
      <c r="H179">
        <v>3</v>
      </c>
      <c r="I179" t="s">
        <v>468</v>
      </c>
      <c r="J179" t="s">
        <v>469</v>
      </c>
      <c r="K179" t="s">
        <v>470</v>
      </c>
      <c r="L179">
        <v>1346</v>
      </c>
      <c r="N179">
        <v>1009</v>
      </c>
      <c r="O179" t="s">
        <v>311</v>
      </c>
      <c r="P179" t="s">
        <v>311</v>
      </c>
      <c r="Q179">
        <v>1</v>
      </c>
      <c r="X179">
        <v>4.3999999999999997E-2</v>
      </c>
      <c r="Y179">
        <v>5.01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113</v>
      </c>
      <c r="AG179">
        <v>4.3999999999999997E-2</v>
      </c>
      <c r="AH179">
        <v>2</v>
      </c>
      <c r="AI179">
        <v>55937504</v>
      </c>
      <c r="AJ179">
        <v>139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ROW(Source!A106)</f>
        <v>106</v>
      </c>
      <c r="B180">
        <v>55937505</v>
      </c>
      <c r="C180">
        <v>55937497</v>
      </c>
      <c r="D180">
        <v>55459793</v>
      </c>
      <c r="E180">
        <v>1</v>
      </c>
      <c r="F180">
        <v>1</v>
      </c>
      <c r="G180">
        <v>1081</v>
      </c>
      <c r="H180">
        <v>3</v>
      </c>
      <c r="I180" t="s">
        <v>471</v>
      </c>
      <c r="J180" t="s">
        <v>472</v>
      </c>
      <c r="K180" t="s">
        <v>473</v>
      </c>
      <c r="L180">
        <v>1348</v>
      </c>
      <c r="N180">
        <v>1009</v>
      </c>
      <c r="O180" t="s">
        <v>287</v>
      </c>
      <c r="P180" t="s">
        <v>287</v>
      </c>
      <c r="Q180">
        <v>1000</v>
      </c>
      <c r="X180">
        <v>2.0000000000000002E-5</v>
      </c>
      <c r="Y180">
        <v>64123.05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113</v>
      </c>
      <c r="AG180">
        <v>2.0000000000000002E-5</v>
      </c>
      <c r="AH180">
        <v>2</v>
      </c>
      <c r="AI180">
        <v>55937505</v>
      </c>
      <c r="AJ180">
        <v>140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ROW(Source!A106)</f>
        <v>106</v>
      </c>
      <c r="B181">
        <v>55937506</v>
      </c>
      <c r="C181">
        <v>55937497</v>
      </c>
      <c r="D181">
        <v>55469262</v>
      </c>
      <c r="E181">
        <v>1</v>
      </c>
      <c r="F181">
        <v>1</v>
      </c>
      <c r="G181">
        <v>1081</v>
      </c>
      <c r="H181">
        <v>3</v>
      </c>
      <c r="I181" t="s">
        <v>474</v>
      </c>
      <c r="J181" t="s">
        <v>475</v>
      </c>
      <c r="K181" t="s">
        <v>476</v>
      </c>
      <c r="L181">
        <v>1354</v>
      </c>
      <c r="N181">
        <v>1010</v>
      </c>
      <c r="O181" t="s">
        <v>217</v>
      </c>
      <c r="P181" t="s">
        <v>217</v>
      </c>
      <c r="Q181">
        <v>1</v>
      </c>
      <c r="X181">
        <v>0.09</v>
      </c>
      <c r="Y181">
        <v>10.53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113</v>
      </c>
      <c r="AG181">
        <v>0.09</v>
      </c>
      <c r="AH181">
        <v>2</v>
      </c>
      <c r="AI181">
        <v>55937506</v>
      </c>
      <c r="AJ181">
        <v>141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ROW(Source!A106)</f>
        <v>106</v>
      </c>
      <c r="B182">
        <v>55937507</v>
      </c>
      <c r="C182">
        <v>55937497</v>
      </c>
      <c r="D182">
        <v>55439336</v>
      </c>
      <c r="E182">
        <v>1081</v>
      </c>
      <c r="F182">
        <v>1</v>
      </c>
      <c r="G182">
        <v>1081</v>
      </c>
      <c r="H182">
        <v>3</v>
      </c>
      <c r="I182" t="s">
        <v>618</v>
      </c>
      <c r="J182" t="s">
        <v>3</v>
      </c>
      <c r="K182" t="s">
        <v>619</v>
      </c>
      <c r="L182">
        <v>1301</v>
      </c>
      <c r="N182">
        <v>1003</v>
      </c>
      <c r="O182" t="s">
        <v>332</v>
      </c>
      <c r="P182" t="s">
        <v>332</v>
      </c>
      <c r="Q182">
        <v>1</v>
      </c>
      <c r="X182">
        <v>1.02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113</v>
      </c>
      <c r="AG182">
        <v>1.02</v>
      </c>
      <c r="AH182">
        <v>3</v>
      </c>
      <c r="AI182">
        <v>-1</v>
      </c>
      <c r="AJ182" t="s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ROW(Source!A106)</f>
        <v>106</v>
      </c>
      <c r="B183">
        <v>55937508</v>
      </c>
      <c r="C183">
        <v>55937497</v>
      </c>
      <c r="D183">
        <v>55441123</v>
      </c>
      <c r="E183">
        <v>1081</v>
      </c>
      <c r="F183">
        <v>1</v>
      </c>
      <c r="G183">
        <v>1081</v>
      </c>
      <c r="H183">
        <v>3</v>
      </c>
      <c r="I183" t="s">
        <v>620</v>
      </c>
      <c r="J183" t="s">
        <v>3</v>
      </c>
      <c r="K183" t="s">
        <v>621</v>
      </c>
      <c r="L183">
        <v>1354</v>
      </c>
      <c r="N183">
        <v>1010</v>
      </c>
      <c r="O183" t="s">
        <v>217</v>
      </c>
      <c r="P183" t="s">
        <v>217</v>
      </c>
      <c r="Q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113</v>
      </c>
      <c r="AG183">
        <v>1</v>
      </c>
      <c r="AH183">
        <v>3</v>
      </c>
      <c r="AI183">
        <v>-1</v>
      </c>
      <c r="AJ183" t="s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ROW(Source!A106)</f>
        <v>106</v>
      </c>
      <c r="B184">
        <v>55937509</v>
      </c>
      <c r="C184">
        <v>55937497</v>
      </c>
      <c r="D184">
        <v>55441124</v>
      </c>
      <c r="E184">
        <v>1081</v>
      </c>
      <c r="F184">
        <v>1</v>
      </c>
      <c r="G184">
        <v>1081</v>
      </c>
      <c r="H184">
        <v>3</v>
      </c>
      <c r="I184" t="s">
        <v>620</v>
      </c>
      <c r="J184" t="s">
        <v>3</v>
      </c>
      <c r="K184" t="s">
        <v>622</v>
      </c>
      <c r="L184">
        <v>1354</v>
      </c>
      <c r="N184">
        <v>1010</v>
      </c>
      <c r="O184" t="s">
        <v>217</v>
      </c>
      <c r="P184" t="s">
        <v>217</v>
      </c>
      <c r="Q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113</v>
      </c>
      <c r="AG184">
        <v>1</v>
      </c>
      <c r="AH184">
        <v>3</v>
      </c>
      <c r="AI184">
        <v>-1</v>
      </c>
      <c r="AJ184" t="s">
        <v>3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ROW(Source!A106)</f>
        <v>106</v>
      </c>
      <c r="B185">
        <v>55937510</v>
      </c>
      <c r="C185">
        <v>55937497</v>
      </c>
      <c r="D185">
        <v>55441139</v>
      </c>
      <c r="E185">
        <v>1081</v>
      </c>
      <c r="F185">
        <v>1</v>
      </c>
      <c r="G185">
        <v>1081</v>
      </c>
      <c r="H185">
        <v>3</v>
      </c>
      <c r="I185" t="s">
        <v>623</v>
      </c>
      <c r="J185" t="s">
        <v>3</v>
      </c>
      <c r="K185" t="s">
        <v>624</v>
      </c>
      <c r="L185">
        <v>1301</v>
      </c>
      <c r="N185">
        <v>1003</v>
      </c>
      <c r="O185" t="s">
        <v>332</v>
      </c>
      <c r="P185" t="s">
        <v>332</v>
      </c>
      <c r="Q185">
        <v>1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113</v>
      </c>
      <c r="AG185">
        <v>2</v>
      </c>
      <c r="AH185">
        <v>3</v>
      </c>
      <c r="AI185">
        <v>-1</v>
      </c>
      <c r="AJ185" t="s">
        <v>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ROW(Source!A106)</f>
        <v>106</v>
      </c>
      <c r="B186">
        <v>55937511</v>
      </c>
      <c r="C186">
        <v>55937497</v>
      </c>
      <c r="D186">
        <v>55453282</v>
      </c>
      <c r="E186">
        <v>1081</v>
      </c>
      <c r="F186">
        <v>1</v>
      </c>
      <c r="G186">
        <v>1081</v>
      </c>
      <c r="H186">
        <v>3</v>
      </c>
      <c r="I186" t="s">
        <v>625</v>
      </c>
      <c r="J186" t="s">
        <v>3</v>
      </c>
      <c r="K186" t="s">
        <v>626</v>
      </c>
      <c r="L186">
        <v>1301</v>
      </c>
      <c r="N186">
        <v>1003</v>
      </c>
      <c r="O186" t="s">
        <v>332</v>
      </c>
      <c r="P186" t="s">
        <v>332</v>
      </c>
      <c r="Q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113</v>
      </c>
      <c r="AG186">
        <v>1</v>
      </c>
      <c r="AH186">
        <v>3</v>
      </c>
      <c r="AI186">
        <v>-1</v>
      </c>
      <c r="AJ186" t="s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ROW(Source!A109)</f>
        <v>109</v>
      </c>
      <c r="B187">
        <v>55937523</v>
      </c>
      <c r="C187">
        <v>55937522</v>
      </c>
      <c r="D187">
        <v>55424304</v>
      </c>
      <c r="E187">
        <v>1081</v>
      </c>
      <c r="F187">
        <v>1</v>
      </c>
      <c r="G187">
        <v>1081</v>
      </c>
      <c r="H187">
        <v>1</v>
      </c>
      <c r="I187" t="s">
        <v>449</v>
      </c>
      <c r="J187" t="s">
        <v>3</v>
      </c>
      <c r="K187" t="s">
        <v>450</v>
      </c>
      <c r="L187">
        <v>1191</v>
      </c>
      <c r="N187">
        <v>1013</v>
      </c>
      <c r="O187" t="s">
        <v>451</v>
      </c>
      <c r="P187" t="s">
        <v>451</v>
      </c>
      <c r="Q187">
        <v>1</v>
      </c>
      <c r="X187">
        <v>1.36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114</v>
      </c>
      <c r="AG187">
        <v>1.6320000000000001</v>
      </c>
      <c r="AH187">
        <v>2</v>
      </c>
      <c r="AI187">
        <v>55937523</v>
      </c>
      <c r="AJ187">
        <v>143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ROW(Source!A109)</f>
        <v>109</v>
      </c>
      <c r="B188">
        <v>55937524</v>
      </c>
      <c r="C188">
        <v>55937522</v>
      </c>
      <c r="D188">
        <v>55490330</v>
      </c>
      <c r="E188">
        <v>1</v>
      </c>
      <c r="F188">
        <v>1</v>
      </c>
      <c r="G188">
        <v>1081</v>
      </c>
      <c r="H188">
        <v>2</v>
      </c>
      <c r="I188" t="s">
        <v>452</v>
      </c>
      <c r="J188" t="s">
        <v>453</v>
      </c>
      <c r="K188" t="s">
        <v>454</v>
      </c>
      <c r="L188">
        <v>1368</v>
      </c>
      <c r="N188">
        <v>1011</v>
      </c>
      <c r="O188" t="s">
        <v>455</v>
      </c>
      <c r="P188" t="s">
        <v>455</v>
      </c>
      <c r="Q188">
        <v>1</v>
      </c>
      <c r="X188">
        <v>1.7000000000000001E-2</v>
      </c>
      <c r="Y188">
        <v>0</v>
      </c>
      <c r="Z188">
        <v>0.8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114</v>
      </c>
      <c r="AG188">
        <v>2.0400000000000001E-2</v>
      </c>
      <c r="AH188">
        <v>2</v>
      </c>
      <c r="AI188">
        <v>55937524</v>
      </c>
      <c r="AJ188">
        <v>144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ROW(Source!A109)</f>
        <v>109</v>
      </c>
      <c r="B189">
        <v>55937525</v>
      </c>
      <c r="C189">
        <v>55937522</v>
      </c>
      <c r="D189">
        <v>55490296</v>
      </c>
      <c r="E189">
        <v>1</v>
      </c>
      <c r="F189">
        <v>1</v>
      </c>
      <c r="G189">
        <v>1081</v>
      </c>
      <c r="H189">
        <v>2</v>
      </c>
      <c r="I189" t="s">
        <v>477</v>
      </c>
      <c r="J189" t="s">
        <v>478</v>
      </c>
      <c r="K189" t="s">
        <v>479</v>
      </c>
      <c r="L189">
        <v>1368</v>
      </c>
      <c r="N189">
        <v>1011</v>
      </c>
      <c r="O189" t="s">
        <v>455</v>
      </c>
      <c r="P189" t="s">
        <v>455</v>
      </c>
      <c r="Q189">
        <v>1</v>
      </c>
      <c r="X189">
        <v>0.02</v>
      </c>
      <c r="Y189">
        <v>0</v>
      </c>
      <c r="Z189">
        <v>0.47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114</v>
      </c>
      <c r="AG189">
        <v>2.4E-2</v>
      </c>
      <c r="AH189">
        <v>2</v>
      </c>
      <c r="AI189">
        <v>55937525</v>
      </c>
      <c r="AJ189">
        <v>145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ROW(Source!A109)</f>
        <v>109</v>
      </c>
      <c r="B190">
        <v>55937526</v>
      </c>
      <c r="C190">
        <v>55937522</v>
      </c>
      <c r="D190">
        <v>55461074</v>
      </c>
      <c r="E190">
        <v>1</v>
      </c>
      <c r="F190">
        <v>1</v>
      </c>
      <c r="G190">
        <v>1081</v>
      </c>
      <c r="H190">
        <v>3</v>
      </c>
      <c r="I190" t="s">
        <v>480</v>
      </c>
      <c r="J190" t="s">
        <v>481</v>
      </c>
      <c r="K190" t="s">
        <v>482</v>
      </c>
      <c r="L190">
        <v>1346</v>
      </c>
      <c r="N190">
        <v>1009</v>
      </c>
      <c r="O190" t="s">
        <v>311</v>
      </c>
      <c r="P190" t="s">
        <v>311</v>
      </c>
      <c r="Q190">
        <v>1</v>
      </c>
      <c r="X190">
        <v>6.2700000000000004E-3</v>
      </c>
      <c r="Y190">
        <v>27.62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113</v>
      </c>
      <c r="AG190">
        <v>6.2700000000000004E-3</v>
      </c>
      <c r="AH190">
        <v>2</v>
      </c>
      <c r="AI190">
        <v>55937526</v>
      </c>
      <c r="AJ190">
        <v>146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ROW(Source!A109)</f>
        <v>109</v>
      </c>
      <c r="B191">
        <v>55937527</v>
      </c>
      <c r="C191">
        <v>55937522</v>
      </c>
      <c r="D191">
        <v>55459793</v>
      </c>
      <c r="E191">
        <v>1</v>
      </c>
      <c r="F191">
        <v>1</v>
      </c>
      <c r="G191">
        <v>1081</v>
      </c>
      <c r="H191">
        <v>3</v>
      </c>
      <c r="I191" t="s">
        <v>471</v>
      </c>
      <c r="J191" t="s">
        <v>472</v>
      </c>
      <c r="K191" t="s">
        <v>473</v>
      </c>
      <c r="L191">
        <v>1348</v>
      </c>
      <c r="N191">
        <v>1009</v>
      </c>
      <c r="O191" t="s">
        <v>287</v>
      </c>
      <c r="P191" t="s">
        <v>287</v>
      </c>
      <c r="Q191">
        <v>1000</v>
      </c>
      <c r="X191">
        <v>1.0000000000000001E-5</v>
      </c>
      <c r="Y191">
        <v>64123.05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113</v>
      </c>
      <c r="AG191">
        <v>1.0000000000000001E-5</v>
      </c>
      <c r="AH191">
        <v>2</v>
      </c>
      <c r="AI191">
        <v>55937527</v>
      </c>
      <c r="AJ191">
        <v>147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ROW(Source!A109)</f>
        <v>109</v>
      </c>
      <c r="B192">
        <v>55937528</v>
      </c>
      <c r="C192">
        <v>55937522</v>
      </c>
      <c r="D192">
        <v>55469253</v>
      </c>
      <c r="E192">
        <v>1</v>
      </c>
      <c r="F192">
        <v>1</v>
      </c>
      <c r="G192">
        <v>1081</v>
      </c>
      <c r="H192">
        <v>3</v>
      </c>
      <c r="I192" t="s">
        <v>483</v>
      </c>
      <c r="J192" t="s">
        <v>484</v>
      </c>
      <c r="K192" t="s">
        <v>485</v>
      </c>
      <c r="L192">
        <v>1354</v>
      </c>
      <c r="N192">
        <v>1010</v>
      </c>
      <c r="O192" t="s">
        <v>217</v>
      </c>
      <c r="P192" t="s">
        <v>217</v>
      </c>
      <c r="Q192">
        <v>1</v>
      </c>
      <c r="X192">
        <v>0.1</v>
      </c>
      <c r="Y192">
        <v>15.25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113</v>
      </c>
      <c r="AG192">
        <v>0.1</v>
      </c>
      <c r="AH192">
        <v>2</v>
      </c>
      <c r="AI192">
        <v>55937528</v>
      </c>
      <c r="AJ192">
        <v>148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ROW(Source!A109)</f>
        <v>109</v>
      </c>
      <c r="B193">
        <v>55937529</v>
      </c>
      <c r="C193">
        <v>55937522</v>
      </c>
      <c r="D193">
        <v>55441128</v>
      </c>
      <c r="E193">
        <v>1081</v>
      </c>
      <c r="F193">
        <v>1</v>
      </c>
      <c r="G193">
        <v>1081</v>
      </c>
      <c r="H193">
        <v>3</v>
      </c>
      <c r="I193" t="s">
        <v>627</v>
      </c>
      <c r="J193" t="s">
        <v>3</v>
      </c>
      <c r="K193" t="s">
        <v>628</v>
      </c>
      <c r="L193">
        <v>1354</v>
      </c>
      <c r="N193">
        <v>1010</v>
      </c>
      <c r="O193" t="s">
        <v>217</v>
      </c>
      <c r="P193" t="s">
        <v>217</v>
      </c>
      <c r="Q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113</v>
      </c>
      <c r="AG193">
        <v>1</v>
      </c>
      <c r="AH193">
        <v>3</v>
      </c>
      <c r="AI193">
        <v>-1</v>
      </c>
      <c r="AJ193" t="s">
        <v>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ROW(Source!A110)</f>
        <v>110</v>
      </c>
      <c r="B194">
        <v>55937523</v>
      </c>
      <c r="C194">
        <v>55937522</v>
      </c>
      <c r="D194">
        <v>55424304</v>
      </c>
      <c r="E194">
        <v>1081</v>
      </c>
      <c r="F194">
        <v>1</v>
      </c>
      <c r="G194">
        <v>1081</v>
      </c>
      <c r="H194">
        <v>1</v>
      </c>
      <c r="I194" t="s">
        <v>449</v>
      </c>
      <c r="J194" t="s">
        <v>3</v>
      </c>
      <c r="K194" t="s">
        <v>450</v>
      </c>
      <c r="L194">
        <v>1191</v>
      </c>
      <c r="N194">
        <v>1013</v>
      </c>
      <c r="O194" t="s">
        <v>451</v>
      </c>
      <c r="P194" t="s">
        <v>451</v>
      </c>
      <c r="Q194">
        <v>1</v>
      </c>
      <c r="X194">
        <v>1.36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 t="s">
        <v>114</v>
      </c>
      <c r="AG194">
        <v>1.6320000000000001</v>
      </c>
      <c r="AH194">
        <v>2</v>
      </c>
      <c r="AI194">
        <v>55937523</v>
      </c>
      <c r="AJ194">
        <v>149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ROW(Source!A110)</f>
        <v>110</v>
      </c>
      <c r="B195">
        <v>55937524</v>
      </c>
      <c r="C195">
        <v>55937522</v>
      </c>
      <c r="D195">
        <v>55490330</v>
      </c>
      <c r="E195">
        <v>1</v>
      </c>
      <c r="F195">
        <v>1</v>
      </c>
      <c r="G195">
        <v>1081</v>
      </c>
      <c r="H195">
        <v>2</v>
      </c>
      <c r="I195" t="s">
        <v>452</v>
      </c>
      <c r="J195" t="s">
        <v>453</v>
      </c>
      <c r="K195" t="s">
        <v>454</v>
      </c>
      <c r="L195">
        <v>1368</v>
      </c>
      <c r="N195">
        <v>1011</v>
      </c>
      <c r="O195" t="s">
        <v>455</v>
      </c>
      <c r="P195" t="s">
        <v>455</v>
      </c>
      <c r="Q195">
        <v>1</v>
      </c>
      <c r="X195">
        <v>1.7000000000000001E-2</v>
      </c>
      <c r="Y195">
        <v>0</v>
      </c>
      <c r="Z195">
        <v>0.8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114</v>
      </c>
      <c r="AG195">
        <v>2.0400000000000001E-2</v>
      </c>
      <c r="AH195">
        <v>2</v>
      </c>
      <c r="AI195">
        <v>55937524</v>
      </c>
      <c r="AJ195">
        <v>150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ROW(Source!A110)</f>
        <v>110</v>
      </c>
      <c r="B196">
        <v>55937525</v>
      </c>
      <c r="C196">
        <v>55937522</v>
      </c>
      <c r="D196">
        <v>55490296</v>
      </c>
      <c r="E196">
        <v>1</v>
      </c>
      <c r="F196">
        <v>1</v>
      </c>
      <c r="G196">
        <v>1081</v>
      </c>
      <c r="H196">
        <v>2</v>
      </c>
      <c r="I196" t="s">
        <v>477</v>
      </c>
      <c r="J196" t="s">
        <v>478</v>
      </c>
      <c r="K196" t="s">
        <v>479</v>
      </c>
      <c r="L196">
        <v>1368</v>
      </c>
      <c r="N196">
        <v>1011</v>
      </c>
      <c r="O196" t="s">
        <v>455</v>
      </c>
      <c r="P196" t="s">
        <v>455</v>
      </c>
      <c r="Q196">
        <v>1</v>
      </c>
      <c r="X196">
        <v>0.02</v>
      </c>
      <c r="Y196">
        <v>0</v>
      </c>
      <c r="Z196">
        <v>0.47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114</v>
      </c>
      <c r="AG196">
        <v>2.4E-2</v>
      </c>
      <c r="AH196">
        <v>2</v>
      </c>
      <c r="AI196">
        <v>55937525</v>
      </c>
      <c r="AJ196">
        <v>151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ROW(Source!A110)</f>
        <v>110</v>
      </c>
      <c r="B197">
        <v>55937526</v>
      </c>
      <c r="C197">
        <v>55937522</v>
      </c>
      <c r="D197">
        <v>55461074</v>
      </c>
      <c r="E197">
        <v>1</v>
      </c>
      <c r="F197">
        <v>1</v>
      </c>
      <c r="G197">
        <v>1081</v>
      </c>
      <c r="H197">
        <v>3</v>
      </c>
      <c r="I197" t="s">
        <v>480</v>
      </c>
      <c r="J197" t="s">
        <v>481</v>
      </c>
      <c r="K197" t="s">
        <v>482</v>
      </c>
      <c r="L197">
        <v>1346</v>
      </c>
      <c r="N197">
        <v>1009</v>
      </c>
      <c r="O197" t="s">
        <v>311</v>
      </c>
      <c r="P197" t="s">
        <v>311</v>
      </c>
      <c r="Q197">
        <v>1</v>
      </c>
      <c r="X197">
        <v>6.2700000000000004E-3</v>
      </c>
      <c r="Y197">
        <v>27.62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113</v>
      </c>
      <c r="AG197">
        <v>6.2700000000000004E-3</v>
      </c>
      <c r="AH197">
        <v>2</v>
      </c>
      <c r="AI197">
        <v>55937526</v>
      </c>
      <c r="AJ197">
        <v>152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ROW(Source!A110)</f>
        <v>110</v>
      </c>
      <c r="B198">
        <v>55937527</v>
      </c>
      <c r="C198">
        <v>55937522</v>
      </c>
      <c r="D198">
        <v>55459793</v>
      </c>
      <c r="E198">
        <v>1</v>
      </c>
      <c r="F198">
        <v>1</v>
      </c>
      <c r="G198">
        <v>1081</v>
      </c>
      <c r="H198">
        <v>3</v>
      </c>
      <c r="I198" t="s">
        <v>471</v>
      </c>
      <c r="J198" t="s">
        <v>472</v>
      </c>
      <c r="K198" t="s">
        <v>473</v>
      </c>
      <c r="L198">
        <v>1348</v>
      </c>
      <c r="N198">
        <v>1009</v>
      </c>
      <c r="O198" t="s">
        <v>287</v>
      </c>
      <c r="P198" t="s">
        <v>287</v>
      </c>
      <c r="Q198">
        <v>1000</v>
      </c>
      <c r="X198">
        <v>1.0000000000000001E-5</v>
      </c>
      <c r="Y198">
        <v>64123.05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113</v>
      </c>
      <c r="AG198">
        <v>1.0000000000000001E-5</v>
      </c>
      <c r="AH198">
        <v>2</v>
      </c>
      <c r="AI198">
        <v>55937527</v>
      </c>
      <c r="AJ198">
        <v>153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ROW(Source!A110)</f>
        <v>110</v>
      </c>
      <c r="B199">
        <v>55937528</v>
      </c>
      <c r="C199">
        <v>55937522</v>
      </c>
      <c r="D199">
        <v>55469253</v>
      </c>
      <c r="E199">
        <v>1</v>
      </c>
      <c r="F199">
        <v>1</v>
      </c>
      <c r="G199">
        <v>1081</v>
      </c>
      <c r="H199">
        <v>3</v>
      </c>
      <c r="I199" t="s">
        <v>483</v>
      </c>
      <c r="J199" t="s">
        <v>484</v>
      </c>
      <c r="K199" t="s">
        <v>485</v>
      </c>
      <c r="L199">
        <v>1354</v>
      </c>
      <c r="N199">
        <v>1010</v>
      </c>
      <c r="O199" t="s">
        <v>217</v>
      </c>
      <c r="P199" t="s">
        <v>217</v>
      </c>
      <c r="Q199">
        <v>1</v>
      </c>
      <c r="X199">
        <v>0.1</v>
      </c>
      <c r="Y199">
        <v>15.25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113</v>
      </c>
      <c r="AG199">
        <v>0.1</v>
      </c>
      <c r="AH199">
        <v>2</v>
      </c>
      <c r="AI199">
        <v>55937528</v>
      </c>
      <c r="AJ199">
        <v>154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ROW(Source!A110)</f>
        <v>110</v>
      </c>
      <c r="B200">
        <v>55937529</v>
      </c>
      <c r="C200">
        <v>55937522</v>
      </c>
      <c r="D200">
        <v>55441128</v>
      </c>
      <c r="E200">
        <v>1081</v>
      </c>
      <c r="F200">
        <v>1</v>
      </c>
      <c r="G200">
        <v>1081</v>
      </c>
      <c r="H200">
        <v>3</v>
      </c>
      <c r="I200" t="s">
        <v>627</v>
      </c>
      <c r="J200" t="s">
        <v>3</v>
      </c>
      <c r="K200" t="s">
        <v>628</v>
      </c>
      <c r="L200">
        <v>1354</v>
      </c>
      <c r="N200">
        <v>1010</v>
      </c>
      <c r="O200" t="s">
        <v>217</v>
      </c>
      <c r="P200" t="s">
        <v>217</v>
      </c>
      <c r="Q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113</v>
      </c>
      <c r="AG200">
        <v>1</v>
      </c>
      <c r="AH200">
        <v>3</v>
      </c>
      <c r="AI200">
        <v>-1</v>
      </c>
      <c r="AJ200" t="s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ROW(Source!A121)</f>
        <v>121</v>
      </c>
      <c r="B201">
        <v>55937553</v>
      </c>
      <c r="C201">
        <v>55937552</v>
      </c>
      <c r="D201">
        <v>55424304</v>
      </c>
      <c r="E201">
        <v>1081</v>
      </c>
      <c r="F201">
        <v>1</v>
      </c>
      <c r="G201">
        <v>1081</v>
      </c>
      <c r="H201">
        <v>1</v>
      </c>
      <c r="I201" t="s">
        <v>449</v>
      </c>
      <c r="J201" t="s">
        <v>3</v>
      </c>
      <c r="K201" t="s">
        <v>450</v>
      </c>
      <c r="L201">
        <v>1191</v>
      </c>
      <c r="N201">
        <v>1013</v>
      </c>
      <c r="O201" t="s">
        <v>451</v>
      </c>
      <c r="P201" t="s">
        <v>451</v>
      </c>
      <c r="Q201">
        <v>1</v>
      </c>
      <c r="X201">
        <v>1.68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1</v>
      </c>
      <c r="AF201" t="s">
        <v>114</v>
      </c>
      <c r="AG201">
        <v>2.016</v>
      </c>
      <c r="AH201">
        <v>2</v>
      </c>
      <c r="AI201">
        <v>55937553</v>
      </c>
      <c r="AJ201">
        <v>155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ROW(Source!A122)</f>
        <v>122</v>
      </c>
      <c r="B202">
        <v>55937553</v>
      </c>
      <c r="C202">
        <v>55937552</v>
      </c>
      <c r="D202">
        <v>55424304</v>
      </c>
      <c r="E202">
        <v>1081</v>
      </c>
      <c r="F202">
        <v>1</v>
      </c>
      <c r="G202">
        <v>1081</v>
      </c>
      <c r="H202">
        <v>1</v>
      </c>
      <c r="I202" t="s">
        <v>449</v>
      </c>
      <c r="J202" t="s">
        <v>3</v>
      </c>
      <c r="K202" t="s">
        <v>450</v>
      </c>
      <c r="L202">
        <v>1191</v>
      </c>
      <c r="N202">
        <v>1013</v>
      </c>
      <c r="O202" t="s">
        <v>451</v>
      </c>
      <c r="P202" t="s">
        <v>451</v>
      </c>
      <c r="Q202">
        <v>1</v>
      </c>
      <c r="X202">
        <v>1.68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114</v>
      </c>
      <c r="AG202">
        <v>2.016</v>
      </c>
      <c r="AH202">
        <v>2</v>
      </c>
      <c r="AI202">
        <v>55937553</v>
      </c>
      <c r="AJ202">
        <v>156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ROW(Source!A125)</f>
        <v>125</v>
      </c>
      <c r="B203">
        <v>55937561</v>
      </c>
      <c r="C203">
        <v>55937560</v>
      </c>
      <c r="D203">
        <v>55424304</v>
      </c>
      <c r="E203">
        <v>1081</v>
      </c>
      <c r="F203">
        <v>1</v>
      </c>
      <c r="G203">
        <v>1081</v>
      </c>
      <c r="H203">
        <v>1</v>
      </c>
      <c r="I203" t="s">
        <v>449</v>
      </c>
      <c r="J203" t="s">
        <v>3</v>
      </c>
      <c r="K203" t="s">
        <v>450</v>
      </c>
      <c r="L203">
        <v>1191</v>
      </c>
      <c r="N203">
        <v>1013</v>
      </c>
      <c r="O203" t="s">
        <v>451</v>
      </c>
      <c r="P203" t="s">
        <v>451</v>
      </c>
      <c r="Q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 t="s">
        <v>114</v>
      </c>
      <c r="AG203">
        <v>1.2</v>
      </c>
      <c r="AH203">
        <v>2</v>
      </c>
      <c r="AI203">
        <v>55937561</v>
      </c>
      <c r="AJ203">
        <v>157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ROW(Source!A125)</f>
        <v>125</v>
      </c>
      <c r="B204">
        <v>55937562</v>
      </c>
      <c r="C204">
        <v>55937560</v>
      </c>
      <c r="D204">
        <v>55459793</v>
      </c>
      <c r="E204">
        <v>1</v>
      </c>
      <c r="F204">
        <v>1</v>
      </c>
      <c r="G204">
        <v>1081</v>
      </c>
      <c r="H204">
        <v>3</v>
      </c>
      <c r="I204" t="s">
        <v>471</v>
      </c>
      <c r="J204" t="s">
        <v>472</v>
      </c>
      <c r="K204" t="s">
        <v>473</v>
      </c>
      <c r="L204">
        <v>1348</v>
      </c>
      <c r="N204">
        <v>1009</v>
      </c>
      <c r="O204" t="s">
        <v>287</v>
      </c>
      <c r="P204" t="s">
        <v>287</v>
      </c>
      <c r="Q204">
        <v>1000</v>
      </c>
      <c r="X204">
        <v>1.0000000000000001E-5</v>
      </c>
      <c r="Y204">
        <v>64123.05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113</v>
      </c>
      <c r="AG204">
        <v>1.0000000000000001E-5</v>
      </c>
      <c r="AH204">
        <v>2</v>
      </c>
      <c r="AI204">
        <v>55937562</v>
      </c>
      <c r="AJ204">
        <v>158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ROW(Source!A125)</f>
        <v>125</v>
      </c>
      <c r="B205">
        <v>55937563</v>
      </c>
      <c r="C205">
        <v>55937560</v>
      </c>
      <c r="D205">
        <v>55487942</v>
      </c>
      <c r="E205">
        <v>1</v>
      </c>
      <c r="F205">
        <v>1</v>
      </c>
      <c r="G205">
        <v>1081</v>
      </c>
      <c r="H205">
        <v>3</v>
      </c>
      <c r="I205" t="s">
        <v>486</v>
      </c>
      <c r="J205" t="s">
        <v>487</v>
      </c>
      <c r="K205" t="s">
        <v>488</v>
      </c>
      <c r="L205">
        <v>1303</v>
      </c>
      <c r="N205">
        <v>1003</v>
      </c>
      <c r="O205" t="s">
        <v>337</v>
      </c>
      <c r="P205" t="s">
        <v>337</v>
      </c>
      <c r="Q205">
        <v>1000</v>
      </c>
      <c r="X205">
        <v>2E-3</v>
      </c>
      <c r="Y205">
        <v>516.63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113</v>
      </c>
      <c r="AG205">
        <v>2E-3</v>
      </c>
      <c r="AH205">
        <v>2</v>
      </c>
      <c r="AI205">
        <v>55937563</v>
      </c>
      <c r="AJ205">
        <v>159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ROW(Source!A125)</f>
        <v>125</v>
      </c>
      <c r="B206">
        <v>55937564</v>
      </c>
      <c r="C206">
        <v>55937560</v>
      </c>
      <c r="D206">
        <v>55431425</v>
      </c>
      <c r="E206">
        <v>1081</v>
      </c>
      <c r="F206">
        <v>1</v>
      </c>
      <c r="G206">
        <v>1081</v>
      </c>
      <c r="H206">
        <v>3</v>
      </c>
      <c r="I206" t="s">
        <v>629</v>
      </c>
      <c r="J206" t="s">
        <v>3</v>
      </c>
      <c r="K206" t="s">
        <v>630</v>
      </c>
      <c r="L206">
        <v>1354</v>
      </c>
      <c r="N206">
        <v>1010</v>
      </c>
      <c r="O206" t="s">
        <v>217</v>
      </c>
      <c r="P206" t="s">
        <v>217</v>
      </c>
      <c r="Q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113</v>
      </c>
      <c r="AG206">
        <v>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ROW(Source!A126)</f>
        <v>126</v>
      </c>
      <c r="B207">
        <v>55937561</v>
      </c>
      <c r="C207">
        <v>55937560</v>
      </c>
      <c r="D207">
        <v>55424304</v>
      </c>
      <c r="E207">
        <v>1081</v>
      </c>
      <c r="F207">
        <v>1</v>
      </c>
      <c r="G207">
        <v>1081</v>
      </c>
      <c r="H207">
        <v>1</v>
      </c>
      <c r="I207" t="s">
        <v>449</v>
      </c>
      <c r="J207" t="s">
        <v>3</v>
      </c>
      <c r="K207" t="s">
        <v>450</v>
      </c>
      <c r="L207">
        <v>1191</v>
      </c>
      <c r="N207">
        <v>1013</v>
      </c>
      <c r="O207" t="s">
        <v>451</v>
      </c>
      <c r="P207" t="s">
        <v>451</v>
      </c>
      <c r="Q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114</v>
      </c>
      <c r="AG207">
        <v>1.2</v>
      </c>
      <c r="AH207">
        <v>2</v>
      </c>
      <c r="AI207">
        <v>55937561</v>
      </c>
      <c r="AJ207">
        <v>160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ROW(Source!A126)</f>
        <v>126</v>
      </c>
      <c r="B208">
        <v>55937562</v>
      </c>
      <c r="C208">
        <v>55937560</v>
      </c>
      <c r="D208">
        <v>55459793</v>
      </c>
      <c r="E208">
        <v>1</v>
      </c>
      <c r="F208">
        <v>1</v>
      </c>
      <c r="G208">
        <v>1081</v>
      </c>
      <c r="H208">
        <v>3</v>
      </c>
      <c r="I208" t="s">
        <v>471</v>
      </c>
      <c r="J208" t="s">
        <v>472</v>
      </c>
      <c r="K208" t="s">
        <v>473</v>
      </c>
      <c r="L208">
        <v>1348</v>
      </c>
      <c r="N208">
        <v>1009</v>
      </c>
      <c r="O208" t="s">
        <v>287</v>
      </c>
      <c r="P208" t="s">
        <v>287</v>
      </c>
      <c r="Q208">
        <v>1000</v>
      </c>
      <c r="X208">
        <v>1.0000000000000001E-5</v>
      </c>
      <c r="Y208">
        <v>64123.05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113</v>
      </c>
      <c r="AG208">
        <v>1.0000000000000001E-5</v>
      </c>
      <c r="AH208">
        <v>2</v>
      </c>
      <c r="AI208">
        <v>55937562</v>
      </c>
      <c r="AJ208">
        <v>161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ROW(Source!A126)</f>
        <v>126</v>
      </c>
      <c r="B209">
        <v>55937563</v>
      </c>
      <c r="C209">
        <v>55937560</v>
      </c>
      <c r="D209">
        <v>55487942</v>
      </c>
      <c r="E209">
        <v>1</v>
      </c>
      <c r="F209">
        <v>1</v>
      </c>
      <c r="G209">
        <v>1081</v>
      </c>
      <c r="H209">
        <v>3</v>
      </c>
      <c r="I209" t="s">
        <v>486</v>
      </c>
      <c r="J209" t="s">
        <v>487</v>
      </c>
      <c r="K209" t="s">
        <v>488</v>
      </c>
      <c r="L209">
        <v>1303</v>
      </c>
      <c r="N209">
        <v>1003</v>
      </c>
      <c r="O209" t="s">
        <v>337</v>
      </c>
      <c r="P209" t="s">
        <v>337</v>
      </c>
      <c r="Q209">
        <v>1000</v>
      </c>
      <c r="X209">
        <v>2E-3</v>
      </c>
      <c r="Y209">
        <v>516.63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113</v>
      </c>
      <c r="AG209">
        <v>2E-3</v>
      </c>
      <c r="AH209">
        <v>2</v>
      </c>
      <c r="AI209">
        <v>55937563</v>
      </c>
      <c r="AJ209">
        <v>162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ROW(Source!A126)</f>
        <v>126</v>
      </c>
      <c r="B210">
        <v>55937564</v>
      </c>
      <c r="C210">
        <v>55937560</v>
      </c>
      <c r="D210">
        <v>55431425</v>
      </c>
      <c r="E210">
        <v>1081</v>
      </c>
      <c r="F210">
        <v>1</v>
      </c>
      <c r="G210">
        <v>1081</v>
      </c>
      <c r="H210">
        <v>3</v>
      </c>
      <c r="I210" t="s">
        <v>629</v>
      </c>
      <c r="J210" t="s">
        <v>3</v>
      </c>
      <c r="K210" t="s">
        <v>630</v>
      </c>
      <c r="L210">
        <v>1354</v>
      </c>
      <c r="N210">
        <v>1010</v>
      </c>
      <c r="O210" t="s">
        <v>217</v>
      </c>
      <c r="P210" t="s">
        <v>217</v>
      </c>
      <c r="Q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113</v>
      </c>
      <c r="AG210">
        <v>1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ROW(Source!A129)</f>
        <v>129</v>
      </c>
      <c r="B211">
        <v>55937579</v>
      </c>
      <c r="C211">
        <v>55937578</v>
      </c>
      <c r="D211">
        <v>55424304</v>
      </c>
      <c r="E211">
        <v>1081</v>
      </c>
      <c r="F211">
        <v>1</v>
      </c>
      <c r="G211">
        <v>1081</v>
      </c>
      <c r="H211">
        <v>1</v>
      </c>
      <c r="I211" t="s">
        <v>449</v>
      </c>
      <c r="J211" t="s">
        <v>3</v>
      </c>
      <c r="K211" t="s">
        <v>450</v>
      </c>
      <c r="L211">
        <v>1191</v>
      </c>
      <c r="N211">
        <v>1013</v>
      </c>
      <c r="O211" t="s">
        <v>451</v>
      </c>
      <c r="P211" t="s">
        <v>451</v>
      </c>
      <c r="Q211">
        <v>1</v>
      </c>
      <c r="X211">
        <v>0.84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1</v>
      </c>
      <c r="AF211" t="s">
        <v>114</v>
      </c>
      <c r="AG211">
        <v>1.008</v>
      </c>
      <c r="AH211">
        <v>2</v>
      </c>
      <c r="AI211">
        <v>55937579</v>
      </c>
      <c r="AJ211">
        <v>163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ROW(Source!A130)</f>
        <v>130</v>
      </c>
      <c r="B212">
        <v>55937579</v>
      </c>
      <c r="C212">
        <v>55937578</v>
      </c>
      <c r="D212">
        <v>55424304</v>
      </c>
      <c r="E212">
        <v>1081</v>
      </c>
      <c r="F212">
        <v>1</v>
      </c>
      <c r="G212">
        <v>1081</v>
      </c>
      <c r="H212">
        <v>1</v>
      </c>
      <c r="I212" t="s">
        <v>449</v>
      </c>
      <c r="J212" t="s">
        <v>3</v>
      </c>
      <c r="K212" t="s">
        <v>450</v>
      </c>
      <c r="L212">
        <v>1191</v>
      </c>
      <c r="N212">
        <v>1013</v>
      </c>
      <c r="O212" t="s">
        <v>451</v>
      </c>
      <c r="P212" t="s">
        <v>451</v>
      </c>
      <c r="Q212">
        <v>1</v>
      </c>
      <c r="X212">
        <v>0.84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 t="s">
        <v>114</v>
      </c>
      <c r="AG212">
        <v>1.008</v>
      </c>
      <c r="AH212">
        <v>2</v>
      </c>
      <c r="AI212">
        <v>55937579</v>
      </c>
      <c r="AJ212">
        <v>164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ROW(Source!A133)</f>
        <v>133</v>
      </c>
      <c r="B213">
        <v>55937581</v>
      </c>
      <c r="C213">
        <v>55937580</v>
      </c>
      <c r="D213">
        <v>55424304</v>
      </c>
      <c r="E213">
        <v>1081</v>
      </c>
      <c r="F213">
        <v>1</v>
      </c>
      <c r="G213">
        <v>1081</v>
      </c>
      <c r="H213">
        <v>1</v>
      </c>
      <c r="I213" t="s">
        <v>449</v>
      </c>
      <c r="J213" t="s">
        <v>3</v>
      </c>
      <c r="K213" t="s">
        <v>450</v>
      </c>
      <c r="L213">
        <v>1191</v>
      </c>
      <c r="N213">
        <v>1013</v>
      </c>
      <c r="O213" t="s">
        <v>451</v>
      </c>
      <c r="P213" t="s">
        <v>451</v>
      </c>
      <c r="Q213">
        <v>1</v>
      </c>
      <c r="X213">
        <v>84.67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 t="s">
        <v>114</v>
      </c>
      <c r="AG213">
        <v>101.604</v>
      </c>
      <c r="AH213">
        <v>2</v>
      </c>
      <c r="AI213">
        <v>55937581</v>
      </c>
      <c r="AJ213">
        <v>165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ROW(Source!A133)</f>
        <v>133</v>
      </c>
      <c r="B214">
        <v>55937582</v>
      </c>
      <c r="C214">
        <v>55937580</v>
      </c>
      <c r="D214">
        <v>55490209</v>
      </c>
      <c r="E214">
        <v>1</v>
      </c>
      <c r="F214">
        <v>1</v>
      </c>
      <c r="G214">
        <v>1081</v>
      </c>
      <c r="H214">
        <v>2</v>
      </c>
      <c r="I214" t="s">
        <v>489</v>
      </c>
      <c r="J214" t="s">
        <v>490</v>
      </c>
      <c r="K214" t="s">
        <v>491</v>
      </c>
      <c r="L214">
        <v>1368</v>
      </c>
      <c r="N214">
        <v>1011</v>
      </c>
      <c r="O214" t="s">
        <v>455</v>
      </c>
      <c r="P214" t="s">
        <v>455</v>
      </c>
      <c r="Q214">
        <v>1</v>
      </c>
      <c r="X214">
        <v>1.03</v>
      </c>
      <c r="Y214">
        <v>0</v>
      </c>
      <c r="Z214">
        <v>83.1</v>
      </c>
      <c r="AA214">
        <v>12.62</v>
      </c>
      <c r="AB214">
        <v>0</v>
      </c>
      <c r="AC214">
        <v>0</v>
      </c>
      <c r="AD214">
        <v>1</v>
      </c>
      <c r="AE214">
        <v>0</v>
      </c>
      <c r="AF214" t="s">
        <v>114</v>
      </c>
      <c r="AG214">
        <v>1.236</v>
      </c>
      <c r="AH214">
        <v>2</v>
      </c>
      <c r="AI214">
        <v>55937582</v>
      </c>
      <c r="AJ214">
        <v>166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ROW(Source!A133)</f>
        <v>133</v>
      </c>
      <c r="B215">
        <v>55937583</v>
      </c>
      <c r="C215">
        <v>55937580</v>
      </c>
      <c r="D215">
        <v>55490324</v>
      </c>
      <c r="E215">
        <v>1</v>
      </c>
      <c r="F215">
        <v>1</v>
      </c>
      <c r="G215">
        <v>1081</v>
      </c>
      <c r="H215">
        <v>2</v>
      </c>
      <c r="I215" t="s">
        <v>493</v>
      </c>
      <c r="J215" t="s">
        <v>494</v>
      </c>
      <c r="K215" t="s">
        <v>495</v>
      </c>
      <c r="L215">
        <v>1368</v>
      </c>
      <c r="N215">
        <v>1011</v>
      </c>
      <c r="O215" t="s">
        <v>455</v>
      </c>
      <c r="P215" t="s">
        <v>455</v>
      </c>
      <c r="Q215">
        <v>1</v>
      </c>
      <c r="X215">
        <v>22.08</v>
      </c>
      <c r="Y215">
        <v>0</v>
      </c>
      <c r="Z215">
        <v>0.35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114</v>
      </c>
      <c r="AG215">
        <v>26.495999999999999</v>
      </c>
      <c r="AH215">
        <v>2</v>
      </c>
      <c r="AI215">
        <v>55937583</v>
      </c>
      <c r="AJ215">
        <v>167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ROW(Source!A133)</f>
        <v>133</v>
      </c>
      <c r="B216">
        <v>55937584</v>
      </c>
      <c r="C216">
        <v>55937580</v>
      </c>
      <c r="D216">
        <v>55460424</v>
      </c>
      <c r="E216">
        <v>1</v>
      </c>
      <c r="F216">
        <v>1</v>
      </c>
      <c r="G216">
        <v>1081</v>
      </c>
      <c r="H216">
        <v>3</v>
      </c>
      <c r="I216" t="s">
        <v>496</v>
      </c>
      <c r="J216" t="s">
        <v>497</v>
      </c>
      <c r="K216" t="s">
        <v>498</v>
      </c>
      <c r="L216">
        <v>1346</v>
      </c>
      <c r="N216">
        <v>1009</v>
      </c>
      <c r="O216" t="s">
        <v>311</v>
      </c>
      <c r="P216" t="s">
        <v>311</v>
      </c>
      <c r="Q216">
        <v>1</v>
      </c>
      <c r="X216">
        <v>0.21</v>
      </c>
      <c r="Y216">
        <v>159.06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113</v>
      </c>
      <c r="AG216">
        <v>0.21</v>
      </c>
      <c r="AH216">
        <v>2</v>
      </c>
      <c r="AI216">
        <v>55937584</v>
      </c>
      <c r="AJ216">
        <v>168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ROW(Source!A133)</f>
        <v>133</v>
      </c>
      <c r="B217">
        <v>55937585</v>
      </c>
      <c r="C217">
        <v>55937580</v>
      </c>
      <c r="D217">
        <v>55459340</v>
      </c>
      <c r="E217">
        <v>1</v>
      </c>
      <c r="F217">
        <v>1</v>
      </c>
      <c r="G217">
        <v>1081</v>
      </c>
      <c r="H217">
        <v>3</v>
      </c>
      <c r="I217" t="s">
        <v>459</v>
      </c>
      <c r="J217" t="s">
        <v>460</v>
      </c>
      <c r="K217" t="s">
        <v>461</v>
      </c>
      <c r="L217">
        <v>1354</v>
      </c>
      <c r="N217">
        <v>1010</v>
      </c>
      <c r="O217" t="s">
        <v>217</v>
      </c>
      <c r="P217" t="s">
        <v>217</v>
      </c>
      <c r="Q217">
        <v>1</v>
      </c>
      <c r="X217">
        <v>4.08</v>
      </c>
      <c r="Y217">
        <v>0.89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113</v>
      </c>
      <c r="AG217">
        <v>4.08</v>
      </c>
      <c r="AH217">
        <v>2</v>
      </c>
      <c r="AI217">
        <v>55937585</v>
      </c>
      <c r="AJ217">
        <v>169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ROW(Source!A133)</f>
        <v>133</v>
      </c>
      <c r="B218">
        <v>55937586</v>
      </c>
      <c r="C218">
        <v>55937580</v>
      </c>
      <c r="D218">
        <v>55487873</v>
      </c>
      <c r="E218">
        <v>1</v>
      </c>
      <c r="F218">
        <v>1</v>
      </c>
      <c r="G218">
        <v>1081</v>
      </c>
      <c r="H218">
        <v>3</v>
      </c>
      <c r="I218" t="s">
        <v>499</v>
      </c>
      <c r="J218" t="s">
        <v>500</v>
      </c>
      <c r="K218" t="s">
        <v>501</v>
      </c>
      <c r="L218">
        <v>1303</v>
      </c>
      <c r="N218">
        <v>1003</v>
      </c>
      <c r="O218" t="s">
        <v>337</v>
      </c>
      <c r="P218" t="s">
        <v>337</v>
      </c>
      <c r="Q218">
        <v>1000</v>
      </c>
      <c r="X218">
        <v>1.5299999999999999E-2</v>
      </c>
      <c r="Y218">
        <v>2897.31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113</v>
      </c>
      <c r="AG218">
        <v>1.5299999999999999E-2</v>
      </c>
      <c r="AH218">
        <v>2</v>
      </c>
      <c r="AI218">
        <v>55937586</v>
      </c>
      <c r="AJ218">
        <v>170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ROW(Source!A133)</f>
        <v>133</v>
      </c>
      <c r="B219">
        <v>55937587</v>
      </c>
      <c r="C219">
        <v>55937580</v>
      </c>
      <c r="D219">
        <v>55433775</v>
      </c>
      <c r="E219">
        <v>1081</v>
      </c>
      <c r="F219">
        <v>1</v>
      </c>
      <c r="G219">
        <v>1081</v>
      </c>
      <c r="H219">
        <v>3</v>
      </c>
      <c r="I219" t="s">
        <v>631</v>
      </c>
      <c r="J219" t="s">
        <v>3</v>
      </c>
      <c r="K219" t="s">
        <v>632</v>
      </c>
      <c r="L219">
        <v>1354</v>
      </c>
      <c r="N219">
        <v>1010</v>
      </c>
      <c r="O219" t="s">
        <v>217</v>
      </c>
      <c r="P219" t="s">
        <v>217</v>
      </c>
      <c r="Q219">
        <v>1</v>
      </c>
      <c r="X219">
        <v>100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113</v>
      </c>
      <c r="AG219">
        <v>100</v>
      </c>
      <c r="AH219">
        <v>3</v>
      </c>
      <c r="AI219">
        <v>-1</v>
      </c>
      <c r="AJ219" t="s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ROW(Source!A133)</f>
        <v>133</v>
      </c>
      <c r="B220">
        <v>55937588</v>
      </c>
      <c r="C220">
        <v>55937580</v>
      </c>
      <c r="D220">
        <v>55434288</v>
      </c>
      <c r="E220">
        <v>1081</v>
      </c>
      <c r="F220">
        <v>1</v>
      </c>
      <c r="G220">
        <v>1081</v>
      </c>
      <c r="H220">
        <v>3</v>
      </c>
      <c r="I220" t="s">
        <v>633</v>
      </c>
      <c r="J220" t="s">
        <v>3</v>
      </c>
      <c r="K220" t="s">
        <v>634</v>
      </c>
      <c r="L220">
        <v>1358</v>
      </c>
      <c r="N220">
        <v>1010</v>
      </c>
      <c r="O220" t="s">
        <v>75</v>
      </c>
      <c r="P220" t="s">
        <v>75</v>
      </c>
      <c r="Q220">
        <v>10</v>
      </c>
      <c r="X220">
        <v>10.199999999999999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113</v>
      </c>
      <c r="AG220">
        <v>10.199999999999999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ROW(Source!A134)</f>
        <v>134</v>
      </c>
      <c r="B221">
        <v>55937581</v>
      </c>
      <c r="C221">
        <v>55937580</v>
      </c>
      <c r="D221">
        <v>55424304</v>
      </c>
      <c r="E221">
        <v>1081</v>
      </c>
      <c r="F221">
        <v>1</v>
      </c>
      <c r="G221">
        <v>1081</v>
      </c>
      <c r="H221">
        <v>1</v>
      </c>
      <c r="I221" t="s">
        <v>449</v>
      </c>
      <c r="J221" t="s">
        <v>3</v>
      </c>
      <c r="K221" t="s">
        <v>450</v>
      </c>
      <c r="L221">
        <v>1191</v>
      </c>
      <c r="N221">
        <v>1013</v>
      </c>
      <c r="O221" t="s">
        <v>451</v>
      </c>
      <c r="P221" t="s">
        <v>451</v>
      </c>
      <c r="Q221">
        <v>1</v>
      </c>
      <c r="X221">
        <v>84.67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114</v>
      </c>
      <c r="AG221">
        <v>101.604</v>
      </c>
      <c r="AH221">
        <v>2</v>
      </c>
      <c r="AI221">
        <v>55937581</v>
      </c>
      <c r="AJ221">
        <v>171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ROW(Source!A134)</f>
        <v>134</v>
      </c>
      <c r="B222">
        <v>55937582</v>
      </c>
      <c r="C222">
        <v>55937580</v>
      </c>
      <c r="D222">
        <v>55490209</v>
      </c>
      <c r="E222">
        <v>1</v>
      </c>
      <c r="F222">
        <v>1</v>
      </c>
      <c r="G222">
        <v>1081</v>
      </c>
      <c r="H222">
        <v>2</v>
      </c>
      <c r="I222" t="s">
        <v>489</v>
      </c>
      <c r="J222" t="s">
        <v>490</v>
      </c>
      <c r="K222" t="s">
        <v>491</v>
      </c>
      <c r="L222">
        <v>1368</v>
      </c>
      <c r="N222">
        <v>1011</v>
      </c>
      <c r="O222" t="s">
        <v>455</v>
      </c>
      <c r="P222" t="s">
        <v>455</v>
      </c>
      <c r="Q222">
        <v>1</v>
      </c>
      <c r="X222">
        <v>1.03</v>
      </c>
      <c r="Y222">
        <v>0</v>
      </c>
      <c r="Z222">
        <v>83.1</v>
      </c>
      <c r="AA222">
        <v>12.62</v>
      </c>
      <c r="AB222">
        <v>0</v>
      </c>
      <c r="AC222">
        <v>0</v>
      </c>
      <c r="AD222">
        <v>1</v>
      </c>
      <c r="AE222">
        <v>0</v>
      </c>
      <c r="AF222" t="s">
        <v>114</v>
      </c>
      <c r="AG222">
        <v>1.236</v>
      </c>
      <c r="AH222">
        <v>2</v>
      </c>
      <c r="AI222">
        <v>55937582</v>
      </c>
      <c r="AJ222">
        <v>172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ROW(Source!A134)</f>
        <v>134</v>
      </c>
      <c r="B223">
        <v>55937583</v>
      </c>
      <c r="C223">
        <v>55937580</v>
      </c>
      <c r="D223">
        <v>55490324</v>
      </c>
      <c r="E223">
        <v>1</v>
      </c>
      <c r="F223">
        <v>1</v>
      </c>
      <c r="G223">
        <v>1081</v>
      </c>
      <c r="H223">
        <v>2</v>
      </c>
      <c r="I223" t="s">
        <v>493</v>
      </c>
      <c r="J223" t="s">
        <v>494</v>
      </c>
      <c r="K223" t="s">
        <v>495</v>
      </c>
      <c r="L223">
        <v>1368</v>
      </c>
      <c r="N223">
        <v>1011</v>
      </c>
      <c r="O223" t="s">
        <v>455</v>
      </c>
      <c r="P223" t="s">
        <v>455</v>
      </c>
      <c r="Q223">
        <v>1</v>
      </c>
      <c r="X223">
        <v>22.08</v>
      </c>
      <c r="Y223">
        <v>0</v>
      </c>
      <c r="Z223">
        <v>0.35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114</v>
      </c>
      <c r="AG223">
        <v>26.495999999999999</v>
      </c>
      <c r="AH223">
        <v>2</v>
      </c>
      <c r="AI223">
        <v>55937583</v>
      </c>
      <c r="AJ223">
        <v>173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ROW(Source!A134)</f>
        <v>134</v>
      </c>
      <c r="B224">
        <v>55937584</v>
      </c>
      <c r="C224">
        <v>55937580</v>
      </c>
      <c r="D224">
        <v>55460424</v>
      </c>
      <c r="E224">
        <v>1</v>
      </c>
      <c r="F224">
        <v>1</v>
      </c>
      <c r="G224">
        <v>1081</v>
      </c>
      <c r="H224">
        <v>3</v>
      </c>
      <c r="I224" t="s">
        <v>496</v>
      </c>
      <c r="J224" t="s">
        <v>497</v>
      </c>
      <c r="K224" t="s">
        <v>498</v>
      </c>
      <c r="L224">
        <v>1346</v>
      </c>
      <c r="N224">
        <v>1009</v>
      </c>
      <c r="O224" t="s">
        <v>311</v>
      </c>
      <c r="P224" t="s">
        <v>311</v>
      </c>
      <c r="Q224">
        <v>1</v>
      </c>
      <c r="X224">
        <v>0.21</v>
      </c>
      <c r="Y224">
        <v>159.06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113</v>
      </c>
      <c r="AG224">
        <v>0.21</v>
      </c>
      <c r="AH224">
        <v>2</v>
      </c>
      <c r="AI224">
        <v>55937584</v>
      </c>
      <c r="AJ224">
        <v>174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ROW(Source!A134)</f>
        <v>134</v>
      </c>
      <c r="B225">
        <v>55937585</v>
      </c>
      <c r="C225">
        <v>55937580</v>
      </c>
      <c r="D225">
        <v>55459340</v>
      </c>
      <c r="E225">
        <v>1</v>
      </c>
      <c r="F225">
        <v>1</v>
      </c>
      <c r="G225">
        <v>1081</v>
      </c>
      <c r="H225">
        <v>3</v>
      </c>
      <c r="I225" t="s">
        <v>459</v>
      </c>
      <c r="J225" t="s">
        <v>460</v>
      </c>
      <c r="K225" t="s">
        <v>461</v>
      </c>
      <c r="L225">
        <v>1354</v>
      </c>
      <c r="N225">
        <v>1010</v>
      </c>
      <c r="O225" t="s">
        <v>217</v>
      </c>
      <c r="P225" t="s">
        <v>217</v>
      </c>
      <c r="Q225">
        <v>1</v>
      </c>
      <c r="X225">
        <v>4.08</v>
      </c>
      <c r="Y225">
        <v>0.89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113</v>
      </c>
      <c r="AG225">
        <v>4.08</v>
      </c>
      <c r="AH225">
        <v>2</v>
      </c>
      <c r="AI225">
        <v>55937585</v>
      </c>
      <c r="AJ225">
        <v>175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ROW(Source!A134)</f>
        <v>134</v>
      </c>
      <c r="B226">
        <v>55937586</v>
      </c>
      <c r="C226">
        <v>55937580</v>
      </c>
      <c r="D226">
        <v>55487873</v>
      </c>
      <c r="E226">
        <v>1</v>
      </c>
      <c r="F226">
        <v>1</v>
      </c>
      <c r="G226">
        <v>1081</v>
      </c>
      <c r="H226">
        <v>3</v>
      </c>
      <c r="I226" t="s">
        <v>499</v>
      </c>
      <c r="J226" t="s">
        <v>500</v>
      </c>
      <c r="K226" t="s">
        <v>501</v>
      </c>
      <c r="L226">
        <v>1303</v>
      </c>
      <c r="N226">
        <v>1003</v>
      </c>
      <c r="O226" t="s">
        <v>337</v>
      </c>
      <c r="P226" t="s">
        <v>337</v>
      </c>
      <c r="Q226">
        <v>1000</v>
      </c>
      <c r="X226">
        <v>1.5299999999999999E-2</v>
      </c>
      <c r="Y226">
        <v>2897.31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113</v>
      </c>
      <c r="AG226">
        <v>1.5299999999999999E-2</v>
      </c>
      <c r="AH226">
        <v>2</v>
      </c>
      <c r="AI226">
        <v>55937586</v>
      </c>
      <c r="AJ226">
        <v>176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ROW(Source!A134)</f>
        <v>134</v>
      </c>
      <c r="B227">
        <v>55937587</v>
      </c>
      <c r="C227">
        <v>55937580</v>
      </c>
      <c r="D227">
        <v>55433775</v>
      </c>
      <c r="E227">
        <v>1081</v>
      </c>
      <c r="F227">
        <v>1</v>
      </c>
      <c r="G227">
        <v>1081</v>
      </c>
      <c r="H227">
        <v>3</v>
      </c>
      <c r="I227" t="s">
        <v>631</v>
      </c>
      <c r="J227" t="s">
        <v>3</v>
      </c>
      <c r="K227" t="s">
        <v>632</v>
      </c>
      <c r="L227">
        <v>1354</v>
      </c>
      <c r="N227">
        <v>1010</v>
      </c>
      <c r="O227" t="s">
        <v>217</v>
      </c>
      <c r="P227" t="s">
        <v>217</v>
      </c>
      <c r="Q227">
        <v>1</v>
      </c>
      <c r="X227">
        <v>100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113</v>
      </c>
      <c r="AG227">
        <v>100</v>
      </c>
      <c r="AH227">
        <v>3</v>
      </c>
      <c r="AI227">
        <v>-1</v>
      </c>
      <c r="AJ227" t="s">
        <v>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ROW(Source!A134)</f>
        <v>134</v>
      </c>
      <c r="B228">
        <v>55937588</v>
      </c>
      <c r="C228">
        <v>55937580</v>
      </c>
      <c r="D228">
        <v>55434288</v>
      </c>
      <c r="E228">
        <v>1081</v>
      </c>
      <c r="F228">
        <v>1</v>
      </c>
      <c r="G228">
        <v>1081</v>
      </c>
      <c r="H228">
        <v>3</v>
      </c>
      <c r="I228" t="s">
        <v>633</v>
      </c>
      <c r="J228" t="s">
        <v>3</v>
      </c>
      <c r="K228" t="s">
        <v>634</v>
      </c>
      <c r="L228">
        <v>1358</v>
      </c>
      <c r="N228">
        <v>1010</v>
      </c>
      <c r="O228" t="s">
        <v>75</v>
      </c>
      <c r="P228" t="s">
        <v>75</v>
      </c>
      <c r="Q228">
        <v>10</v>
      </c>
      <c r="X228">
        <v>10.199999999999999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113</v>
      </c>
      <c r="AG228">
        <v>10.199999999999999</v>
      </c>
      <c r="AH228">
        <v>3</v>
      </c>
      <c r="AI228">
        <v>-1</v>
      </c>
      <c r="AJ228" t="s">
        <v>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ROW(Source!A137)</f>
        <v>137</v>
      </c>
      <c r="B229">
        <v>55937593</v>
      </c>
      <c r="C229">
        <v>55937592</v>
      </c>
      <c r="D229">
        <v>55424304</v>
      </c>
      <c r="E229">
        <v>1081</v>
      </c>
      <c r="F229">
        <v>1</v>
      </c>
      <c r="G229">
        <v>1081</v>
      </c>
      <c r="H229">
        <v>1</v>
      </c>
      <c r="I229" t="s">
        <v>449</v>
      </c>
      <c r="J229" t="s">
        <v>3</v>
      </c>
      <c r="K229" t="s">
        <v>450</v>
      </c>
      <c r="L229">
        <v>1191</v>
      </c>
      <c r="N229">
        <v>1013</v>
      </c>
      <c r="O229" t="s">
        <v>451</v>
      </c>
      <c r="P229" t="s">
        <v>451</v>
      </c>
      <c r="Q229">
        <v>1</v>
      </c>
      <c r="X229">
        <v>1.68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114</v>
      </c>
      <c r="AG229">
        <v>2.016</v>
      </c>
      <c r="AH229">
        <v>2</v>
      </c>
      <c r="AI229">
        <v>55937593</v>
      </c>
      <c r="AJ229">
        <v>177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ROW(Source!A138)</f>
        <v>138</v>
      </c>
      <c r="B230">
        <v>55937593</v>
      </c>
      <c r="C230">
        <v>55937592</v>
      </c>
      <c r="D230">
        <v>55424304</v>
      </c>
      <c r="E230">
        <v>1081</v>
      </c>
      <c r="F230">
        <v>1</v>
      </c>
      <c r="G230">
        <v>1081</v>
      </c>
      <c r="H230">
        <v>1</v>
      </c>
      <c r="I230" t="s">
        <v>449</v>
      </c>
      <c r="J230" t="s">
        <v>3</v>
      </c>
      <c r="K230" t="s">
        <v>450</v>
      </c>
      <c r="L230">
        <v>1191</v>
      </c>
      <c r="N230">
        <v>1013</v>
      </c>
      <c r="O230" t="s">
        <v>451</v>
      </c>
      <c r="P230" t="s">
        <v>451</v>
      </c>
      <c r="Q230">
        <v>1</v>
      </c>
      <c r="X230">
        <v>1.68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114</v>
      </c>
      <c r="AG230">
        <v>2.016</v>
      </c>
      <c r="AH230">
        <v>2</v>
      </c>
      <c r="AI230">
        <v>55937593</v>
      </c>
      <c r="AJ230">
        <v>178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ROW(Source!A141)</f>
        <v>141</v>
      </c>
      <c r="B231">
        <v>55937609</v>
      </c>
      <c r="C231">
        <v>55937600</v>
      </c>
      <c r="D231">
        <v>55424304</v>
      </c>
      <c r="E231">
        <v>1081</v>
      </c>
      <c r="F231">
        <v>1</v>
      </c>
      <c r="G231">
        <v>1081</v>
      </c>
      <c r="H231">
        <v>1</v>
      </c>
      <c r="I231" t="s">
        <v>449</v>
      </c>
      <c r="J231" t="s">
        <v>3</v>
      </c>
      <c r="K231" t="s">
        <v>450</v>
      </c>
      <c r="L231">
        <v>1191</v>
      </c>
      <c r="N231">
        <v>1013</v>
      </c>
      <c r="O231" t="s">
        <v>451</v>
      </c>
      <c r="P231" t="s">
        <v>451</v>
      </c>
      <c r="Q231">
        <v>1</v>
      </c>
      <c r="X231">
        <v>0.6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114</v>
      </c>
      <c r="AG231">
        <v>0.72</v>
      </c>
      <c r="AH231">
        <v>2</v>
      </c>
      <c r="AI231">
        <v>55937609</v>
      </c>
      <c r="AJ231">
        <v>179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ROW(Source!A141)</f>
        <v>141</v>
      </c>
      <c r="B232">
        <v>55937610</v>
      </c>
      <c r="C232">
        <v>55937600</v>
      </c>
      <c r="D232">
        <v>55490263</v>
      </c>
      <c r="E232">
        <v>1</v>
      </c>
      <c r="F232">
        <v>1</v>
      </c>
      <c r="G232">
        <v>1081</v>
      </c>
      <c r="H232">
        <v>2</v>
      </c>
      <c r="I232" t="s">
        <v>502</v>
      </c>
      <c r="J232" t="s">
        <v>503</v>
      </c>
      <c r="K232" t="s">
        <v>504</v>
      </c>
      <c r="L232">
        <v>1368</v>
      </c>
      <c r="N232">
        <v>1011</v>
      </c>
      <c r="O232" t="s">
        <v>455</v>
      </c>
      <c r="P232" t="s">
        <v>455</v>
      </c>
      <c r="Q232">
        <v>1</v>
      </c>
      <c r="X232">
        <v>0.06</v>
      </c>
      <c r="Y232">
        <v>0</v>
      </c>
      <c r="Z232">
        <v>0.77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114</v>
      </c>
      <c r="AG232">
        <v>7.1999999999999995E-2</v>
      </c>
      <c r="AH232">
        <v>2</v>
      </c>
      <c r="AI232">
        <v>55937610</v>
      </c>
      <c r="AJ232">
        <v>180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ROW(Source!A141)</f>
        <v>141</v>
      </c>
      <c r="B233">
        <v>55937611</v>
      </c>
      <c r="C233">
        <v>55937600</v>
      </c>
      <c r="D233">
        <v>55413657</v>
      </c>
      <c r="E233">
        <v>1081</v>
      </c>
      <c r="F233">
        <v>1</v>
      </c>
      <c r="G233">
        <v>1081</v>
      </c>
      <c r="H233">
        <v>3</v>
      </c>
      <c r="I233" t="s">
        <v>635</v>
      </c>
      <c r="J233" t="s">
        <v>3</v>
      </c>
      <c r="K233" t="s">
        <v>636</v>
      </c>
      <c r="L233">
        <v>1339</v>
      </c>
      <c r="N233">
        <v>1007</v>
      </c>
      <c r="O233" t="s">
        <v>581</v>
      </c>
      <c r="P233" t="s">
        <v>581</v>
      </c>
      <c r="Q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113</v>
      </c>
      <c r="AG233">
        <v>0</v>
      </c>
      <c r="AH233">
        <v>3</v>
      </c>
      <c r="AI233">
        <v>-1</v>
      </c>
      <c r="AJ233" t="s">
        <v>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ROW(Source!A141)</f>
        <v>141</v>
      </c>
      <c r="B234">
        <v>55937612</v>
      </c>
      <c r="C234">
        <v>55937600</v>
      </c>
      <c r="D234">
        <v>55461072</v>
      </c>
      <c r="E234">
        <v>1</v>
      </c>
      <c r="F234">
        <v>1</v>
      </c>
      <c r="G234">
        <v>1081</v>
      </c>
      <c r="H234">
        <v>3</v>
      </c>
      <c r="I234" t="s">
        <v>505</v>
      </c>
      <c r="J234" t="s">
        <v>506</v>
      </c>
      <c r="K234" t="s">
        <v>507</v>
      </c>
      <c r="L234">
        <v>1348</v>
      </c>
      <c r="N234">
        <v>1009</v>
      </c>
      <c r="O234" t="s">
        <v>287</v>
      </c>
      <c r="P234" t="s">
        <v>287</v>
      </c>
      <c r="Q234">
        <v>1000</v>
      </c>
      <c r="X234">
        <v>3.0000000000000001E-5</v>
      </c>
      <c r="Y234">
        <v>37835.07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113</v>
      </c>
      <c r="AG234">
        <v>3.0000000000000001E-5</v>
      </c>
      <c r="AH234">
        <v>2</v>
      </c>
      <c r="AI234">
        <v>55937612</v>
      </c>
      <c r="AJ234">
        <v>181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ROW(Source!A141)</f>
        <v>141</v>
      </c>
      <c r="B235">
        <v>55937613</v>
      </c>
      <c r="C235">
        <v>55937600</v>
      </c>
      <c r="D235">
        <v>55461761</v>
      </c>
      <c r="E235">
        <v>1</v>
      </c>
      <c r="F235">
        <v>1</v>
      </c>
      <c r="G235">
        <v>1081</v>
      </c>
      <c r="H235">
        <v>3</v>
      </c>
      <c r="I235" t="s">
        <v>508</v>
      </c>
      <c r="J235" t="s">
        <v>509</v>
      </c>
      <c r="K235" t="s">
        <v>510</v>
      </c>
      <c r="L235">
        <v>1348</v>
      </c>
      <c r="N235">
        <v>1009</v>
      </c>
      <c r="O235" t="s">
        <v>287</v>
      </c>
      <c r="P235" t="s">
        <v>287</v>
      </c>
      <c r="Q235">
        <v>1000</v>
      </c>
      <c r="X235">
        <v>1.0000000000000001E-5</v>
      </c>
      <c r="Y235">
        <v>17047.89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113</v>
      </c>
      <c r="AG235">
        <v>1.0000000000000001E-5</v>
      </c>
      <c r="AH235">
        <v>2</v>
      </c>
      <c r="AI235">
        <v>55937613</v>
      </c>
      <c r="AJ235">
        <v>182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ROW(Source!A141)</f>
        <v>141</v>
      </c>
      <c r="B236">
        <v>55937614</v>
      </c>
      <c r="C236">
        <v>55937600</v>
      </c>
      <c r="D236">
        <v>55441554</v>
      </c>
      <c r="E236">
        <v>1081</v>
      </c>
      <c r="F236">
        <v>1</v>
      </c>
      <c r="G236">
        <v>1081</v>
      </c>
      <c r="H236">
        <v>3</v>
      </c>
      <c r="I236" t="s">
        <v>637</v>
      </c>
      <c r="J236" t="s">
        <v>3</v>
      </c>
      <c r="K236" t="s">
        <v>638</v>
      </c>
      <c r="L236">
        <v>1354</v>
      </c>
      <c r="N236">
        <v>1010</v>
      </c>
      <c r="O236" t="s">
        <v>217</v>
      </c>
      <c r="P236" t="s">
        <v>217</v>
      </c>
      <c r="Q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113</v>
      </c>
      <c r="AG236">
        <v>1</v>
      </c>
      <c r="AH236">
        <v>3</v>
      </c>
      <c r="AI236">
        <v>-1</v>
      </c>
      <c r="AJ236" t="s">
        <v>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ROW(Source!A142)</f>
        <v>142</v>
      </c>
      <c r="B237">
        <v>55937609</v>
      </c>
      <c r="C237">
        <v>55937600</v>
      </c>
      <c r="D237">
        <v>55424304</v>
      </c>
      <c r="E237">
        <v>1081</v>
      </c>
      <c r="F237">
        <v>1</v>
      </c>
      <c r="G237">
        <v>1081</v>
      </c>
      <c r="H237">
        <v>1</v>
      </c>
      <c r="I237" t="s">
        <v>449</v>
      </c>
      <c r="J237" t="s">
        <v>3</v>
      </c>
      <c r="K237" t="s">
        <v>450</v>
      </c>
      <c r="L237">
        <v>1191</v>
      </c>
      <c r="N237">
        <v>1013</v>
      </c>
      <c r="O237" t="s">
        <v>451</v>
      </c>
      <c r="P237" t="s">
        <v>451</v>
      </c>
      <c r="Q237">
        <v>1</v>
      </c>
      <c r="X237">
        <v>0.6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 t="s">
        <v>114</v>
      </c>
      <c r="AG237">
        <v>0.72</v>
      </c>
      <c r="AH237">
        <v>2</v>
      </c>
      <c r="AI237">
        <v>55937609</v>
      </c>
      <c r="AJ237">
        <v>183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ROW(Source!A142)</f>
        <v>142</v>
      </c>
      <c r="B238">
        <v>55937610</v>
      </c>
      <c r="C238">
        <v>55937600</v>
      </c>
      <c r="D238">
        <v>55490263</v>
      </c>
      <c r="E238">
        <v>1</v>
      </c>
      <c r="F238">
        <v>1</v>
      </c>
      <c r="G238">
        <v>1081</v>
      </c>
      <c r="H238">
        <v>2</v>
      </c>
      <c r="I238" t="s">
        <v>502</v>
      </c>
      <c r="J238" t="s">
        <v>503</v>
      </c>
      <c r="K238" t="s">
        <v>504</v>
      </c>
      <c r="L238">
        <v>1368</v>
      </c>
      <c r="N238">
        <v>1011</v>
      </c>
      <c r="O238" t="s">
        <v>455</v>
      </c>
      <c r="P238" t="s">
        <v>455</v>
      </c>
      <c r="Q238">
        <v>1</v>
      </c>
      <c r="X238">
        <v>0.06</v>
      </c>
      <c r="Y238">
        <v>0</v>
      </c>
      <c r="Z238">
        <v>0.77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114</v>
      </c>
      <c r="AG238">
        <v>7.1999999999999995E-2</v>
      </c>
      <c r="AH238">
        <v>2</v>
      </c>
      <c r="AI238">
        <v>55937610</v>
      </c>
      <c r="AJ238">
        <v>184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ROW(Source!A142)</f>
        <v>142</v>
      </c>
      <c r="B239">
        <v>55937611</v>
      </c>
      <c r="C239">
        <v>55937600</v>
      </c>
      <c r="D239">
        <v>55413657</v>
      </c>
      <c r="E239">
        <v>1081</v>
      </c>
      <c r="F239">
        <v>1</v>
      </c>
      <c r="G239">
        <v>1081</v>
      </c>
      <c r="H239">
        <v>3</v>
      </c>
      <c r="I239" t="s">
        <v>635</v>
      </c>
      <c r="J239" t="s">
        <v>3</v>
      </c>
      <c r="K239" t="s">
        <v>636</v>
      </c>
      <c r="L239">
        <v>1339</v>
      </c>
      <c r="N239">
        <v>1007</v>
      </c>
      <c r="O239" t="s">
        <v>581</v>
      </c>
      <c r="P239" t="s">
        <v>581</v>
      </c>
      <c r="Q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113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ROW(Source!A142)</f>
        <v>142</v>
      </c>
      <c r="B240">
        <v>55937612</v>
      </c>
      <c r="C240">
        <v>55937600</v>
      </c>
      <c r="D240">
        <v>55461072</v>
      </c>
      <c r="E240">
        <v>1</v>
      </c>
      <c r="F240">
        <v>1</v>
      </c>
      <c r="G240">
        <v>1081</v>
      </c>
      <c r="H240">
        <v>3</v>
      </c>
      <c r="I240" t="s">
        <v>505</v>
      </c>
      <c r="J240" t="s">
        <v>506</v>
      </c>
      <c r="K240" t="s">
        <v>507</v>
      </c>
      <c r="L240">
        <v>1348</v>
      </c>
      <c r="N240">
        <v>1009</v>
      </c>
      <c r="O240" t="s">
        <v>287</v>
      </c>
      <c r="P240" t="s">
        <v>287</v>
      </c>
      <c r="Q240">
        <v>1000</v>
      </c>
      <c r="X240">
        <v>3.0000000000000001E-5</v>
      </c>
      <c r="Y240">
        <v>37835.07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 t="s">
        <v>113</v>
      </c>
      <c r="AG240">
        <v>3.0000000000000001E-5</v>
      </c>
      <c r="AH240">
        <v>2</v>
      </c>
      <c r="AI240">
        <v>55937612</v>
      </c>
      <c r="AJ240">
        <v>185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ROW(Source!A142)</f>
        <v>142</v>
      </c>
      <c r="B241">
        <v>55937613</v>
      </c>
      <c r="C241">
        <v>55937600</v>
      </c>
      <c r="D241">
        <v>55461761</v>
      </c>
      <c r="E241">
        <v>1</v>
      </c>
      <c r="F241">
        <v>1</v>
      </c>
      <c r="G241">
        <v>1081</v>
      </c>
      <c r="H241">
        <v>3</v>
      </c>
      <c r="I241" t="s">
        <v>508</v>
      </c>
      <c r="J241" t="s">
        <v>509</v>
      </c>
      <c r="K241" t="s">
        <v>510</v>
      </c>
      <c r="L241">
        <v>1348</v>
      </c>
      <c r="N241">
        <v>1009</v>
      </c>
      <c r="O241" t="s">
        <v>287</v>
      </c>
      <c r="P241" t="s">
        <v>287</v>
      </c>
      <c r="Q241">
        <v>1000</v>
      </c>
      <c r="X241">
        <v>1.0000000000000001E-5</v>
      </c>
      <c r="Y241">
        <v>17047.89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 t="s">
        <v>113</v>
      </c>
      <c r="AG241">
        <v>1.0000000000000001E-5</v>
      </c>
      <c r="AH241">
        <v>2</v>
      </c>
      <c r="AI241">
        <v>55937613</v>
      </c>
      <c r="AJ241">
        <v>186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ROW(Source!A142)</f>
        <v>142</v>
      </c>
      <c r="B242">
        <v>55937614</v>
      </c>
      <c r="C242">
        <v>55937600</v>
      </c>
      <c r="D242">
        <v>55441554</v>
      </c>
      <c r="E242">
        <v>1081</v>
      </c>
      <c r="F242">
        <v>1</v>
      </c>
      <c r="G242">
        <v>1081</v>
      </c>
      <c r="H242">
        <v>3</v>
      </c>
      <c r="I242" t="s">
        <v>637</v>
      </c>
      <c r="J242" t="s">
        <v>3</v>
      </c>
      <c r="K242" t="s">
        <v>638</v>
      </c>
      <c r="L242">
        <v>1354</v>
      </c>
      <c r="N242">
        <v>1010</v>
      </c>
      <c r="O242" t="s">
        <v>217</v>
      </c>
      <c r="P242" t="s">
        <v>217</v>
      </c>
      <c r="Q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113</v>
      </c>
      <c r="AG242">
        <v>1</v>
      </c>
      <c r="AH242">
        <v>3</v>
      </c>
      <c r="AI242">
        <v>-1</v>
      </c>
      <c r="AJ242" t="s">
        <v>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ROW(Source!A155)</f>
        <v>155</v>
      </c>
      <c r="B243">
        <v>55937672</v>
      </c>
      <c r="C243">
        <v>55937671</v>
      </c>
      <c r="D243">
        <v>55424304</v>
      </c>
      <c r="E243">
        <v>1081</v>
      </c>
      <c r="F243">
        <v>1</v>
      </c>
      <c r="G243">
        <v>1081</v>
      </c>
      <c r="H243">
        <v>1</v>
      </c>
      <c r="I243" t="s">
        <v>449</v>
      </c>
      <c r="J243" t="s">
        <v>3</v>
      </c>
      <c r="K243" t="s">
        <v>450</v>
      </c>
      <c r="L243">
        <v>1191</v>
      </c>
      <c r="N243">
        <v>1013</v>
      </c>
      <c r="O243" t="s">
        <v>451</v>
      </c>
      <c r="P243" t="s">
        <v>451</v>
      </c>
      <c r="Q243">
        <v>1</v>
      </c>
      <c r="X243">
        <v>18.38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">
        <v>282</v>
      </c>
      <c r="AG243">
        <v>25.364399999999996</v>
      </c>
      <c r="AH243">
        <v>2</v>
      </c>
      <c r="AI243">
        <v>55937672</v>
      </c>
      <c r="AJ243">
        <v>187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ROW(Source!A155)</f>
        <v>155</v>
      </c>
      <c r="B244">
        <v>55937673</v>
      </c>
      <c r="C244">
        <v>55937671</v>
      </c>
      <c r="D244">
        <v>55490209</v>
      </c>
      <c r="E244">
        <v>1</v>
      </c>
      <c r="F244">
        <v>1</v>
      </c>
      <c r="G244">
        <v>1081</v>
      </c>
      <c r="H244">
        <v>2</v>
      </c>
      <c r="I244" t="s">
        <v>489</v>
      </c>
      <c r="J244" t="s">
        <v>490</v>
      </c>
      <c r="K244" t="s">
        <v>491</v>
      </c>
      <c r="L244">
        <v>1368</v>
      </c>
      <c r="N244">
        <v>1011</v>
      </c>
      <c r="O244" t="s">
        <v>455</v>
      </c>
      <c r="P244" t="s">
        <v>455</v>
      </c>
      <c r="Q244">
        <v>1</v>
      </c>
      <c r="X244">
        <v>1.36</v>
      </c>
      <c r="Y244">
        <v>0</v>
      </c>
      <c r="Z244">
        <v>83.1</v>
      </c>
      <c r="AA244">
        <v>12.62</v>
      </c>
      <c r="AB244">
        <v>0</v>
      </c>
      <c r="AC244">
        <v>0</v>
      </c>
      <c r="AD244">
        <v>1</v>
      </c>
      <c r="AE244">
        <v>0</v>
      </c>
      <c r="AF244" t="s">
        <v>281</v>
      </c>
      <c r="AG244">
        <v>2.04</v>
      </c>
      <c r="AH244">
        <v>2</v>
      </c>
      <c r="AI244">
        <v>55937673</v>
      </c>
      <c r="AJ244">
        <v>188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ROW(Source!A155)</f>
        <v>155</v>
      </c>
      <c r="B245">
        <v>55937674</v>
      </c>
      <c r="C245">
        <v>55937671</v>
      </c>
      <c r="D245">
        <v>55490331</v>
      </c>
      <c r="E245">
        <v>1</v>
      </c>
      <c r="F245">
        <v>1</v>
      </c>
      <c r="G245">
        <v>1081</v>
      </c>
      <c r="H245">
        <v>2</v>
      </c>
      <c r="I245" t="s">
        <v>456</v>
      </c>
      <c r="J245" t="s">
        <v>457</v>
      </c>
      <c r="K245" t="s">
        <v>458</v>
      </c>
      <c r="L245">
        <v>1368</v>
      </c>
      <c r="N245">
        <v>1011</v>
      </c>
      <c r="O245" t="s">
        <v>455</v>
      </c>
      <c r="P245" t="s">
        <v>455</v>
      </c>
      <c r="Q245">
        <v>1</v>
      </c>
      <c r="X245">
        <v>0.54</v>
      </c>
      <c r="Y245">
        <v>0</v>
      </c>
      <c r="Z245">
        <v>1.1100000000000001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281</v>
      </c>
      <c r="AG245">
        <v>0.81</v>
      </c>
      <c r="AH245">
        <v>2</v>
      </c>
      <c r="AI245">
        <v>55937674</v>
      </c>
      <c r="AJ245">
        <v>189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ROW(Source!A155)</f>
        <v>155</v>
      </c>
      <c r="B246">
        <v>55937675</v>
      </c>
      <c r="C246">
        <v>55937671</v>
      </c>
      <c r="D246">
        <v>55490296</v>
      </c>
      <c r="E246">
        <v>1</v>
      </c>
      <c r="F246">
        <v>1</v>
      </c>
      <c r="G246">
        <v>1081</v>
      </c>
      <c r="H246">
        <v>2</v>
      </c>
      <c r="I246" t="s">
        <v>477</v>
      </c>
      <c r="J246" t="s">
        <v>478</v>
      </c>
      <c r="K246" t="s">
        <v>479</v>
      </c>
      <c r="L246">
        <v>1368</v>
      </c>
      <c r="N246">
        <v>1011</v>
      </c>
      <c r="O246" t="s">
        <v>455</v>
      </c>
      <c r="P246" t="s">
        <v>455</v>
      </c>
      <c r="Q246">
        <v>1</v>
      </c>
      <c r="X246">
        <v>0.24</v>
      </c>
      <c r="Y246">
        <v>0</v>
      </c>
      <c r="Z246">
        <v>0.47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281</v>
      </c>
      <c r="AG246">
        <v>0.36</v>
      </c>
      <c r="AH246">
        <v>2</v>
      </c>
      <c r="AI246">
        <v>55937675</v>
      </c>
      <c r="AJ246">
        <v>190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ROW(Source!A155)</f>
        <v>155</v>
      </c>
      <c r="B247">
        <v>55937676</v>
      </c>
      <c r="C247">
        <v>55937671</v>
      </c>
      <c r="D247">
        <v>55461690</v>
      </c>
      <c r="E247">
        <v>1</v>
      </c>
      <c r="F247">
        <v>1</v>
      </c>
      <c r="G247">
        <v>1081</v>
      </c>
      <c r="H247">
        <v>3</v>
      </c>
      <c r="I247" t="s">
        <v>511</v>
      </c>
      <c r="J247" t="s">
        <v>512</v>
      </c>
      <c r="K247" t="s">
        <v>513</v>
      </c>
      <c r="L247">
        <v>1296</v>
      </c>
      <c r="N247">
        <v>1002</v>
      </c>
      <c r="O247" t="s">
        <v>514</v>
      </c>
      <c r="P247" t="s">
        <v>514</v>
      </c>
      <c r="Q247">
        <v>1</v>
      </c>
      <c r="X247">
        <v>2.52</v>
      </c>
      <c r="Y247">
        <v>125.73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280</v>
      </c>
      <c r="AG247">
        <v>2.52</v>
      </c>
      <c r="AH247">
        <v>2</v>
      </c>
      <c r="AI247">
        <v>55937676</v>
      </c>
      <c r="AJ247">
        <v>191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ROW(Source!A155)</f>
        <v>155</v>
      </c>
      <c r="B248">
        <v>55937677</v>
      </c>
      <c r="C248">
        <v>55937671</v>
      </c>
      <c r="D248">
        <v>55469262</v>
      </c>
      <c r="E248">
        <v>1</v>
      </c>
      <c r="F248">
        <v>1</v>
      </c>
      <c r="G248">
        <v>1081</v>
      </c>
      <c r="H248">
        <v>3</v>
      </c>
      <c r="I248" t="s">
        <v>474</v>
      </c>
      <c r="J248" t="s">
        <v>475</v>
      </c>
      <c r="K248" t="s">
        <v>476</v>
      </c>
      <c r="L248">
        <v>1354</v>
      </c>
      <c r="N248">
        <v>1010</v>
      </c>
      <c r="O248" t="s">
        <v>217</v>
      </c>
      <c r="P248" t="s">
        <v>217</v>
      </c>
      <c r="Q248">
        <v>1</v>
      </c>
      <c r="X248">
        <v>9.6000000000000002E-2</v>
      </c>
      <c r="Y248">
        <v>10.53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280</v>
      </c>
      <c r="AG248">
        <v>9.6000000000000002E-2</v>
      </c>
      <c r="AH248">
        <v>2</v>
      </c>
      <c r="AI248">
        <v>55937677</v>
      </c>
      <c r="AJ248">
        <v>193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ROW(Source!A155)</f>
        <v>155</v>
      </c>
      <c r="B249">
        <v>55937678</v>
      </c>
      <c r="C249">
        <v>55937671</v>
      </c>
      <c r="D249">
        <v>55469472</v>
      </c>
      <c r="E249">
        <v>1</v>
      </c>
      <c r="F249">
        <v>1</v>
      </c>
      <c r="G249">
        <v>1081</v>
      </c>
      <c r="H249">
        <v>3</v>
      </c>
      <c r="I249" t="s">
        <v>515</v>
      </c>
      <c r="J249" t="s">
        <v>516</v>
      </c>
      <c r="K249" t="s">
        <v>517</v>
      </c>
      <c r="L249">
        <v>1355</v>
      </c>
      <c r="N249">
        <v>1010</v>
      </c>
      <c r="O249" t="s">
        <v>60</v>
      </c>
      <c r="P249" t="s">
        <v>60</v>
      </c>
      <c r="Q249">
        <v>100</v>
      </c>
      <c r="X249">
        <v>0.61</v>
      </c>
      <c r="Y249">
        <v>278.73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280</v>
      </c>
      <c r="AG249">
        <v>0.61</v>
      </c>
      <c r="AH249">
        <v>2</v>
      </c>
      <c r="AI249">
        <v>55937678</v>
      </c>
      <c r="AJ249">
        <v>194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ROW(Source!A155)</f>
        <v>155</v>
      </c>
      <c r="B250">
        <v>55937679</v>
      </c>
      <c r="C250">
        <v>55937671</v>
      </c>
      <c r="D250">
        <v>55445665</v>
      </c>
      <c r="E250">
        <v>1081</v>
      </c>
      <c r="F250">
        <v>1</v>
      </c>
      <c r="G250">
        <v>1081</v>
      </c>
      <c r="H250">
        <v>3</v>
      </c>
      <c r="I250" t="s">
        <v>639</v>
      </c>
      <c r="J250" t="s">
        <v>3</v>
      </c>
      <c r="K250" t="s">
        <v>640</v>
      </c>
      <c r="L250">
        <v>1354</v>
      </c>
      <c r="N250">
        <v>1010</v>
      </c>
      <c r="O250" t="s">
        <v>217</v>
      </c>
      <c r="P250" t="s">
        <v>217</v>
      </c>
      <c r="Q250">
        <v>1</v>
      </c>
      <c r="X250">
        <v>10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280</v>
      </c>
      <c r="AG250">
        <v>10</v>
      </c>
      <c r="AH250">
        <v>3</v>
      </c>
      <c r="AI250">
        <v>-1</v>
      </c>
      <c r="AJ250" t="s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ROW(Source!A156)</f>
        <v>156</v>
      </c>
      <c r="B251">
        <v>55937672</v>
      </c>
      <c r="C251">
        <v>55937671</v>
      </c>
      <c r="D251">
        <v>55424304</v>
      </c>
      <c r="E251">
        <v>1081</v>
      </c>
      <c r="F251">
        <v>1</v>
      </c>
      <c r="G251">
        <v>1081</v>
      </c>
      <c r="H251">
        <v>1</v>
      </c>
      <c r="I251" t="s">
        <v>449</v>
      </c>
      <c r="J251" t="s">
        <v>3</v>
      </c>
      <c r="K251" t="s">
        <v>450</v>
      </c>
      <c r="L251">
        <v>1191</v>
      </c>
      <c r="N251">
        <v>1013</v>
      </c>
      <c r="O251" t="s">
        <v>451</v>
      </c>
      <c r="P251" t="s">
        <v>451</v>
      </c>
      <c r="Q251">
        <v>1</v>
      </c>
      <c r="X251">
        <v>18.38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282</v>
      </c>
      <c r="AG251">
        <v>25.364399999999996</v>
      </c>
      <c r="AH251">
        <v>2</v>
      </c>
      <c r="AI251">
        <v>55937672</v>
      </c>
      <c r="AJ251">
        <v>195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ROW(Source!A156)</f>
        <v>156</v>
      </c>
      <c r="B252">
        <v>55937673</v>
      </c>
      <c r="C252">
        <v>55937671</v>
      </c>
      <c r="D252">
        <v>55490209</v>
      </c>
      <c r="E252">
        <v>1</v>
      </c>
      <c r="F252">
        <v>1</v>
      </c>
      <c r="G252">
        <v>1081</v>
      </c>
      <c r="H252">
        <v>2</v>
      </c>
      <c r="I252" t="s">
        <v>489</v>
      </c>
      <c r="J252" t="s">
        <v>490</v>
      </c>
      <c r="K252" t="s">
        <v>491</v>
      </c>
      <c r="L252">
        <v>1368</v>
      </c>
      <c r="N252">
        <v>1011</v>
      </c>
      <c r="O252" t="s">
        <v>455</v>
      </c>
      <c r="P252" t="s">
        <v>455</v>
      </c>
      <c r="Q252">
        <v>1</v>
      </c>
      <c r="X252">
        <v>1.36</v>
      </c>
      <c r="Y252">
        <v>0</v>
      </c>
      <c r="Z252">
        <v>83.1</v>
      </c>
      <c r="AA252">
        <v>12.62</v>
      </c>
      <c r="AB252">
        <v>0</v>
      </c>
      <c r="AC252">
        <v>0</v>
      </c>
      <c r="AD252">
        <v>1</v>
      </c>
      <c r="AE252">
        <v>0</v>
      </c>
      <c r="AF252" t="s">
        <v>281</v>
      </c>
      <c r="AG252">
        <v>2.04</v>
      </c>
      <c r="AH252">
        <v>2</v>
      </c>
      <c r="AI252">
        <v>55937673</v>
      </c>
      <c r="AJ252">
        <v>196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ROW(Source!A156)</f>
        <v>156</v>
      </c>
      <c r="B253">
        <v>55937674</v>
      </c>
      <c r="C253">
        <v>55937671</v>
      </c>
      <c r="D253">
        <v>55490331</v>
      </c>
      <c r="E253">
        <v>1</v>
      </c>
      <c r="F253">
        <v>1</v>
      </c>
      <c r="G253">
        <v>1081</v>
      </c>
      <c r="H253">
        <v>2</v>
      </c>
      <c r="I253" t="s">
        <v>456</v>
      </c>
      <c r="J253" t="s">
        <v>457</v>
      </c>
      <c r="K253" t="s">
        <v>458</v>
      </c>
      <c r="L253">
        <v>1368</v>
      </c>
      <c r="N253">
        <v>1011</v>
      </c>
      <c r="O253" t="s">
        <v>455</v>
      </c>
      <c r="P253" t="s">
        <v>455</v>
      </c>
      <c r="Q253">
        <v>1</v>
      </c>
      <c r="X253">
        <v>0.54</v>
      </c>
      <c r="Y253">
        <v>0</v>
      </c>
      <c r="Z253">
        <v>1.1100000000000001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281</v>
      </c>
      <c r="AG253">
        <v>0.81</v>
      </c>
      <c r="AH253">
        <v>2</v>
      </c>
      <c r="AI253">
        <v>55937674</v>
      </c>
      <c r="AJ253">
        <v>197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ROW(Source!A156)</f>
        <v>156</v>
      </c>
      <c r="B254">
        <v>55937675</v>
      </c>
      <c r="C254">
        <v>55937671</v>
      </c>
      <c r="D254">
        <v>55490296</v>
      </c>
      <c r="E254">
        <v>1</v>
      </c>
      <c r="F254">
        <v>1</v>
      </c>
      <c r="G254">
        <v>1081</v>
      </c>
      <c r="H254">
        <v>2</v>
      </c>
      <c r="I254" t="s">
        <v>477</v>
      </c>
      <c r="J254" t="s">
        <v>478</v>
      </c>
      <c r="K254" t="s">
        <v>479</v>
      </c>
      <c r="L254">
        <v>1368</v>
      </c>
      <c r="N254">
        <v>1011</v>
      </c>
      <c r="O254" t="s">
        <v>455</v>
      </c>
      <c r="P254" t="s">
        <v>455</v>
      </c>
      <c r="Q254">
        <v>1</v>
      </c>
      <c r="X254">
        <v>0.24</v>
      </c>
      <c r="Y254">
        <v>0</v>
      </c>
      <c r="Z254">
        <v>0.47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281</v>
      </c>
      <c r="AG254">
        <v>0.36</v>
      </c>
      <c r="AH254">
        <v>2</v>
      </c>
      <c r="AI254">
        <v>55937675</v>
      </c>
      <c r="AJ254">
        <v>198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ROW(Source!A156)</f>
        <v>156</v>
      </c>
      <c r="B255">
        <v>55937676</v>
      </c>
      <c r="C255">
        <v>55937671</v>
      </c>
      <c r="D255">
        <v>55461690</v>
      </c>
      <c r="E255">
        <v>1</v>
      </c>
      <c r="F255">
        <v>1</v>
      </c>
      <c r="G255">
        <v>1081</v>
      </c>
      <c r="H255">
        <v>3</v>
      </c>
      <c r="I255" t="s">
        <v>511</v>
      </c>
      <c r="J255" t="s">
        <v>512</v>
      </c>
      <c r="K255" t="s">
        <v>513</v>
      </c>
      <c r="L255">
        <v>1296</v>
      </c>
      <c r="N255">
        <v>1002</v>
      </c>
      <c r="O255" t="s">
        <v>514</v>
      </c>
      <c r="P255" t="s">
        <v>514</v>
      </c>
      <c r="Q255">
        <v>1</v>
      </c>
      <c r="X255">
        <v>2.52</v>
      </c>
      <c r="Y255">
        <v>125.73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280</v>
      </c>
      <c r="AG255">
        <v>2.52</v>
      </c>
      <c r="AH255">
        <v>2</v>
      </c>
      <c r="AI255">
        <v>55937676</v>
      </c>
      <c r="AJ255">
        <v>199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ROW(Source!A156)</f>
        <v>156</v>
      </c>
      <c r="B256">
        <v>55937677</v>
      </c>
      <c r="C256">
        <v>55937671</v>
      </c>
      <c r="D256">
        <v>55469262</v>
      </c>
      <c r="E256">
        <v>1</v>
      </c>
      <c r="F256">
        <v>1</v>
      </c>
      <c r="G256">
        <v>1081</v>
      </c>
      <c r="H256">
        <v>3</v>
      </c>
      <c r="I256" t="s">
        <v>474</v>
      </c>
      <c r="J256" t="s">
        <v>475</v>
      </c>
      <c r="K256" t="s">
        <v>476</v>
      </c>
      <c r="L256">
        <v>1354</v>
      </c>
      <c r="N256">
        <v>1010</v>
      </c>
      <c r="O256" t="s">
        <v>217</v>
      </c>
      <c r="P256" t="s">
        <v>217</v>
      </c>
      <c r="Q256">
        <v>1</v>
      </c>
      <c r="X256">
        <v>9.6000000000000002E-2</v>
      </c>
      <c r="Y256">
        <v>10.53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280</v>
      </c>
      <c r="AG256">
        <v>9.6000000000000002E-2</v>
      </c>
      <c r="AH256">
        <v>2</v>
      </c>
      <c r="AI256">
        <v>55937677</v>
      </c>
      <c r="AJ256">
        <v>201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ROW(Source!A156)</f>
        <v>156</v>
      </c>
      <c r="B257">
        <v>55937678</v>
      </c>
      <c r="C257">
        <v>55937671</v>
      </c>
      <c r="D257">
        <v>55469472</v>
      </c>
      <c r="E257">
        <v>1</v>
      </c>
      <c r="F257">
        <v>1</v>
      </c>
      <c r="G257">
        <v>1081</v>
      </c>
      <c r="H257">
        <v>3</v>
      </c>
      <c r="I257" t="s">
        <v>515</v>
      </c>
      <c r="J257" t="s">
        <v>516</v>
      </c>
      <c r="K257" t="s">
        <v>517</v>
      </c>
      <c r="L257">
        <v>1355</v>
      </c>
      <c r="N257">
        <v>1010</v>
      </c>
      <c r="O257" t="s">
        <v>60</v>
      </c>
      <c r="P257" t="s">
        <v>60</v>
      </c>
      <c r="Q257">
        <v>100</v>
      </c>
      <c r="X257">
        <v>0.61</v>
      </c>
      <c r="Y257">
        <v>278.73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280</v>
      </c>
      <c r="AG257">
        <v>0.61</v>
      </c>
      <c r="AH257">
        <v>2</v>
      </c>
      <c r="AI257">
        <v>55937678</v>
      </c>
      <c r="AJ257">
        <v>202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ROW(Source!A156)</f>
        <v>156</v>
      </c>
      <c r="B258">
        <v>55937679</v>
      </c>
      <c r="C258">
        <v>55937671</v>
      </c>
      <c r="D258">
        <v>55445665</v>
      </c>
      <c r="E258">
        <v>1081</v>
      </c>
      <c r="F258">
        <v>1</v>
      </c>
      <c r="G258">
        <v>1081</v>
      </c>
      <c r="H258">
        <v>3</v>
      </c>
      <c r="I258" t="s">
        <v>639</v>
      </c>
      <c r="J258" t="s">
        <v>3</v>
      </c>
      <c r="K258" t="s">
        <v>640</v>
      </c>
      <c r="L258">
        <v>1354</v>
      </c>
      <c r="N258">
        <v>1010</v>
      </c>
      <c r="O258" t="s">
        <v>217</v>
      </c>
      <c r="P258" t="s">
        <v>217</v>
      </c>
      <c r="Q258">
        <v>1</v>
      </c>
      <c r="X258">
        <v>10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280</v>
      </c>
      <c r="AG258">
        <v>10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ROW(Source!A159)</f>
        <v>159</v>
      </c>
      <c r="B259">
        <v>55937682</v>
      </c>
      <c r="C259">
        <v>55937681</v>
      </c>
      <c r="D259">
        <v>55424304</v>
      </c>
      <c r="E259">
        <v>1081</v>
      </c>
      <c r="F259">
        <v>1</v>
      </c>
      <c r="G259">
        <v>1081</v>
      </c>
      <c r="H259">
        <v>1</v>
      </c>
      <c r="I259" t="s">
        <v>449</v>
      </c>
      <c r="J259" t="s">
        <v>3</v>
      </c>
      <c r="K259" t="s">
        <v>450</v>
      </c>
      <c r="L259">
        <v>1191</v>
      </c>
      <c r="N259">
        <v>1013</v>
      </c>
      <c r="O259" t="s">
        <v>451</v>
      </c>
      <c r="P259" t="s">
        <v>451</v>
      </c>
      <c r="Q259">
        <v>1</v>
      </c>
      <c r="X259">
        <v>7.0000000000000007E-2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114</v>
      </c>
      <c r="AG259">
        <v>8.4000000000000005E-2</v>
      </c>
      <c r="AH259">
        <v>2</v>
      </c>
      <c r="AI259">
        <v>55937682</v>
      </c>
      <c r="AJ259">
        <v>203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ROW(Source!A159)</f>
        <v>159</v>
      </c>
      <c r="B260">
        <v>55937683</v>
      </c>
      <c r="C260">
        <v>55937681</v>
      </c>
      <c r="D260">
        <v>55448138</v>
      </c>
      <c r="E260">
        <v>1081</v>
      </c>
      <c r="F260">
        <v>1</v>
      </c>
      <c r="G260">
        <v>1081</v>
      </c>
      <c r="H260">
        <v>3</v>
      </c>
      <c r="I260" t="s">
        <v>641</v>
      </c>
      <c r="J260" t="s">
        <v>3</v>
      </c>
      <c r="K260" t="s">
        <v>642</v>
      </c>
      <c r="L260">
        <v>1354</v>
      </c>
      <c r="N260">
        <v>1010</v>
      </c>
      <c r="O260" t="s">
        <v>217</v>
      </c>
      <c r="P260" t="s">
        <v>217</v>
      </c>
      <c r="Q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113</v>
      </c>
      <c r="AG260">
        <v>1</v>
      </c>
      <c r="AH260">
        <v>3</v>
      </c>
      <c r="AI260">
        <v>-1</v>
      </c>
      <c r="AJ260" t="s">
        <v>3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ROW(Source!A160)</f>
        <v>160</v>
      </c>
      <c r="B261">
        <v>55937682</v>
      </c>
      <c r="C261">
        <v>55937681</v>
      </c>
      <c r="D261">
        <v>55424304</v>
      </c>
      <c r="E261">
        <v>1081</v>
      </c>
      <c r="F261">
        <v>1</v>
      </c>
      <c r="G261">
        <v>1081</v>
      </c>
      <c r="H261">
        <v>1</v>
      </c>
      <c r="I261" t="s">
        <v>449</v>
      </c>
      <c r="J261" t="s">
        <v>3</v>
      </c>
      <c r="K261" t="s">
        <v>450</v>
      </c>
      <c r="L261">
        <v>1191</v>
      </c>
      <c r="N261">
        <v>1013</v>
      </c>
      <c r="O261" t="s">
        <v>451</v>
      </c>
      <c r="P261" t="s">
        <v>451</v>
      </c>
      <c r="Q261">
        <v>1</v>
      </c>
      <c r="X261">
        <v>7.0000000000000007E-2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114</v>
      </c>
      <c r="AG261">
        <v>8.4000000000000005E-2</v>
      </c>
      <c r="AH261">
        <v>2</v>
      </c>
      <c r="AI261">
        <v>55937682</v>
      </c>
      <c r="AJ261">
        <v>205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ROW(Source!A160)</f>
        <v>160</v>
      </c>
      <c r="B262">
        <v>55937683</v>
      </c>
      <c r="C262">
        <v>55937681</v>
      </c>
      <c r="D262">
        <v>55448138</v>
      </c>
      <c r="E262">
        <v>1081</v>
      </c>
      <c r="F262">
        <v>1</v>
      </c>
      <c r="G262">
        <v>1081</v>
      </c>
      <c r="H262">
        <v>3</v>
      </c>
      <c r="I262" t="s">
        <v>641</v>
      </c>
      <c r="J262" t="s">
        <v>3</v>
      </c>
      <c r="K262" t="s">
        <v>642</v>
      </c>
      <c r="L262">
        <v>1354</v>
      </c>
      <c r="N262">
        <v>1010</v>
      </c>
      <c r="O262" t="s">
        <v>217</v>
      </c>
      <c r="P262" t="s">
        <v>217</v>
      </c>
      <c r="Q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113</v>
      </c>
      <c r="AG262">
        <v>1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ROW(Source!A163)</f>
        <v>163</v>
      </c>
      <c r="B263">
        <v>55937686</v>
      </c>
      <c r="C263">
        <v>55937685</v>
      </c>
      <c r="D263">
        <v>55424304</v>
      </c>
      <c r="E263">
        <v>1081</v>
      </c>
      <c r="F263">
        <v>1</v>
      </c>
      <c r="G263">
        <v>1081</v>
      </c>
      <c r="H263">
        <v>1</v>
      </c>
      <c r="I263" t="s">
        <v>449</v>
      </c>
      <c r="J263" t="s">
        <v>3</v>
      </c>
      <c r="K263" t="s">
        <v>450</v>
      </c>
      <c r="L263">
        <v>1191</v>
      </c>
      <c r="N263">
        <v>1013</v>
      </c>
      <c r="O263" t="s">
        <v>451</v>
      </c>
      <c r="P263" t="s">
        <v>451</v>
      </c>
      <c r="Q263">
        <v>1</v>
      </c>
      <c r="X263">
        <v>11.57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282</v>
      </c>
      <c r="AG263">
        <v>15.966599999999998</v>
      </c>
      <c r="AH263">
        <v>2</v>
      </c>
      <c r="AI263">
        <v>55937686</v>
      </c>
      <c r="AJ263">
        <v>207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ROW(Source!A163)</f>
        <v>163</v>
      </c>
      <c r="B264">
        <v>55937687</v>
      </c>
      <c r="C264">
        <v>55937685</v>
      </c>
      <c r="D264">
        <v>55490209</v>
      </c>
      <c r="E264">
        <v>1</v>
      </c>
      <c r="F264">
        <v>1</v>
      </c>
      <c r="G264">
        <v>1081</v>
      </c>
      <c r="H264">
        <v>2</v>
      </c>
      <c r="I264" t="s">
        <v>489</v>
      </c>
      <c r="J264" t="s">
        <v>490</v>
      </c>
      <c r="K264" t="s">
        <v>491</v>
      </c>
      <c r="L264">
        <v>1368</v>
      </c>
      <c r="N264">
        <v>1011</v>
      </c>
      <c r="O264" t="s">
        <v>455</v>
      </c>
      <c r="P264" t="s">
        <v>455</v>
      </c>
      <c r="Q264">
        <v>1</v>
      </c>
      <c r="X264">
        <v>0.18</v>
      </c>
      <c r="Y264">
        <v>0</v>
      </c>
      <c r="Z264">
        <v>83.1</v>
      </c>
      <c r="AA264">
        <v>12.62</v>
      </c>
      <c r="AB264">
        <v>0</v>
      </c>
      <c r="AC264">
        <v>0</v>
      </c>
      <c r="AD264">
        <v>1</v>
      </c>
      <c r="AE264">
        <v>0</v>
      </c>
      <c r="AF264" t="s">
        <v>281</v>
      </c>
      <c r="AG264">
        <v>0.26999999999999996</v>
      </c>
      <c r="AH264">
        <v>2</v>
      </c>
      <c r="AI264">
        <v>55937687</v>
      </c>
      <c r="AJ264">
        <v>208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ROW(Source!A163)</f>
        <v>163</v>
      </c>
      <c r="B265">
        <v>55937688</v>
      </c>
      <c r="C265">
        <v>55937685</v>
      </c>
      <c r="D265">
        <v>55490330</v>
      </c>
      <c r="E265">
        <v>1</v>
      </c>
      <c r="F265">
        <v>1</v>
      </c>
      <c r="G265">
        <v>1081</v>
      </c>
      <c r="H265">
        <v>2</v>
      </c>
      <c r="I265" t="s">
        <v>452</v>
      </c>
      <c r="J265" t="s">
        <v>453</v>
      </c>
      <c r="K265" t="s">
        <v>454</v>
      </c>
      <c r="L265">
        <v>1368</v>
      </c>
      <c r="N265">
        <v>1011</v>
      </c>
      <c r="O265" t="s">
        <v>455</v>
      </c>
      <c r="P265" t="s">
        <v>455</v>
      </c>
      <c r="Q265">
        <v>1</v>
      </c>
      <c r="X265">
        <v>1.38</v>
      </c>
      <c r="Y265">
        <v>0</v>
      </c>
      <c r="Z265">
        <v>0.8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281</v>
      </c>
      <c r="AG265">
        <v>2.0699999999999998</v>
      </c>
      <c r="AH265">
        <v>2</v>
      </c>
      <c r="AI265">
        <v>55937688</v>
      </c>
      <c r="AJ265">
        <v>209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ROW(Source!A163)</f>
        <v>163</v>
      </c>
      <c r="B266">
        <v>55937689</v>
      </c>
      <c r="C266">
        <v>55937685</v>
      </c>
      <c r="D266">
        <v>55490296</v>
      </c>
      <c r="E266">
        <v>1</v>
      </c>
      <c r="F266">
        <v>1</v>
      </c>
      <c r="G266">
        <v>1081</v>
      </c>
      <c r="H266">
        <v>2</v>
      </c>
      <c r="I266" t="s">
        <v>477</v>
      </c>
      <c r="J266" t="s">
        <v>478</v>
      </c>
      <c r="K266" t="s">
        <v>479</v>
      </c>
      <c r="L266">
        <v>1368</v>
      </c>
      <c r="N266">
        <v>1011</v>
      </c>
      <c r="O266" t="s">
        <v>455</v>
      </c>
      <c r="P266" t="s">
        <v>455</v>
      </c>
      <c r="Q266">
        <v>1</v>
      </c>
      <c r="X266">
        <v>5.6</v>
      </c>
      <c r="Y266">
        <v>0</v>
      </c>
      <c r="Z266">
        <v>0.47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281</v>
      </c>
      <c r="AG266">
        <v>8.4</v>
      </c>
      <c r="AH266">
        <v>2</v>
      </c>
      <c r="AI266">
        <v>55937689</v>
      </c>
      <c r="AJ266">
        <v>210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ROW(Source!A163)</f>
        <v>163</v>
      </c>
      <c r="B267">
        <v>55937690</v>
      </c>
      <c r="C267">
        <v>55937685</v>
      </c>
      <c r="D267">
        <v>55461073</v>
      </c>
      <c r="E267">
        <v>1</v>
      </c>
      <c r="F267">
        <v>1</v>
      </c>
      <c r="G267">
        <v>1081</v>
      </c>
      <c r="H267">
        <v>3</v>
      </c>
      <c r="I267" t="s">
        <v>518</v>
      </c>
      <c r="J267" t="s">
        <v>519</v>
      </c>
      <c r="K267" t="s">
        <v>520</v>
      </c>
      <c r="L267">
        <v>1346</v>
      </c>
      <c r="N267">
        <v>1009</v>
      </c>
      <c r="O267" t="s">
        <v>311</v>
      </c>
      <c r="P267" t="s">
        <v>311</v>
      </c>
      <c r="Q267">
        <v>1</v>
      </c>
      <c r="X267">
        <v>2.72</v>
      </c>
      <c r="Y267">
        <v>20.62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280</v>
      </c>
      <c r="AG267">
        <v>2.72</v>
      </c>
      <c r="AH267">
        <v>2</v>
      </c>
      <c r="AI267">
        <v>55937690</v>
      </c>
      <c r="AJ267">
        <v>211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ROW(Source!A163)</f>
        <v>163</v>
      </c>
      <c r="B268">
        <v>55937691</v>
      </c>
      <c r="C268">
        <v>55937685</v>
      </c>
      <c r="D268">
        <v>55469253</v>
      </c>
      <c r="E268">
        <v>1</v>
      </c>
      <c r="F268">
        <v>1</v>
      </c>
      <c r="G268">
        <v>1081</v>
      </c>
      <c r="H268">
        <v>3</v>
      </c>
      <c r="I268" t="s">
        <v>483</v>
      </c>
      <c r="J268" t="s">
        <v>484</v>
      </c>
      <c r="K268" t="s">
        <v>485</v>
      </c>
      <c r="L268">
        <v>1354</v>
      </c>
      <c r="N268">
        <v>1010</v>
      </c>
      <c r="O268" t="s">
        <v>217</v>
      </c>
      <c r="P268" t="s">
        <v>217</v>
      </c>
      <c r="Q268">
        <v>1</v>
      </c>
      <c r="X268">
        <v>5</v>
      </c>
      <c r="Y268">
        <v>15.25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280</v>
      </c>
      <c r="AG268">
        <v>5</v>
      </c>
      <c r="AH268">
        <v>2</v>
      </c>
      <c r="AI268">
        <v>55937691</v>
      </c>
      <c r="AJ268">
        <v>212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ROW(Source!A163)</f>
        <v>163</v>
      </c>
      <c r="B269">
        <v>55937692</v>
      </c>
      <c r="C269">
        <v>55937685</v>
      </c>
      <c r="D269">
        <v>55444673</v>
      </c>
      <c r="E269">
        <v>1081</v>
      </c>
      <c r="F269">
        <v>1</v>
      </c>
      <c r="G269">
        <v>1081</v>
      </c>
      <c r="H269">
        <v>3</v>
      </c>
      <c r="I269" t="s">
        <v>643</v>
      </c>
      <c r="J269" t="s">
        <v>3</v>
      </c>
      <c r="K269" t="s">
        <v>644</v>
      </c>
      <c r="L269">
        <v>1354</v>
      </c>
      <c r="N269">
        <v>1010</v>
      </c>
      <c r="O269" t="s">
        <v>217</v>
      </c>
      <c r="P269" t="s">
        <v>217</v>
      </c>
      <c r="Q269">
        <v>1</v>
      </c>
      <c r="X269">
        <v>100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280</v>
      </c>
      <c r="AG269">
        <v>100</v>
      </c>
      <c r="AH269">
        <v>3</v>
      </c>
      <c r="AI269">
        <v>-1</v>
      </c>
      <c r="AJ269" t="s">
        <v>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ROW(Source!A164)</f>
        <v>164</v>
      </c>
      <c r="B270">
        <v>55937686</v>
      </c>
      <c r="C270">
        <v>55937685</v>
      </c>
      <c r="D270">
        <v>55424304</v>
      </c>
      <c r="E270">
        <v>1081</v>
      </c>
      <c r="F270">
        <v>1</v>
      </c>
      <c r="G270">
        <v>1081</v>
      </c>
      <c r="H270">
        <v>1</v>
      </c>
      <c r="I270" t="s">
        <v>449</v>
      </c>
      <c r="J270" t="s">
        <v>3</v>
      </c>
      <c r="K270" t="s">
        <v>450</v>
      </c>
      <c r="L270">
        <v>1191</v>
      </c>
      <c r="N270">
        <v>1013</v>
      </c>
      <c r="O270" t="s">
        <v>451</v>
      </c>
      <c r="P270" t="s">
        <v>451</v>
      </c>
      <c r="Q270">
        <v>1</v>
      </c>
      <c r="X270">
        <v>11.57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 t="s">
        <v>282</v>
      </c>
      <c r="AG270">
        <v>15.966599999999998</v>
      </c>
      <c r="AH270">
        <v>2</v>
      </c>
      <c r="AI270">
        <v>55937686</v>
      </c>
      <c r="AJ270">
        <v>214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ROW(Source!A164)</f>
        <v>164</v>
      </c>
      <c r="B271">
        <v>55937687</v>
      </c>
      <c r="C271">
        <v>55937685</v>
      </c>
      <c r="D271">
        <v>55490209</v>
      </c>
      <c r="E271">
        <v>1</v>
      </c>
      <c r="F271">
        <v>1</v>
      </c>
      <c r="G271">
        <v>1081</v>
      </c>
      <c r="H271">
        <v>2</v>
      </c>
      <c r="I271" t="s">
        <v>489</v>
      </c>
      <c r="J271" t="s">
        <v>490</v>
      </c>
      <c r="K271" t="s">
        <v>491</v>
      </c>
      <c r="L271">
        <v>1368</v>
      </c>
      <c r="N271">
        <v>1011</v>
      </c>
      <c r="O271" t="s">
        <v>455</v>
      </c>
      <c r="P271" t="s">
        <v>455</v>
      </c>
      <c r="Q271">
        <v>1</v>
      </c>
      <c r="X271">
        <v>0.18</v>
      </c>
      <c r="Y271">
        <v>0</v>
      </c>
      <c r="Z271">
        <v>83.1</v>
      </c>
      <c r="AA271">
        <v>12.62</v>
      </c>
      <c r="AB271">
        <v>0</v>
      </c>
      <c r="AC271">
        <v>0</v>
      </c>
      <c r="AD271">
        <v>1</v>
      </c>
      <c r="AE271">
        <v>0</v>
      </c>
      <c r="AF271" t="s">
        <v>281</v>
      </c>
      <c r="AG271">
        <v>0.26999999999999996</v>
      </c>
      <c r="AH271">
        <v>2</v>
      </c>
      <c r="AI271">
        <v>55937687</v>
      </c>
      <c r="AJ271">
        <v>215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ROW(Source!A164)</f>
        <v>164</v>
      </c>
      <c r="B272">
        <v>55937688</v>
      </c>
      <c r="C272">
        <v>55937685</v>
      </c>
      <c r="D272">
        <v>55490330</v>
      </c>
      <c r="E272">
        <v>1</v>
      </c>
      <c r="F272">
        <v>1</v>
      </c>
      <c r="G272">
        <v>1081</v>
      </c>
      <c r="H272">
        <v>2</v>
      </c>
      <c r="I272" t="s">
        <v>452</v>
      </c>
      <c r="J272" t="s">
        <v>453</v>
      </c>
      <c r="K272" t="s">
        <v>454</v>
      </c>
      <c r="L272">
        <v>1368</v>
      </c>
      <c r="N272">
        <v>1011</v>
      </c>
      <c r="O272" t="s">
        <v>455</v>
      </c>
      <c r="P272" t="s">
        <v>455</v>
      </c>
      <c r="Q272">
        <v>1</v>
      </c>
      <c r="X272">
        <v>1.38</v>
      </c>
      <c r="Y272">
        <v>0</v>
      </c>
      <c r="Z272">
        <v>0.8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281</v>
      </c>
      <c r="AG272">
        <v>2.0699999999999998</v>
      </c>
      <c r="AH272">
        <v>2</v>
      </c>
      <c r="AI272">
        <v>55937688</v>
      </c>
      <c r="AJ272">
        <v>216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ROW(Source!A164)</f>
        <v>164</v>
      </c>
      <c r="B273">
        <v>55937689</v>
      </c>
      <c r="C273">
        <v>55937685</v>
      </c>
      <c r="D273">
        <v>55490296</v>
      </c>
      <c r="E273">
        <v>1</v>
      </c>
      <c r="F273">
        <v>1</v>
      </c>
      <c r="G273">
        <v>1081</v>
      </c>
      <c r="H273">
        <v>2</v>
      </c>
      <c r="I273" t="s">
        <v>477</v>
      </c>
      <c r="J273" t="s">
        <v>478</v>
      </c>
      <c r="K273" t="s">
        <v>479</v>
      </c>
      <c r="L273">
        <v>1368</v>
      </c>
      <c r="N273">
        <v>1011</v>
      </c>
      <c r="O273" t="s">
        <v>455</v>
      </c>
      <c r="P273" t="s">
        <v>455</v>
      </c>
      <c r="Q273">
        <v>1</v>
      </c>
      <c r="X273">
        <v>5.6</v>
      </c>
      <c r="Y273">
        <v>0</v>
      </c>
      <c r="Z273">
        <v>0.47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281</v>
      </c>
      <c r="AG273">
        <v>8.4</v>
      </c>
      <c r="AH273">
        <v>2</v>
      </c>
      <c r="AI273">
        <v>55937689</v>
      </c>
      <c r="AJ273">
        <v>217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ROW(Source!A164)</f>
        <v>164</v>
      </c>
      <c r="B274">
        <v>55937690</v>
      </c>
      <c r="C274">
        <v>55937685</v>
      </c>
      <c r="D274">
        <v>55461073</v>
      </c>
      <c r="E274">
        <v>1</v>
      </c>
      <c r="F274">
        <v>1</v>
      </c>
      <c r="G274">
        <v>1081</v>
      </c>
      <c r="H274">
        <v>3</v>
      </c>
      <c r="I274" t="s">
        <v>518</v>
      </c>
      <c r="J274" t="s">
        <v>519</v>
      </c>
      <c r="K274" t="s">
        <v>520</v>
      </c>
      <c r="L274">
        <v>1346</v>
      </c>
      <c r="N274">
        <v>1009</v>
      </c>
      <c r="O274" t="s">
        <v>311</v>
      </c>
      <c r="P274" t="s">
        <v>311</v>
      </c>
      <c r="Q274">
        <v>1</v>
      </c>
      <c r="X274">
        <v>2.72</v>
      </c>
      <c r="Y274">
        <v>20.62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280</v>
      </c>
      <c r="AG274">
        <v>2.72</v>
      </c>
      <c r="AH274">
        <v>2</v>
      </c>
      <c r="AI274">
        <v>55937690</v>
      </c>
      <c r="AJ274">
        <v>218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ROW(Source!A164)</f>
        <v>164</v>
      </c>
      <c r="B275">
        <v>55937691</v>
      </c>
      <c r="C275">
        <v>55937685</v>
      </c>
      <c r="D275">
        <v>55469253</v>
      </c>
      <c r="E275">
        <v>1</v>
      </c>
      <c r="F275">
        <v>1</v>
      </c>
      <c r="G275">
        <v>1081</v>
      </c>
      <c r="H275">
        <v>3</v>
      </c>
      <c r="I275" t="s">
        <v>483</v>
      </c>
      <c r="J275" t="s">
        <v>484</v>
      </c>
      <c r="K275" t="s">
        <v>485</v>
      </c>
      <c r="L275">
        <v>1354</v>
      </c>
      <c r="N275">
        <v>1010</v>
      </c>
      <c r="O275" t="s">
        <v>217</v>
      </c>
      <c r="P275" t="s">
        <v>217</v>
      </c>
      <c r="Q275">
        <v>1</v>
      </c>
      <c r="X275">
        <v>5</v>
      </c>
      <c r="Y275">
        <v>15.25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280</v>
      </c>
      <c r="AG275">
        <v>5</v>
      </c>
      <c r="AH275">
        <v>2</v>
      </c>
      <c r="AI275">
        <v>55937691</v>
      </c>
      <c r="AJ275">
        <v>219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ROW(Source!A164)</f>
        <v>164</v>
      </c>
      <c r="B276">
        <v>55937692</v>
      </c>
      <c r="C276">
        <v>55937685</v>
      </c>
      <c r="D276">
        <v>55444673</v>
      </c>
      <c r="E276">
        <v>1081</v>
      </c>
      <c r="F276">
        <v>1</v>
      </c>
      <c r="G276">
        <v>1081</v>
      </c>
      <c r="H276">
        <v>3</v>
      </c>
      <c r="I276" t="s">
        <v>643</v>
      </c>
      <c r="J276" t="s">
        <v>3</v>
      </c>
      <c r="K276" t="s">
        <v>644</v>
      </c>
      <c r="L276">
        <v>1354</v>
      </c>
      <c r="N276">
        <v>1010</v>
      </c>
      <c r="O276" t="s">
        <v>217</v>
      </c>
      <c r="P276" t="s">
        <v>217</v>
      </c>
      <c r="Q276">
        <v>1</v>
      </c>
      <c r="X276">
        <v>100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280</v>
      </c>
      <c r="AG276">
        <v>100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ROW(Source!A169)</f>
        <v>169</v>
      </c>
      <c r="B277">
        <v>55937696</v>
      </c>
      <c r="C277">
        <v>55937695</v>
      </c>
      <c r="D277">
        <v>55424304</v>
      </c>
      <c r="E277">
        <v>1081</v>
      </c>
      <c r="F277">
        <v>1</v>
      </c>
      <c r="G277">
        <v>1081</v>
      </c>
      <c r="H277">
        <v>1</v>
      </c>
      <c r="I277" t="s">
        <v>449</v>
      </c>
      <c r="J277" t="s">
        <v>3</v>
      </c>
      <c r="K277" t="s">
        <v>450</v>
      </c>
      <c r="L277">
        <v>1191</v>
      </c>
      <c r="N277">
        <v>1013</v>
      </c>
      <c r="O277" t="s">
        <v>451</v>
      </c>
      <c r="P277" t="s">
        <v>451</v>
      </c>
      <c r="Q277">
        <v>1</v>
      </c>
      <c r="X277">
        <v>1.03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1</v>
      </c>
      <c r="AF277" t="s">
        <v>282</v>
      </c>
      <c r="AG277">
        <v>1.4213999999999998</v>
      </c>
      <c r="AH277">
        <v>2</v>
      </c>
      <c r="AI277">
        <v>55937696</v>
      </c>
      <c r="AJ277">
        <v>221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ROW(Source!A169)</f>
        <v>169</v>
      </c>
      <c r="B278">
        <v>55937697</v>
      </c>
      <c r="C278">
        <v>55937695</v>
      </c>
      <c r="D278">
        <v>55490209</v>
      </c>
      <c r="E278">
        <v>1</v>
      </c>
      <c r="F278">
        <v>1</v>
      </c>
      <c r="G278">
        <v>1081</v>
      </c>
      <c r="H278">
        <v>2</v>
      </c>
      <c r="I278" t="s">
        <v>489</v>
      </c>
      <c r="J278" t="s">
        <v>490</v>
      </c>
      <c r="K278" t="s">
        <v>491</v>
      </c>
      <c r="L278">
        <v>1368</v>
      </c>
      <c r="N278">
        <v>1011</v>
      </c>
      <c r="O278" t="s">
        <v>455</v>
      </c>
      <c r="P278" t="s">
        <v>455</v>
      </c>
      <c r="Q278">
        <v>1</v>
      </c>
      <c r="X278">
        <v>0.01</v>
      </c>
      <c r="Y278">
        <v>0</v>
      </c>
      <c r="Z278">
        <v>83.1</v>
      </c>
      <c r="AA278">
        <v>12.62</v>
      </c>
      <c r="AB278">
        <v>0</v>
      </c>
      <c r="AC278">
        <v>0</v>
      </c>
      <c r="AD278">
        <v>1</v>
      </c>
      <c r="AE278">
        <v>0</v>
      </c>
      <c r="AF278" t="s">
        <v>281</v>
      </c>
      <c r="AG278">
        <v>1.4999999999999999E-2</v>
      </c>
      <c r="AH278">
        <v>2</v>
      </c>
      <c r="AI278">
        <v>55937697</v>
      </c>
      <c r="AJ278">
        <v>222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ROW(Source!A169)</f>
        <v>169</v>
      </c>
      <c r="B279">
        <v>55937698</v>
      </c>
      <c r="C279">
        <v>55937695</v>
      </c>
      <c r="D279">
        <v>55489523</v>
      </c>
      <c r="E279">
        <v>1</v>
      </c>
      <c r="F279">
        <v>1</v>
      </c>
      <c r="G279">
        <v>1081</v>
      </c>
      <c r="H279">
        <v>2</v>
      </c>
      <c r="I279" t="s">
        <v>521</v>
      </c>
      <c r="J279" t="s">
        <v>522</v>
      </c>
      <c r="K279" t="s">
        <v>523</v>
      </c>
      <c r="L279">
        <v>1368</v>
      </c>
      <c r="N279">
        <v>1011</v>
      </c>
      <c r="O279" t="s">
        <v>455</v>
      </c>
      <c r="P279" t="s">
        <v>455</v>
      </c>
      <c r="Q279">
        <v>1</v>
      </c>
      <c r="X279">
        <v>0.26</v>
      </c>
      <c r="Y279">
        <v>0</v>
      </c>
      <c r="Z279">
        <v>0.32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281</v>
      </c>
      <c r="AG279">
        <v>0.39</v>
      </c>
      <c r="AH279">
        <v>2</v>
      </c>
      <c r="AI279">
        <v>55937698</v>
      </c>
      <c r="AJ279">
        <v>223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ROW(Source!A169)</f>
        <v>169</v>
      </c>
      <c r="B280">
        <v>55937699</v>
      </c>
      <c r="C280">
        <v>55937695</v>
      </c>
      <c r="D280">
        <v>55461047</v>
      </c>
      <c r="E280">
        <v>1</v>
      </c>
      <c r="F280">
        <v>1</v>
      </c>
      <c r="G280">
        <v>1081</v>
      </c>
      <c r="H280">
        <v>3</v>
      </c>
      <c r="I280" t="s">
        <v>524</v>
      </c>
      <c r="J280" t="s">
        <v>525</v>
      </c>
      <c r="K280" t="s">
        <v>526</v>
      </c>
      <c r="L280">
        <v>1346</v>
      </c>
      <c r="N280">
        <v>1009</v>
      </c>
      <c r="O280" t="s">
        <v>311</v>
      </c>
      <c r="P280" t="s">
        <v>311</v>
      </c>
      <c r="Q280">
        <v>1</v>
      </c>
      <c r="X280">
        <v>0.25</v>
      </c>
      <c r="Y280">
        <v>15.02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280</v>
      </c>
      <c r="AG280">
        <v>0.25</v>
      </c>
      <c r="AH280">
        <v>2</v>
      </c>
      <c r="AI280">
        <v>55937699</v>
      </c>
      <c r="AJ280">
        <v>224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ROW(Source!A169)</f>
        <v>169</v>
      </c>
      <c r="B281">
        <v>55937700</v>
      </c>
      <c r="C281">
        <v>55937695</v>
      </c>
      <c r="D281">
        <v>55417012</v>
      </c>
      <c r="E281">
        <v>1081</v>
      </c>
      <c r="F281">
        <v>1</v>
      </c>
      <c r="G281">
        <v>1081</v>
      </c>
      <c r="H281">
        <v>3</v>
      </c>
      <c r="I281" t="s">
        <v>645</v>
      </c>
      <c r="J281" t="s">
        <v>3</v>
      </c>
      <c r="K281" t="s">
        <v>646</v>
      </c>
      <c r="L281">
        <v>1348</v>
      </c>
      <c r="N281">
        <v>1009</v>
      </c>
      <c r="O281" t="s">
        <v>287</v>
      </c>
      <c r="P281" t="s">
        <v>287</v>
      </c>
      <c r="Q281">
        <v>1000</v>
      </c>
      <c r="X281">
        <v>2.0000000000000001E-4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280</v>
      </c>
      <c r="AG281">
        <v>2.0000000000000001E-4</v>
      </c>
      <c r="AH281">
        <v>3</v>
      </c>
      <c r="AI281">
        <v>-1</v>
      </c>
      <c r="AJ281" t="s">
        <v>3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ROW(Source!A169)</f>
        <v>169</v>
      </c>
      <c r="B282">
        <v>55937701</v>
      </c>
      <c r="C282">
        <v>55937695</v>
      </c>
      <c r="D282">
        <v>55442037</v>
      </c>
      <c r="E282">
        <v>1081</v>
      </c>
      <c r="F282">
        <v>1</v>
      </c>
      <c r="G282">
        <v>1081</v>
      </c>
      <c r="H282">
        <v>3</v>
      </c>
      <c r="I282" t="s">
        <v>647</v>
      </c>
      <c r="J282" t="s">
        <v>3</v>
      </c>
      <c r="K282" t="s">
        <v>648</v>
      </c>
      <c r="L282">
        <v>1354</v>
      </c>
      <c r="N282">
        <v>1010</v>
      </c>
      <c r="O282" t="s">
        <v>217</v>
      </c>
      <c r="P282" t="s">
        <v>217</v>
      </c>
      <c r="Q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280</v>
      </c>
      <c r="AG282">
        <v>1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ROW(Source!A170)</f>
        <v>170</v>
      </c>
      <c r="B283">
        <v>55937696</v>
      </c>
      <c r="C283">
        <v>55937695</v>
      </c>
      <c r="D283">
        <v>55424304</v>
      </c>
      <c r="E283">
        <v>1081</v>
      </c>
      <c r="F283">
        <v>1</v>
      </c>
      <c r="G283">
        <v>1081</v>
      </c>
      <c r="H283">
        <v>1</v>
      </c>
      <c r="I283" t="s">
        <v>449</v>
      </c>
      <c r="J283" t="s">
        <v>3</v>
      </c>
      <c r="K283" t="s">
        <v>450</v>
      </c>
      <c r="L283">
        <v>1191</v>
      </c>
      <c r="N283">
        <v>1013</v>
      </c>
      <c r="O283" t="s">
        <v>451</v>
      </c>
      <c r="P283" t="s">
        <v>451</v>
      </c>
      <c r="Q283">
        <v>1</v>
      </c>
      <c r="X283">
        <v>1.03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282</v>
      </c>
      <c r="AG283">
        <v>1.4213999999999998</v>
      </c>
      <c r="AH283">
        <v>2</v>
      </c>
      <c r="AI283">
        <v>55937696</v>
      </c>
      <c r="AJ283">
        <v>227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ROW(Source!A170)</f>
        <v>170</v>
      </c>
      <c r="B284">
        <v>55937697</v>
      </c>
      <c r="C284">
        <v>55937695</v>
      </c>
      <c r="D284">
        <v>55490209</v>
      </c>
      <c r="E284">
        <v>1</v>
      </c>
      <c r="F284">
        <v>1</v>
      </c>
      <c r="G284">
        <v>1081</v>
      </c>
      <c r="H284">
        <v>2</v>
      </c>
      <c r="I284" t="s">
        <v>489</v>
      </c>
      <c r="J284" t="s">
        <v>490</v>
      </c>
      <c r="K284" t="s">
        <v>491</v>
      </c>
      <c r="L284">
        <v>1368</v>
      </c>
      <c r="N284">
        <v>1011</v>
      </c>
      <c r="O284" t="s">
        <v>455</v>
      </c>
      <c r="P284" t="s">
        <v>455</v>
      </c>
      <c r="Q284">
        <v>1</v>
      </c>
      <c r="X284">
        <v>0.01</v>
      </c>
      <c r="Y284">
        <v>0</v>
      </c>
      <c r="Z284">
        <v>83.1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281</v>
      </c>
      <c r="AG284">
        <v>1.4999999999999999E-2</v>
      </c>
      <c r="AH284">
        <v>2</v>
      </c>
      <c r="AI284">
        <v>55937697</v>
      </c>
      <c r="AJ284">
        <v>228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ROW(Source!A170)</f>
        <v>170</v>
      </c>
      <c r="B285">
        <v>55937698</v>
      </c>
      <c r="C285">
        <v>55937695</v>
      </c>
      <c r="D285">
        <v>55489523</v>
      </c>
      <c r="E285">
        <v>1</v>
      </c>
      <c r="F285">
        <v>1</v>
      </c>
      <c r="G285">
        <v>1081</v>
      </c>
      <c r="H285">
        <v>2</v>
      </c>
      <c r="I285" t="s">
        <v>521</v>
      </c>
      <c r="J285" t="s">
        <v>522</v>
      </c>
      <c r="K285" t="s">
        <v>523</v>
      </c>
      <c r="L285">
        <v>1368</v>
      </c>
      <c r="N285">
        <v>1011</v>
      </c>
      <c r="O285" t="s">
        <v>455</v>
      </c>
      <c r="P285" t="s">
        <v>455</v>
      </c>
      <c r="Q285">
        <v>1</v>
      </c>
      <c r="X285">
        <v>0.26</v>
      </c>
      <c r="Y285">
        <v>0</v>
      </c>
      <c r="Z285">
        <v>0.32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281</v>
      </c>
      <c r="AG285">
        <v>0.39</v>
      </c>
      <c r="AH285">
        <v>2</v>
      </c>
      <c r="AI285">
        <v>55937698</v>
      </c>
      <c r="AJ285">
        <v>229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ROW(Source!A170)</f>
        <v>170</v>
      </c>
      <c r="B286">
        <v>55937699</v>
      </c>
      <c r="C286">
        <v>55937695</v>
      </c>
      <c r="D286">
        <v>55461047</v>
      </c>
      <c r="E286">
        <v>1</v>
      </c>
      <c r="F286">
        <v>1</v>
      </c>
      <c r="G286">
        <v>1081</v>
      </c>
      <c r="H286">
        <v>3</v>
      </c>
      <c r="I286" t="s">
        <v>524</v>
      </c>
      <c r="J286" t="s">
        <v>525</v>
      </c>
      <c r="K286" t="s">
        <v>526</v>
      </c>
      <c r="L286">
        <v>1346</v>
      </c>
      <c r="N286">
        <v>1009</v>
      </c>
      <c r="O286" t="s">
        <v>311</v>
      </c>
      <c r="P286" t="s">
        <v>311</v>
      </c>
      <c r="Q286">
        <v>1</v>
      </c>
      <c r="X286">
        <v>0.25</v>
      </c>
      <c r="Y286">
        <v>15.02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280</v>
      </c>
      <c r="AG286">
        <v>0.25</v>
      </c>
      <c r="AH286">
        <v>2</v>
      </c>
      <c r="AI286">
        <v>55937699</v>
      </c>
      <c r="AJ286">
        <v>230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ROW(Source!A170)</f>
        <v>170</v>
      </c>
      <c r="B287">
        <v>55937700</v>
      </c>
      <c r="C287">
        <v>55937695</v>
      </c>
      <c r="D287">
        <v>55417012</v>
      </c>
      <c r="E287">
        <v>1081</v>
      </c>
      <c r="F287">
        <v>1</v>
      </c>
      <c r="G287">
        <v>1081</v>
      </c>
      <c r="H287">
        <v>3</v>
      </c>
      <c r="I287" t="s">
        <v>645</v>
      </c>
      <c r="J287" t="s">
        <v>3</v>
      </c>
      <c r="K287" t="s">
        <v>646</v>
      </c>
      <c r="L287">
        <v>1348</v>
      </c>
      <c r="N287">
        <v>1009</v>
      </c>
      <c r="O287" t="s">
        <v>287</v>
      </c>
      <c r="P287" t="s">
        <v>287</v>
      </c>
      <c r="Q287">
        <v>1000</v>
      </c>
      <c r="X287">
        <v>2.0000000000000001E-4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280</v>
      </c>
      <c r="AG287">
        <v>2.0000000000000001E-4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ROW(Source!A170)</f>
        <v>170</v>
      </c>
      <c r="B288">
        <v>55937701</v>
      </c>
      <c r="C288">
        <v>55937695</v>
      </c>
      <c r="D288">
        <v>55442037</v>
      </c>
      <c r="E288">
        <v>1081</v>
      </c>
      <c r="F288">
        <v>1</v>
      </c>
      <c r="G288">
        <v>1081</v>
      </c>
      <c r="H288">
        <v>3</v>
      </c>
      <c r="I288" t="s">
        <v>647</v>
      </c>
      <c r="J288" t="s">
        <v>3</v>
      </c>
      <c r="K288" t="s">
        <v>648</v>
      </c>
      <c r="L288">
        <v>1354</v>
      </c>
      <c r="N288">
        <v>1010</v>
      </c>
      <c r="O288" t="s">
        <v>217</v>
      </c>
      <c r="P288" t="s">
        <v>217</v>
      </c>
      <c r="Q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280</v>
      </c>
      <c r="AG288">
        <v>1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ROW(Source!A175)</f>
        <v>175</v>
      </c>
      <c r="B289">
        <v>55937715</v>
      </c>
      <c r="C289">
        <v>55937714</v>
      </c>
      <c r="D289">
        <v>55424304</v>
      </c>
      <c r="E289">
        <v>1081</v>
      </c>
      <c r="F289">
        <v>1</v>
      </c>
      <c r="G289">
        <v>1081</v>
      </c>
      <c r="H289">
        <v>1</v>
      </c>
      <c r="I289" t="s">
        <v>449</v>
      </c>
      <c r="J289" t="s">
        <v>3</v>
      </c>
      <c r="K289" t="s">
        <v>450</v>
      </c>
      <c r="L289">
        <v>1191</v>
      </c>
      <c r="N289">
        <v>1013</v>
      </c>
      <c r="O289" t="s">
        <v>451</v>
      </c>
      <c r="P289" t="s">
        <v>451</v>
      </c>
      <c r="Q289">
        <v>1</v>
      </c>
      <c r="X289">
        <v>24.8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 t="s">
        <v>282</v>
      </c>
      <c r="AG289">
        <v>34.223999999999997</v>
      </c>
      <c r="AH289">
        <v>2</v>
      </c>
      <c r="AI289">
        <v>55937715</v>
      </c>
      <c r="AJ289">
        <v>233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ROW(Source!A175)</f>
        <v>175</v>
      </c>
      <c r="B290">
        <v>55937716</v>
      </c>
      <c r="C290">
        <v>55937714</v>
      </c>
      <c r="D290">
        <v>55490209</v>
      </c>
      <c r="E290">
        <v>1</v>
      </c>
      <c r="F290">
        <v>1</v>
      </c>
      <c r="G290">
        <v>1081</v>
      </c>
      <c r="H290">
        <v>2</v>
      </c>
      <c r="I290" t="s">
        <v>489</v>
      </c>
      <c r="J290" t="s">
        <v>490</v>
      </c>
      <c r="K290" t="s">
        <v>491</v>
      </c>
      <c r="L290">
        <v>1368</v>
      </c>
      <c r="N290">
        <v>1011</v>
      </c>
      <c r="O290" t="s">
        <v>455</v>
      </c>
      <c r="P290" t="s">
        <v>455</v>
      </c>
      <c r="Q290">
        <v>1</v>
      </c>
      <c r="X290">
        <v>0.02</v>
      </c>
      <c r="Y290">
        <v>0</v>
      </c>
      <c r="Z290">
        <v>83.1</v>
      </c>
      <c r="AA290">
        <v>12.62</v>
      </c>
      <c r="AB290">
        <v>0</v>
      </c>
      <c r="AC290">
        <v>0</v>
      </c>
      <c r="AD290">
        <v>1</v>
      </c>
      <c r="AE290">
        <v>0</v>
      </c>
      <c r="AF290" t="s">
        <v>281</v>
      </c>
      <c r="AG290">
        <v>0.03</v>
      </c>
      <c r="AH290">
        <v>2</v>
      </c>
      <c r="AI290">
        <v>55937716</v>
      </c>
      <c r="AJ290">
        <v>234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ROW(Source!A175)</f>
        <v>175</v>
      </c>
      <c r="B291">
        <v>55937717</v>
      </c>
      <c r="C291">
        <v>55937714</v>
      </c>
      <c r="D291">
        <v>55490263</v>
      </c>
      <c r="E291">
        <v>1</v>
      </c>
      <c r="F291">
        <v>1</v>
      </c>
      <c r="G291">
        <v>1081</v>
      </c>
      <c r="H291">
        <v>2</v>
      </c>
      <c r="I291" t="s">
        <v>502</v>
      </c>
      <c r="J291" t="s">
        <v>503</v>
      </c>
      <c r="K291" t="s">
        <v>504</v>
      </c>
      <c r="L291">
        <v>1368</v>
      </c>
      <c r="N291">
        <v>1011</v>
      </c>
      <c r="O291" t="s">
        <v>455</v>
      </c>
      <c r="P291" t="s">
        <v>455</v>
      </c>
      <c r="Q291">
        <v>1</v>
      </c>
      <c r="X291">
        <v>8</v>
      </c>
      <c r="Y291">
        <v>0</v>
      </c>
      <c r="Z291">
        <v>0.77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281</v>
      </c>
      <c r="AG291">
        <v>12</v>
      </c>
      <c r="AH291">
        <v>2</v>
      </c>
      <c r="AI291">
        <v>55937717</v>
      </c>
      <c r="AJ291">
        <v>235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ROW(Source!A175)</f>
        <v>175</v>
      </c>
      <c r="B292">
        <v>55937718</v>
      </c>
      <c r="C292">
        <v>55937714</v>
      </c>
      <c r="D292">
        <v>55460658</v>
      </c>
      <c r="E292">
        <v>1</v>
      </c>
      <c r="F292">
        <v>1</v>
      </c>
      <c r="G292">
        <v>1081</v>
      </c>
      <c r="H292">
        <v>3</v>
      </c>
      <c r="I292" t="s">
        <v>527</v>
      </c>
      <c r="J292" t="s">
        <v>528</v>
      </c>
      <c r="K292" t="s">
        <v>529</v>
      </c>
      <c r="L292">
        <v>1296</v>
      </c>
      <c r="N292">
        <v>1002</v>
      </c>
      <c r="O292" t="s">
        <v>514</v>
      </c>
      <c r="P292" t="s">
        <v>514</v>
      </c>
      <c r="Q292">
        <v>1</v>
      </c>
      <c r="X292">
        <v>2.1267</v>
      </c>
      <c r="Y292">
        <v>84.21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280</v>
      </c>
      <c r="AG292">
        <v>2.1267</v>
      </c>
      <c r="AH292">
        <v>2</v>
      </c>
      <c r="AI292">
        <v>55937718</v>
      </c>
      <c r="AJ292">
        <v>236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ROW(Source!A175)</f>
        <v>175</v>
      </c>
      <c r="B293">
        <v>55937719</v>
      </c>
      <c r="C293">
        <v>55937714</v>
      </c>
      <c r="D293">
        <v>55461822</v>
      </c>
      <c r="E293">
        <v>1</v>
      </c>
      <c r="F293">
        <v>1</v>
      </c>
      <c r="G293">
        <v>1081</v>
      </c>
      <c r="H293">
        <v>3</v>
      </c>
      <c r="I293" t="s">
        <v>530</v>
      </c>
      <c r="J293" t="s">
        <v>531</v>
      </c>
      <c r="K293" t="s">
        <v>532</v>
      </c>
      <c r="L293">
        <v>1355</v>
      </c>
      <c r="N293">
        <v>1010</v>
      </c>
      <c r="O293" t="s">
        <v>60</v>
      </c>
      <c r="P293" t="s">
        <v>60</v>
      </c>
      <c r="Q293">
        <v>100</v>
      </c>
      <c r="X293">
        <v>4.04</v>
      </c>
      <c r="Y293">
        <v>43.8</v>
      </c>
      <c r="Z293">
        <v>0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280</v>
      </c>
      <c r="AG293">
        <v>4.04</v>
      </c>
      <c r="AH293">
        <v>2</v>
      </c>
      <c r="AI293">
        <v>55937719</v>
      </c>
      <c r="AJ293">
        <v>237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ROW(Source!A175)</f>
        <v>175</v>
      </c>
      <c r="B294">
        <v>55937720</v>
      </c>
      <c r="C294">
        <v>55937714</v>
      </c>
      <c r="D294">
        <v>55440630</v>
      </c>
      <c r="E294">
        <v>1081</v>
      </c>
      <c r="F294">
        <v>1</v>
      </c>
      <c r="G294">
        <v>1081</v>
      </c>
      <c r="H294">
        <v>3</v>
      </c>
      <c r="I294" t="s">
        <v>649</v>
      </c>
      <c r="J294" t="s">
        <v>3</v>
      </c>
      <c r="K294" t="s">
        <v>650</v>
      </c>
      <c r="L294">
        <v>1354</v>
      </c>
      <c r="N294">
        <v>1010</v>
      </c>
      <c r="O294" t="s">
        <v>217</v>
      </c>
      <c r="P294" t="s">
        <v>217</v>
      </c>
      <c r="Q294">
        <v>1</v>
      </c>
      <c r="X294">
        <v>1.7633000000000001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280</v>
      </c>
      <c r="AG294">
        <v>1.7633000000000001</v>
      </c>
      <c r="AH294">
        <v>3</v>
      </c>
      <c r="AI294">
        <v>-1</v>
      </c>
      <c r="AJ294" t="s">
        <v>3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ROW(Source!A175)</f>
        <v>175</v>
      </c>
      <c r="B295">
        <v>55937721</v>
      </c>
      <c r="C295">
        <v>55937714</v>
      </c>
      <c r="D295">
        <v>55449247</v>
      </c>
      <c r="E295">
        <v>1081</v>
      </c>
      <c r="F295">
        <v>1</v>
      </c>
      <c r="G295">
        <v>1081</v>
      </c>
      <c r="H295">
        <v>3</v>
      </c>
      <c r="I295" t="s">
        <v>651</v>
      </c>
      <c r="J295" t="s">
        <v>3</v>
      </c>
      <c r="K295" t="s">
        <v>652</v>
      </c>
      <c r="L295">
        <v>1354</v>
      </c>
      <c r="N295">
        <v>1010</v>
      </c>
      <c r="O295" t="s">
        <v>217</v>
      </c>
      <c r="P295" t="s">
        <v>217</v>
      </c>
      <c r="Q295">
        <v>1</v>
      </c>
      <c r="X295">
        <v>100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280</v>
      </c>
      <c r="AG295">
        <v>100</v>
      </c>
      <c r="AH295">
        <v>3</v>
      </c>
      <c r="AI295">
        <v>-1</v>
      </c>
      <c r="AJ295" t="s">
        <v>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ROW(Source!A176)</f>
        <v>176</v>
      </c>
      <c r="B296">
        <v>55937715</v>
      </c>
      <c r="C296">
        <v>55937714</v>
      </c>
      <c r="D296">
        <v>55424304</v>
      </c>
      <c r="E296">
        <v>1081</v>
      </c>
      <c r="F296">
        <v>1</v>
      </c>
      <c r="G296">
        <v>1081</v>
      </c>
      <c r="H296">
        <v>1</v>
      </c>
      <c r="I296" t="s">
        <v>449</v>
      </c>
      <c r="J296" t="s">
        <v>3</v>
      </c>
      <c r="K296" t="s">
        <v>450</v>
      </c>
      <c r="L296">
        <v>1191</v>
      </c>
      <c r="N296">
        <v>1013</v>
      </c>
      <c r="O296" t="s">
        <v>451</v>
      </c>
      <c r="P296" t="s">
        <v>451</v>
      </c>
      <c r="Q296">
        <v>1</v>
      </c>
      <c r="X296">
        <v>24.8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1</v>
      </c>
      <c r="AF296" t="s">
        <v>282</v>
      </c>
      <c r="AG296">
        <v>34.223999999999997</v>
      </c>
      <c r="AH296">
        <v>2</v>
      </c>
      <c r="AI296">
        <v>55937715</v>
      </c>
      <c r="AJ296">
        <v>239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ROW(Source!A176)</f>
        <v>176</v>
      </c>
      <c r="B297">
        <v>55937716</v>
      </c>
      <c r="C297">
        <v>55937714</v>
      </c>
      <c r="D297">
        <v>55490209</v>
      </c>
      <c r="E297">
        <v>1</v>
      </c>
      <c r="F297">
        <v>1</v>
      </c>
      <c r="G297">
        <v>1081</v>
      </c>
      <c r="H297">
        <v>2</v>
      </c>
      <c r="I297" t="s">
        <v>489</v>
      </c>
      <c r="J297" t="s">
        <v>490</v>
      </c>
      <c r="K297" t="s">
        <v>491</v>
      </c>
      <c r="L297">
        <v>1368</v>
      </c>
      <c r="N297">
        <v>1011</v>
      </c>
      <c r="O297" t="s">
        <v>455</v>
      </c>
      <c r="P297" t="s">
        <v>455</v>
      </c>
      <c r="Q297">
        <v>1</v>
      </c>
      <c r="X297">
        <v>0.02</v>
      </c>
      <c r="Y297">
        <v>0</v>
      </c>
      <c r="Z297">
        <v>83.1</v>
      </c>
      <c r="AA297">
        <v>12.62</v>
      </c>
      <c r="AB297">
        <v>0</v>
      </c>
      <c r="AC297">
        <v>0</v>
      </c>
      <c r="AD297">
        <v>1</v>
      </c>
      <c r="AE297">
        <v>0</v>
      </c>
      <c r="AF297" t="s">
        <v>281</v>
      </c>
      <c r="AG297">
        <v>0.03</v>
      </c>
      <c r="AH297">
        <v>2</v>
      </c>
      <c r="AI297">
        <v>55937716</v>
      </c>
      <c r="AJ297">
        <v>240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ROW(Source!A176)</f>
        <v>176</v>
      </c>
      <c r="B298">
        <v>55937717</v>
      </c>
      <c r="C298">
        <v>55937714</v>
      </c>
      <c r="D298">
        <v>55490263</v>
      </c>
      <c r="E298">
        <v>1</v>
      </c>
      <c r="F298">
        <v>1</v>
      </c>
      <c r="G298">
        <v>1081</v>
      </c>
      <c r="H298">
        <v>2</v>
      </c>
      <c r="I298" t="s">
        <v>502</v>
      </c>
      <c r="J298" t="s">
        <v>503</v>
      </c>
      <c r="K298" t="s">
        <v>504</v>
      </c>
      <c r="L298">
        <v>1368</v>
      </c>
      <c r="N298">
        <v>1011</v>
      </c>
      <c r="O298" t="s">
        <v>455</v>
      </c>
      <c r="P298" t="s">
        <v>455</v>
      </c>
      <c r="Q298">
        <v>1</v>
      </c>
      <c r="X298">
        <v>8</v>
      </c>
      <c r="Y298">
        <v>0</v>
      </c>
      <c r="Z298">
        <v>0.77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281</v>
      </c>
      <c r="AG298">
        <v>12</v>
      </c>
      <c r="AH298">
        <v>2</v>
      </c>
      <c r="AI298">
        <v>55937717</v>
      </c>
      <c r="AJ298">
        <v>241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ROW(Source!A176)</f>
        <v>176</v>
      </c>
      <c r="B299">
        <v>55937718</v>
      </c>
      <c r="C299">
        <v>55937714</v>
      </c>
      <c r="D299">
        <v>55460658</v>
      </c>
      <c r="E299">
        <v>1</v>
      </c>
      <c r="F299">
        <v>1</v>
      </c>
      <c r="G299">
        <v>1081</v>
      </c>
      <c r="H299">
        <v>3</v>
      </c>
      <c r="I299" t="s">
        <v>527</v>
      </c>
      <c r="J299" t="s">
        <v>528</v>
      </c>
      <c r="K299" t="s">
        <v>529</v>
      </c>
      <c r="L299">
        <v>1296</v>
      </c>
      <c r="N299">
        <v>1002</v>
      </c>
      <c r="O299" t="s">
        <v>514</v>
      </c>
      <c r="P299" t="s">
        <v>514</v>
      </c>
      <c r="Q299">
        <v>1</v>
      </c>
      <c r="X299">
        <v>2.1267</v>
      </c>
      <c r="Y299">
        <v>84.21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280</v>
      </c>
      <c r="AG299">
        <v>2.1267</v>
      </c>
      <c r="AH299">
        <v>2</v>
      </c>
      <c r="AI299">
        <v>55937718</v>
      </c>
      <c r="AJ299">
        <v>242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ROW(Source!A176)</f>
        <v>176</v>
      </c>
      <c r="B300">
        <v>55937719</v>
      </c>
      <c r="C300">
        <v>55937714</v>
      </c>
      <c r="D300">
        <v>55461822</v>
      </c>
      <c r="E300">
        <v>1</v>
      </c>
      <c r="F300">
        <v>1</v>
      </c>
      <c r="G300">
        <v>1081</v>
      </c>
      <c r="H300">
        <v>3</v>
      </c>
      <c r="I300" t="s">
        <v>530</v>
      </c>
      <c r="J300" t="s">
        <v>531</v>
      </c>
      <c r="K300" t="s">
        <v>532</v>
      </c>
      <c r="L300">
        <v>1355</v>
      </c>
      <c r="N300">
        <v>1010</v>
      </c>
      <c r="O300" t="s">
        <v>60</v>
      </c>
      <c r="P300" t="s">
        <v>60</v>
      </c>
      <c r="Q300">
        <v>100</v>
      </c>
      <c r="X300">
        <v>4.04</v>
      </c>
      <c r="Y300">
        <v>43.8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280</v>
      </c>
      <c r="AG300">
        <v>4.04</v>
      </c>
      <c r="AH300">
        <v>2</v>
      </c>
      <c r="AI300">
        <v>55937719</v>
      </c>
      <c r="AJ300">
        <v>243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ROW(Source!A176)</f>
        <v>176</v>
      </c>
      <c r="B301">
        <v>55937720</v>
      </c>
      <c r="C301">
        <v>55937714</v>
      </c>
      <c r="D301">
        <v>55440630</v>
      </c>
      <c r="E301">
        <v>1081</v>
      </c>
      <c r="F301">
        <v>1</v>
      </c>
      <c r="G301">
        <v>1081</v>
      </c>
      <c r="H301">
        <v>3</v>
      </c>
      <c r="I301" t="s">
        <v>649</v>
      </c>
      <c r="J301" t="s">
        <v>3</v>
      </c>
      <c r="K301" t="s">
        <v>650</v>
      </c>
      <c r="L301">
        <v>1354</v>
      </c>
      <c r="N301">
        <v>1010</v>
      </c>
      <c r="O301" t="s">
        <v>217</v>
      </c>
      <c r="P301" t="s">
        <v>217</v>
      </c>
      <c r="Q301">
        <v>1</v>
      </c>
      <c r="X301">
        <v>1.7633000000000001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280</v>
      </c>
      <c r="AG301">
        <v>1.7633000000000001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ROW(Source!A176)</f>
        <v>176</v>
      </c>
      <c r="B302">
        <v>55937721</v>
      </c>
      <c r="C302">
        <v>55937714</v>
      </c>
      <c r="D302">
        <v>55449247</v>
      </c>
      <c r="E302">
        <v>1081</v>
      </c>
      <c r="F302">
        <v>1</v>
      </c>
      <c r="G302">
        <v>1081</v>
      </c>
      <c r="H302">
        <v>3</v>
      </c>
      <c r="I302" t="s">
        <v>651</v>
      </c>
      <c r="J302" t="s">
        <v>3</v>
      </c>
      <c r="K302" t="s">
        <v>652</v>
      </c>
      <c r="L302">
        <v>1354</v>
      </c>
      <c r="N302">
        <v>1010</v>
      </c>
      <c r="O302" t="s">
        <v>217</v>
      </c>
      <c r="P302" t="s">
        <v>217</v>
      </c>
      <c r="Q302">
        <v>1</v>
      </c>
      <c r="X302">
        <v>100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280</v>
      </c>
      <c r="AG302">
        <v>100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ROW(Source!A214)</f>
        <v>214</v>
      </c>
      <c r="B303">
        <v>55937889</v>
      </c>
      <c r="C303">
        <v>55937865</v>
      </c>
      <c r="D303">
        <v>55424304</v>
      </c>
      <c r="E303">
        <v>1081</v>
      </c>
      <c r="F303">
        <v>1</v>
      </c>
      <c r="G303">
        <v>1081</v>
      </c>
      <c r="H303">
        <v>1</v>
      </c>
      <c r="I303" t="s">
        <v>449</v>
      </c>
      <c r="J303" t="s">
        <v>3</v>
      </c>
      <c r="K303" t="s">
        <v>450</v>
      </c>
      <c r="L303">
        <v>1191</v>
      </c>
      <c r="N303">
        <v>1013</v>
      </c>
      <c r="O303" t="s">
        <v>451</v>
      </c>
      <c r="P303" t="s">
        <v>451</v>
      </c>
      <c r="Q303">
        <v>1</v>
      </c>
      <c r="X303">
        <v>16.600000000000001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114</v>
      </c>
      <c r="AG303">
        <v>19.920000000000002</v>
      </c>
      <c r="AH303">
        <v>2</v>
      </c>
      <c r="AI303">
        <v>55937889</v>
      </c>
      <c r="AJ303">
        <v>245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ROW(Source!A214)</f>
        <v>214</v>
      </c>
      <c r="B304">
        <v>55937890</v>
      </c>
      <c r="C304">
        <v>55937865</v>
      </c>
      <c r="D304">
        <v>55490263</v>
      </c>
      <c r="E304">
        <v>1</v>
      </c>
      <c r="F304">
        <v>1</v>
      </c>
      <c r="G304">
        <v>1081</v>
      </c>
      <c r="H304">
        <v>2</v>
      </c>
      <c r="I304" t="s">
        <v>502</v>
      </c>
      <c r="J304" t="s">
        <v>503</v>
      </c>
      <c r="K304" t="s">
        <v>504</v>
      </c>
      <c r="L304">
        <v>1368</v>
      </c>
      <c r="N304">
        <v>1011</v>
      </c>
      <c r="O304" t="s">
        <v>455</v>
      </c>
      <c r="P304" t="s">
        <v>455</v>
      </c>
      <c r="Q304">
        <v>1</v>
      </c>
      <c r="X304">
        <v>1.1499999999999999</v>
      </c>
      <c r="Y304">
        <v>0</v>
      </c>
      <c r="Z304">
        <v>0.77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114</v>
      </c>
      <c r="AG304">
        <v>1.38</v>
      </c>
      <c r="AH304">
        <v>2</v>
      </c>
      <c r="AI304">
        <v>55937890</v>
      </c>
      <c r="AJ304">
        <v>246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ROW(Source!A214)</f>
        <v>214</v>
      </c>
      <c r="B305">
        <v>55937891</v>
      </c>
      <c r="C305">
        <v>55937865</v>
      </c>
      <c r="D305">
        <v>55490296</v>
      </c>
      <c r="E305">
        <v>1</v>
      </c>
      <c r="F305">
        <v>1</v>
      </c>
      <c r="G305">
        <v>1081</v>
      </c>
      <c r="H305">
        <v>2</v>
      </c>
      <c r="I305" t="s">
        <v>477</v>
      </c>
      <c r="J305" t="s">
        <v>478</v>
      </c>
      <c r="K305" t="s">
        <v>479</v>
      </c>
      <c r="L305">
        <v>1368</v>
      </c>
      <c r="N305">
        <v>1011</v>
      </c>
      <c r="O305" t="s">
        <v>455</v>
      </c>
      <c r="P305" t="s">
        <v>455</v>
      </c>
      <c r="Q305">
        <v>1</v>
      </c>
      <c r="X305">
        <v>1.8</v>
      </c>
      <c r="Y305">
        <v>0</v>
      </c>
      <c r="Z305">
        <v>0.47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114</v>
      </c>
      <c r="AG305">
        <v>2.16</v>
      </c>
      <c r="AH305">
        <v>2</v>
      </c>
      <c r="AI305">
        <v>55937891</v>
      </c>
      <c r="AJ305">
        <v>247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ROW(Source!A214)</f>
        <v>214</v>
      </c>
      <c r="B306">
        <v>55937892</v>
      </c>
      <c r="C306">
        <v>55937865</v>
      </c>
      <c r="D306">
        <v>55460960</v>
      </c>
      <c r="E306">
        <v>1</v>
      </c>
      <c r="F306">
        <v>1</v>
      </c>
      <c r="G306">
        <v>1081</v>
      </c>
      <c r="H306">
        <v>3</v>
      </c>
      <c r="I306" t="s">
        <v>538</v>
      </c>
      <c r="J306" t="s">
        <v>539</v>
      </c>
      <c r="K306" t="s">
        <v>540</v>
      </c>
      <c r="L306">
        <v>1348</v>
      </c>
      <c r="N306">
        <v>1009</v>
      </c>
      <c r="O306" t="s">
        <v>287</v>
      </c>
      <c r="P306" t="s">
        <v>287</v>
      </c>
      <c r="Q306">
        <v>1000</v>
      </c>
      <c r="X306">
        <v>1E-3</v>
      </c>
      <c r="Y306">
        <v>58463.58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113</v>
      </c>
      <c r="AG306">
        <v>1E-3</v>
      </c>
      <c r="AH306">
        <v>2</v>
      </c>
      <c r="AI306">
        <v>55937892</v>
      </c>
      <c r="AJ306">
        <v>248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ROW(Source!A214)</f>
        <v>214</v>
      </c>
      <c r="B307">
        <v>55937893</v>
      </c>
      <c r="C307">
        <v>55937865</v>
      </c>
      <c r="D307">
        <v>55461791</v>
      </c>
      <c r="E307">
        <v>1</v>
      </c>
      <c r="F307">
        <v>1</v>
      </c>
      <c r="G307">
        <v>1081</v>
      </c>
      <c r="H307">
        <v>3</v>
      </c>
      <c r="I307" t="s">
        <v>541</v>
      </c>
      <c r="J307" t="s">
        <v>542</v>
      </c>
      <c r="K307" t="s">
        <v>543</v>
      </c>
      <c r="L307">
        <v>1355</v>
      </c>
      <c r="N307">
        <v>1010</v>
      </c>
      <c r="O307" t="s">
        <v>60</v>
      </c>
      <c r="P307" t="s">
        <v>60</v>
      </c>
      <c r="Q307">
        <v>100</v>
      </c>
      <c r="X307">
        <v>2.1419999999999999</v>
      </c>
      <c r="Y307">
        <v>10.6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113</v>
      </c>
      <c r="AG307">
        <v>2.1419999999999999</v>
      </c>
      <c r="AH307">
        <v>2</v>
      </c>
      <c r="AI307">
        <v>55937893</v>
      </c>
      <c r="AJ307">
        <v>249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ROW(Source!A214)</f>
        <v>214</v>
      </c>
      <c r="B308">
        <v>55937894</v>
      </c>
      <c r="C308">
        <v>55937865</v>
      </c>
      <c r="D308">
        <v>55482203</v>
      </c>
      <c r="E308">
        <v>1</v>
      </c>
      <c r="F308">
        <v>1</v>
      </c>
      <c r="G308">
        <v>1081</v>
      </c>
      <c r="H308">
        <v>3</v>
      </c>
      <c r="I308" t="s">
        <v>544</v>
      </c>
      <c r="J308" t="s">
        <v>545</v>
      </c>
      <c r="K308" t="s">
        <v>546</v>
      </c>
      <c r="L308">
        <v>1356</v>
      </c>
      <c r="N308">
        <v>1010</v>
      </c>
      <c r="O308" t="s">
        <v>353</v>
      </c>
      <c r="P308" t="s">
        <v>353</v>
      </c>
      <c r="Q308">
        <v>1000</v>
      </c>
      <c r="X308">
        <v>1.7000000000000001E-2</v>
      </c>
      <c r="Y308">
        <v>226.66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113</v>
      </c>
      <c r="AG308">
        <v>1.7000000000000001E-2</v>
      </c>
      <c r="AH308">
        <v>2</v>
      </c>
      <c r="AI308">
        <v>55937894</v>
      </c>
      <c r="AJ308">
        <v>250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ROW(Source!A214)</f>
        <v>214</v>
      </c>
      <c r="B309">
        <v>55937895</v>
      </c>
      <c r="C309">
        <v>55937865</v>
      </c>
      <c r="D309">
        <v>55481977</v>
      </c>
      <c r="E309">
        <v>1</v>
      </c>
      <c r="F309">
        <v>1</v>
      </c>
      <c r="G309">
        <v>1081</v>
      </c>
      <c r="H309">
        <v>3</v>
      </c>
      <c r="I309" t="s">
        <v>547</v>
      </c>
      <c r="J309" t="s">
        <v>548</v>
      </c>
      <c r="K309" t="s">
        <v>549</v>
      </c>
      <c r="L309">
        <v>1355</v>
      </c>
      <c r="N309">
        <v>1010</v>
      </c>
      <c r="O309" t="s">
        <v>60</v>
      </c>
      <c r="P309" t="s">
        <v>60</v>
      </c>
      <c r="Q309">
        <v>100</v>
      </c>
      <c r="X309">
        <v>0.17</v>
      </c>
      <c r="Y309">
        <v>26.71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113</v>
      </c>
      <c r="AG309">
        <v>0.17</v>
      </c>
      <c r="AH309">
        <v>2</v>
      </c>
      <c r="AI309">
        <v>55937895</v>
      </c>
      <c r="AJ309">
        <v>251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ROW(Source!A214)</f>
        <v>214</v>
      </c>
      <c r="B310">
        <v>55937896</v>
      </c>
      <c r="C310">
        <v>55937865</v>
      </c>
      <c r="D310">
        <v>55469271</v>
      </c>
      <c r="E310">
        <v>1</v>
      </c>
      <c r="F310">
        <v>1</v>
      </c>
      <c r="G310">
        <v>1081</v>
      </c>
      <c r="H310">
        <v>3</v>
      </c>
      <c r="I310" t="s">
        <v>550</v>
      </c>
      <c r="J310" t="s">
        <v>551</v>
      </c>
      <c r="K310" t="s">
        <v>552</v>
      </c>
      <c r="L310">
        <v>1354</v>
      </c>
      <c r="N310">
        <v>1010</v>
      </c>
      <c r="O310" t="s">
        <v>217</v>
      </c>
      <c r="P310" t="s">
        <v>217</v>
      </c>
      <c r="Q310">
        <v>1</v>
      </c>
      <c r="X310">
        <v>0.161</v>
      </c>
      <c r="Y310">
        <v>14.56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113</v>
      </c>
      <c r="AG310">
        <v>0.161</v>
      </c>
      <c r="AH310">
        <v>2</v>
      </c>
      <c r="AI310">
        <v>55937896</v>
      </c>
      <c r="AJ310">
        <v>252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ROW(Source!A214)</f>
        <v>214</v>
      </c>
      <c r="B311">
        <v>55937897</v>
      </c>
      <c r="C311">
        <v>55937865</v>
      </c>
      <c r="D311">
        <v>55428305</v>
      </c>
      <c r="E311">
        <v>1081</v>
      </c>
      <c r="F311">
        <v>1</v>
      </c>
      <c r="G311">
        <v>1081</v>
      </c>
      <c r="H311">
        <v>3</v>
      </c>
      <c r="I311" t="s">
        <v>330</v>
      </c>
      <c r="J311" t="s">
        <v>3</v>
      </c>
      <c r="K311" t="s">
        <v>331</v>
      </c>
      <c r="L311">
        <v>1301</v>
      </c>
      <c r="N311">
        <v>1003</v>
      </c>
      <c r="O311" t="s">
        <v>332</v>
      </c>
      <c r="P311" t="s">
        <v>332</v>
      </c>
      <c r="Q311">
        <v>1</v>
      </c>
      <c r="X311">
        <v>102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113</v>
      </c>
      <c r="AG311">
        <v>102</v>
      </c>
      <c r="AH311">
        <v>2</v>
      </c>
      <c r="AI311">
        <v>55937897</v>
      </c>
      <c r="AJ311">
        <v>253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ROW(Source!A214)</f>
        <v>214</v>
      </c>
      <c r="B312">
        <v>55937898</v>
      </c>
      <c r="C312">
        <v>55937865</v>
      </c>
      <c r="D312">
        <v>55432095</v>
      </c>
      <c r="E312">
        <v>1081</v>
      </c>
      <c r="F312">
        <v>1</v>
      </c>
      <c r="G312">
        <v>1081</v>
      </c>
      <c r="H312">
        <v>3</v>
      </c>
      <c r="I312" t="s">
        <v>333</v>
      </c>
      <c r="J312" t="s">
        <v>3</v>
      </c>
      <c r="K312" t="s">
        <v>334</v>
      </c>
      <c r="L312">
        <v>1355</v>
      </c>
      <c r="N312">
        <v>1010</v>
      </c>
      <c r="O312" t="s">
        <v>60</v>
      </c>
      <c r="P312" t="s">
        <v>60</v>
      </c>
      <c r="Q312">
        <v>100</v>
      </c>
      <c r="X312">
        <v>2.1640000000000001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113</v>
      </c>
      <c r="AG312">
        <v>2.1640000000000001</v>
      </c>
      <c r="AH312">
        <v>2</v>
      </c>
      <c r="AI312">
        <v>55937898</v>
      </c>
      <c r="AJ312">
        <v>254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ROW(Source!A214)</f>
        <v>214</v>
      </c>
      <c r="B313">
        <v>55937899</v>
      </c>
      <c r="C313">
        <v>55937865</v>
      </c>
      <c r="D313">
        <v>55438984</v>
      </c>
      <c r="E313">
        <v>1081</v>
      </c>
      <c r="F313">
        <v>1</v>
      </c>
      <c r="G313">
        <v>1081</v>
      </c>
      <c r="H313">
        <v>3</v>
      </c>
      <c r="I313" t="s">
        <v>335</v>
      </c>
      <c r="J313" t="s">
        <v>3</v>
      </c>
      <c r="K313" t="s">
        <v>336</v>
      </c>
      <c r="L313">
        <v>1303</v>
      </c>
      <c r="N313">
        <v>1003</v>
      </c>
      <c r="O313" t="s">
        <v>337</v>
      </c>
      <c r="P313" t="s">
        <v>337</v>
      </c>
      <c r="Q313">
        <v>1000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113</v>
      </c>
      <c r="AG313">
        <v>0</v>
      </c>
      <c r="AH313">
        <v>2</v>
      </c>
      <c r="AI313">
        <v>55937899</v>
      </c>
      <c r="AJ313">
        <v>255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ROW(Source!A215)</f>
        <v>215</v>
      </c>
      <c r="B314">
        <v>55937889</v>
      </c>
      <c r="C314">
        <v>55937865</v>
      </c>
      <c r="D314">
        <v>55424304</v>
      </c>
      <c r="E314">
        <v>1081</v>
      </c>
      <c r="F314">
        <v>1</v>
      </c>
      <c r="G314">
        <v>1081</v>
      </c>
      <c r="H314">
        <v>1</v>
      </c>
      <c r="I314" t="s">
        <v>449</v>
      </c>
      <c r="J314" t="s">
        <v>3</v>
      </c>
      <c r="K314" t="s">
        <v>450</v>
      </c>
      <c r="L314">
        <v>1191</v>
      </c>
      <c r="N314">
        <v>1013</v>
      </c>
      <c r="O314" t="s">
        <v>451</v>
      </c>
      <c r="P314" t="s">
        <v>451</v>
      </c>
      <c r="Q314">
        <v>1</v>
      </c>
      <c r="X314">
        <v>16.600000000000001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 t="s">
        <v>114</v>
      </c>
      <c r="AG314">
        <v>19.920000000000002</v>
      </c>
      <c r="AH314">
        <v>2</v>
      </c>
      <c r="AI314">
        <v>55937889</v>
      </c>
      <c r="AJ314">
        <v>256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ROW(Source!A215)</f>
        <v>215</v>
      </c>
      <c r="B315">
        <v>55937890</v>
      </c>
      <c r="C315">
        <v>55937865</v>
      </c>
      <c r="D315">
        <v>55490263</v>
      </c>
      <c r="E315">
        <v>1</v>
      </c>
      <c r="F315">
        <v>1</v>
      </c>
      <c r="G315">
        <v>1081</v>
      </c>
      <c r="H315">
        <v>2</v>
      </c>
      <c r="I315" t="s">
        <v>502</v>
      </c>
      <c r="J315" t="s">
        <v>503</v>
      </c>
      <c r="K315" t="s">
        <v>504</v>
      </c>
      <c r="L315">
        <v>1368</v>
      </c>
      <c r="N315">
        <v>1011</v>
      </c>
      <c r="O315" t="s">
        <v>455</v>
      </c>
      <c r="P315" t="s">
        <v>455</v>
      </c>
      <c r="Q315">
        <v>1</v>
      </c>
      <c r="X315">
        <v>1.1499999999999999</v>
      </c>
      <c r="Y315">
        <v>0</v>
      </c>
      <c r="Z315">
        <v>0.77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114</v>
      </c>
      <c r="AG315">
        <v>1.38</v>
      </c>
      <c r="AH315">
        <v>2</v>
      </c>
      <c r="AI315">
        <v>55937890</v>
      </c>
      <c r="AJ315">
        <v>257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ROW(Source!A215)</f>
        <v>215</v>
      </c>
      <c r="B316">
        <v>55937891</v>
      </c>
      <c r="C316">
        <v>55937865</v>
      </c>
      <c r="D316">
        <v>55490296</v>
      </c>
      <c r="E316">
        <v>1</v>
      </c>
      <c r="F316">
        <v>1</v>
      </c>
      <c r="G316">
        <v>1081</v>
      </c>
      <c r="H316">
        <v>2</v>
      </c>
      <c r="I316" t="s">
        <v>477</v>
      </c>
      <c r="J316" t="s">
        <v>478</v>
      </c>
      <c r="K316" t="s">
        <v>479</v>
      </c>
      <c r="L316">
        <v>1368</v>
      </c>
      <c r="N316">
        <v>1011</v>
      </c>
      <c r="O316" t="s">
        <v>455</v>
      </c>
      <c r="P316" t="s">
        <v>455</v>
      </c>
      <c r="Q316">
        <v>1</v>
      </c>
      <c r="X316">
        <v>1.8</v>
      </c>
      <c r="Y316">
        <v>0</v>
      </c>
      <c r="Z316">
        <v>0.47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114</v>
      </c>
      <c r="AG316">
        <v>2.16</v>
      </c>
      <c r="AH316">
        <v>2</v>
      </c>
      <c r="AI316">
        <v>55937891</v>
      </c>
      <c r="AJ316">
        <v>258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ROW(Source!A215)</f>
        <v>215</v>
      </c>
      <c r="B317">
        <v>55937892</v>
      </c>
      <c r="C317">
        <v>55937865</v>
      </c>
      <c r="D317">
        <v>55460960</v>
      </c>
      <c r="E317">
        <v>1</v>
      </c>
      <c r="F317">
        <v>1</v>
      </c>
      <c r="G317">
        <v>1081</v>
      </c>
      <c r="H317">
        <v>3</v>
      </c>
      <c r="I317" t="s">
        <v>538</v>
      </c>
      <c r="J317" t="s">
        <v>539</v>
      </c>
      <c r="K317" t="s">
        <v>540</v>
      </c>
      <c r="L317">
        <v>1348</v>
      </c>
      <c r="N317">
        <v>1009</v>
      </c>
      <c r="O317" t="s">
        <v>287</v>
      </c>
      <c r="P317" t="s">
        <v>287</v>
      </c>
      <c r="Q317">
        <v>1000</v>
      </c>
      <c r="X317">
        <v>1E-3</v>
      </c>
      <c r="Y317">
        <v>58463.58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113</v>
      </c>
      <c r="AG317">
        <v>1E-3</v>
      </c>
      <c r="AH317">
        <v>2</v>
      </c>
      <c r="AI317">
        <v>55937892</v>
      </c>
      <c r="AJ317">
        <v>259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ROW(Source!A215)</f>
        <v>215</v>
      </c>
      <c r="B318">
        <v>55937893</v>
      </c>
      <c r="C318">
        <v>55937865</v>
      </c>
      <c r="D318">
        <v>55461791</v>
      </c>
      <c r="E318">
        <v>1</v>
      </c>
      <c r="F318">
        <v>1</v>
      </c>
      <c r="G318">
        <v>1081</v>
      </c>
      <c r="H318">
        <v>3</v>
      </c>
      <c r="I318" t="s">
        <v>541</v>
      </c>
      <c r="J318" t="s">
        <v>542</v>
      </c>
      <c r="K318" t="s">
        <v>543</v>
      </c>
      <c r="L318">
        <v>1355</v>
      </c>
      <c r="N318">
        <v>1010</v>
      </c>
      <c r="O318" t="s">
        <v>60</v>
      </c>
      <c r="P318" t="s">
        <v>60</v>
      </c>
      <c r="Q318">
        <v>100</v>
      </c>
      <c r="X318">
        <v>2.1419999999999999</v>
      </c>
      <c r="Y318">
        <v>10.6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113</v>
      </c>
      <c r="AG318">
        <v>2.1419999999999999</v>
      </c>
      <c r="AH318">
        <v>2</v>
      </c>
      <c r="AI318">
        <v>55937893</v>
      </c>
      <c r="AJ318">
        <v>260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ROW(Source!A215)</f>
        <v>215</v>
      </c>
      <c r="B319">
        <v>55937894</v>
      </c>
      <c r="C319">
        <v>55937865</v>
      </c>
      <c r="D319">
        <v>55482203</v>
      </c>
      <c r="E319">
        <v>1</v>
      </c>
      <c r="F319">
        <v>1</v>
      </c>
      <c r="G319">
        <v>1081</v>
      </c>
      <c r="H319">
        <v>3</v>
      </c>
      <c r="I319" t="s">
        <v>544</v>
      </c>
      <c r="J319" t="s">
        <v>545</v>
      </c>
      <c r="K319" t="s">
        <v>546</v>
      </c>
      <c r="L319">
        <v>1356</v>
      </c>
      <c r="N319">
        <v>1010</v>
      </c>
      <c r="O319" t="s">
        <v>353</v>
      </c>
      <c r="P319" t="s">
        <v>353</v>
      </c>
      <c r="Q319">
        <v>1000</v>
      </c>
      <c r="X319">
        <v>1.7000000000000001E-2</v>
      </c>
      <c r="Y319">
        <v>226.66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113</v>
      </c>
      <c r="AG319">
        <v>1.7000000000000001E-2</v>
      </c>
      <c r="AH319">
        <v>2</v>
      </c>
      <c r="AI319">
        <v>55937894</v>
      </c>
      <c r="AJ319">
        <v>261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ROW(Source!A215)</f>
        <v>215</v>
      </c>
      <c r="B320">
        <v>55937895</v>
      </c>
      <c r="C320">
        <v>55937865</v>
      </c>
      <c r="D320">
        <v>55481977</v>
      </c>
      <c r="E320">
        <v>1</v>
      </c>
      <c r="F320">
        <v>1</v>
      </c>
      <c r="G320">
        <v>1081</v>
      </c>
      <c r="H320">
        <v>3</v>
      </c>
      <c r="I320" t="s">
        <v>547</v>
      </c>
      <c r="J320" t="s">
        <v>548</v>
      </c>
      <c r="K320" t="s">
        <v>549</v>
      </c>
      <c r="L320">
        <v>1355</v>
      </c>
      <c r="N320">
        <v>1010</v>
      </c>
      <c r="O320" t="s">
        <v>60</v>
      </c>
      <c r="P320" t="s">
        <v>60</v>
      </c>
      <c r="Q320">
        <v>100</v>
      </c>
      <c r="X320">
        <v>0.17</v>
      </c>
      <c r="Y320">
        <v>26.71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113</v>
      </c>
      <c r="AG320">
        <v>0.17</v>
      </c>
      <c r="AH320">
        <v>2</v>
      </c>
      <c r="AI320">
        <v>55937895</v>
      </c>
      <c r="AJ320">
        <v>262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ROW(Source!A215)</f>
        <v>215</v>
      </c>
      <c r="B321">
        <v>55937896</v>
      </c>
      <c r="C321">
        <v>55937865</v>
      </c>
      <c r="D321">
        <v>55469271</v>
      </c>
      <c r="E321">
        <v>1</v>
      </c>
      <c r="F321">
        <v>1</v>
      </c>
      <c r="G321">
        <v>1081</v>
      </c>
      <c r="H321">
        <v>3</v>
      </c>
      <c r="I321" t="s">
        <v>550</v>
      </c>
      <c r="J321" t="s">
        <v>551</v>
      </c>
      <c r="K321" t="s">
        <v>552</v>
      </c>
      <c r="L321">
        <v>1354</v>
      </c>
      <c r="N321">
        <v>1010</v>
      </c>
      <c r="O321" t="s">
        <v>217</v>
      </c>
      <c r="P321" t="s">
        <v>217</v>
      </c>
      <c r="Q321">
        <v>1</v>
      </c>
      <c r="X321">
        <v>0.161</v>
      </c>
      <c r="Y321">
        <v>14.56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113</v>
      </c>
      <c r="AG321">
        <v>0.161</v>
      </c>
      <c r="AH321">
        <v>2</v>
      </c>
      <c r="AI321">
        <v>55937896</v>
      </c>
      <c r="AJ321">
        <v>263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ROW(Source!A215)</f>
        <v>215</v>
      </c>
      <c r="B322">
        <v>55937897</v>
      </c>
      <c r="C322">
        <v>55937865</v>
      </c>
      <c r="D322">
        <v>55428305</v>
      </c>
      <c r="E322">
        <v>1081</v>
      </c>
      <c r="F322">
        <v>1</v>
      </c>
      <c r="G322">
        <v>1081</v>
      </c>
      <c r="H322">
        <v>3</v>
      </c>
      <c r="I322" t="s">
        <v>330</v>
      </c>
      <c r="J322" t="s">
        <v>3</v>
      </c>
      <c r="K322" t="s">
        <v>331</v>
      </c>
      <c r="L322">
        <v>1301</v>
      </c>
      <c r="N322">
        <v>1003</v>
      </c>
      <c r="O322" t="s">
        <v>332</v>
      </c>
      <c r="P322" t="s">
        <v>332</v>
      </c>
      <c r="Q322">
        <v>1</v>
      </c>
      <c r="X322">
        <v>102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113</v>
      </c>
      <c r="AG322">
        <v>102</v>
      </c>
      <c r="AH322">
        <v>2</v>
      </c>
      <c r="AI322">
        <v>55937897</v>
      </c>
      <c r="AJ322">
        <v>264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ROW(Source!A215)</f>
        <v>215</v>
      </c>
      <c r="B323">
        <v>55937898</v>
      </c>
      <c r="C323">
        <v>55937865</v>
      </c>
      <c r="D323">
        <v>55432095</v>
      </c>
      <c r="E323">
        <v>1081</v>
      </c>
      <c r="F323">
        <v>1</v>
      </c>
      <c r="G323">
        <v>1081</v>
      </c>
      <c r="H323">
        <v>3</v>
      </c>
      <c r="I323" t="s">
        <v>333</v>
      </c>
      <c r="J323" t="s">
        <v>3</v>
      </c>
      <c r="K323" t="s">
        <v>334</v>
      </c>
      <c r="L323">
        <v>1355</v>
      </c>
      <c r="N323">
        <v>1010</v>
      </c>
      <c r="O323" t="s">
        <v>60</v>
      </c>
      <c r="P323" t="s">
        <v>60</v>
      </c>
      <c r="Q323">
        <v>100</v>
      </c>
      <c r="X323">
        <v>2.1640000000000001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113</v>
      </c>
      <c r="AG323">
        <v>2.1640000000000001</v>
      </c>
      <c r="AH323">
        <v>2</v>
      </c>
      <c r="AI323">
        <v>55937898</v>
      </c>
      <c r="AJ323">
        <v>265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ROW(Source!A215)</f>
        <v>215</v>
      </c>
      <c r="B324">
        <v>55937899</v>
      </c>
      <c r="C324">
        <v>55937865</v>
      </c>
      <c r="D324">
        <v>55438984</v>
      </c>
      <c r="E324">
        <v>1081</v>
      </c>
      <c r="F324">
        <v>1</v>
      </c>
      <c r="G324">
        <v>1081</v>
      </c>
      <c r="H324">
        <v>3</v>
      </c>
      <c r="I324" t="s">
        <v>335</v>
      </c>
      <c r="J324" t="s">
        <v>3</v>
      </c>
      <c r="K324" t="s">
        <v>336</v>
      </c>
      <c r="L324">
        <v>1303</v>
      </c>
      <c r="N324">
        <v>1003</v>
      </c>
      <c r="O324" t="s">
        <v>337</v>
      </c>
      <c r="P324" t="s">
        <v>337</v>
      </c>
      <c r="Q324">
        <v>1000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113</v>
      </c>
      <c r="AG324">
        <v>0</v>
      </c>
      <c r="AH324">
        <v>2</v>
      </c>
      <c r="AI324">
        <v>55937899</v>
      </c>
      <c r="AJ324">
        <v>266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ROW(Source!A222)</f>
        <v>222</v>
      </c>
      <c r="B325">
        <v>55937858</v>
      </c>
      <c r="C325">
        <v>55937838</v>
      </c>
      <c r="D325">
        <v>55424304</v>
      </c>
      <c r="E325">
        <v>1081</v>
      </c>
      <c r="F325">
        <v>1</v>
      </c>
      <c r="G325">
        <v>1081</v>
      </c>
      <c r="H325">
        <v>1</v>
      </c>
      <c r="I325" t="s">
        <v>449</v>
      </c>
      <c r="J325" t="s">
        <v>3</v>
      </c>
      <c r="K325" t="s">
        <v>450</v>
      </c>
      <c r="L325">
        <v>1191</v>
      </c>
      <c r="N325">
        <v>1013</v>
      </c>
      <c r="O325" t="s">
        <v>451</v>
      </c>
      <c r="P325" t="s">
        <v>451</v>
      </c>
      <c r="Q325">
        <v>1</v>
      </c>
      <c r="X325">
        <v>15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114</v>
      </c>
      <c r="AG325">
        <v>18</v>
      </c>
      <c r="AH325">
        <v>2</v>
      </c>
      <c r="AI325">
        <v>55937858</v>
      </c>
      <c r="AJ325">
        <v>267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ROW(Source!A222)</f>
        <v>222</v>
      </c>
      <c r="B326">
        <v>55937859</v>
      </c>
      <c r="C326">
        <v>55937838</v>
      </c>
      <c r="D326">
        <v>55428303</v>
      </c>
      <c r="E326">
        <v>1081</v>
      </c>
      <c r="F326">
        <v>1</v>
      </c>
      <c r="G326">
        <v>1081</v>
      </c>
      <c r="H326">
        <v>3</v>
      </c>
      <c r="I326" t="s">
        <v>330</v>
      </c>
      <c r="J326" t="s">
        <v>3</v>
      </c>
      <c r="K326" t="s">
        <v>653</v>
      </c>
      <c r="L326">
        <v>1301</v>
      </c>
      <c r="N326">
        <v>1003</v>
      </c>
      <c r="O326" t="s">
        <v>332</v>
      </c>
      <c r="P326" t="s">
        <v>332</v>
      </c>
      <c r="Q326">
        <v>1</v>
      </c>
      <c r="X326">
        <v>102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113</v>
      </c>
      <c r="AG326">
        <v>102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ROW(Source!A222)</f>
        <v>222</v>
      </c>
      <c r="B327">
        <v>55937860</v>
      </c>
      <c r="C327">
        <v>55937838</v>
      </c>
      <c r="D327">
        <v>55431533</v>
      </c>
      <c r="E327">
        <v>1081</v>
      </c>
      <c r="F327">
        <v>1</v>
      </c>
      <c r="G327">
        <v>1081</v>
      </c>
      <c r="H327">
        <v>3</v>
      </c>
      <c r="I327" t="s">
        <v>654</v>
      </c>
      <c r="J327" t="s">
        <v>3</v>
      </c>
      <c r="K327" t="s">
        <v>655</v>
      </c>
      <c r="L327">
        <v>1354</v>
      </c>
      <c r="N327">
        <v>1010</v>
      </c>
      <c r="O327" t="s">
        <v>217</v>
      </c>
      <c r="P327" t="s">
        <v>217</v>
      </c>
      <c r="Q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113</v>
      </c>
      <c r="AG327">
        <v>0</v>
      </c>
      <c r="AH327">
        <v>3</v>
      </c>
      <c r="AI327">
        <v>-1</v>
      </c>
      <c r="AJ327" t="s">
        <v>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ROW(Source!A222)</f>
        <v>222</v>
      </c>
      <c r="B328">
        <v>55937861</v>
      </c>
      <c r="C328">
        <v>55937838</v>
      </c>
      <c r="D328">
        <v>55432096</v>
      </c>
      <c r="E328">
        <v>1081</v>
      </c>
      <c r="F328">
        <v>1</v>
      </c>
      <c r="G328">
        <v>1081</v>
      </c>
      <c r="H328">
        <v>3</v>
      </c>
      <c r="I328" t="s">
        <v>333</v>
      </c>
      <c r="J328" t="s">
        <v>3</v>
      </c>
      <c r="K328" t="s">
        <v>656</v>
      </c>
      <c r="L328">
        <v>1354</v>
      </c>
      <c r="N328">
        <v>1010</v>
      </c>
      <c r="O328" t="s">
        <v>217</v>
      </c>
      <c r="P328" t="s">
        <v>217</v>
      </c>
      <c r="Q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113</v>
      </c>
      <c r="AG328">
        <v>0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ROW(Source!A223)</f>
        <v>223</v>
      </c>
      <c r="B329">
        <v>55937858</v>
      </c>
      <c r="C329">
        <v>55937838</v>
      </c>
      <c r="D329">
        <v>55424304</v>
      </c>
      <c r="E329">
        <v>1081</v>
      </c>
      <c r="F329">
        <v>1</v>
      </c>
      <c r="G329">
        <v>1081</v>
      </c>
      <c r="H329">
        <v>1</v>
      </c>
      <c r="I329" t="s">
        <v>449</v>
      </c>
      <c r="J329" t="s">
        <v>3</v>
      </c>
      <c r="K329" t="s">
        <v>450</v>
      </c>
      <c r="L329">
        <v>1191</v>
      </c>
      <c r="N329">
        <v>1013</v>
      </c>
      <c r="O329" t="s">
        <v>451</v>
      </c>
      <c r="P329" t="s">
        <v>451</v>
      </c>
      <c r="Q329">
        <v>1</v>
      </c>
      <c r="X329">
        <v>15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114</v>
      </c>
      <c r="AG329">
        <v>18</v>
      </c>
      <c r="AH329">
        <v>2</v>
      </c>
      <c r="AI329">
        <v>55937858</v>
      </c>
      <c r="AJ329">
        <v>271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ROW(Source!A223)</f>
        <v>223</v>
      </c>
      <c r="B330">
        <v>55937859</v>
      </c>
      <c r="C330">
        <v>55937838</v>
      </c>
      <c r="D330">
        <v>55428303</v>
      </c>
      <c r="E330">
        <v>1081</v>
      </c>
      <c r="F330">
        <v>1</v>
      </c>
      <c r="G330">
        <v>1081</v>
      </c>
      <c r="H330">
        <v>3</v>
      </c>
      <c r="I330" t="s">
        <v>330</v>
      </c>
      <c r="J330" t="s">
        <v>3</v>
      </c>
      <c r="K330" t="s">
        <v>653</v>
      </c>
      <c r="L330">
        <v>1301</v>
      </c>
      <c r="N330">
        <v>1003</v>
      </c>
      <c r="O330" t="s">
        <v>332</v>
      </c>
      <c r="P330" t="s">
        <v>332</v>
      </c>
      <c r="Q330">
        <v>1</v>
      </c>
      <c r="X330">
        <v>102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113</v>
      </c>
      <c r="AG330">
        <v>102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ROW(Source!A223)</f>
        <v>223</v>
      </c>
      <c r="B331">
        <v>55937860</v>
      </c>
      <c r="C331">
        <v>55937838</v>
      </c>
      <c r="D331">
        <v>55431533</v>
      </c>
      <c r="E331">
        <v>1081</v>
      </c>
      <c r="F331">
        <v>1</v>
      </c>
      <c r="G331">
        <v>1081</v>
      </c>
      <c r="H331">
        <v>3</v>
      </c>
      <c r="I331" t="s">
        <v>654</v>
      </c>
      <c r="J331" t="s">
        <v>3</v>
      </c>
      <c r="K331" t="s">
        <v>655</v>
      </c>
      <c r="L331">
        <v>1354</v>
      </c>
      <c r="N331">
        <v>1010</v>
      </c>
      <c r="O331" t="s">
        <v>217</v>
      </c>
      <c r="P331" t="s">
        <v>217</v>
      </c>
      <c r="Q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113</v>
      </c>
      <c r="AG331">
        <v>0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ROW(Source!A223)</f>
        <v>223</v>
      </c>
      <c r="B332">
        <v>55937861</v>
      </c>
      <c r="C332">
        <v>55937838</v>
      </c>
      <c r="D332">
        <v>55432096</v>
      </c>
      <c r="E332">
        <v>1081</v>
      </c>
      <c r="F332">
        <v>1</v>
      </c>
      <c r="G332">
        <v>1081</v>
      </c>
      <c r="H332">
        <v>3</v>
      </c>
      <c r="I332" t="s">
        <v>333</v>
      </c>
      <c r="J332" t="s">
        <v>3</v>
      </c>
      <c r="K332" t="s">
        <v>656</v>
      </c>
      <c r="L332">
        <v>1354</v>
      </c>
      <c r="N332">
        <v>1010</v>
      </c>
      <c r="O332" t="s">
        <v>217</v>
      </c>
      <c r="P332" t="s">
        <v>217</v>
      </c>
      <c r="Q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113</v>
      </c>
      <c r="AG332">
        <v>0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ROW(Source!A234)</f>
        <v>234</v>
      </c>
      <c r="B333">
        <v>55937908</v>
      </c>
      <c r="C333">
        <v>55937846</v>
      </c>
      <c r="D333">
        <v>55424304</v>
      </c>
      <c r="E333">
        <v>1081</v>
      </c>
      <c r="F333">
        <v>1</v>
      </c>
      <c r="G333">
        <v>1081</v>
      </c>
      <c r="H333">
        <v>1</v>
      </c>
      <c r="I333" t="s">
        <v>449</v>
      </c>
      <c r="J333" t="s">
        <v>3</v>
      </c>
      <c r="K333" t="s">
        <v>450</v>
      </c>
      <c r="L333">
        <v>1191</v>
      </c>
      <c r="N333">
        <v>1013</v>
      </c>
      <c r="O333" t="s">
        <v>451</v>
      </c>
      <c r="P333" t="s">
        <v>451</v>
      </c>
      <c r="Q333">
        <v>1</v>
      </c>
      <c r="X333">
        <v>15.93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114</v>
      </c>
      <c r="AG333">
        <v>19.116</v>
      </c>
      <c r="AH333">
        <v>2</v>
      </c>
      <c r="AI333">
        <v>55937908</v>
      </c>
      <c r="AJ333">
        <v>275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ROW(Source!A234)</f>
        <v>234</v>
      </c>
      <c r="B334">
        <v>55937909</v>
      </c>
      <c r="C334">
        <v>55937846</v>
      </c>
      <c r="D334">
        <v>55428303</v>
      </c>
      <c r="E334">
        <v>1081</v>
      </c>
      <c r="F334">
        <v>1</v>
      </c>
      <c r="G334">
        <v>1081</v>
      </c>
      <c r="H334">
        <v>3</v>
      </c>
      <c r="I334" t="s">
        <v>330</v>
      </c>
      <c r="J334" t="s">
        <v>3</v>
      </c>
      <c r="K334" t="s">
        <v>653</v>
      </c>
      <c r="L334">
        <v>1301</v>
      </c>
      <c r="N334">
        <v>1003</v>
      </c>
      <c r="O334" t="s">
        <v>332</v>
      </c>
      <c r="P334" t="s">
        <v>332</v>
      </c>
      <c r="Q334">
        <v>1</v>
      </c>
      <c r="X334">
        <v>102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113</v>
      </c>
      <c r="AG334">
        <v>102</v>
      </c>
      <c r="AH334">
        <v>3</v>
      </c>
      <c r="AI334">
        <v>-1</v>
      </c>
      <c r="AJ334" t="s">
        <v>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ROW(Source!A234)</f>
        <v>234</v>
      </c>
      <c r="B335">
        <v>55937910</v>
      </c>
      <c r="C335">
        <v>55937846</v>
      </c>
      <c r="D335">
        <v>55431533</v>
      </c>
      <c r="E335">
        <v>1081</v>
      </c>
      <c r="F335">
        <v>1</v>
      </c>
      <c r="G335">
        <v>1081</v>
      </c>
      <c r="H335">
        <v>3</v>
      </c>
      <c r="I335" t="s">
        <v>654</v>
      </c>
      <c r="J335" t="s">
        <v>3</v>
      </c>
      <c r="K335" t="s">
        <v>655</v>
      </c>
      <c r="L335">
        <v>1354</v>
      </c>
      <c r="N335">
        <v>1010</v>
      </c>
      <c r="O335" t="s">
        <v>217</v>
      </c>
      <c r="P335" t="s">
        <v>217</v>
      </c>
      <c r="Q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113</v>
      </c>
      <c r="AG335">
        <v>0</v>
      </c>
      <c r="AH335">
        <v>3</v>
      </c>
      <c r="AI335">
        <v>-1</v>
      </c>
      <c r="AJ335" t="s">
        <v>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ROW(Source!A234)</f>
        <v>234</v>
      </c>
      <c r="B336">
        <v>55937911</v>
      </c>
      <c r="C336">
        <v>55937846</v>
      </c>
      <c r="D336">
        <v>55432096</v>
      </c>
      <c r="E336">
        <v>1081</v>
      </c>
      <c r="F336">
        <v>1</v>
      </c>
      <c r="G336">
        <v>1081</v>
      </c>
      <c r="H336">
        <v>3</v>
      </c>
      <c r="I336" t="s">
        <v>333</v>
      </c>
      <c r="J336" t="s">
        <v>3</v>
      </c>
      <c r="K336" t="s">
        <v>656</v>
      </c>
      <c r="L336">
        <v>1354</v>
      </c>
      <c r="N336">
        <v>1010</v>
      </c>
      <c r="O336" t="s">
        <v>217</v>
      </c>
      <c r="P336" t="s">
        <v>217</v>
      </c>
      <c r="Q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113</v>
      </c>
      <c r="AG336">
        <v>0</v>
      </c>
      <c r="AH336">
        <v>3</v>
      </c>
      <c r="AI336">
        <v>-1</v>
      </c>
      <c r="AJ336" t="s">
        <v>3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ROW(Source!A235)</f>
        <v>235</v>
      </c>
      <c r="B337">
        <v>55937908</v>
      </c>
      <c r="C337">
        <v>55937846</v>
      </c>
      <c r="D337">
        <v>55424304</v>
      </c>
      <c r="E337">
        <v>1081</v>
      </c>
      <c r="F337">
        <v>1</v>
      </c>
      <c r="G337">
        <v>1081</v>
      </c>
      <c r="H337">
        <v>1</v>
      </c>
      <c r="I337" t="s">
        <v>449</v>
      </c>
      <c r="J337" t="s">
        <v>3</v>
      </c>
      <c r="K337" t="s">
        <v>450</v>
      </c>
      <c r="L337">
        <v>1191</v>
      </c>
      <c r="N337">
        <v>1013</v>
      </c>
      <c r="O337" t="s">
        <v>451</v>
      </c>
      <c r="P337" t="s">
        <v>451</v>
      </c>
      <c r="Q337">
        <v>1</v>
      </c>
      <c r="X337">
        <v>15.93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 t="s">
        <v>114</v>
      </c>
      <c r="AG337">
        <v>19.116</v>
      </c>
      <c r="AH337">
        <v>2</v>
      </c>
      <c r="AI337">
        <v>55937908</v>
      </c>
      <c r="AJ337">
        <v>278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ROW(Source!A235)</f>
        <v>235</v>
      </c>
      <c r="B338">
        <v>55937909</v>
      </c>
      <c r="C338">
        <v>55937846</v>
      </c>
      <c r="D338">
        <v>55428303</v>
      </c>
      <c r="E338">
        <v>1081</v>
      </c>
      <c r="F338">
        <v>1</v>
      </c>
      <c r="G338">
        <v>1081</v>
      </c>
      <c r="H338">
        <v>3</v>
      </c>
      <c r="I338" t="s">
        <v>330</v>
      </c>
      <c r="J338" t="s">
        <v>3</v>
      </c>
      <c r="K338" t="s">
        <v>653</v>
      </c>
      <c r="L338">
        <v>1301</v>
      </c>
      <c r="N338">
        <v>1003</v>
      </c>
      <c r="O338" t="s">
        <v>332</v>
      </c>
      <c r="P338" t="s">
        <v>332</v>
      </c>
      <c r="Q338">
        <v>1</v>
      </c>
      <c r="X338">
        <v>102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113</v>
      </c>
      <c r="AG338">
        <v>102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ROW(Source!A235)</f>
        <v>235</v>
      </c>
      <c r="B339">
        <v>55937910</v>
      </c>
      <c r="C339">
        <v>55937846</v>
      </c>
      <c r="D339">
        <v>55431533</v>
      </c>
      <c r="E339">
        <v>1081</v>
      </c>
      <c r="F339">
        <v>1</v>
      </c>
      <c r="G339">
        <v>1081</v>
      </c>
      <c r="H339">
        <v>3</v>
      </c>
      <c r="I339" t="s">
        <v>654</v>
      </c>
      <c r="J339" t="s">
        <v>3</v>
      </c>
      <c r="K339" t="s">
        <v>655</v>
      </c>
      <c r="L339">
        <v>1354</v>
      </c>
      <c r="N339">
        <v>1010</v>
      </c>
      <c r="O339" t="s">
        <v>217</v>
      </c>
      <c r="P339" t="s">
        <v>217</v>
      </c>
      <c r="Q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113</v>
      </c>
      <c r="AG339">
        <v>0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ROW(Source!A235)</f>
        <v>235</v>
      </c>
      <c r="B340">
        <v>55937911</v>
      </c>
      <c r="C340">
        <v>55937846</v>
      </c>
      <c r="D340">
        <v>55432096</v>
      </c>
      <c r="E340">
        <v>1081</v>
      </c>
      <c r="F340">
        <v>1</v>
      </c>
      <c r="G340">
        <v>1081</v>
      </c>
      <c r="H340">
        <v>3</v>
      </c>
      <c r="I340" t="s">
        <v>333</v>
      </c>
      <c r="J340" t="s">
        <v>3</v>
      </c>
      <c r="K340" t="s">
        <v>656</v>
      </c>
      <c r="L340">
        <v>1354</v>
      </c>
      <c r="N340">
        <v>1010</v>
      </c>
      <c r="O340" t="s">
        <v>217</v>
      </c>
      <c r="P340" t="s">
        <v>217</v>
      </c>
      <c r="Q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113</v>
      </c>
      <c r="AG340">
        <v>0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ROW(Source!A240)</f>
        <v>240</v>
      </c>
      <c r="B341">
        <v>55937919</v>
      </c>
      <c r="C341">
        <v>55937918</v>
      </c>
      <c r="D341">
        <v>55424304</v>
      </c>
      <c r="E341">
        <v>1081</v>
      </c>
      <c r="F341">
        <v>1</v>
      </c>
      <c r="G341">
        <v>1081</v>
      </c>
      <c r="H341">
        <v>1</v>
      </c>
      <c r="I341" t="s">
        <v>449</v>
      </c>
      <c r="J341" t="s">
        <v>3</v>
      </c>
      <c r="K341" t="s">
        <v>450</v>
      </c>
      <c r="L341">
        <v>1191</v>
      </c>
      <c r="N341">
        <v>1013</v>
      </c>
      <c r="O341" t="s">
        <v>451</v>
      </c>
      <c r="P341" t="s">
        <v>451</v>
      </c>
      <c r="Q341">
        <v>1</v>
      </c>
      <c r="X341">
        <v>16.5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114</v>
      </c>
      <c r="AG341">
        <v>19.8</v>
      </c>
      <c r="AH341">
        <v>2</v>
      </c>
      <c r="AI341">
        <v>55937919</v>
      </c>
      <c r="AJ341">
        <v>281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ROW(Source!A240)</f>
        <v>240</v>
      </c>
      <c r="B342">
        <v>55937920</v>
      </c>
      <c r="C342">
        <v>55937918</v>
      </c>
      <c r="D342">
        <v>55489910</v>
      </c>
      <c r="E342">
        <v>1</v>
      </c>
      <c r="F342">
        <v>1</v>
      </c>
      <c r="G342">
        <v>1081</v>
      </c>
      <c r="H342">
        <v>2</v>
      </c>
      <c r="I342" t="s">
        <v>554</v>
      </c>
      <c r="J342" t="s">
        <v>555</v>
      </c>
      <c r="K342" t="s">
        <v>556</v>
      </c>
      <c r="L342">
        <v>1368</v>
      </c>
      <c r="N342">
        <v>1011</v>
      </c>
      <c r="O342" t="s">
        <v>455</v>
      </c>
      <c r="P342" t="s">
        <v>455</v>
      </c>
      <c r="Q342">
        <v>1</v>
      </c>
      <c r="X342">
        <v>3.66</v>
      </c>
      <c r="Y342">
        <v>0</v>
      </c>
      <c r="Z342">
        <v>7.11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114</v>
      </c>
      <c r="AG342">
        <v>4.3920000000000003</v>
      </c>
      <c r="AH342">
        <v>2</v>
      </c>
      <c r="AI342">
        <v>55937920</v>
      </c>
      <c r="AJ342">
        <v>282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ROW(Source!A240)</f>
        <v>240</v>
      </c>
      <c r="B343">
        <v>55937921</v>
      </c>
      <c r="C343">
        <v>55937918</v>
      </c>
      <c r="D343">
        <v>55490209</v>
      </c>
      <c r="E343">
        <v>1</v>
      </c>
      <c r="F343">
        <v>1</v>
      </c>
      <c r="G343">
        <v>1081</v>
      </c>
      <c r="H343">
        <v>2</v>
      </c>
      <c r="I343" t="s">
        <v>489</v>
      </c>
      <c r="J343" t="s">
        <v>490</v>
      </c>
      <c r="K343" t="s">
        <v>491</v>
      </c>
      <c r="L343">
        <v>1368</v>
      </c>
      <c r="N343">
        <v>1011</v>
      </c>
      <c r="O343" t="s">
        <v>455</v>
      </c>
      <c r="P343" t="s">
        <v>455</v>
      </c>
      <c r="Q343">
        <v>1</v>
      </c>
      <c r="X343">
        <v>0.43</v>
      </c>
      <c r="Y343">
        <v>0</v>
      </c>
      <c r="Z343">
        <v>83.1</v>
      </c>
      <c r="AA343">
        <v>12.62</v>
      </c>
      <c r="AB343">
        <v>0</v>
      </c>
      <c r="AC343">
        <v>0</v>
      </c>
      <c r="AD343">
        <v>1</v>
      </c>
      <c r="AE343">
        <v>0</v>
      </c>
      <c r="AF343" t="s">
        <v>114</v>
      </c>
      <c r="AG343">
        <v>0.51600000000000001</v>
      </c>
      <c r="AH343">
        <v>2</v>
      </c>
      <c r="AI343">
        <v>55937921</v>
      </c>
      <c r="AJ343">
        <v>283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ROW(Source!A240)</f>
        <v>240</v>
      </c>
      <c r="B344">
        <v>55937922</v>
      </c>
      <c r="C344">
        <v>55937918</v>
      </c>
      <c r="D344">
        <v>55460380</v>
      </c>
      <c r="E344">
        <v>1</v>
      </c>
      <c r="F344">
        <v>1</v>
      </c>
      <c r="G344">
        <v>1081</v>
      </c>
      <c r="H344">
        <v>3</v>
      </c>
      <c r="I344" t="s">
        <v>557</v>
      </c>
      <c r="J344" t="s">
        <v>558</v>
      </c>
      <c r="K344" t="s">
        <v>559</v>
      </c>
      <c r="L344">
        <v>1348</v>
      </c>
      <c r="N344">
        <v>1009</v>
      </c>
      <c r="O344" t="s">
        <v>287</v>
      </c>
      <c r="P344" t="s">
        <v>287</v>
      </c>
      <c r="Q344">
        <v>1000</v>
      </c>
      <c r="X344">
        <v>1.0499999999999999E-3</v>
      </c>
      <c r="Y344">
        <v>8590.86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113</v>
      </c>
      <c r="AG344">
        <v>1.0499999999999999E-3</v>
      </c>
      <c r="AH344">
        <v>2</v>
      </c>
      <c r="AI344">
        <v>55937922</v>
      </c>
      <c r="AJ344">
        <v>284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ROW(Source!A240)</f>
        <v>240</v>
      </c>
      <c r="B345">
        <v>55937923</v>
      </c>
      <c r="C345">
        <v>55937918</v>
      </c>
      <c r="D345">
        <v>55459339</v>
      </c>
      <c r="E345">
        <v>1</v>
      </c>
      <c r="F345">
        <v>1</v>
      </c>
      <c r="G345">
        <v>1081</v>
      </c>
      <c r="H345">
        <v>3</v>
      </c>
      <c r="I345" t="s">
        <v>560</v>
      </c>
      <c r="J345" t="s">
        <v>561</v>
      </c>
      <c r="K345" t="s">
        <v>562</v>
      </c>
      <c r="L345">
        <v>1354</v>
      </c>
      <c r="N345">
        <v>1010</v>
      </c>
      <c r="O345" t="s">
        <v>217</v>
      </c>
      <c r="P345" t="s">
        <v>217</v>
      </c>
      <c r="Q345">
        <v>1</v>
      </c>
      <c r="X345">
        <v>122</v>
      </c>
      <c r="Y345">
        <v>3.86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113</v>
      </c>
      <c r="AG345">
        <v>122</v>
      </c>
      <c r="AH345">
        <v>2</v>
      </c>
      <c r="AI345">
        <v>55937923</v>
      </c>
      <c r="AJ345">
        <v>285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ROW(Source!A240)</f>
        <v>240</v>
      </c>
      <c r="B346">
        <v>55937924</v>
      </c>
      <c r="C346">
        <v>55937918</v>
      </c>
      <c r="D346">
        <v>55461705</v>
      </c>
      <c r="E346">
        <v>1</v>
      </c>
      <c r="F346">
        <v>1</v>
      </c>
      <c r="G346">
        <v>1081</v>
      </c>
      <c r="H346">
        <v>3</v>
      </c>
      <c r="I346" t="s">
        <v>563</v>
      </c>
      <c r="J346" t="s">
        <v>564</v>
      </c>
      <c r="K346" t="s">
        <v>565</v>
      </c>
      <c r="L346">
        <v>1346</v>
      </c>
      <c r="N346">
        <v>1009</v>
      </c>
      <c r="O346" t="s">
        <v>311</v>
      </c>
      <c r="P346" t="s">
        <v>311</v>
      </c>
      <c r="Q346">
        <v>1</v>
      </c>
      <c r="X346">
        <v>0.03</v>
      </c>
      <c r="Y346">
        <v>520.51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113</v>
      </c>
      <c r="AG346">
        <v>0.03</v>
      </c>
      <c r="AH346">
        <v>2</v>
      </c>
      <c r="AI346">
        <v>55937924</v>
      </c>
      <c r="AJ346">
        <v>286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ROW(Source!A240)</f>
        <v>240</v>
      </c>
      <c r="B347">
        <v>55937925</v>
      </c>
      <c r="C347">
        <v>55937918</v>
      </c>
      <c r="D347">
        <v>55459815</v>
      </c>
      <c r="E347">
        <v>1</v>
      </c>
      <c r="F347">
        <v>1</v>
      </c>
      <c r="G347">
        <v>1081</v>
      </c>
      <c r="H347">
        <v>3</v>
      </c>
      <c r="I347" t="s">
        <v>566</v>
      </c>
      <c r="J347" t="s">
        <v>567</v>
      </c>
      <c r="K347" t="s">
        <v>568</v>
      </c>
      <c r="L347">
        <v>1348</v>
      </c>
      <c r="N347">
        <v>1009</v>
      </c>
      <c r="O347" t="s">
        <v>287</v>
      </c>
      <c r="P347" t="s">
        <v>287</v>
      </c>
      <c r="Q347">
        <v>1000</v>
      </c>
      <c r="X347">
        <v>2.0999999999999999E-3</v>
      </c>
      <c r="Y347">
        <v>7973.67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113</v>
      </c>
      <c r="AG347">
        <v>2.0999999999999999E-3</v>
      </c>
      <c r="AH347">
        <v>2</v>
      </c>
      <c r="AI347">
        <v>55937925</v>
      </c>
      <c r="AJ347">
        <v>287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ROW(Source!A240)</f>
        <v>240</v>
      </c>
      <c r="B348">
        <v>55937926</v>
      </c>
      <c r="C348">
        <v>55937918</v>
      </c>
      <c r="D348">
        <v>55482523</v>
      </c>
      <c r="E348">
        <v>1</v>
      </c>
      <c r="F348">
        <v>1</v>
      </c>
      <c r="G348">
        <v>1081</v>
      </c>
      <c r="H348">
        <v>3</v>
      </c>
      <c r="I348" t="s">
        <v>569</v>
      </c>
      <c r="J348" t="s">
        <v>570</v>
      </c>
      <c r="K348" t="s">
        <v>571</v>
      </c>
      <c r="L348">
        <v>1358</v>
      </c>
      <c r="N348">
        <v>1010</v>
      </c>
      <c r="O348" t="s">
        <v>75</v>
      </c>
      <c r="P348" t="s">
        <v>75</v>
      </c>
      <c r="Q348">
        <v>10</v>
      </c>
      <c r="X348">
        <v>1.02</v>
      </c>
      <c r="Y348">
        <v>5.46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 t="s">
        <v>113</v>
      </c>
      <c r="AG348">
        <v>1.02</v>
      </c>
      <c r="AH348">
        <v>2</v>
      </c>
      <c r="AI348">
        <v>55937926</v>
      </c>
      <c r="AJ348">
        <v>289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ROW(Source!A240)</f>
        <v>240</v>
      </c>
      <c r="B349">
        <v>55937927</v>
      </c>
      <c r="C349">
        <v>55937918</v>
      </c>
      <c r="D349">
        <v>55482601</v>
      </c>
      <c r="E349">
        <v>1</v>
      </c>
      <c r="F349">
        <v>1</v>
      </c>
      <c r="G349">
        <v>1081</v>
      </c>
      <c r="H349">
        <v>3</v>
      </c>
      <c r="I349" t="s">
        <v>572</v>
      </c>
      <c r="J349" t="s">
        <v>573</v>
      </c>
      <c r="K349" t="s">
        <v>574</v>
      </c>
      <c r="L349">
        <v>1354</v>
      </c>
      <c r="N349">
        <v>1010</v>
      </c>
      <c r="O349" t="s">
        <v>217</v>
      </c>
      <c r="P349" t="s">
        <v>217</v>
      </c>
      <c r="Q349">
        <v>1</v>
      </c>
      <c r="X349">
        <v>6</v>
      </c>
      <c r="Y349">
        <v>180.02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113</v>
      </c>
      <c r="AG349">
        <v>6</v>
      </c>
      <c r="AH349">
        <v>2</v>
      </c>
      <c r="AI349">
        <v>55937927</v>
      </c>
      <c r="AJ349">
        <v>290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ROW(Source!A240)</f>
        <v>240</v>
      </c>
      <c r="B350">
        <v>55937928</v>
      </c>
      <c r="C350">
        <v>55937918</v>
      </c>
      <c r="D350">
        <v>55482617</v>
      </c>
      <c r="E350">
        <v>1</v>
      </c>
      <c r="F350">
        <v>1</v>
      </c>
      <c r="G350">
        <v>1081</v>
      </c>
      <c r="H350">
        <v>3</v>
      </c>
      <c r="I350" t="s">
        <v>575</v>
      </c>
      <c r="J350" t="s">
        <v>576</v>
      </c>
      <c r="K350" t="s">
        <v>577</v>
      </c>
      <c r="L350">
        <v>1354</v>
      </c>
      <c r="N350">
        <v>1010</v>
      </c>
      <c r="O350" t="s">
        <v>217</v>
      </c>
      <c r="P350" t="s">
        <v>217</v>
      </c>
      <c r="Q350">
        <v>1</v>
      </c>
      <c r="X350">
        <v>6</v>
      </c>
      <c r="Y350">
        <v>14.99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113</v>
      </c>
      <c r="AG350">
        <v>6</v>
      </c>
      <c r="AH350">
        <v>2</v>
      </c>
      <c r="AI350">
        <v>55937928</v>
      </c>
      <c r="AJ350">
        <v>291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ROW(Source!A240)</f>
        <v>240</v>
      </c>
      <c r="B351">
        <v>55937929</v>
      </c>
      <c r="C351">
        <v>55937918</v>
      </c>
      <c r="D351">
        <v>55466696</v>
      </c>
      <c r="E351">
        <v>1</v>
      </c>
      <c r="F351">
        <v>1</v>
      </c>
      <c r="G351">
        <v>1081</v>
      </c>
      <c r="H351">
        <v>3</v>
      </c>
      <c r="I351" t="s">
        <v>578</v>
      </c>
      <c r="J351" t="s">
        <v>579</v>
      </c>
      <c r="K351" t="s">
        <v>580</v>
      </c>
      <c r="L351">
        <v>1339</v>
      </c>
      <c r="N351">
        <v>1007</v>
      </c>
      <c r="O351" t="s">
        <v>581</v>
      </c>
      <c r="P351" t="s">
        <v>581</v>
      </c>
      <c r="Q351">
        <v>1</v>
      </c>
      <c r="X351">
        <v>2E-3</v>
      </c>
      <c r="Y351">
        <v>439.5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113</v>
      </c>
      <c r="AG351">
        <v>2E-3</v>
      </c>
      <c r="AH351">
        <v>2</v>
      </c>
      <c r="AI351">
        <v>55937929</v>
      </c>
      <c r="AJ351">
        <v>292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ROW(Source!A240)</f>
        <v>240</v>
      </c>
      <c r="B352">
        <v>55937930</v>
      </c>
      <c r="C352">
        <v>55937918</v>
      </c>
      <c r="D352">
        <v>55417165</v>
      </c>
      <c r="E352">
        <v>1081</v>
      </c>
      <c r="F352">
        <v>1</v>
      </c>
      <c r="G352">
        <v>1081</v>
      </c>
      <c r="H352">
        <v>3</v>
      </c>
      <c r="I352" t="s">
        <v>657</v>
      </c>
      <c r="J352" t="s">
        <v>3</v>
      </c>
      <c r="K352" t="s">
        <v>658</v>
      </c>
      <c r="L352">
        <v>1301</v>
      </c>
      <c r="N352">
        <v>1003</v>
      </c>
      <c r="O352" t="s">
        <v>332</v>
      </c>
      <c r="P352" t="s">
        <v>332</v>
      </c>
      <c r="Q352">
        <v>1</v>
      </c>
      <c r="X352">
        <v>103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113</v>
      </c>
      <c r="AG352">
        <v>103</v>
      </c>
      <c r="AH352">
        <v>3</v>
      </c>
      <c r="AI352">
        <v>-1</v>
      </c>
      <c r="AJ352" t="s">
        <v>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ROW(Source!A240)</f>
        <v>240</v>
      </c>
      <c r="B353">
        <v>55937931</v>
      </c>
      <c r="C353">
        <v>55937918</v>
      </c>
      <c r="D353">
        <v>55419803</v>
      </c>
      <c r="E353">
        <v>1081</v>
      </c>
      <c r="F353">
        <v>1</v>
      </c>
      <c r="G353">
        <v>1081</v>
      </c>
      <c r="H353">
        <v>3</v>
      </c>
      <c r="I353" t="s">
        <v>659</v>
      </c>
      <c r="J353" t="s">
        <v>3</v>
      </c>
      <c r="K353" t="s">
        <v>660</v>
      </c>
      <c r="L353">
        <v>1354</v>
      </c>
      <c r="N353">
        <v>1010</v>
      </c>
      <c r="O353" t="s">
        <v>217</v>
      </c>
      <c r="P353" t="s">
        <v>217</v>
      </c>
      <c r="Q353">
        <v>1</v>
      </c>
      <c r="X353">
        <v>16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113</v>
      </c>
      <c r="AG353">
        <v>16</v>
      </c>
      <c r="AH353">
        <v>3</v>
      </c>
      <c r="AI353">
        <v>-1</v>
      </c>
      <c r="AJ353" t="s">
        <v>3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ROW(Source!A240)</f>
        <v>240</v>
      </c>
      <c r="B354">
        <v>55937932</v>
      </c>
      <c r="C354">
        <v>55937918</v>
      </c>
      <c r="D354">
        <v>55432114</v>
      </c>
      <c r="E354">
        <v>1081</v>
      </c>
      <c r="F354">
        <v>1</v>
      </c>
      <c r="G354">
        <v>1081</v>
      </c>
      <c r="H354">
        <v>3</v>
      </c>
      <c r="I354" t="s">
        <v>661</v>
      </c>
      <c r="J354" t="s">
        <v>3</v>
      </c>
      <c r="K354" t="s">
        <v>662</v>
      </c>
      <c r="L354">
        <v>1355</v>
      </c>
      <c r="N354">
        <v>1010</v>
      </c>
      <c r="O354" t="s">
        <v>60</v>
      </c>
      <c r="P354" t="s">
        <v>60</v>
      </c>
      <c r="Q354">
        <v>100</v>
      </c>
      <c r="X354">
        <v>0.25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113</v>
      </c>
      <c r="AG354">
        <v>0.25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ROW(Source!A240)</f>
        <v>240</v>
      </c>
      <c r="B355">
        <v>55937933</v>
      </c>
      <c r="C355">
        <v>55937918</v>
      </c>
      <c r="D355">
        <v>55433466</v>
      </c>
      <c r="E355">
        <v>1081</v>
      </c>
      <c r="F355">
        <v>1</v>
      </c>
      <c r="G355">
        <v>1081</v>
      </c>
      <c r="H355">
        <v>3</v>
      </c>
      <c r="I355" t="s">
        <v>663</v>
      </c>
      <c r="J355" t="s">
        <v>3</v>
      </c>
      <c r="K355" t="s">
        <v>664</v>
      </c>
      <c r="L355">
        <v>1354</v>
      </c>
      <c r="N355">
        <v>1010</v>
      </c>
      <c r="O355" t="s">
        <v>217</v>
      </c>
      <c r="P355" t="s">
        <v>217</v>
      </c>
      <c r="Q355">
        <v>1</v>
      </c>
      <c r="X355">
        <v>8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113</v>
      </c>
      <c r="AG355">
        <v>8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ROW(Source!A240)</f>
        <v>240</v>
      </c>
      <c r="B356">
        <v>55937934</v>
      </c>
      <c r="C356">
        <v>55937918</v>
      </c>
      <c r="D356">
        <v>55434262</v>
      </c>
      <c r="E356">
        <v>1081</v>
      </c>
      <c r="F356">
        <v>1</v>
      </c>
      <c r="G356">
        <v>1081</v>
      </c>
      <c r="H356">
        <v>3</v>
      </c>
      <c r="I356" t="s">
        <v>665</v>
      </c>
      <c r="J356" t="s">
        <v>3</v>
      </c>
      <c r="K356" t="s">
        <v>666</v>
      </c>
      <c r="L356">
        <v>1354</v>
      </c>
      <c r="N356">
        <v>1010</v>
      </c>
      <c r="O356" t="s">
        <v>217</v>
      </c>
      <c r="P356" t="s">
        <v>217</v>
      </c>
      <c r="Q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113</v>
      </c>
      <c r="AG356">
        <v>0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ROW(Source!A241)</f>
        <v>241</v>
      </c>
      <c r="B357">
        <v>55937919</v>
      </c>
      <c r="C357">
        <v>55937918</v>
      </c>
      <c r="D357">
        <v>55424304</v>
      </c>
      <c r="E357">
        <v>1081</v>
      </c>
      <c r="F357">
        <v>1</v>
      </c>
      <c r="G357">
        <v>1081</v>
      </c>
      <c r="H357">
        <v>1</v>
      </c>
      <c r="I357" t="s">
        <v>449</v>
      </c>
      <c r="J357" t="s">
        <v>3</v>
      </c>
      <c r="K357" t="s">
        <v>450</v>
      </c>
      <c r="L357">
        <v>1191</v>
      </c>
      <c r="N357">
        <v>1013</v>
      </c>
      <c r="O357" t="s">
        <v>451</v>
      </c>
      <c r="P357" t="s">
        <v>451</v>
      </c>
      <c r="Q357">
        <v>1</v>
      </c>
      <c r="X357">
        <v>16.5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 t="s">
        <v>114</v>
      </c>
      <c r="AG357">
        <v>19.8</v>
      </c>
      <c r="AH357">
        <v>2</v>
      </c>
      <c r="AI357">
        <v>55937919</v>
      </c>
      <c r="AJ357">
        <v>293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ROW(Source!A241)</f>
        <v>241</v>
      </c>
      <c r="B358">
        <v>55937920</v>
      </c>
      <c r="C358">
        <v>55937918</v>
      </c>
      <c r="D358">
        <v>55489910</v>
      </c>
      <c r="E358">
        <v>1</v>
      </c>
      <c r="F358">
        <v>1</v>
      </c>
      <c r="G358">
        <v>1081</v>
      </c>
      <c r="H358">
        <v>2</v>
      </c>
      <c r="I358" t="s">
        <v>554</v>
      </c>
      <c r="J358" t="s">
        <v>555</v>
      </c>
      <c r="K358" t="s">
        <v>556</v>
      </c>
      <c r="L358">
        <v>1368</v>
      </c>
      <c r="N358">
        <v>1011</v>
      </c>
      <c r="O358" t="s">
        <v>455</v>
      </c>
      <c r="P358" t="s">
        <v>455</v>
      </c>
      <c r="Q358">
        <v>1</v>
      </c>
      <c r="X358">
        <v>3.66</v>
      </c>
      <c r="Y358">
        <v>0</v>
      </c>
      <c r="Z358">
        <v>7.11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114</v>
      </c>
      <c r="AG358">
        <v>4.3920000000000003</v>
      </c>
      <c r="AH358">
        <v>2</v>
      </c>
      <c r="AI358">
        <v>55937920</v>
      </c>
      <c r="AJ358">
        <v>294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ROW(Source!A241)</f>
        <v>241</v>
      </c>
      <c r="B359">
        <v>55937921</v>
      </c>
      <c r="C359">
        <v>55937918</v>
      </c>
      <c r="D359">
        <v>55490209</v>
      </c>
      <c r="E359">
        <v>1</v>
      </c>
      <c r="F359">
        <v>1</v>
      </c>
      <c r="G359">
        <v>1081</v>
      </c>
      <c r="H359">
        <v>2</v>
      </c>
      <c r="I359" t="s">
        <v>489</v>
      </c>
      <c r="J359" t="s">
        <v>490</v>
      </c>
      <c r="K359" t="s">
        <v>491</v>
      </c>
      <c r="L359">
        <v>1368</v>
      </c>
      <c r="N359">
        <v>1011</v>
      </c>
      <c r="O359" t="s">
        <v>455</v>
      </c>
      <c r="P359" t="s">
        <v>455</v>
      </c>
      <c r="Q359">
        <v>1</v>
      </c>
      <c r="X359">
        <v>0.43</v>
      </c>
      <c r="Y359">
        <v>0</v>
      </c>
      <c r="Z359">
        <v>83.1</v>
      </c>
      <c r="AA359">
        <v>12.62</v>
      </c>
      <c r="AB359">
        <v>0</v>
      </c>
      <c r="AC359">
        <v>0</v>
      </c>
      <c r="AD359">
        <v>1</v>
      </c>
      <c r="AE359">
        <v>0</v>
      </c>
      <c r="AF359" t="s">
        <v>114</v>
      </c>
      <c r="AG359">
        <v>0.51600000000000001</v>
      </c>
      <c r="AH359">
        <v>2</v>
      </c>
      <c r="AI359">
        <v>55937921</v>
      </c>
      <c r="AJ359">
        <v>295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ROW(Source!A241)</f>
        <v>241</v>
      </c>
      <c r="B360">
        <v>55937922</v>
      </c>
      <c r="C360">
        <v>55937918</v>
      </c>
      <c r="D360">
        <v>55460380</v>
      </c>
      <c r="E360">
        <v>1</v>
      </c>
      <c r="F360">
        <v>1</v>
      </c>
      <c r="G360">
        <v>1081</v>
      </c>
      <c r="H360">
        <v>3</v>
      </c>
      <c r="I360" t="s">
        <v>557</v>
      </c>
      <c r="J360" t="s">
        <v>558</v>
      </c>
      <c r="K360" t="s">
        <v>559</v>
      </c>
      <c r="L360">
        <v>1348</v>
      </c>
      <c r="N360">
        <v>1009</v>
      </c>
      <c r="O360" t="s">
        <v>287</v>
      </c>
      <c r="P360" t="s">
        <v>287</v>
      </c>
      <c r="Q360">
        <v>1000</v>
      </c>
      <c r="X360">
        <v>1.0499999999999999E-3</v>
      </c>
      <c r="Y360">
        <v>8590.86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113</v>
      </c>
      <c r="AG360">
        <v>1.0499999999999999E-3</v>
      </c>
      <c r="AH360">
        <v>2</v>
      </c>
      <c r="AI360">
        <v>55937922</v>
      </c>
      <c r="AJ360">
        <v>296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ROW(Source!A241)</f>
        <v>241</v>
      </c>
      <c r="B361">
        <v>55937923</v>
      </c>
      <c r="C361">
        <v>55937918</v>
      </c>
      <c r="D361">
        <v>55459339</v>
      </c>
      <c r="E361">
        <v>1</v>
      </c>
      <c r="F361">
        <v>1</v>
      </c>
      <c r="G361">
        <v>1081</v>
      </c>
      <c r="H361">
        <v>3</v>
      </c>
      <c r="I361" t="s">
        <v>560</v>
      </c>
      <c r="J361" t="s">
        <v>561</v>
      </c>
      <c r="K361" t="s">
        <v>562</v>
      </c>
      <c r="L361">
        <v>1354</v>
      </c>
      <c r="N361">
        <v>1010</v>
      </c>
      <c r="O361" t="s">
        <v>217</v>
      </c>
      <c r="P361" t="s">
        <v>217</v>
      </c>
      <c r="Q361">
        <v>1</v>
      </c>
      <c r="X361">
        <v>122</v>
      </c>
      <c r="Y361">
        <v>3.86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 t="s">
        <v>113</v>
      </c>
      <c r="AG361">
        <v>122</v>
      </c>
      <c r="AH361">
        <v>2</v>
      </c>
      <c r="AI361">
        <v>55937923</v>
      </c>
      <c r="AJ361">
        <v>297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ROW(Source!A241)</f>
        <v>241</v>
      </c>
      <c r="B362">
        <v>55937924</v>
      </c>
      <c r="C362">
        <v>55937918</v>
      </c>
      <c r="D362">
        <v>55461705</v>
      </c>
      <c r="E362">
        <v>1</v>
      </c>
      <c r="F362">
        <v>1</v>
      </c>
      <c r="G362">
        <v>1081</v>
      </c>
      <c r="H362">
        <v>3</v>
      </c>
      <c r="I362" t="s">
        <v>563</v>
      </c>
      <c r="J362" t="s">
        <v>564</v>
      </c>
      <c r="K362" t="s">
        <v>565</v>
      </c>
      <c r="L362">
        <v>1346</v>
      </c>
      <c r="N362">
        <v>1009</v>
      </c>
      <c r="O362" t="s">
        <v>311</v>
      </c>
      <c r="P362" t="s">
        <v>311</v>
      </c>
      <c r="Q362">
        <v>1</v>
      </c>
      <c r="X362">
        <v>0.03</v>
      </c>
      <c r="Y362">
        <v>520.51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 t="s">
        <v>113</v>
      </c>
      <c r="AG362">
        <v>0.03</v>
      </c>
      <c r="AH362">
        <v>2</v>
      </c>
      <c r="AI362">
        <v>55937924</v>
      </c>
      <c r="AJ362">
        <v>298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ROW(Source!A241)</f>
        <v>241</v>
      </c>
      <c r="B363">
        <v>55937925</v>
      </c>
      <c r="C363">
        <v>55937918</v>
      </c>
      <c r="D363">
        <v>55459815</v>
      </c>
      <c r="E363">
        <v>1</v>
      </c>
      <c r="F363">
        <v>1</v>
      </c>
      <c r="G363">
        <v>1081</v>
      </c>
      <c r="H363">
        <v>3</v>
      </c>
      <c r="I363" t="s">
        <v>566</v>
      </c>
      <c r="J363" t="s">
        <v>567</v>
      </c>
      <c r="K363" t="s">
        <v>568</v>
      </c>
      <c r="L363">
        <v>1348</v>
      </c>
      <c r="N363">
        <v>1009</v>
      </c>
      <c r="O363" t="s">
        <v>287</v>
      </c>
      <c r="P363" t="s">
        <v>287</v>
      </c>
      <c r="Q363">
        <v>1000</v>
      </c>
      <c r="X363">
        <v>2.0999999999999999E-3</v>
      </c>
      <c r="Y363">
        <v>7973.67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113</v>
      </c>
      <c r="AG363">
        <v>2.0999999999999999E-3</v>
      </c>
      <c r="AH363">
        <v>2</v>
      </c>
      <c r="AI363">
        <v>55937925</v>
      </c>
      <c r="AJ363">
        <v>299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ROW(Source!A241)</f>
        <v>241</v>
      </c>
      <c r="B364">
        <v>55937926</v>
      </c>
      <c r="C364">
        <v>55937918</v>
      </c>
      <c r="D364">
        <v>55482523</v>
      </c>
      <c r="E364">
        <v>1</v>
      </c>
      <c r="F364">
        <v>1</v>
      </c>
      <c r="G364">
        <v>1081</v>
      </c>
      <c r="H364">
        <v>3</v>
      </c>
      <c r="I364" t="s">
        <v>569</v>
      </c>
      <c r="J364" t="s">
        <v>570</v>
      </c>
      <c r="K364" t="s">
        <v>571</v>
      </c>
      <c r="L364">
        <v>1358</v>
      </c>
      <c r="N364">
        <v>1010</v>
      </c>
      <c r="O364" t="s">
        <v>75</v>
      </c>
      <c r="P364" t="s">
        <v>75</v>
      </c>
      <c r="Q364">
        <v>10</v>
      </c>
      <c r="X364">
        <v>1.02</v>
      </c>
      <c r="Y364">
        <v>5.46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113</v>
      </c>
      <c r="AG364">
        <v>1.02</v>
      </c>
      <c r="AH364">
        <v>2</v>
      </c>
      <c r="AI364">
        <v>55937926</v>
      </c>
      <c r="AJ364">
        <v>301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ROW(Source!A241)</f>
        <v>241</v>
      </c>
      <c r="B365">
        <v>55937927</v>
      </c>
      <c r="C365">
        <v>55937918</v>
      </c>
      <c r="D365">
        <v>55482601</v>
      </c>
      <c r="E365">
        <v>1</v>
      </c>
      <c r="F365">
        <v>1</v>
      </c>
      <c r="G365">
        <v>1081</v>
      </c>
      <c r="H365">
        <v>3</v>
      </c>
      <c r="I365" t="s">
        <v>572</v>
      </c>
      <c r="J365" t="s">
        <v>573</v>
      </c>
      <c r="K365" t="s">
        <v>574</v>
      </c>
      <c r="L365">
        <v>1354</v>
      </c>
      <c r="N365">
        <v>1010</v>
      </c>
      <c r="O365" t="s">
        <v>217</v>
      </c>
      <c r="P365" t="s">
        <v>217</v>
      </c>
      <c r="Q365">
        <v>1</v>
      </c>
      <c r="X365">
        <v>6</v>
      </c>
      <c r="Y365">
        <v>180.02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113</v>
      </c>
      <c r="AG365">
        <v>6</v>
      </c>
      <c r="AH365">
        <v>2</v>
      </c>
      <c r="AI365">
        <v>55937927</v>
      </c>
      <c r="AJ365">
        <v>302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ROW(Source!A241)</f>
        <v>241</v>
      </c>
      <c r="B366">
        <v>55937928</v>
      </c>
      <c r="C366">
        <v>55937918</v>
      </c>
      <c r="D366">
        <v>55482617</v>
      </c>
      <c r="E366">
        <v>1</v>
      </c>
      <c r="F366">
        <v>1</v>
      </c>
      <c r="G366">
        <v>1081</v>
      </c>
      <c r="H366">
        <v>3</v>
      </c>
      <c r="I366" t="s">
        <v>575</v>
      </c>
      <c r="J366" t="s">
        <v>576</v>
      </c>
      <c r="K366" t="s">
        <v>577</v>
      </c>
      <c r="L366">
        <v>1354</v>
      </c>
      <c r="N366">
        <v>1010</v>
      </c>
      <c r="O366" t="s">
        <v>217</v>
      </c>
      <c r="P366" t="s">
        <v>217</v>
      </c>
      <c r="Q366">
        <v>1</v>
      </c>
      <c r="X366">
        <v>6</v>
      </c>
      <c r="Y366">
        <v>14.99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113</v>
      </c>
      <c r="AG366">
        <v>6</v>
      </c>
      <c r="AH366">
        <v>2</v>
      </c>
      <c r="AI366">
        <v>55937928</v>
      </c>
      <c r="AJ366">
        <v>303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ROW(Source!A241)</f>
        <v>241</v>
      </c>
      <c r="B367">
        <v>55937929</v>
      </c>
      <c r="C367">
        <v>55937918</v>
      </c>
      <c r="D367">
        <v>55466696</v>
      </c>
      <c r="E367">
        <v>1</v>
      </c>
      <c r="F367">
        <v>1</v>
      </c>
      <c r="G367">
        <v>1081</v>
      </c>
      <c r="H367">
        <v>3</v>
      </c>
      <c r="I367" t="s">
        <v>578</v>
      </c>
      <c r="J367" t="s">
        <v>579</v>
      </c>
      <c r="K367" t="s">
        <v>580</v>
      </c>
      <c r="L367">
        <v>1339</v>
      </c>
      <c r="N367">
        <v>1007</v>
      </c>
      <c r="O367" t="s">
        <v>581</v>
      </c>
      <c r="P367" t="s">
        <v>581</v>
      </c>
      <c r="Q367">
        <v>1</v>
      </c>
      <c r="X367">
        <v>2E-3</v>
      </c>
      <c r="Y367">
        <v>439.5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113</v>
      </c>
      <c r="AG367">
        <v>2E-3</v>
      </c>
      <c r="AH367">
        <v>2</v>
      </c>
      <c r="AI367">
        <v>55937929</v>
      </c>
      <c r="AJ367">
        <v>304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ROW(Source!A241)</f>
        <v>241</v>
      </c>
      <c r="B368">
        <v>55937930</v>
      </c>
      <c r="C368">
        <v>55937918</v>
      </c>
      <c r="D368">
        <v>55417165</v>
      </c>
      <c r="E368">
        <v>1081</v>
      </c>
      <c r="F368">
        <v>1</v>
      </c>
      <c r="G368">
        <v>1081</v>
      </c>
      <c r="H368">
        <v>3</v>
      </c>
      <c r="I368" t="s">
        <v>657</v>
      </c>
      <c r="J368" t="s">
        <v>3</v>
      </c>
      <c r="K368" t="s">
        <v>658</v>
      </c>
      <c r="L368">
        <v>1301</v>
      </c>
      <c r="N368">
        <v>1003</v>
      </c>
      <c r="O368" t="s">
        <v>332</v>
      </c>
      <c r="P368" t="s">
        <v>332</v>
      </c>
      <c r="Q368">
        <v>1</v>
      </c>
      <c r="X368">
        <v>103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113</v>
      </c>
      <c r="AG368">
        <v>103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ROW(Source!A241)</f>
        <v>241</v>
      </c>
      <c r="B369">
        <v>55937931</v>
      </c>
      <c r="C369">
        <v>55937918</v>
      </c>
      <c r="D369">
        <v>55419803</v>
      </c>
      <c r="E369">
        <v>1081</v>
      </c>
      <c r="F369">
        <v>1</v>
      </c>
      <c r="G369">
        <v>1081</v>
      </c>
      <c r="H369">
        <v>3</v>
      </c>
      <c r="I369" t="s">
        <v>659</v>
      </c>
      <c r="J369" t="s">
        <v>3</v>
      </c>
      <c r="K369" t="s">
        <v>660</v>
      </c>
      <c r="L369">
        <v>1354</v>
      </c>
      <c r="N369">
        <v>1010</v>
      </c>
      <c r="O369" t="s">
        <v>217</v>
      </c>
      <c r="P369" t="s">
        <v>217</v>
      </c>
      <c r="Q369">
        <v>1</v>
      </c>
      <c r="X369">
        <v>16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113</v>
      </c>
      <c r="AG369">
        <v>16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ROW(Source!A241)</f>
        <v>241</v>
      </c>
      <c r="B370">
        <v>55937932</v>
      </c>
      <c r="C370">
        <v>55937918</v>
      </c>
      <c r="D370">
        <v>55432114</v>
      </c>
      <c r="E370">
        <v>1081</v>
      </c>
      <c r="F370">
        <v>1</v>
      </c>
      <c r="G370">
        <v>1081</v>
      </c>
      <c r="H370">
        <v>3</v>
      </c>
      <c r="I370" t="s">
        <v>661</v>
      </c>
      <c r="J370" t="s">
        <v>3</v>
      </c>
      <c r="K370" t="s">
        <v>662</v>
      </c>
      <c r="L370">
        <v>1355</v>
      </c>
      <c r="N370">
        <v>1010</v>
      </c>
      <c r="O370" t="s">
        <v>60</v>
      </c>
      <c r="P370" t="s">
        <v>60</v>
      </c>
      <c r="Q370">
        <v>100</v>
      </c>
      <c r="X370">
        <v>0.25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113</v>
      </c>
      <c r="AG370">
        <v>0.25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ROW(Source!A241)</f>
        <v>241</v>
      </c>
      <c r="B371">
        <v>55937933</v>
      </c>
      <c r="C371">
        <v>55937918</v>
      </c>
      <c r="D371">
        <v>55433466</v>
      </c>
      <c r="E371">
        <v>1081</v>
      </c>
      <c r="F371">
        <v>1</v>
      </c>
      <c r="G371">
        <v>1081</v>
      </c>
      <c r="H371">
        <v>3</v>
      </c>
      <c r="I371" t="s">
        <v>663</v>
      </c>
      <c r="J371" t="s">
        <v>3</v>
      </c>
      <c r="K371" t="s">
        <v>664</v>
      </c>
      <c r="L371">
        <v>1354</v>
      </c>
      <c r="N371">
        <v>1010</v>
      </c>
      <c r="O371" t="s">
        <v>217</v>
      </c>
      <c r="P371" t="s">
        <v>217</v>
      </c>
      <c r="Q371">
        <v>1</v>
      </c>
      <c r="X371">
        <v>8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113</v>
      </c>
      <c r="AG371">
        <v>8</v>
      </c>
      <c r="AH371">
        <v>3</v>
      </c>
      <c r="AI371">
        <v>-1</v>
      </c>
      <c r="AJ371" t="s">
        <v>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ROW(Source!A241)</f>
        <v>241</v>
      </c>
      <c r="B372">
        <v>55937934</v>
      </c>
      <c r="C372">
        <v>55937918</v>
      </c>
      <c r="D372">
        <v>55434262</v>
      </c>
      <c r="E372">
        <v>1081</v>
      </c>
      <c r="F372">
        <v>1</v>
      </c>
      <c r="G372">
        <v>1081</v>
      </c>
      <c r="H372">
        <v>3</v>
      </c>
      <c r="I372" t="s">
        <v>665</v>
      </c>
      <c r="J372" t="s">
        <v>3</v>
      </c>
      <c r="K372" t="s">
        <v>666</v>
      </c>
      <c r="L372">
        <v>1354</v>
      </c>
      <c r="N372">
        <v>1010</v>
      </c>
      <c r="O372" t="s">
        <v>217</v>
      </c>
      <c r="P372" t="s">
        <v>217</v>
      </c>
      <c r="Q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113</v>
      </c>
      <c r="AG372">
        <v>0</v>
      </c>
      <c r="AH372">
        <v>3</v>
      </c>
      <c r="AI372">
        <v>-1</v>
      </c>
      <c r="AJ372" t="s">
        <v>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ROW(Source!A244)</f>
        <v>244</v>
      </c>
      <c r="B373">
        <v>55937955</v>
      </c>
      <c r="C373">
        <v>55937954</v>
      </c>
      <c r="D373">
        <v>55424304</v>
      </c>
      <c r="E373">
        <v>1081</v>
      </c>
      <c r="F373">
        <v>1</v>
      </c>
      <c r="G373">
        <v>1081</v>
      </c>
      <c r="H373">
        <v>1</v>
      </c>
      <c r="I373" t="s">
        <v>449</v>
      </c>
      <c r="J373" t="s">
        <v>3</v>
      </c>
      <c r="K373" t="s">
        <v>450</v>
      </c>
      <c r="L373">
        <v>1191</v>
      </c>
      <c r="N373">
        <v>1013</v>
      </c>
      <c r="O373" t="s">
        <v>451</v>
      </c>
      <c r="P373" t="s">
        <v>451</v>
      </c>
      <c r="Q373">
        <v>1</v>
      </c>
      <c r="X373">
        <v>4.49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1</v>
      </c>
      <c r="AF373" t="s">
        <v>114</v>
      </c>
      <c r="AG373">
        <v>5.3879999999999999</v>
      </c>
      <c r="AH373">
        <v>2</v>
      </c>
      <c r="AI373">
        <v>55937955</v>
      </c>
      <c r="AJ373">
        <v>305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ROW(Source!A244)</f>
        <v>244</v>
      </c>
      <c r="B374">
        <v>55937956</v>
      </c>
      <c r="C374">
        <v>55937954</v>
      </c>
      <c r="D374">
        <v>55490209</v>
      </c>
      <c r="E374">
        <v>1</v>
      </c>
      <c r="F374">
        <v>1</v>
      </c>
      <c r="G374">
        <v>1081</v>
      </c>
      <c r="H374">
        <v>2</v>
      </c>
      <c r="I374" t="s">
        <v>489</v>
      </c>
      <c r="J374" t="s">
        <v>490</v>
      </c>
      <c r="K374" t="s">
        <v>491</v>
      </c>
      <c r="L374">
        <v>1368</v>
      </c>
      <c r="N374">
        <v>1011</v>
      </c>
      <c r="O374" t="s">
        <v>455</v>
      </c>
      <c r="P374" t="s">
        <v>455</v>
      </c>
      <c r="Q374">
        <v>1</v>
      </c>
      <c r="X374">
        <v>0.01</v>
      </c>
      <c r="Y374">
        <v>0</v>
      </c>
      <c r="Z374">
        <v>83.1</v>
      </c>
      <c r="AA374">
        <v>12.62</v>
      </c>
      <c r="AB374">
        <v>0</v>
      </c>
      <c r="AC374">
        <v>0</v>
      </c>
      <c r="AD374">
        <v>1</v>
      </c>
      <c r="AE374">
        <v>0</v>
      </c>
      <c r="AF374" t="s">
        <v>114</v>
      </c>
      <c r="AG374">
        <v>1.2E-2</v>
      </c>
      <c r="AH374">
        <v>2</v>
      </c>
      <c r="AI374">
        <v>55937956</v>
      </c>
      <c r="AJ374">
        <v>306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ROW(Source!A244)</f>
        <v>244</v>
      </c>
      <c r="B375">
        <v>55937957</v>
      </c>
      <c r="C375">
        <v>55937954</v>
      </c>
      <c r="D375">
        <v>55489443</v>
      </c>
      <c r="E375">
        <v>1</v>
      </c>
      <c r="F375">
        <v>1</v>
      </c>
      <c r="G375">
        <v>1081</v>
      </c>
      <c r="H375">
        <v>2</v>
      </c>
      <c r="I375" t="s">
        <v>582</v>
      </c>
      <c r="J375" t="s">
        <v>583</v>
      </c>
      <c r="K375" t="s">
        <v>584</v>
      </c>
      <c r="L375">
        <v>1368</v>
      </c>
      <c r="N375">
        <v>1011</v>
      </c>
      <c r="O375" t="s">
        <v>455</v>
      </c>
      <c r="P375" t="s">
        <v>455</v>
      </c>
      <c r="Q375">
        <v>1</v>
      </c>
      <c r="X375">
        <v>0.01</v>
      </c>
      <c r="Y375">
        <v>0</v>
      </c>
      <c r="Z375">
        <v>179.17</v>
      </c>
      <c r="AA375">
        <v>16.93</v>
      </c>
      <c r="AB375">
        <v>0</v>
      </c>
      <c r="AC375">
        <v>0</v>
      </c>
      <c r="AD375">
        <v>1</v>
      </c>
      <c r="AE375">
        <v>0</v>
      </c>
      <c r="AF375" t="s">
        <v>114</v>
      </c>
      <c r="AG375">
        <v>1.2E-2</v>
      </c>
      <c r="AH375">
        <v>2</v>
      </c>
      <c r="AI375">
        <v>55937957</v>
      </c>
      <c r="AJ375">
        <v>307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ROW(Source!A244)</f>
        <v>244</v>
      </c>
      <c r="B376">
        <v>55937958</v>
      </c>
      <c r="C376">
        <v>55937954</v>
      </c>
      <c r="D376">
        <v>55460033</v>
      </c>
      <c r="E376">
        <v>1</v>
      </c>
      <c r="F376">
        <v>1</v>
      </c>
      <c r="G376">
        <v>1081</v>
      </c>
      <c r="H376">
        <v>3</v>
      </c>
      <c r="I376" t="s">
        <v>585</v>
      </c>
      <c r="J376" t="s">
        <v>586</v>
      </c>
      <c r="K376" t="s">
        <v>587</v>
      </c>
      <c r="L376">
        <v>1346</v>
      </c>
      <c r="N376">
        <v>1009</v>
      </c>
      <c r="O376" t="s">
        <v>311</v>
      </c>
      <c r="P376" t="s">
        <v>311</v>
      </c>
      <c r="Q376">
        <v>1</v>
      </c>
      <c r="X376">
        <v>0.43</v>
      </c>
      <c r="Y376">
        <v>1.38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113</v>
      </c>
      <c r="AG376">
        <v>0.43</v>
      </c>
      <c r="AH376">
        <v>2</v>
      </c>
      <c r="AI376">
        <v>55937958</v>
      </c>
      <c r="AJ376">
        <v>308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ROW(Source!A244)</f>
        <v>244</v>
      </c>
      <c r="B377">
        <v>55937959</v>
      </c>
      <c r="C377">
        <v>55937954</v>
      </c>
      <c r="D377">
        <v>55460424</v>
      </c>
      <c r="E377">
        <v>1</v>
      </c>
      <c r="F377">
        <v>1</v>
      </c>
      <c r="G377">
        <v>1081</v>
      </c>
      <c r="H377">
        <v>3</v>
      </c>
      <c r="I377" t="s">
        <v>496</v>
      </c>
      <c r="J377" t="s">
        <v>497</v>
      </c>
      <c r="K377" t="s">
        <v>498</v>
      </c>
      <c r="L377">
        <v>1346</v>
      </c>
      <c r="N377">
        <v>1009</v>
      </c>
      <c r="O377" t="s">
        <v>311</v>
      </c>
      <c r="P377" t="s">
        <v>311</v>
      </c>
      <c r="Q377">
        <v>1</v>
      </c>
      <c r="X377">
        <v>0.16</v>
      </c>
      <c r="Y377">
        <v>159.06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113</v>
      </c>
      <c r="AG377">
        <v>0.16</v>
      </c>
      <c r="AH377">
        <v>2</v>
      </c>
      <c r="AI377">
        <v>55937959</v>
      </c>
      <c r="AJ377">
        <v>309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ROW(Source!A244)</f>
        <v>244</v>
      </c>
      <c r="B378">
        <v>55937960</v>
      </c>
      <c r="C378">
        <v>55937954</v>
      </c>
      <c r="D378">
        <v>55482505</v>
      </c>
      <c r="E378">
        <v>1</v>
      </c>
      <c r="F378">
        <v>1</v>
      </c>
      <c r="G378">
        <v>1081</v>
      </c>
      <c r="H378">
        <v>3</v>
      </c>
      <c r="I378" t="s">
        <v>588</v>
      </c>
      <c r="J378" t="s">
        <v>589</v>
      </c>
      <c r="K378" t="s">
        <v>590</v>
      </c>
      <c r="L378">
        <v>1355</v>
      </c>
      <c r="N378">
        <v>1010</v>
      </c>
      <c r="O378" t="s">
        <v>60</v>
      </c>
      <c r="P378" t="s">
        <v>60</v>
      </c>
      <c r="Q378">
        <v>100</v>
      </c>
      <c r="X378">
        <v>0.05</v>
      </c>
      <c r="Y378">
        <v>68.819999999999993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113</v>
      </c>
      <c r="AG378">
        <v>0.05</v>
      </c>
      <c r="AH378">
        <v>2</v>
      </c>
      <c r="AI378">
        <v>55937960</v>
      </c>
      <c r="AJ378">
        <v>310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ROW(Source!A244)</f>
        <v>244</v>
      </c>
      <c r="B379">
        <v>55937961</v>
      </c>
      <c r="C379">
        <v>55937954</v>
      </c>
      <c r="D379">
        <v>55482516</v>
      </c>
      <c r="E379">
        <v>1</v>
      </c>
      <c r="F379">
        <v>1</v>
      </c>
      <c r="G379">
        <v>1081</v>
      </c>
      <c r="H379">
        <v>3</v>
      </c>
      <c r="I379" t="s">
        <v>591</v>
      </c>
      <c r="J379" t="s">
        <v>592</v>
      </c>
      <c r="K379" t="s">
        <v>593</v>
      </c>
      <c r="L379">
        <v>1356</v>
      </c>
      <c r="N379">
        <v>1010</v>
      </c>
      <c r="O379" t="s">
        <v>353</v>
      </c>
      <c r="P379" t="s">
        <v>353</v>
      </c>
      <c r="Q379">
        <v>1000</v>
      </c>
      <c r="X379">
        <v>1.2200000000000001E-2</v>
      </c>
      <c r="Y379">
        <v>183.4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 t="s">
        <v>113</v>
      </c>
      <c r="AG379">
        <v>1.2200000000000001E-2</v>
      </c>
      <c r="AH379">
        <v>2</v>
      </c>
      <c r="AI379">
        <v>55937961</v>
      </c>
      <c r="AJ379">
        <v>311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ROW(Source!A244)</f>
        <v>244</v>
      </c>
      <c r="B380">
        <v>55937962</v>
      </c>
      <c r="C380">
        <v>55937954</v>
      </c>
      <c r="D380">
        <v>55481842</v>
      </c>
      <c r="E380">
        <v>1</v>
      </c>
      <c r="F380">
        <v>1</v>
      </c>
      <c r="G380">
        <v>1081</v>
      </c>
      <c r="H380">
        <v>3</v>
      </c>
      <c r="I380" t="s">
        <v>594</v>
      </c>
      <c r="J380" t="s">
        <v>595</v>
      </c>
      <c r="K380" t="s">
        <v>596</v>
      </c>
      <c r="L380">
        <v>1354</v>
      </c>
      <c r="N380">
        <v>1010</v>
      </c>
      <c r="O380" t="s">
        <v>217</v>
      </c>
      <c r="P380" t="s">
        <v>217</v>
      </c>
      <c r="Q380">
        <v>1</v>
      </c>
      <c r="X380">
        <v>3.1</v>
      </c>
      <c r="Y380">
        <v>6.94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113</v>
      </c>
      <c r="AG380">
        <v>3.1</v>
      </c>
      <c r="AH380">
        <v>2</v>
      </c>
      <c r="AI380">
        <v>55937962</v>
      </c>
      <c r="AJ380">
        <v>312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ROW(Source!A244)</f>
        <v>244</v>
      </c>
      <c r="B381">
        <v>55937963</v>
      </c>
      <c r="C381">
        <v>55937954</v>
      </c>
      <c r="D381">
        <v>55481849</v>
      </c>
      <c r="E381">
        <v>1</v>
      </c>
      <c r="F381">
        <v>1</v>
      </c>
      <c r="G381">
        <v>1081</v>
      </c>
      <c r="H381">
        <v>3</v>
      </c>
      <c r="I381" t="s">
        <v>597</v>
      </c>
      <c r="J381" t="s">
        <v>598</v>
      </c>
      <c r="K381" t="s">
        <v>599</v>
      </c>
      <c r="L381">
        <v>1356</v>
      </c>
      <c r="N381">
        <v>1010</v>
      </c>
      <c r="O381" t="s">
        <v>353</v>
      </c>
      <c r="P381" t="s">
        <v>353</v>
      </c>
      <c r="Q381">
        <v>1000</v>
      </c>
      <c r="X381">
        <v>8.0000000000000002E-3</v>
      </c>
      <c r="Y381">
        <v>614.09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113</v>
      </c>
      <c r="AG381">
        <v>8.0000000000000002E-3</v>
      </c>
      <c r="AH381">
        <v>2</v>
      </c>
      <c r="AI381">
        <v>55937963</v>
      </c>
      <c r="AJ381">
        <v>313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ROW(Source!A244)</f>
        <v>244</v>
      </c>
      <c r="B382">
        <v>55937964</v>
      </c>
      <c r="C382">
        <v>55937954</v>
      </c>
      <c r="D382">
        <v>55434508</v>
      </c>
      <c r="E382">
        <v>1081</v>
      </c>
      <c r="F382">
        <v>1</v>
      </c>
      <c r="G382">
        <v>1081</v>
      </c>
      <c r="H382">
        <v>3</v>
      </c>
      <c r="I382" t="s">
        <v>667</v>
      </c>
      <c r="J382" t="s">
        <v>3</v>
      </c>
      <c r="K382" t="s">
        <v>668</v>
      </c>
      <c r="L382">
        <v>1303</v>
      </c>
      <c r="N382">
        <v>1003</v>
      </c>
      <c r="O382" t="s">
        <v>337</v>
      </c>
      <c r="P382" t="s">
        <v>337</v>
      </c>
      <c r="Q382">
        <v>1000</v>
      </c>
      <c r="X382">
        <v>0.10299999999999999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113</v>
      </c>
      <c r="AG382">
        <v>0.10299999999999999</v>
      </c>
      <c r="AH382">
        <v>3</v>
      </c>
      <c r="AI382">
        <v>-1</v>
      </c>
      <c r="AJ382" t="s">
        <v>3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ROW(Source!A245)</f>
        <v>245</v>
      </c>
      <c r="B383">
        <v>55937955</v>
      </c>
      <c r="C383">
        <v>55937954</v>
      </c>
      <c r="D383">
        <v>55424304</v>
      </c>
      <c r="E383">
        <v>1081</v>
      </c>
      <c r="F383">
        <v>1</v>
      </c>
      <c r="G383">
        <v>1081</v>
      </c>
      <c r="H383">
        <v>1</v>
      </c>
      <c r="I383" t="s">
        <v>449</v>
      </c>
      <c r="J383" t="s">
        <v>3</v>
      </c>
      <c r="K383" t="s">
        <v>450</v>
      </c>
      <c r="L383">
        <v>1191</v>
      </c>
      <c r="N383">
        <v>1013</v>
      </c>
      <c r="O383" t="s">
        <v>451</v>
      </c>
      <c r="P383" t="s">
        <v>451</v>
      </c>
      <c r="Q383">
        <v>1</v>
      </c>
      <c r="X383">
        <v>4.49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1</v>
      </c>
      <c r="AF383" t="s">
        <v>114</v>
      </c>
      <c r="AG383">
        <v>5.3879999999999999</v>
      </c>
      <c r="AH383">
        <v>2</v>
      </c>
      <c r="AI383">
        <v>55937955</v>
      </c>
      <c r="AJ383">
        <v>314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ROW(Source!A245)</f>
        <v>245</v>
      </c>
      <c r="B384">
        <v>55937956</v>
      </c>
      <c r="C384">
        <v>55937954</v>
      </c>
      <c r="D384">
        <v>55490209</v>
      </c>
      <c r="E384">
        <v>1</v>
      </c>
      <c r="F384">
        <v>1</v>
      </c>
      <c r="G384">
        <v>1081</v>
      </c>
      <c r="H384">
        <v>2</v>
      </c>
      <c r="I384" t="s">
        <v>489</v>
      </c>
      <c r="J384" t="s">
        <v>490</v>
      </c>
      <c r="K384" t="s">
        <v>491</v>
      </c>
      <c r="L384">
        <v>1368</v>
      </c>
      <c r="N384">
        <v>1011</v>
      </c>
      <c r="O384" t="s">
        <v>455</v>
      </c>
      <c r="P384" t="s">
        <v>455</v>
      </c>
      <c r="Q384">
        <v>1</v>
      </c>
      <c r="X384">
        <v>0.01</v>
      </c>
      <c r="Y384">
        <v>0</v>
      </c>
      <c r="Z384">
        <v>83.1</v>
      </c>
      <c r="AA384">
        <v>12.62</v>
      </c>
      <c r="AB384">
        <v>0</v>
      </c>
      <c r="AC384">
        <v>0</v>
      </c>
      <c r="AD384">
        <v>1</v>
      </c>
      <c r="AE384">
        <v>0</v>
      </c>
      <c r="AF384" t="s">
        <v>114</v>
      </c>
      <c r="AG384">
        <v>1.2E-2</v>
      </c>
      <c r="AH384">
        <v>2</v>
      </c>
      <c r="AI384">
        <v>55937956</v>
      </c>
      <c r="AJ384">
        <v>315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ROW(Source!A245)</f>
        <v>245</v>
      </c>
      <c r="B385">
        <v>55937957</v>
      </c>
      <c r="C385">
        <v>55937954</v>
      </c>
      <c r="D385">
        <v>55489443</v>
      </c>
      <c r="E385">
        <v>1</v>
      </c>
      <c r="F385">
        <v>1</v>
      </c>
      <c r="G385">
        <v>1081</v>
      </c>
      <c r="H385">
        <v>2</v>
      </c>
      <c r="I385" t="s">
        <v>582</v>
      </c>
      <c r="J385" t="s">
        <v>583</v>
      </c>
      <c r="K385" t="s">
        <v>584</v>
      </c>
      <c r="L385">
        <v>1368</v>
      </c>
      <c r="N385">
        <v>1011</v>
      </c>
      <c r="O385" t="s">
        <v>455</v>
      </c>
      <c r="P385" t="s">
        <v>455</v>
      </c>
      <c r="Q385">
        <v>1</v>
      </c>
      <c r="X385">
        <v>0.01</v>
      </c>
      <c r="Y385">
        <v>0</v>
      </c>
      <c r="Z385">
        <v>179.17</v>
      </c>
      <c r="AA385">
        <v>16.93</v>
      </c>
      <c r="AB385">
        <v>0</v>
      </c>
      <c r="AC385">
        <v>0</v>
      </c>
      <c r="AD385">
        <v>1</v>
      </c>
      <c r="AE385">
        <v>0</v>
      </c>
      <c r="AF385" t="s">
        <v>114</v>
      </c>
      <c r="AG385">
        <v>1.2E-2</v>
      </c>
      <c r="AH385">
        <v>2</v>
      </c>
      <c r="AI385">
        <v>55937957</v>
      </c>
      <c r="AJ385">
        <v>316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ROW(Source!A245)</f>
        <v>245</v>
      </c>
      <c r="B386">
        <v>55937958</v>
      </c>
      <c r="C386">
        <v>55937954</v>
      </c>
      <c r="D386">
        <v>55460033</v>
      </c>
      <c r="E386">
        <v>1</v>
      </c>
      <c r="F386">
        <v>1</v>
      </c>
      <c r="G386">
        <v>1081</v>
      </c>
      <c r="H386">
        <v>3</v>
      </c>
      <c r="I386" t="s">
        <v>585</v>
      </c>
      <c r="J386" t="s">
        <v>586</v>
      </c>
      <c r="K386" t="s">
        <v>587</v>
      </c>
      <c r="L386">
        <v>1346</v>
      </c>
      <c r="N386">
        <v>1009</v>
      </c>
      <c r="O386" t="s">
        <v>311</v>
      </c>
      <c r="P386" t="s">
        <v>311</v>
      </c>
      <c r="Q386">
        <v>1</v>
      </c>
      <c r="X386">
        <v>0.43</v>
      </c>
      <c r="Y386">
        <v>1.38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113</v>
      </c>
      <c r="AG386">
        <v>0.43</v>
      </c>
      <c r="AH386">
        <v>2</v>
      </c>
      <c r="AI386">
        <v>55937958</v>
      </c>
      <c r="AJ386">
        <v>317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ROW(Source!A245)</f>
        <v>245</v>
      </c>
      <c r="B387">
        <v>55937959</v>
      </c>
      <c r="C387">
        <v>55937954</v>
      </c>
      <c r="D387">
        <v>55460424</v>
      </c>
      <c r="E387">
        <v>1</v>
      </c>
      <c r="F387">
        <v>1</v>
      </c>
      <c r="G387">
        <v>1081</v>
      </c>
      <c r="H387">
        <v>3</v>
      </c>
      <c r="I387" t="s">
        <v>496</v>
      </c>
      <c r="J387" t="s">
        <v>497</v>
      </c>
      <c r="K387" t="s">
        <v>498</v>
      </c>
      <c r="L387">
        <v>1346</v>
      </c>
      <c r="N387">
        <v>1009</v>
      </c>
      <c r="O387" t="s">
        <v>311</v>
      </c>
      <c r="P387" t="s">
        <v>311</v>
      </c>
      <c r="Q387">
        <v>1</v>
      </c>
      <c r="X387">
        <v>0.16</v>
      </c>
      <c r="Y387">
        <v>159.06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113</v>
      </c>
      <c r="AG387">
        <v>0.16</v>
      </c>
      <c r="AH387">
        <v>2</v>
      </c>
      <c r="AI387">
        <v>55937959</v>
      </c>
      <c r="AJ387">
        <v>318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ROW(Source!A245)</f>
        <v>245</v>
      </c>
      <c r="B388">
        <v>55937960</v>
      </c>
      <c r="C388">
        <v>55937954</v>
      </c>
      <c r="D388">
        <v>55482505</v>
      </c>
      <c r="E388">
        <v>1</v>
      </c>
      <c r="F388">
        <v>1</v>
      </c>
      <c r="G388">
        <v>1081</v>
      </c>
      <c r="H388">
        <v>3</v>
      </c>
      <c r="I388" t="s">
        <v>588</v>
      </c>
      <c r="J388" t="s">
        <v>589</v>
      </c>
      <c r="K388" t="s">
        <v>590</v>
      </c>
      <c r="L388">
        <v>1355</v>
      </c>
      <c r="N388">
        <v>1010</v>
      </c>
      <c r="O388" t="s">
        <v>60</v>
      </c>
      <c r="P388" t="s">
        <v>60</v>
      </c>
      <c r="Q388">
        <v>100</v>
      </c>
      <c r="X388">
        <v>0.05</v>
      </c>
      <c r="Y388">
        <v>68.819999999999993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113</v>
      </c>
      <c r="AG388">
        <v>0.05</v>
      </c>
      <c r="AH388">
        <v>2</v>
      </c>
      <c r="AI388">
        <v>55937960</v>
      </c>
      <c r="AJ388">
        <v>319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ROW(Source!A245)</f>
        <v>245</v>
      </c>
      <c r="B389">
        <v>55937961</v>
      </c>
      <c r="C389">
        <v>55937954</v>
      </c>
      <c r="D389">
        <v>55482516</v>
      </c>
      <c r="E389">
        <v>1</v>
      </c>
      <c r="F389">
        <v>1</v>
      </c>
      <c r="G389">
        <v>1081</v>
      </c>
      <c r="H389">
        <v>3</v>
      </c>
      <c r="I389" t="s">
        <v>591</v>
      </c>
      <c r="J389" t="s">
        <v>592</v>
      </c>
      <c r="K389" t="s">
        <v>593</v>
      </c>
      <c r="L389">
        <v>1356</v>
      </c>
      <c r="N389">
        <v>1010</v>
      </c>
      <c r="O389" t="s">
        <v>353</v>
      </c>
      <c r="P389" t="s">
        <v>353</v>
      </c>
      <c r="Q389">
        <v>1000</v>
      </c>
      <c r="X389">
        <v>1.2200000000000001E-2</v>
      </c>
      <c r="Y389">
        <v>183.4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113</v>
      </c>
      <c r="AG389">
        <v>1.2200000000000001E-2</v>
      </c>
      <c r="AH389">
        <v>2</v>
      </c>
      <c r="AI389">
        <v>55937961</v>
      </c>
      <c r="AJ389">
        <v>320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ROW(Source!A245)</f>
        <v>245</v>
      </c>
      <c r="B390">
        <v>55937962</v>
      </c>
      <c r="C390">
        <v>55937954</v>
      </c>
      <c r="D390">
        <v>55481842</v>
      </c>
      <c r="E390">
        <v>1</v>
      </c>
      <c r="F390">
        <v>1</v>
      </c>
      <c r="G390">
        <v>1081</v>
      </c>
      <c r="H390">
        <v>3</v>
      </c>
      <c r="I390" t="s">
        <v>594</v>
      </c>
      <c r="J390" t="s">
        <v>595</v>
      </c>
      <c r="K390" t="s">
        <v>596</v>
      </c>
      <c r="L390">
        <v>1354</v>
      </c>
      <c r="N390">
        <v>1010</v>
      </c>
      <c r="O390" t="s">
        <v>217</v>
      </c>
      <c r="P390" t="s">
        <v>217</v>
      </c>
      <c r="Q390">
        <v>1</v>
      </c>
      <c r="X390">
        <v>3.1</v>
      </c>
      <c r="Y390">
        <v>6.94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113</v>
      </c>
      <c r="AG390">
        <v>3.1</v>
      </c>
      <c r="AH390">
        <v>2</v>
      </c>
      <c r="AI390">
        <v>55937962</v>
      </c>
      <c r="AJ390">
        <v>321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ROW(Source!A245)</f>
        <v>245</v>
      </c>
      <c r="B391">
        <v>55937963</v>
      </c>
      <c r="C391">
        <v>55937954</v>
      </c>
      <c r="D391">
        <v>55481849</v>
      </c>
      <c r="E391">
        <v>1</v>
      </c>
      <c r="F391">
        <v>1</v>
      </c>
      <c r="G391">
        <v>1081</v>
      </c>
      <c r="H391">
        <v>3</v>
      </c>
      <c r="I391" t="s">
        <v>597</v>
      </c>
      <c r="J391" t="s">
        <v>598</v>
      </c>
      <c r="K391" t="s">
        <v>599</v>
      </c>
      <c r="L391">
        <v>1356</v>
      </c>
      <c r="N391">
        <v>1010</v>
      </c>
      <c r="O391" t="s">
        <v>353</v>
      </c>
      <c r="P391" t="s">
        <v>353</v>
      </c>
      <c r="Q391">
        <v>1000</v>
      </c>
      <c r="X391">
        <v>8.0000000000000002E-3</v>
      </c>
      <c r="Y391">
        <v>614.09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113</v>
      </c>
      <c r="AG391">
        <v>8.0000000000000002E-3</v>
      </c>
      <c r="AH391">
        <v>2</v>
      </c>
      <c r="AI391">
        <v>55937963</v>
      </c>
      <c r="AJ391">
        <v>322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ROW(Source!A245)</f>
        <v>245</v>
      </c>
      <c r="B392">
        <v>55937964</v>
      </c>
      <c r="C392">
        <v>55937954</v>
      </c>
      <c r="D392">
        <v>55434508</v>
      </c>
      <c r="E392">
        <v>1081</v>
      </c>
      <c r="F392">
        <v>1</v>
      </c>
      <c r="G392">
        <v>1081</v>
      </c>
      <c r="H392">
        <v>3</v>
      </c>
      <c r="I392" t="s">
        <v>667</v>
      </c>
      <c r="J392" t="s">
        <v>3</v>
      </c>
      <c r="K392" t="s">
        <v>668</v>
      </c>
      <c r="L392">
        <v>1303</v>
      </c>
      <c r="N392">
        <v>1003</v>
      </c>
      <c r="O392" t="s">
        <v>337</v>
      </c>
      <c r="P392" t="s">
        <v>337</v>
      </c>
      <c r="Q392">
        <v>1000</v>
      </c>
      <c r="X392">
        <v>0.10299999999999999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113</v>
      </c>
      <c r="AG392">
        <v>0.10299999999999999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ROW(Source!A252)</f>
        <v>252</v>
      </c>
      <c r="B393">
        <v>55937983</v>
      </c>
      <c r="C393">
        <v>55937982</v>
      </c>
      <c r="D393">
        <v>55424304</v>
      </c>
      <c r="E393">
        <v>1081</v>
      </c>
      <c r="F393">
        <v>1</v>
      </c>
      <c r="G393">
        <v>1081</v>
      </c>
      <c r="H393">
        <v>1</v>
      </c>
      <c r="I393" t="s">
        <v>449</v>
      </c>
      <c r="J393" t="s">
        <v>3</v>
      </c>
      <c r="K393" t="s">
        <v>450</v>
      </c>
      <c r="L393">
        <v>1191</v>
      </c>
      <c r="N393">
        <v>1013</v>
      </c>
      <c r="O393" t="s">
        <v>451</v>
      </c>
      <c r="P393" t="s">
        <v>451</v>
      </c>
      <c r="Q393">
        <v>1</v>
      </c>
      <c r="X393">
        <v>1.83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 t="s">
        <v>114</v>
      </c>
      <c r="AG393">
        <v>2.1960000000000002</v>
      </c>
      <c r="AH393">
        <v>2</v>
      </c>
      <c r="AI393">
        <v>55937983</v>
      </c>
      <c r="AJ393">
        <v>323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ROW(Source!A252)</f>
        <v>252</v>
      </c>
      <c r="B394">
        <v>55937984</v>
      </c>
      <c r="C394">
        <v>55937982</v>
      </c>
      <c r="D394">
        <v>55490209</v>
      </c>
      <c r="E394">
        <v>1</v>
      </c>
      <c r="F394">
        <v>1</v>
      </c>
      <c r="G394">
        <v>1081</v>
      </c>
      <c r="H394">
        <v>2</v>
      </c>
      <c r="I394" t="s">
        <v>489</v>
      </c>
      <c r="J394" t="s">
        <v>490</v>
      </c>
      <c r="K394" t="s">
        <v>491</v>
      </c>
      <c r="L394">
        <v>1368</v>
      </c>
      <c r="N394">
        <v>1011</v>
      </c>
      <c r="O394" t="s">
        <v>455</v>
      </c>
      <c r="P394" t="s">
        <v>455</v>
      </c>
      <c r="Q394">
        <v>1</v>
      </c>
      <c r="X394">
        <v>0.01</v>
      </c>
      <c r="Y394">
        <v>0</v>
      </c>
      <c r="Z394">
        <v>83.1</v>
      </c>
      <c r="AA394">
        <v>12.62</v>
      </c>
      <c r="AB394">
        <v>0</v>
      </c>
      <c r="AC394">
        <v>0</v>
      </c>
      <c r="AD394">
        <v>1</v>
      </c>
      <c r="AE394">
        <v>0</v>
      </c>
      <c r="AF394" t="s">
        <v>114</v>
      </c>
      <c r="AG394">
        <v>1.2E-2</v>
      </c>
      <c r="AH394">
        <v>2</v>
      </c>
      <c r="AI394">
        <v>55937984</v>
      </c>
      <c r="AJ394">
        <v>324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ROW(Source!A252)</f>
        <v>252</v>
      </c>
      <c r="B395">
        <v>55937985</v>
      </c>
      <c r="C395">
        <v>55937982</v>
      </c>
      <c r="D395">
        <v>55489443</v>
      </c>
      <c r="E395">
        <v>1</v>
      </c>
      <c r="F395">
        <v>1</v>
      </c>
      <c r="G395">
        <v>1081</v>
      </c>
      <c r="H395">
        <v>2</v>
      </c>
      <c r="I395" t="s">
        <v>582</v>
      </c>
      <c r="J395" t="s">
        <v>583</v>
      </c>
      <c r="K395" t="s">
        <v>584</v>
      </c>
      <c r="L395">
        <v>1368</v>
      </c>
      <c r="N395">
        <v>1011</v>
      </c>
      <c r="O395" t="s">
        <v>455</v>
      </c>
      <c r="P395" t="s">
        <v>455</v>
      </c>
      <c r="Q395">
        <v>1</v>
      </c>
      <c r="X395">
        <v>0.01</v>
      </c>
      <c r="Y395">
        <v>0</v>
      </c>
      <c r="Z395">
        <v>179.17</v>
      </c>
      <c r="AA395">
        <v>16.93</v>
      </c>
      <c r="AB395">
        <v>0</v>
      </c>
      <c r="AC395">
        <v>0</v>
      </c>
      <c r="AD395">
        <v>1</v>
      </c>
      <c r="AE395">
        <v>0</v>
      </c>
      <c r="AF395" t="s">
        <v>114</v>
      </c>
      <c r="AG395">
        <v>1.2E-2</v>
      </c>
      <c r="AH395">
        <v>2</v>
      </c>
      <c r="AI395">
        <v>55937985</v>
      </c>
      <c r="AJ395">
        <v>325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ROW(Source!A252)</f>
        <v>252</v>
      </c>
      <c r="B396">
        <v>55937986</v>
      </c>
      <c r="C396">
        <v>55937982</v>
      </c>
      <c r="D396">
        <v>55460033</v>
      </c>
      <c r="E396">
        <v>1</v>
      </c>
      <c r="F396">
        <v>1</v>
      </c>
      <c r="G396">
        <v>1081</v>
      </c>
      <c r="H396">
        <v>3</v>
      </c>
      <c r="I396" t="s">
        <v>585</v>
      </c>
      <c r="J396" t="s">
        <v>586</v>
      </c>
      <c r="K396" t="s">
        <v>587</v>
      </c>
      <c r="L396">
        <v>1346</v>
      </c>
      <c r="N396">
        <v>1009</v>
      </c>
      <c r="O396" t="s">
        <v>311</v>
      </c>
      <c r="P396" t="s">
        <v>311</v>
      </c>
      <c r="Q396">
        <v>1</v>
      </c>
      <c r="X396">
        <v>0.6</v>
      </c>
      <c r="Y396">
        <v>1.38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113</v>
      </c>
      <c r="AG396">
        <v>0.6</v>
      </c>
      <c r="AH396">
        <v>2</v>
      </c>
      <c r="AI396">
        <v>55937986</v>
      </c>
      <c r="AJ396">
        <v>326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ROW(Source!A252)</f>
        <v>252</v>
      </c>
      <c r="B397">
        <v>55937987</v>
      </c>
      <c r="C397">
        <v>55937982</v>
      </c>
      <c r="D397">
        <v>55460424</v>
      </c>
      <c r="E397">
        <v>1</v>
      </c>
      <c r="F397">
        <v>1</v>
      </c>
      <c r="G397">
        <v>1081</v>
      </c>
      <c r="H397">
        <v>3</v>
      </c>
      <c r="I397" t="s">
        <v>496</v>
      </c>
      <c r="J397" t="s">
        <v>497</v>
      </c>
      <c r="K397" t="s">
        <v>498</v>
      </c>
      <c r="L397">
        <v>1346</v>
      </c>
      <c r="N397">
        <v>1009</v>
      </c>
      <c r="O397" t="s">
        <v>311</v>
      </c>
      <c r="P397" t="s">
        <v>311</v>
      </c>
      <c r="Q397">
        <v>1</v>
      </c>
      <c r="X397">
        <v>0.16</v>
      </c>
      <c r="Y397">
        <v>159.06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113</v>
      </c>
      <c r="AG397">
        <v>0.16</v>
      </c>
      <c r="AH397">
        <v>2</v>
      </c>
      <c r="AI397">
        <v>55937987</v>
      </c>
      <c r="AJ397">
        <v>327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ROW(Source!A252)</f>
        <v>252</v>
      </c>
      <c r="B398">
        <v>55937988</v>
      </c>
      <c r="C398">
        <v>55937982</v>
      </c>
      <c r="D398">
        <v>55482517</v>
      </c>
      <c r="E398">
        <v>1</v>
      </c>
      <c r="F398">
        <v>1</v>
      </c>
      <c r="G398">
        <v>1081</v>
      </c>
      <c r="H398">
        <v>3</v>
      </c>
      <c r="I398" t="s">
        <v>600</v>
      </c>
      <c r="J398" t="s">
        <v>601</v>
      </c>
      <c r="K398" t="s">
        <v>602</v>
      </c>
      <c r="L398">
        <v>1356</v>
      </c>
      <c r="N398">
        <v>1010</v>
      </c>
      <c r="O398" t="s">
        <v>353</v>
      </c>
      <c r="P398" t="s">
        <v>353</v>
      </c>
      <c r="Q398">
        <v>1000</v>
      </c>
      <c r="X398">
        <v>1.2200000000000001E-2</v>
      </c>
      <c r="Y398">
        <v>226.86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113</v>
      </c>
      <c r="AG398">
        <v>1.2200000000000001E-2</v>
      </c>
      <c r="AH398">
        <v>2</v>
      </c>
      <c r="AI398">
        <v>55937988</v>
      </c>
      <c r="AJ398">
        <v>328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ROW(Source!A252)</f>
        <v>252</v>
      </c>
      <c r="B399">
        <v>55937989</v>
      </c>
      <c r="C399">
        <v>55937982</v>
      </c>
      <c r="D399">
        <v>55481842</v>
      </c>
      <c r="E399">
        <v>1</v>
      </c>
      <c r="F399">
        <v>1</v>
      </c>
      <c r="G399">
        <v>1081</v>
      </c>
      <c r="H399">
        <v>3</v>
      </c>
      <c r="I399" t="s">
        <v>594</v>
      </c>
      <c r="J399" t="s">
        <v>595</v>
      </c>
      <c r="K399" t="s">
        <v>596</v>
      </c>
      <c r="L399">
        <v>1354</v>
      </c>
      <c r="N399">
        <v>1010</v>
      </c>
      <c r="O399" t="s">
        <v>217</v>
      </c>
      <c r="P399" t="s">
        <v>217</v>
      </c>
      <c r="Q399">
        <v>1</v>
      </c>
      <c r="X399">
        <v>3.1</v>
      </c>
      <c r="Y399">
        <v>6.94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113</v>
      </c>
      <c r="AG399">
        <v>3.1</v>
      </c>
      <c r="AH399">
        <v>2</v>
      </c>
      <c r="AI399">
        <v>55937989</v>
      </c>
      <c r="AJ399">
        <v>329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ROW(Source!A252)</f>
        <v>252</v>
      </c>
      <c r="B400">
        <v>55937990</v>
      </c>
      <c r="C400">
        <v>55937982</v>
      </c>
      <c r="D400">
        <v>55481850</v>
      </c>
      <c r="E400">
        <v>1</v>
      </c>
      <c r="F400">
        <v>1</v>
      </c>
      <c r="G400">
        <v>1081</v>
      </c>
      <c r="H400">
        <v>3</v>
      </c>
      <c r="I400" t="s">
        <v>603</v>
      </c>
      <c r="J400" t="s">
        <v>604</v>
      </c>
      <c r="K400" t="s">
        <v>605</v>
      </c>
      <c r="L400">
        <v>1356</v>
      </c>
      <c r="N400">
        <v>1010</v>
      </c>
      <c r="O400" t="s">
        <v>353</v>
      </c>
      <c r="P400" t="s">
        <v>353</v>
      </c>
      <c r="Q400">
        <v>1000</v>
      </c>
      <c r="X400">
        <v>8.0000000000000002E-3</v>
      </c>
      <c r="Y400">
        <v>614.09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113</v>
      </c>
      <c r="AG400">
        <v>8.0000000000000002E-3</v>
      </c>
      <c r="AH400">
        <v>2</v>
      </c>
      <c r="AI400">
        <v>55937990</v>
      </c>
      <c r="AJ400">
        <v>330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ROW(Source!A252)</f>
        <v>252</v>
      </c>
      <c r="B401">
        <v>55937991</v>
      </c>
      <c r="C401">
        <v>55937982</v>
      </c>
      <c r="D401">
        <v>55434508</v>
      </c>
      <c r="E401">
        <v>1081</v>
      </c>
      <c r="F401">
        <v>1</v>
      </c>
      <c r="G401">
        <v>1081</v>
      </c>
      <c r="H401">
        <v>3</v>
      </c>
      <c r="I401" t="s">
        <v>667</v>
      </c>
      <c r="J401" t="s">
        <v>3</v>
      </c>
      <c r="K401" t="s">
        <v>668</v>
      </c>
      <c r="L401">
        <v>1303</v>
      </c>
      <c r="N401">
        <v>1003</v>
      </c>
      <c r="O401" t="s">
        <v>337</v>
      </c>
      <c r="P401" t="s">
        <v>337</v>
      </c>
      <c r="Q401">
        <v>1000</v>
      </c>
      <c r="X401">
        <v>0.10299999999999999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113</v>
      </c>
      <c r="AG401">
        <v>0.10299999999999999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ROW(Source!A253)</f>
        <v>253</v>
      </c>
      <c r="B402">
        <v>55937983</v>
      </c>
      <c r="C402">
        <v>55937982</v>
      </c>
      <c r="D402">
        <v>55424304</v>
      </c>
      <c r="E402">
        <v>1081</v>
      </c>
      <c r="F402">
        <v>1</v>
      </c>
      <c r="G402">
        <v>1081</v>
      </c>
      <c r="H402">
        <v>1</v>
      </c>
      <c r="I402" t="s">
        <v>449</v>
      </c>
      <c r="J402" t="s">
        <v>3</v>
      </c>
      <c r="K402" t="s">
        <v>450</v>
      </c>
      <c r="L402">
        <v>1191</v>
      </c>
      <c r="N402">
        <v>1013</v>
      </c>
      <c r="O402" t="s">
        <v>451</v>
      </c>
      <c r="P402" t="s">
        <v>451</v>
      </c>
      <c r="Q402">
        <v>1</v>
      </c>
      <c r="X402">
        <v>1.83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 t="s">
        <v>114</v>
      </c>
      <c r="AG402">
        <v>2.1960000000000002</v>
      </c>
      <c r="AH402">
        <v>2</v>
      </c>
      <c r="AI402">
        <v>55937983</v>
      </c>
      <c r="AJ402">
        <v>331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ROW(Source!A253)</f>
        <v>253</v>
      </c>
      <c r="B403">
        <v>55937984</v>
      </c>
      <c r="C403">
        <v>55937982</v>
      </c>
      <c r="D403">
        <v>55490209</v>
      </c>
      <c r="E403">
        <v>1</v>
      </c>
      <c r="F403">
        <v>1</v>
      </c>
      <c r="G403">
        <v>1081</v>
      </c>
      <c r="H403">
        <v>2</v>
      </c>
      <c r="I403" t="s">
        <v>489</v>
      </c>
      <c r="J403" t="s">
        <v>490</v>
      </c>
      <c r="K403" t="s">
        <v>491</v>
      </c>
      <c r="L403">
        <v>1368</v>
      </c>
      <c r="N403">
        <v>1011</v>
      </c>
      <c r="O403" t="s">
        <v>455</v>
      </c>
      <c r="P403" t="s">
        <v>455</v>
      </c>
      <c r="Q403">
        <v>1</v>
      </c>
      <c r="X403">
        <v>0.01</v>
      </c>
      <c r="Y403">
        <v>0</v>
      </c>
      <c r="Z403">
        <v>83.1</v>
      </c>
      <c r="AA403">
        <v>12.62</v>
      </c>
      <c r="AB403">
        <v>0</v>
      </c>
      <c r="AC403">
        <v>0</v>
      </c>
      <c r="AD403">
        <v>1</v>
      </c>
      <c r="AE403">
        <v>0</v>
      </c>
      <c r="AF403" t="s">
        <v>114</v>
      </c>
      <c r="AG403">
        <v>1.2E-2</v>
      </c>
      <c r="AH403">
        <v>2</v>
      </c>
      <c r="AI403">
        <v>55937984</v>
      </c>
      <c r="AJ403">
        <v>332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ROW(Source!A253)</f>
        <v>253</v>
      </c>
      <c r="B404">
        <v>55937985</v>
      </c>
      <c r="C404">
        <v>55937982</v>
      </c>
      <c r="D404">
        <v>55489443</v>
      </c>
      <c r="E404">
        <v>1</v>
      </c>
      <c r="F404">
        <v>1</v>
      </c>
      <c r="G404">
        <v>1081</v>
      </c>
      <c r="H404">
        <v>2</v>
      </c>
      <c r="I404" t="s">
        <v>582</v>
      </c>
      <c r="J404" t="s">
        <v>583</v>
      </c>
      <c r="K404" t="s">
        <v>584</v>
      </c>
      <c r="L404">
        <v>1368</v>
      </c>
      <c r="N404">
        <v>1011</v>
      </c>
      <c r="O404" t="s">
        <v>455</v>
      </c>
      <c r="P404" t="s">
        <v>455</v>
      </c>
      <c r="Q404">
        <v>1</v>
      </c>
      <c r="X404">
        <v>0.01</v>
      </c>
      <c r="Y404">
        <v>0</v>
      </c>
      <c r="Z404">
        <v>179.17</v>
      </c>
      <c r="AA404">
        <v>16.93</v>
      </c>
      <c r="AB404">
        <v>0</v>
      </c>
      <c r="AC404">
        <v>0</v>
      </c>
      <c r="AD404">
        <v>1</v>
      </c>
      <c r="AE404">
        <v>0</v>
      </c>
      <c r="AF404" t="s">
        <v>114</v>
      </c>
      <c r="AG404">
        <v>1.2E-2</v>
      </c>
      <c r="AH404">
        <v>2</v>
      </c>
      <c r="AI404">
        <v>55937985</v>
      </c>
      <c r="AJ404">
        <v>333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ROW(Source!A253)</f>
        <v>253</v>
      </c>
      <c r="B405">
        <v>55937986</v>
      </c>
      <c r="C405">
        <v>55937982</v>
      </c>
      <c r="D405">
        <v>55460033</v>
      </c>
      <c r="E405">
        <v>1</v>
      </c>
      <c r="F405">
        <v>1</v>
      </c>
      <c r="G405">
        <v>1081</v>
      </c>
      <c r="H405">
        <v>3</v>
      </c>
      <c r="I405" t="s">
        <v>585</v>
      </c>
      <c r="J405" t="s">
        <v>586</v>
      </c>
      <c r="K405" t="s">
        <v>587</v>
      </c>
      <c r="L405">
        <v>1346</v>
      </c>
      <c r="N405">
        <v>1009</v>
      </c>
      <c r="O405" t="s">
        <v>311</v>
      </c>
      <c r="P405" t="s">
        <v>311</v>
      </c>
      <c r="Q405">
        <v>1</v>
      </c>
      <c r="X405">
        <v>0.6</v>
      </c>
      <c r="Y405">
        <v>1.38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 t="s">
        <v>113</v>
      </c>
      <c r="AG405">
        <v>0.6</v>
      </c>
      <c r="AH405">
        <v>2</v>
      </c>
      <c r="AI405">
        <v>55937986</v>
      </c>
      <c r="AJ405">
        <v>334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ROW(Source!A253)</f>
        <v>253</v>
      </c>
      <c r="B406">
        <v>55937987</v>
      </c>
      <c r="C406">
        <v>55937982</v>
      </c>
      <c r="D406">
        <v>55460424</v>
      </c>
      <c r="E406">
        <v>1</v>
      </c>
      <c r="F406">
        <v>1</v>
      </c>
      <c r="G406">
        <v>1081</v>
      </c>
      <c r="H406">
        <v>3</v>
      </c>
      <c r="I406" t="s">
        <v>496</v>
      </c>
      <c r="J406" t="s">
        <v>497</v>
      </c>
      <c r="K406" t="s">
        <v>498</v>
      </c>
      <c r="L406">
        <v>1346</v>
      </c>
      <c r="N406">
        <v>1009</v>
      </c>
      <c r="O406" t="s">
        <v>311</v>
      </c>
      <c r="P406" t="s">
        <v>311</v>
      </c>
      <c r="Q406">
        <v>1</v>
      </c>
      <c r="X406">
        <v>0.16</v>
      </c>
      <c r="Y406">
        <v>159.06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113</v>
      </c>
      <c r="AG406">
        <v>0.16</v>
      </c>
      <c r="AH406">
        <v>2</v>
      </c>
      <c r="AI406">
        <v>55937987</v>
      </c>
      <c r="AJ406">
        <v>335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ROW(Source!A253)</f>
        <v>253</v>
      </c>
      <c r="B407">
        <v>55937988</v>
      </c>
      <c r="C407">
        <v>55937982</v>
      </c>
      <c r="D407">
        <v>55482517</v>
      </c>
      <c r="E407">
        <v>1</v>
      </c>
      <c r="F407">
        <v>1</v>
      </c>
      <c r="G407">
        <v>1081</v>
      </c>
      <c r="H407">
        <v>3</v>
      </c>
      <c r="I407" t="s">
        <v>600</v>
      </c>
      <c r="J407" t="s">
        <v>601</v>
      </c>
      <c r="K407" t="s">
        <v>602</v>
      </c>
      <c r="L407">
        <v>1356</v>
      </c>
      <c r="N407">
        <v>1010</v>
      </c>
      <c r="O407" t="s">
        <v>353</v>
      </c>
      <c r="P407" t="s">
        <v>353</v>
      </c>
      <c r="Q407">
        <v>1000</v>
      </c>
      <c r="X407">
        <v>1.2200000000000001E-2</v>
      </c>
      <c r="Y407">
        <v>226.86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113</v>
      </c>
      <c r="AG407">
        <v>1.2200000000000001E-2</v>
      </c>
      <c r="AH407">
        <v>2</v>
      </c>
      <c r="AI407">
        <v>55937988</v>
      </c>
      <c r="AJ407">
        <v>336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ROW(Source!A253)</f>
        <v>253</v>
      </c>
      <c r="B408">
        <v>55937989</v>
      </c>
      <c r="C408">
        <v>55937982</v>
      </c>
      <c r="D408">
        <v>55481842</v>
      </c>
      <c r="E408">
        <v>1</v>
      </c>
      <c r="F408">
        <v>1</v>
      </c>
      <c r="G408">
        <v>1081</v>
      </c>
      <c r="H408">
        <v>3</v>
      </c>
      <c r="I408" t="s">
        <v>594</v>
      </c>
      <c r="J408" t="s">
        <v>595</v>
      </c>
      <c r="K408" t="s">
        <v>596</v>
      </c>
      <c r="L408">
        <v>1354</v>
      </c>
      <c r="N408">
        <v>1010</v>
      </c>
      <c r="O408" t="s">
        <v>217</v>
      </c>
      <c r="P408" t="s">
        <v>217</v>
      </c>
      <c r="Q408">
        <v>1</v>
      </c>
      <c r="X408">
        <v>3.1</v>
      </c>
      <c r="Y408">
        <v>6.94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113</v>
      </c>
      <c r="AG408">
        <v>3.1</v>
      </c>
      <c r="AH408">
        <v>2</v>
      </c>
      <c r="AI408">
        <v>55937989</v>
      </c>
      <c r="AJ408">
        <v>337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ROW(Source!A253)</f>
        <v>253</v>
      </c>
      <c r="B409">
        <v>55937990</v>
      </c>
      <c r="C409">
        <v>55937982</v>
      </c>
      <c r="D409">
        <v>55481850</v>
      </c>
      <c r="E409">
        <v>1</v>
      </c>
      <c r="F409">
        <v>1</v>
      </c>
      <c r="G409">
        <v>1081</v>
      </c>
      <c r="H409">
        <v>3</v>
      </c>
      <c r="I409" t="s">
        <v>603</v>
      </c>
      <c r="J409" t="s">
        <v>604</v>
      </c>
      <c r="K409" t="s">
        <v>605</v>
      </c>
      <c r="L409">
        <v>1356</v>
      </c>
      <c r="N409">
        <v>1010</v>
      </c>
      <c r="O409" t="s">
        <v>353</v>
      </c>
      <c r="P409" t="s">
        <v>353</v>
      </c>
      <c r="Q409">
        <v>1000</v>
      </c>
      <c r="X409">
        <v>8.0000000000000002E-3</v>
      </c>
      <c r="Y409">
        <v>614.09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113</v>
      </c>
      <c r="AG409">
        <v>8.0000000000000002E-3</v>
      </c>
      <c r="AH409">
        <v>2</v>
      </c>
      <c r="AI409">
        <v>55937990</v>
      </c>
      <c r="AJ409">
        <v>338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ROW(Source!A253)</f>
        <v>253</v>
      </c>
      <c r="B410">
        <v>55937991</v>
      </c>
      <c r="C410">
        <v>55937982</v>
      </c>
      <c r="D410">
        <v>55434508</v>
      </c>
      <c r="E410">
        <v>1081</v>
      </c>
      <c r="F410">
        <v>1</v>
      </c>
      <c r="G410">
        <v>1081</v>
      </c>
      <c r="H410">
        <v>3</v>
      </c>
      <c r="I410" t="s">
        <v>667</v>
      </c>
      <c r="J410" t="s">
        <v>3</v>
      </c>
      <c r="K410" t="s">
        <v>668</v>
      </c>
      <c r="L410">
        <v>1303</v>
      </c>
      <c r="N410">
        <v>1003</v>
      </c>
      <c r="O410" t="s">
        <v>337</v>
      </c>
      <c r="P410" t="s">
        <v>337</v>
      </c>
      <c r="Q410">
        <v>1000</v>
      </c>
      <c r="X410">
        <v>0.10299999999999999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113</v>
      </c>
      <c r="AG410">
        <v>0.10299999999999999</v>
      </c>
      <c r="AH410">
        <v>3</v>
      </c>
      <c r="AI410">
        <v>-1</v>
      </c>
      <c r="AJ410" t="s">
        <v>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ROW(Source!A256)</f>
        <v>256</v>
      </c>
      <c r="B411">
        <v>55937995</v>
      </c>
      <c r="C411">
        <v>55937994</v>
      </c>
      <c r="D411">
        <v>55424304</v>
      </c>
      <c r="E411">
        <v>1081</v>
      </c>
      <c r="F411">
        <v>1</v>
      </c>
      <c r="G411">
        <v>1081</v>
      </c>
      <c r="H411">
        <v>1</v>
      </c>
      <c r="I411" t="s">
        <v>449</v>
      </c>
      <c r="J411" t="s">
        <v>3</v>
      </c>
      <c r="K411" t="s">
        <v>450</v>
      </c>
      <c r="L411">
        <v>1191</v>
      </c>
      <c r="N411">
        <v>1013</v>
      </c>
      <c r="O411" t="s">
        <v>451</v>
      </c>
      <c r="P411" t="s">
        <v>451</v>
      </c>
      <c r="Q411">
        <v>1</v>
      </c>
      <c r="X411">
        <v>40.200000000000003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1</v>
      </c>
      <c r="AF411" t="s">
        <v>114</v>
      </c>
      <c r="AG411">
        <v>48.24</v>
      </c>
      <c r="AH411">
        <v>2</v>
      </c>
      <c r="AI411">
        <v>55937995</v>
      </c>
      <c r="AJ411">
        <v>339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ROW(Source!A256)</f>
        <v>256</v>
      </c>
      <c r="B412">
        <v>55937996</v>
      </c>
      <c r="C412">
        <v>55937994</v>
      </c>
      <c r="D412">
        <v>55490209</v>
      </c>
      <c r="E412">
        <v>1</v>
      </c>
      <c r="F412">
        <v>1</v>
      </c>
      <c r="G412">
        <v>1081</v>
      </c>
      <c r="H412">
        <v>2</v>
      </c>
      <c r="I412" t="s">
        <v>489</v>
      </c>
      <c r="J412" t="s">
        <v>490</v>
      </c>
      <c r="K412" t="s">
        <v>491</v>
      </c>
      <c r="L412">
        <v>1368</v>
      </c>
      <c r="N412">
        <v>1011</v>
      </c>
      <c r="O412" t="s">
        <v>455</v>
      </c>
      <c r="P412" t="s">
        <v>455</v>
      </c>
      <c r="Q412">
        <v>1</v>
      </c>
      <c r="X412">
        <v>0.03</v>
      </c>
      <c r="Y412">
        <v>0</v>
      </c>
      <c r="Z412">
        <v>83.1</v>
      </c>
      <c r="AA412">
        <v>12.62</v>
      </c>
      <c r="AB412">
        <v>0</v>
      </c>
      <c r="AC412">
        <v>0</v>
      </c>
      <c r="AD412">
        <v>1</v>
      </c>
      <c r="AE412">
        <v>0</v>
      </c>
      <c r="AF412" t="s">
        <v>114</v>
      </c>
      <c r="AG412">
        <v>3.5999999999999997E-2</v>
      </c>
      <c r="AH412">
        <v>2</v>
      </c>
      <c r="AI412">
        <v>55937996</v>
      </c>
      <c r="AJ412">
        <v>340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ROW(Source!A256)</f>
        <v>256</v>
      </c>
      <c r="B413">
        <v>55937997</v>
      </c>
      <c r="C413">
        <v>55937994</v>
      </c>
      <c r="D413">
        <v>55490330</v>
      </c>
      <c r="E413">
        <v>1</v>
      </c>
      <c r="F413">
        <v>1</v>
      </c>
      <c r="G413">
        <v>1081</v>
      </c>
      <c r="H413">
        <v>2</v>
      </c>
      <c r="I413" t="s">
        <v>452</v>
      </c>
      <c r="J413" t="s">
        <v>453</v>
      </c>
      <c r="K413" t="s">
        <v>454</v>
      </c>
      <c r="L413">
        <v>1368</v>
      </c>
      <c r="N413">
        <v>1011</v>
      </c>
      <c r="O413" t="s">
        <v>455</v>
      </c>
      <c r="P413" t="s">
        <v>455</v>
      </c>
      <c r="Q413">
        <v>1</v>
      </c>
      <c r="X413">
        <v>11</v>
      </c>
      <c r="Y413">
        <v>0</v>
      </c>
      <c r="Z413">
        <v>0.8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114</v>
      </c>
      <c r="AG413">
        <v>13.2</v>
      </c>
      <c r="AH413">
        <v>2</v>
      </c>
      <c r="AI413">
        <v>55937997</v>
      </c>
      <c r="AJ413">
        <v>341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ROW(Source!A256)</f>
        <v>256</v>
      </c>
      <c r="B414">
        <v>55937998</v>
      </c>
      <c r="C414">
        <v>55937994</v>
      </c>
      <c r="D414">
        <v>55461750</v>
      </c>
      <c r="E414">
        <v>1</v>
      </c>
      <c r="F414">
        <v>1</v>
      </c>
      <c r="G414">
        <v>1081</v>
      </c>
      <c r="H414">
        <v>3</v>
      </c>
      <c r="I414" t="s">
        <v>606</v>
      </c>
      <c r="J414" t="s">
        <v>607</v>
      </c>
      <c r="K414" t="s">
        <v>608</v>
      </c>
      <c r="L414">
        <v>1355</v>
      </c>
      <c r="N414">
        <v>1010</v>
      </c>
      <c r="O414" t="s">
        <v>60</v>
      </c>
      <c r="P414" t="s">
        <v>60</v>
      </c>
      <c r="Q414">
        <v>100</v>
      </c>
      <c r="X414">
        <v>2.08</v>
      </c>
      <c r="Y414">
        <v>15.04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113</v>
      </c>
      <c r="AG414">
        <v>2.08</v>
      </c>
      <c r="AH414">
        <v>2</v>
      </c>
      <c r="AI414">
        <v>55937998</v>
      </c>
      <c r="AJ414">
        <v>342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ROW(Source!A256)</f>
        <v>256</v>
      </c>
      <c r="B415">
        <v>55937999</v>
      </c>
      <c r="C415">
        <v>55937994</v>
      </c>
      <c r="D415">
        <v>55461849</v>
      </c>
      <c r="E415">
        <v>1</v>
      </c>
      <c r="F415">
        <v>1</v>
      </c>
      <c r="G415">
        <v>1081</v>
      </c>
      <c r="H415">
        <v>3</v>
      </c>
      <c r="I415" t="s">
        <v>609</v>
      </c>
      <c r="J415" t="s">
        <v>610</v>
      </c>
      <c r="K415" t="s">
        <v>611</v>
      </c>
      <c r="L415">
        <v>1355</v>
      </c>
      <c r="N415">
        <v>1010</v>
      </c>
      <c r="O415" t="s">
        <v>60</v>
      </c>
      <c r="P415" t="s">
        <v>60</v>
      </c>
      <c r="Q415">
        <v>100</v>
      </c>
      <c r="X415">
        <v>2.08</v>
      </c>
      <c r="Y415">
        <v>16.16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113</v>
      </c>
      <c r="AG415">
        <v>2.08</v>
      </c>
      <c r="AH415">
        <v>2</v>
      </c>
      <c r="AI415">
        <v>55937999</v>
      </c>
      <c r="AJ415">
        <v>343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ROW(Source!A256)</f>
        <v>256</v>
      </c>
      <c r="B416">
        <v>55938000</v>
      </c>
      <c r="C416">
        <v>55937994</v>
      </c>
      <c r="D416">
        <v>55482445</v>
      </c>
      <c r="E416">
        <v>1</v>
      </c>
      <c r="F416">
        <v>1</v>
      </c>
      <c r="G416">
        <v>1081</v>
      </c>
      <c r="H416">
        <v>3</v>
      </c>
      <c r="I416" t="s">
        <v>612</v>
      </c>
      <c r="J416" t="s">
        <v>613</v>
      </c>
      <c r="K416" t="s">
        <v>614</v>
      </c>
      <c r="L416">
        <v>1356</v>
      </c>
      <c r="N416">
        <v>1010</v>
      </c>
      <c r="O416" t="s">
        <v>353</v>
      </c>
      <c r="P416" t="s">
        <v>353</v>
      </c>
      <c r="Q416">
        <v>1000</v>
      </c>
      <c r="X416">
        <v>0.20399999999999999</v>
      </c>
      <c r="Y416">
        <v>294.89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113</v>
      </c>
      <c r="AG416">
        <v>0.20399999999999999</v>
      </c>
      <c r="AH416">
        <v>2</v>
      </c>
      <c r="AI416">
        <v>55938000</v>
      </c>
      <c r="AJ416">
        <v>344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ROW(Source!A256)</f>
        <v>256</v>
      </c>
      <c r="B417">
        <v>55938001</v>
      </c>
      <c r="C417">
        <v>55937994</v>
      </c>
      <c r="D417">
        <v>55481831</v>
      </c>
      <c r="E417">
        <v>1</v>
      </c>
      <c r="F417">
        <v>1</v>
      </c>
      <c r="G417">
        <v>1081</v>
      </c>
      <c r="H417">
        <v>3</v>
      </c>
      <c r="I417" t="s">
        <v>615</v>
      </c>
      <c r="J417" t="s">
        <v>616</v>
      </c>
      <c r="K417" t="s">
        <v>617</v>
      </c>
      <c r="L417">
        <v>1354</v>
      </c>
      <c r="N417">
        <v>1010</v>
      </c>
      <c r="O417" t="s">
        <v>217</v>
      </c>
      <c r="P417" t="s">
        <v>217</v>
      </c>
      <c r="Q417">
        <v>1</v>
      </c>
      <c r="X417">
        <v>204</v>
      </c>
      <c r="Y417">
        <v>5.16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0</v>
      </c>
      <c r="AF417" t="s">
        <v>113</v>
      </c>
      <c r="AG417">
        <v>204</v>
      </c>
      <c r="AH417">
        <v>2</v>
      </c>
      <c r="AI417">
        <v>55938001</v>
      </c>
      <c r="AJ417">
        <v>345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ROW(Source!A256)</f>
        <v>256</v>
      </c>
      <c r="B418">
        <v>55938002</v>
      </c>
      <c r="C418">
        <v>55937994</v>
      </c>
      <c r="D418">
        <v>55437307</v>
      </c>
      <c r="E418">
        <v>1081</v>
      </c>
      <c r="F418">
        <v>1</v>
      </c>
      <c r="G418">
        <v>1081</v>
      </c>
      <c r="H418">
        <v>3</v>
      </c>
      <c r="I418" t="s">
        <v>669</v>
      </c>
      <c r="J418" t="s">
        <v>3</v>
      </c>
      <c r="K418" t="s">
        <v>670</v>
      </c>
      <c r="L418">
        <v>1303</v>
      </c>
      <c r="N418">
        <v>1003</v>
      </c>
      <c r="O418" t="s">
        <v>337</v>
      </c>
      <c r="P418" t="s">
        <v>337</v>
      </c>
      <c r="Q418">
        <v>1000</v>
      </c>
      <c r="X418">
        <v>0.10199999999999999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113</v>
      </c>
      <c r="AG418">
        <v>0.10199999999999999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ROW(Source!A257)</f>
        <v>257</v>
      </c>
      <c r="B419">
        <v>55937995</v>
      </c>
      <c r="C419">
        <v>55937994</v>
      </c>
      <c r="D419">
        <v>55424304</v>
      </c>
      <c r="E419">
        <v>1081</v>
      </c>
      <c r="F419">
        <v>1</v>
      </c>
      <c r="G419">
        <v>1081</v>
      </c>
      <c r="H419">
        <v>1</v>
      </c>
      <c r="I419" t="s">
        <v>449</v>
      </c>
      <c r="J419" t="s">
        <v>3</v>
      </c>
      <c r="K419" t="s">
        <v>450</v>
      </c>
      <c r="L419">
        <v>1191</v>
      </c>
      <c r="N419">
        <v>1013</v>
      </c>
      <c r="O419" t="s">
        <v>451</v>
      </c>
      <c r="P419" t="s">
        <v>451</v>
      </c>
      <c r="Q419">
        <v>1</v>
      </c>
      <c r="X419">
        <v>40.200000000000003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114</v>
      </c>
      <c r="AG419">
        <v>48.24</v>
      </c>
      <c r="AH419">
        <v>2</v>
      </c>
      <c r="AI419">
        <v>55937995</v>
      </c>
      <c r="AJ419">
        <v>347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ROW(Source!A257)</f>
        <v>257</v>
      </c>
      <c r="B420">
        <v>55937996</v>
      </c>
      <c r="C420">
        <v>55937994</v>
      </c>
      <c r="D420">
        <v>55490209</v>
      </c>
      <c r="E420">
        <v>1</v>
      </c>
      <c r="F420">
        <v>1</v>
      </c>
      <c r="G420">
        <v>1081</v>
      </c>
      <c r="H420">
        <v>2</v>
      </c>
      <c r="I420" t="s">
        <v>489</v>
      </c>
      <c r="J420" t="s">
        <v>490</v>
      </c>
      <c r="K420" t="s">
        <v>491</v>
      </c>
      <c r="L420">
        <v>1368</v>
      </c>
      <c r="N420">
        <v>1011</v>
      </c>
      <c r="O420" t="s">
        <v>455</v>
      </c>
      <c r="P420" t="s">
        <v>455</v>
      </c>
      <c r="Q420">
        <v>1</v>
      </c>
      <c r="X420">
        <v>0.03</v>
      </c>
      <c r="Y420">
        <v>0</v>
      </c>
      <c r="Z420">
        <v>83.1</v>
      </c>
      <c r="AA420">
        <v>12.62</v>
      </c>
      <c r="AB420">
        <v>0</v>
      </c>
      <c r="AC420">
        <v>0</v>
      </c>
      <c r="AD420">
        <v>1</v>
      </c>
      <c r="AE420">
        <v>0</v>
      </c>
      <c r="AF420" t="s">
        <v>114</v>
      </c>
      <c r="AG420">
        <v>3.5999999999999997E-2</v>
      </c>
      <c r="AH420">
        <v>2</v>
      </c>
      <c r="AI420">
        <v>55937996</v>
      </c>
      <c r="AJ420">
        <v>348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ROW(Source!A257)</f>
        <v>257</v>
      </c>
      <c r="B421">
        <v>55937997</v>
      </c>
      <c r="C421">
        <v>55937994</v>
      </c>
      <c r="D421">
        <v>55490330</v>
      </c>
      <c r="E421">
        <v>1</v>
      </c>
      <c r="F421">
        <v>1</v>
      </c>
      <c r="G421">
        <v>1081</v>
      </c>
      <c r="H421">
        <v>2</v>
      </c>
      <c r="I421" t="s">
        <v>452</v>
      </c>
      <c r="J421" t="s">
        <v>453</v>
      </c>
      <c r="K421" t="s">
        <v>454</v>
      </c>
      <c r="L421">
        <v>1368</v>
      </c>
      <c r="N421">
        <v>1011</v>
      </c>
      <c r="O421" t="s">
        <v>455</v>
      </c>
      <c r="P421" t="s">
        <v>455</v>
      </c>
      <c r="Q421">
        <v>1</v>
      </c>
      <c r="X421">
        <v>11</v>
      </c>
      <c r="Y421">
        <v>0</v>
      </c>
      <c r="Z421">
        <v>0.8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114</v>
      </c>
      <c r="AG421">
        <v>13.2</v>
      </c>
      <c r="AH421">
        <v>2</v>
      </c>
      <c r="AI421">
        <v>55937997</v>
      </c>
      <c r="AJ421">
        <v>349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ROW(Source!A257)</f>
        <v>257</v>
      </c>
      <c r="B422">
        <v>55937998</v>
      </c>
      <c r="C422">
        <v>55937994</v>
      </c>
      <c r="D422">
        <v>55461750</v>
      </c>
      <c r="E422">
        <v>1</v>
      </c>
      <c r="F422">
        <v>1</v>
      </c>
      <c r="G422">
        <v>1081</v>
      </c>
      <c r="H422">
        <v>3</v>
      </c>
      <c r="I422" t="s">
        <v>606</v>
      </c>
      <c r="J422" t="s">
        <v>607</v>
      </c>
      <c r="K422" t="s">
        <v>608</v>
      </c>
      <c r="L422">
        <v>1355</v>
      </c>
      <c r="N422">
        <v>1010</v>
      </c>
      <c r="O422" t="s">
        <v>60</v>
      </c>
      <c r="P422" t="s">
        <v>60</v>
      </c>
      <c r="Q422">
        <v>100</v>
      </c>
      <c r="X422">
        <v>2.08</v>
      </c>
      <c r="Y422">
        <v>15.04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113</v>
      </c>
      <c r="AG422">
        <v>2.08</v>
      </c>
      <c r="AH422">
        <v>2</v>
      </c>
      <c r="AI422">
        <v>55937998</v>
      </c>
      <c r="AJ422">
        <v>350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ROW(Source!A257)</f>
        <v>257</v>
      </c>
      <c r="B423">
        <v>55937999</v>
      </c>
      <c r="C423">
        <v>55937994</v>
      </c>
      <c r="D423">
        <v>55461849</v>
      </c>
      <c r="E423">
        <v>1</v>
      </c>
      <c r="F423">
        <v>1</v>
      </c>
      <c r="G423">
        <v>1081</v>
      </c>
      <c r="H423">
        <v>3</v>
      </c>
      <c r="I423" t="s">
        <v>609</v>
      </c>
      <c r="J423" t="s">
        <v>610</v>
      </c>
      <c r="K423" t="s">
        <v>611</v>
      </c>
      <c r="L423">
        <v>1355</v>
      </c>
      <c r="N423">
        <v>1010</v>
      </c>
      <c r="O423" t="s">
        <v>60</v>
      </c>
      <c r="P423" t="s">
        <v>60</v>
      </c>
      <c r="Q423">
        <v>100</v>
      </c>
      <c r="X423">
        <v>2.08</v>
      </c>
      <c r="Y423">
        <v>16.16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113</v>
      </c>
      <c r="AG423">
        <v>2.08</v>
      </c>
      <c r="AH423">
        <v>2</v>
      </c>
      <c r="AI423">
        <v>55937999</v>
      </c>
      <c r="AJ423">
        <v>351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ROW(Source!A257)</f>
        <v>257</v>
      </c>
      <c r="B424">
        <v>55938000</v>
      </c>
      <c r="C424">
        <v>55937994</v>
      </c>
      <c r="D424">
        <v>55482445</v>
      </c>
      <c r="E424">
        <v>1</v>
      </c>
      <c r="F424">
        <v>1</v>
      </c>
      <c r="G424">
        <v>1081</v>
      </c>
      <c r="H424">
        <v>3</v>
      </c>
      <c r="I424" t="s">
        <v>612</v>
      </c>
      <c r="J424" t="s">
        <v>613</v>
      </c>
      <c r="K424" t="s">
        <v>614</v>
      </c>
      <c r="L424">
        <v>1356</v>
      </c>
      <c r="N424">
        <v>1010</v>
      </c>
      <c r="O424" t="s">
        <v>353</v>
      </c>
      <c r="P424" t="s">
        <v>353</v>
      </c>
      <c r="Q424">
        <v>1000</v>
      </c>
      <c r="X424">
        <v>0.20399999999999999</v>
      </c>
      <c r="Y424">
        <v>294.89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113</v>
      </c>
      <c r="AG424">
        <v>0.20399999999999999</v>
      </c>
      <c r="AH424">
        <v>2</v>
      </c>
      <c r="AI424">
        <v>55938000</v>
      </c>
      <c r="AJ424">
        <v>352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ROW(Source!A257)</f>
        <v>257</v>
      </c>
      <c r="B425">
        <v>55938001</v>
      </c>
      <c r="C425">
        <v>55937994</v>
      </c>
      <c r="D425">
        <v>55481831</v>
      </c>
      <c r="E425">
        <v>1</v>
      </c>
      <c r="F425">
        <v>1</v>
      </c>
      <c r="G425">
        <v>1081</v>
      </c>
      <c r="H425">
        <v>3</v>
      </c>
      <c r="I425" t="s">
        <v>615</v>
      </c>
      <c r="J425" t="s">
        <v>616</v>
      </c>
      <c r="K425" t="s">
        <v>617</v>
      </c>
      <c r="L425">
        <v>1354</v>
      </c>
      <c r="N425">
        <v>1010</v>
      </c>
      <c r="O425" t="s">
        <v>217</v>
      </c>
      <c r="P425" t="s">
        <v>217</v>
      </c>
      <c r="Q425">
        <v>1</v>
      </c>
      <c r="X425">
        <v>204</v>
      </c>
      <c r="Y425">
        <v>5.16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113</v>
      </c>
      <c r="AG425">
        <v>204</v>
      </c>
      <c r="AH425">
        <v>2</v>
      </c>
      <c r="AI425">
        <v>55938001</v>
      </c>
      <c r="AJ425">
        <v>353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ROW(Source!A257)</f>
        <v>257</v>
      </c>
      <c r="B426">
        <v>55938002</v>
      </c>
      <c r="C426">
        <v>55937994</v>
      </c>
      <c r="D426">
        <v>55437307</v>
      </c>
      <c r="E426">
        <v>1081</v>
      </c>
      <c r="F426">
        <v>1</v>
      </c>
      <c r="G426">
        <v>1081</v>
      </c>
      <c r="H426">
        <v>3</v>
      </c>
      <c r="I426" t="s">
        <v>669</v>
      </c>
      <c r="J426" t="s">
        <v>3</v>
      </c>
      <c r="K426" t="s">
        <v>670</v>
      </c>
      <c r="L426">
        <v>1303</v>
      </c>
      <c r="N426">
        <v>1003</v>
      </c>
      <c r="O426" t="s">
        <v>337</v>
      </c>
      <c r="P426" t="s">
        <v>337</v>
      </c>
      <c r="Q426">
        <v>1000</v>
      </c>
      <c r="X426">
        <v>0.10199999999999999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113</v>
      </c>
      <c r="AG426">
        <v>0.10199999999999999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ROW(Source!A260)</f>
        <v>260</v>
      </c>
      <c r="B427">
        <v>55938024</v>
      </c>
      <c r="C427">
        <v>55938020</v>
      </c>
      <c r="D427">
        <v>55424304</v>
      </c>
      <c r="E427">
        <v>1081</v>
      </c>
      <c r="F427">
        <v>1</v>
      </c>
      <c r="G427">
        <v>1081</v>
      </c>
      <c r="H427">
        <v>1</v>
      </c>
      <c r="I427" t="s">
        <v>449</v>
      </c>
      <c r="J427" t="s">
        <v>3</v>
      </c>
      <c r="K427" t="s">
        <v>450</v>
      </c>
      <c r="L427">
        <v>1191</v>
      </c>
      <c r="N427">
        <v>1013</v>
      </c>
      <c r="O427" t="s">
        <v>451</v>
      </c>
      <c r="P427" t="s">
        <v>451</v>
      </c>
      <c r="Q427">
        <v>1</v>
      </c>
      <c r="X427">
        <v>1.26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114</v>
      </c>
      <c r="AG427">
        <v>1.512</v>
      </c>
      <c r="AH427">
        <v>2</v>
      </c>
      <c r="AI427">
        <v>55938024</v>
      </c>
      <c r="AJ427">
        <v>355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ROW(Source!A260)</f>
        <v>260</v>
      </c>
      <c r="B428">
        <v>55938025</v>
      </c>
      <c r="C428">
        <v>55938020</v>
      </c>
      <c r="D428">
        <v>55465987</v>
      </c>
      <c r="E428">
        <v>1</v>
      </c>
      <c r="F428">
        <v>1</v>
      </c>
      <c r="G428">
        <v>1081</v>
      </c>
      <c r="H428">
        <v>3</v>
      </c>
      <c r="I428" t="s">
        <v>422</v>
      </c>
      <c r="J428" t="s">
        <v>424</v>
      </c>
      <c r="K428" t="s">
        <v>423</v>
      </c>
      <c r="L428">
        <v>1348</v>
      </c>
      <c r="N428">
        <v>1009</v>
      </c>
      <c r="O428" t="s">
        <v>287</v>
      </c>
      <c r="P428" t="s">
        <v>287</v>
      </c>
      <c r="Q428">
        <v>1000</v>
      </c>
      <c r="X428">
        <v>3.0000000000000001E-5</v>
      </c>
      <c r="Y428">
        <v>18995.22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113</v>
      </c>
      <c r="AG428">
        <v>3.0000000000000001E-5</v>
      </c>
      <c r="AH428">
        <v>3</v>
      </c>
      <c r="AI428">
        <v>-1</v>
      </c>
      <c r="AJ428" t="s">
        <v>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ROW(Source!A261)</f>
        <v>261</v>
      </c>
      <c r="B429">
        <v>55938024</v>
      </c>
      <c r="C429">
        <v>55938020</v>
      </c>
      <c r="D429">
        <v>55424304</v>
      </c>
      <c r="E429">
        <v>1081</v>
      </c>
      <c r="F429">
        <v>1</v>
      </c>
      <c r="G429">
        <v>1081</v>
      </c>
      <c r="H429">
        <v>1</v>
      </c>
      <c r="I429" t="s">
        <v>449</v>
      </c>
      <c r="J429" t="s">
        <v>3</v>
      </c>
      <c r="K429" t="s">
        <v>450</v>
      </c>
      <c r="L429">
        <v>1191</v>
      </c>
      <c r="N429">
        <v>1013</v>
      </c>
      <c r="O429" t="s">
        <v>451</v>
      </c>
      <c r="P429" t="s">
        <v>451</v>
      </c>
      <c r="Q429">
        <v>1</v>
      </c>
      <c r="X429">
        <v>1.26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 t="s">
        <v>114</v>
      </c>
      <c r="AG429">
        <v>1.512</v>
      </c>
      <c r="AH429">
        <v>2</v>
      </c>
      <c r="AI429">
        <v>55938024</v>
      </c>
      <c r="AJ429">
        <v>356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ROW(Source!A261)</f>
        <v>261</v>
      </c>
      <c r="B430">
        <v>55938025</v>
      </c>
      <c r="C430">
        <v>55938020</v>
      </c>
      <c r="D430">
        <v>55465987</v>
      </c>
      <c r="E430">
        <v>1</v>
      </c>
      <c r="F430">
        <v>1</v>
      </c>
      <c r="G430">
        <v>1081</v>
      </c>
      <c r="H430">
        <v>3</v>
      </c>
      <c r="I430" t="s">
        <v>422</v>
      </c>
      <c r="J430" t="s">
        <v>424</v>
      </c>
      <c r="K430" t="s">
        <v>423</v>
      </c>
      <c r="L430">
        <v>1348</v>
      </c>
      <c r="N430">
        <v>1009</v>
      </c>
      <c r="O430" t="s">
        <v>287</v>
      </c>
      <c r="P430" t="s">
        <v>287</v>
      </c>
      <c r="Q430">
        <v>1000</v>
      </c>
      <c r="X430">
        <v>3.0000000000000001E-5</v>
      </c>
      <c r="Y430">
        <v>18995.22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113</v>
      </c>
      <c r="AG430">
        <v>3.0000000000000001E-5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113</v>
      </c>
      <c r="E1" t="s">
        <v>114</v>
      </c>
      <c r="F1" t="s">
        <v>114</v>
      </c>
      <c r="G1" t="s">
        <v>114</v>
      </c>
      <c r="H1" t="s">
        <v>3</v>
      </c>
      <c r="I1" t="s">
        <v>114</v>
      </c>
      <c r="J1" t="s">
        <v>114</v>
      </c>
      <c r="K1" t="s">
        <v>3</v>
      </c>
      <c r="L1" t="s">
        <v>3</v>
      </c>
      <c r="M1" t="s">
        <v>3</v>
      </c>
      <c r="N1" t="s">
        <v>113</v>
      </c>
      <c r="O1" t="s">
        <v>114</v>
      </c>
      <c r="P1" t="s">
        <v>3</v>
      </c>
      <c r="Q1" t="s">
        <v>3</v>
      </c>
      <c r="R1" t="s">
        <v>3</v>
      </c>
      <c r="S1" t="s">
        <v>671</v>
      </c>
      <c r="T1" t="s">
        <v>672</v>
      </c>
      <c r="U1" t="s">
        <v>673</v>
      </c>
    </row>
    <row r="2" spans="1:21" x14ac:dyDescent="0.2">
      <c r="A2">
        <v>28</v>
      </c>
      <c r="B2">
        <v>1</v>
      </c>
      <c r="C2" t="s">
        <v>3</v>
      </c>
      <c r="D2" t="s">
        <v>674</v>
      </c>
      <c r="E2" t="s">
        <v>675</v>
      </c>
      <c r="F2" t="s">
        <v>675</v>
      </c>
      <c r="G2" t="s">
        <v>675</v>
      </c>
      <c r="H2" t="s">
        <v>3</v>
      </c>
      <c r="I2" t="s">
        <v>675</v>
      </c>
      <c r="J2" t="s">
        <v>675</v>
      </c>
      <c r="K2" t="s">
        <v>3</v>
      </c>
      <c r="L2" t="s">
        <v>3</v>
      </c>
      <c r="M2" t="s">
        <v>3</v>
      </c>
      <c r="N2" t="s">
        <v>674</v>
      </c>
      <c r="O2" t="s">
        <v>675</v>
      </c>
      <c r="P2" t="s">
        <v>3</v>
      </c>
      <c r="Q2" t="s">
        <v>3</v>
      </c>
      <c r="R2" t="s">
        <v>3</v>
      </c>
      <c r="S2" t="s">
        <v>676</v>
      </c>
      <c r="T2" t="s">
        <v>677</v>
      </c>
      <c r="U2" t="s">
        <v>678</v>
      </c>
    </row>
    <row r="3" spans="1:21" x14ac:dyDescent="0.2">
      <c r="A3">
        <v>29</v>
      </c>
      <c r="B3">
        <v>1</v>
      </c>
      <c r="C3" t="s">
        <v>3</v>
      </c>
      <c r="D3" t="s">
        <v>113</v>
      </c>
      <c r="E3" t="s">
        <v>114</v>
      </c>
      <c r="F3" t="s">
        <v>114</v>
      </c>
      <c r="G3" t="s">
        <v>114</v>
      </c>
      <c r="H3" t="s">
        <v>3</v>
      </c>
      <c r="I3" t="s">
        <v>114</v>
      </c>
      <c r="J3" t="s">
        <v>114</v>
      </c>
      <c r="K3" t="s">
        <v>3</v>
      </c>
      <c r="L3" t="s">
        <v>3</v>
      </c>
      <c r="M3" t="s">
        <v>3</v>
      </c>
      <c r="N3" t="s">
        <v>113</v>
      </c>
      <c r="O3" t="s">
        <v>114</v>
      </c>
      <c r="P3" t="s">
        <v>3</v>
      </c>
      <c r="Q3" t="s">
        <v>3</v>
      </c>
      <c r="R3" t="s">
        <v>3</v>
      </c>
      <c r="S3" t="s">
        <v>671</v>
      </c>
      <c r="T3" t="s">
        <v>672</v>
      </c>
      <c r="U3" t="s">
        <v>673</v>
      </c>
    </row>
    <row r="4" spans="1:21" x14ac:dyDescent="0.2">
      <c r="A4">
        <v>29</v>
      </c>
      <c r="B4">
        <v>1</v>
      </c>
      <c r="C4" t="s">
        <v>3</v>
      </c>
      <c r="D4" t="s">
        <v>674</v>
      </c>
      <c r="E4" t="s">
        <v>675</v>
      </c>
      <c r="F4" t="s">
        <v>675</v>
      </c>
      <c r="G4" t="s">
        <v>675</v>
      </c>
      <c r="H4" t="s">
        <v>3</v>
      </c>
      <c r="I4" t="s">
        <v>675</v>
      </c>
      <c r="J4" t="s">
        <v>675</v>
      </c>
      <c r="K4" t="s">
        <v>3</v>
      </c>
      <c r="L4" t="s">
        <v>3</v>
      </c>
      <c r="M4" t="s">
        <v>3</v>
      </c>
      <c r="N4" t="s">
        <v>674</v>
      </c>
      <c r="O4" t="s">
        <v>675</v>
      </c>
      <c r="P4" t="s">
        <v>3</v>
      </c>
      <c r="Q4" t="s">
        <v>3</v>
      </c>
      <c r="R4" t="s">
        <v>3</v>
      </c>
      <c r="S4" t="s">
        <v>676</v>
      </c>
      <c r="T4" t="s">
        <v>677</v>
      </c>
      <c r="U4" t="s">
        <v>678</v>
      </c>
    </row>
    <row r="5" spans="1:21" x14ac:dyDescent="0.2">
      <c r="A5">
        <v>30</v>
      </c>
      <c r="B5">
        <v>1</v>
      </c>
      <c r="C5" t="s">
        <v>3</v>
      </c>
      <c r="D5" t="s">
        <v>113</v>
      </c>
      <c r="E5" t="s">
        <v>114</v>
      </c>
      <c r="F5" t="s">
        <v>114</v>
      </c>
      <c r="G5" t="s">
        <v>114</v>
      </c>
      <c r="H5" t="s">
        <v>3</v>
      </c>
      <c r="I5" t="s">
        <v>114</v>
      </c>
      <c r="J5" t="s">
        <v>114</v>
      </c>
      <c r="K5" t="s">
        <v>3</v>
      </c>
      <c r="L5" t="s">
        <v>3</v>
      </c>
      <c r="M5" t="s">
        <v>3</v>
      </c>
      <c r="N5" t="s">
        <v>113</v>
      </c>
      <c r="O5" t="s">
        <v>114</v>
      </c>
      <c r="P5" t="s">
        <v>3</v>
      </c>
      <c r="Q5" t="s">
        <v>3</v>
      </c>
      <c r="R5" t="s">
        <v>3</v>
      </c>
      <c r="S5" t="s">
        <v>671</v>
      </c>
      <c r="T5" t="s">
        <v>672</v>
      </c>
      <c r="U5" t="s">
        <v>673</v>
      </c>
    </row>
    <row r="6" spans="1:21" x14ac:dyDescent="0.2">
      <c r="A6">
        <v>30</v>
      </c>
      <c r="B6">
        <v>1</v>
      </c>
      <c r="C6" t="s">
        <v>3</v>
      </c>
      <c r="D6" t="s">
        <v>674</v>
      </c>
      <c r="E6" t="s">
        <v>675</v>
      </c>
      <c r="F6" t="s">
        <v>675</v>
      </c>
      <c r="G6" t="s">
        <v>675</v>
      </c>
      <c r="H6" t="s">
        <v>3</v>
      </c>
      <c r="I6" t="s">
        <v>675</v>
      </c>
      <c r="J6" t="s">
        <v>675</v>
      </c>
      <c r="K6" t="s">
        <v>3</v>
      </c>
      <c r="L6" t="s">
        <v>3</v>
      </c>
      <c r="M6" t="s">
        <v>3</v>
      </c>
      <c r="N6" t="s">
        <v>674</v>
      </c>
      <c r="O6" t="s">
        <v>675</v>
      </c>
      <c r="P6" t="s">
        <v>3</v>
      </c>
      <c r="Q6" t="s">
        <v>3</v>
      </c>
      <c r="R6" t="s">
        <v>3</v>
      </c>
      <c r="S6" t="s">
        <v>676</v>
      </c>
      <c r="T6" t="s">
        <v>677</v>
      </c>
      <c r="U6" t="s">
        <v>678</v>
      </c>
    </row>
    <row r="7" spans="1:21" x14ac:dyDescent="0.2">
      <c r="A7">
        <v>31</v>
      </c>
      <c r="B7">
        <v>1</v>
      </c>
      <c r="C7" t="s">
        <v>3</v>
      </c>
      <c r="D7" t="s">
        <v>113</v>
      </c>
      <c r="E7" t="s">
        <v>114</v>
      </c>
      <c r="F7" t="s">
        <v>114</v>
      </c>
      <c r="G7" t="s">
        <v>114</v>
      </c>
      <c r="H7" t="s">
        <v>3</v>
      </c>
      <c r="I7" t="s">
        <v>114</v>
      </c>
      <c r="J7" t="s">
        <v>114</v>
      </c>
      <c r="K7" t="s">
        <v>3</v>
      </c>
      <c r="L7" t="s">
        <v>3</v>
      </c>
      <c r="M7" t="s">
        <v>3</v>
      </c>
      <c r="N7" t="s">
        <v>113</v>
      </c>
      <c r="O7" t="s">
        <v>114</v>
      </c>
      <c r="P7" t="s">
        <v>3</v>
      </c>
      <c r="Q7" t="s">
        <v>3</v>
      </c>
      <c r="R7" t="s">
        <v>3</v>
      </c>
      <c r="S7" t="s">
        <v>671</v>
      </c>
      <c r="T7" t="s">
        <v>672</v>
      </c>
      <c r="U7" t="s">
        <v>673</v>
      </c>
    </row>
    <row r="8" spans="1:21" x14ac:dyDescent="0.2">
      <c r="A8">
        <v>31</v>
      </c>
      <c r="B8">
        <v>1</v>
      </c>
      <c r="C8" t="s">
        <v>3</v>
      </c>
      <c r="D8" t="s">
        <v>674</v>
      </c>
      <c r="E8" t="s">
        <v>675</v>
      </c>
      <c r="F8" t="s">
        <v>675</v>
      </c>
      <c r="G8" t="s">
        <v>675</v>
      </c>
      <c r="H8" t="s">
        <v>3</v>
      </c>
      <c r="I8" t="s">
        <v>675</v>
      </c>
      <c r="J8" t="s">
        <v>675</v>
      </c>
      <c r="K8" t="s">
        <v>3</v>
      </c>
      <c r="L8" t="s">
        <v>3</v>
      </c>
      <c r="M8" t="s">
        <v>3</v>
      </c>
      <c r="N8" t="s">
        <v>674</v>
      </c>
      <c r="O8" t="s">
        <v>675</v>
      </c>
      <c r="P8" t="s">
        <v>3</v>
      </c>
      <c r="Q8" t="s">
        <v>3</v>
      </c>
      <c r="R8" t="s">
        <v>3</v>
      </c>
      <c r="S8" t="s">
        <v>676</v>
      </c>
      <c r="T8" t="s">
        <v>677</v>
      </c>
      <c r="U8" t="s">
        <v>678</v>
      </c>
    </row>
    <row r="9" spans="1:21" x14ac:dyDescent="0.2">
      <c r="A9">
        <v>32</v>
      </c>
      <c r="B9">
        <v>1</v>
      </c>
      <c r="C9" t="s">
        <v>3</v>
      </c>
      <c r="D9" t="s">
        <v>113</v>
      </c>
      <c r="E9" t="s">
        <v>114</v>
      </c>
      <c r="F9" t="s">
        <v>114</v>
      </c>
      <c r="G9" t="s">
        <v>114</v>
      </c>
      <c r="H9" t="s">
        <v>3</v>
      </c>
      <c r="I9" t="s">
        <v>114</v>
      </c>
      <c r="J9" t="s">
        <v>114</v>
      </c>
      <c r="K9" t="s">
        <v>3</v>
      </c>
      <c r="L9" t="s">
        <v>3</v>
      </c>
      <c r="M9" t="s">
        <v>3</v>
      </c>
      <c r="N9" t="s">
        <v>113</v>
      </c>
      <c r="O9" t="s">
        <v>114</v>
      </c>
      <c r="P9" t="s">
        <v>3</v>
      </c>
      <c r="Q9" t="s">
        <v>3</v>
      </c>
      <c r="R9" t="s">
        <v>3</v>
      </c>
      <c r="S9" t="s">
        <v>671</v>
      </c>
      <c r="T9" t="s">
        <v>672</v>
      </c>
      <c r="U9" t="s">
        <v>673</v>
      </c>
    </row>
    <row r="10" spans="1:21" x14ac:dyDescent="0.2">
      <c r="A10">
        <v>32</v>
      </c>
      <c r="B10">
        <v>1</v>
      </c>
      <c r="C10" t="s">
        <v>3</v>
      </c>
      <c r="D10" t="s">
        <v>674</v>
      </c>
      <c r="E10" t="s">
        <v>675</v>
      </c>
      <c r="F10" t="s">
        <v>675</v>
      </c>
      <c r="G10" t="s">
        <v>675</v>
      </c>
      <c r="H10" t="s">
        <v>3</v>
      </c>
      <c r="I10" t="s">
        <v>675</v>
      </c>
      <c r="J10" t="s">
        <v>675</v>
      </c>
      <c r="K10" t="s">
        <v>3</v>
      </c>
      <c r="L10" t="s">
        <v>3</v>
      </c>
      <c r="M10" t="s">
        <v>3</v>
      </c>
      <c r="N10" t="s">
        <v>674</v>
      </c>
      <c r="O10" t="s">
        <v>675</v>
      </c>
      <c r="P10" t="s">
        <v>3</v>
      </c>
      <c r="Q10" t="s">
        <v>3</v>
      </c>
      <c r="R10" t="s">
        <v>3</v>
      </c>
      <c r="S10" t="s">
        <v>676</v>
      </c>
      <c r="T10" t="s">
        <v>677</v>
      </c>
      <c r="U10" t="s">
        <v>678</v>
      </c>
    </row>
    <row r="11" spans="1:21" x14ac:dyDescent="0.2">
      <c r="A11">
        <v>33</v>
      </c>
      <c r="B11">
        <v>1</v>
      </c>
      <c r="C11" t="s">
        <v>3</v>
      </c>
      <c r="D11" t="s">
        <v>113</v>
      </c>
      <c r="E11" t="s">
        <v>114</v>
      </c>
      <c r="F11" t="s">
        <v>114</v>
      </c>
      <c r="G11" t="s">
        <v>114</v>
      </c>
      <c r="H11" t="s">
        <v>3</v>
      </c>
      <c r="I11" t="s">
        <v>114</v>
      </c>
      <c r="J11" t="s">
        <v>114</v>
      </c>
      <c r="K11" t="s">
        <v>3</v>
      </c>
      <c r="L11" t="s">
        <v>3</v>
      </c>
      <c r="M11" t="s">
        <v>3</v>
      </c>
      <c r="N11" t="s">
        <v>113</v>
      </c>
      <c r="O11" t="s">
        <v>114</v>
      </c>
      <c r="P11" t="s">
        <v>3</v>
      </c>
      <c r="Q11" t="s">
        <v>3</v>
      </c>
      <c r="R11" t="s">
        <v>3</v>
      </c>
      <c r="S11" t="s">
        <v>671</v>
      </c>
      <c r="T11" t="s">
        <v>672</v>
      </c>
      <c r="U11" t="s">
        <v>673</v>
      </c>
    </row>
    <row r="12" spans="1:21" x14ac:dyDescent="0.2">
      <c r="A12">
        <v>33</v>
      </c>
      <c r="B12">
        <v>1</v>
      </c>
      <c r="C12" t="s">
        <v>3</v>
      </c>
      <c r="D12" t="s">
        <v>674</v>
      </c>
      <c r="E12" t="s">
        <v>675</v>
      </c>
      <c r="F12" t="s">
        <v>675</v>
      </c>
      <c r="G12" t="s">
        <v>675</v>
      </c>
      <c r="H12" t="s">
        <v>3</v>
      </c>
      <c r="I12" t="s">
        <v>675</v>
      </c>
      <c r="J12" t="s">
        <v>675</v>
      </c>
      <c r="K12" t="s">
        <v>3</v>
      </c>
      <c r="L12" t="s">
        <v>3</v>
      </c>
      <c r="M12" t="s">
        <v>3</v>
      </c>
      <c r="N12" t="s">
        <v>674</v>
      </c>
      <c r="O12" t="s">
        <v>675</v>
      </c>
      <c r="P12" t="s">
        <v>3</v>
      </c>
      <c r="Q12" t="s">
        <v>3</v>
      </c>
      <c r="R12" t="s">
        <v>3</v>
      </c>
      <c r="S12" t="s">
        <v>676</v>
      </c>
      <c r="T12" t="s">
        <v>677</v>
      </c>
      <c r="U12" t="s">
        <v>678</v>
      </c>
    </row>
    <row r="13" spans="1:21" x14ac:dyDescent="0.2">
      <c r="A13">
        <v>34</v>
      </c>
      <c r="B13">
        <v>1</v>
      </c>
      <c r="C13" t="s">
        <v>3</v>
      </c>
      <c r="D13" t="s">
        <v>113</v>
      </c>
      <c r="E13" t="s">
        <v>114</v>
      </c>
      <c r="F13" t="s">
        <v>114</v>
      </c>
      <c r="G13" t="s">
        <v>114</v>
      </c>
      <c r="H13" t="s">
        <v>3</v>
      </c>
      <c r="I13" t="s">
        <v>114</v>
      </c>
      <c r="J13" t="s">
        <v>114</v>
      </c>
      <c r="K13" t="s">
        <v>3</v>
      </c>
      <c r="L13" t="s">
        <v>3</v>
      </c>
      <c r="M13" t="s">
        <v>3</v>
      </c>
      <c r="N13" t="s">
        <v>113</v>
      </c>
      <c r="O13" t="s">
        <v>114</v>
      </c>
      <c r="P13" t="s">
        <v>3</v>
      </c>
      <c r="Q13" t="s">
        <v>3</v>
      </c>
      <c r="R13" t="s">
        <v>3</v>
      </c>
      <c r="S13" t="s">
        <v>671</v>
      </c>
      <c r="T13" t="s">
        <v>672</v>
      </c>
      <c r="U13" t="s">
        <v>673</v>
      </c>
    </row>
    <row r="14" spans="1:21" x14ac:dyDescent="0.2">
      <c r="A14">
        <v>34</v>
      </c>
      <c r="B14">
        <v>1</v>
      </c>
      <c r="C14" t="s">
        <v>3</v>
      </c>
      <c r="D14" t="s">
        <v>674</v>
      </c>
      <c r="E14" t="s">
        <v>675</v>
      </c>
      <c r="F14" t="s">
        <v>675</v>
      </c>
      <c r="G14" t="s">
        <v>675</v>
      </c>
      <c r="H14" t="s">
        <v>3</v>
      </c>
      <c r="I14" t="s">
        <v>675</v>
      </c>
      <c r="J14" t="s">
        <v>675</v>
      </c>
      <c r="K14" t="s">
        <v>3</v>
      </c>
      <c r="L14" t="s">
        <v>3</v>
      </c>
      <c r="M14" t="s">
        <v>3</v>
      </c>
      <c r="N14" t="s">
        <v>674</v>
      </c>
      <c r="O14" t="s">
        <v>675</v>
      </c>
      <c r="P14" t="s">
        <v>3</v>
      </c>
      <c r="Q14" t="s">
        <v>3</v>
      </c>
      <c r="R14" t="s">
        <v>3</v>
      </c>
      <c r="S14" t="s">
        <v>676</v>
      </c>
      <c r="T14" t="s">
        <v>677</v>
      </c>
      <c r="U14" t="s">
        <v>678</v>
      </c>
    </row>
    <row r="15" spans="1:21" x14ac:dyDescent="0.2">
      <c r="A15">
        <v>35</v>
      </c>
      <c r="B15">
        <v>1</v>
      </c>
      <c r="C15" t="s">
        <v>3</v>
      </c>
      <c r="D15" t="s">
        <v>113</v>
      </c>
      <c r="E15" t="s">
        <v>114</v>
      </c>
      <c r="F15" t="s">
        <v>114</v>
      </c>
      <c r="G15" t="s">
        <v>114</v>
      </c>
      <c r="H15" t="s">
        <v>3</v>
      </c>
      <c r="I15" t="s">
        <v>114</v>
      </c>
      <c r="J15" t="s">
        <v>114</v>
      </c>
      <c r="K15" t="s">
        <v>3</v>
      </c>
      <c r="L15" t="s">
        <v>3</v>
      </c>
      <c r="M15" t="s">
        <v>3</v>
      </c>
      <c r="N15" t="s">
        <v>113</v>
      </c>
      <c r="O15" t="s">
        <v>114</v>
      </c>
      <c r="P15" t="s">
        <v>3</v>
      </c>
      <c r="Q15" t="s">
        <v>3</v>
      </c>
      <c r="R15" t="s">
        <v>3</v>
      </c>
      <c r="S15" t="s">
        <v>671</v>
      </c>
      <c r="T15" t="s">
        <v>672</v>
      </c>
      <c r="U15" t="s">
        <v>673</v>
      </c>
    </row>
    <row r="16" spans="1:21" x14ac:dyDescent="0.2">
      <c r="A16">
        <v>35</v>
      </c>
      <c r="B16">
        <v>1</v>
      </c>
      <c r="C16" t="s">
        <v>3</v>
      </c>
      <c r="D16" t="s">
        <v>674</v>
      </c>
      <c r="E16" t="s">
        <v>675</v>
      </c>
      <c r="F16" t="s">
        <v>675</v>
      </c>
      <c r="G16" t="s">
        <v>675</v>
      </c>
      <c r="H16" t="s">
        <v>3</v>
      </c>
      <c r="I16" t="s">
        <v>675</v>
      </c>
      <c r="J16" t="s">
        <v>675</v>
      </c>
      <c r="K16" t="s">
        <v>3</v>
      </c>
      <c r="L16" t="s">
        <v>3</v>
      </c>
      <c r="M16" t="s">
        <v>3</v>
      </c>
      <c r="N16" t="s">
        <v>674</v>
      </c>
      <c r="O16" t="s">
        <v>675</v>
      </c>
      <c r="P16" t="s">
        <v>3</v>
      </c>
      <c r="Q16" t="s">
        <v>3</v>
      </c>
      <c r="R16" t="s">
        <v>3</v>
      </c>
      <c r="S16" t="s">
        <v>676</v>
      </c>
      <c r="T16" t="s">
        <v>677</v>
      </c>
      <c r="U16" t="s">
        <v>678</v>
      </c>
    </row>
    <row r="17" spans="1:21" x14ac:dyDescent="0.2">
      <c r="A17">
        <v>36</v>
      </c>
      <c r="B17">
        <v>1</v>
      </c>
      <c r="C17" t="s">
        <v>3</v>
      </c>
      <c r="D17" t="s">
        <v>113</v>
      </c>
      <c r="E17" t="s">
        <v>114</v>
      </c>
      <c r="F17" t="s">
        <v>114</v>
      </c>
      <c r="G17" t="s">
        <v>114</v>
      </c>
      <c r="H17" t="s">
        <v>3</v>
      </c>
      <c r="I17" t="s">
        <v>114</v>
      </c>
      <c r="J17" t="s">
        <v>114</v>
      </c>
      <c r="K17" t="s">
        <v>3</v>
      </c>
      <c r="L17" t="s">
        <v>3</v>
      </c>
      <c r="M17" t="s">
        <v>3</v>
      </c>
      <c r="N17" t="s">
        <v>113</v>
      </c>
      <c r="O17" t="s">
        <v>114</v>
      </c>
      <c r="P17" t="s">
        <v>3</v>
      </c>
      <c r="Q17" t="s">
        <v>3</v>
      </c>
      <c r="R17" t="s">
        <v>3</v>
      </c>
      <c r="S17" t="s">
        <v>671</v>
      </c>
      <c r="T17" t="s">
        <v>672</v>
      </c>
      <c r="U17" t="s">
        <v>673</v>
      </c>
    </row>
    <row r="18" spans="1:21" x14ac:dyDescent="0.2">
      <c r="A18">
        <v>36</v>
      </c>
      <c r="B18">
        <v>1</v>
      </c>
      <c r="C18" t="s">
        <v>3</v>
      </c>
      <c r="D18" t="s">
        <v>674</v>
      </c>
      <c r="E18" t="s">
        <v>675</v>
      </c>
      <c r="F18" t="s">
        <v>675</v>
      </c>
      <c r="G18" t="s">
        <v>675</v>
      </c>
      <c r="H18" t="s">
        <v>3</v>
      </c>
      <c r="I18" t="s">
        <v>675</v>
      </c>
      <c r="J18" t="s">
        <v>675</v>
      </c>
      <c r="K18" t="s">
        <v>3</v>
      </c>
      <c r="L18" t="s">
        <v>3</v>
      </c>
      <c r="M18" t="s">
        <v>3</v>
      </c>
      <c r="N18" t="s">
        <v>674</v>
      </c>
      <c r="O18" t="s">
        <v>675</v>
      </c>
      <c r="P18" t="s">
        <v>3</v>
      </c>
      <c r="Q18" t="s">
        <v>3</v>
      </c>
      <c r="R18" t="s">
        <v>3</v>
      </c>
      <c r="S18" t="s">
        <v>676</v>
      </c>
      <c r="T18" t="s">
        <v>677</v>
      </c>
      <c r="U18" t="s">
        <v>678</v>
      </c>
    </row>
    <row r="19" spans="1:21" x14ac:dyDescent="0.2">
      <c r="A19">
        <v>37</v>
      </c>
      <c r="B19">
        <v>1</v>
      </c>
      <c r="C19" t="s">
        <v>3</v>
      </c>
      <c r="D19" t="s">
        <v>113</v>
      </c>
      <c r="E19" t="s">
        <v>114</v>
      </c>
      <c r="F19" t="s">
        <v>114</v>
      </c>
      <c r="G19" t="s">
        <v>114</v>
      </c>
      <c r="H19" t="s">
        <v>3</v>
      </c>
      <c r="I19" t="s">
        <v>114</v>
      </c>
      <c r="J19" t="s">
        <v>114</v>
      </c>
      <c r="K19" t="s">
        <v>3</v>
      </c>
      <c r="L19" t="s">
        <v>3</v>
      </c>
      <c r="M19" t="s">
        <v>3</v>
      </c>
      <c r="N19" t="s">
        <v>113</v>
      </c>
      <c r="O19" t="s">
        <v>114</v>
      </c>
      <c r="P19" t="s">
        <v>3</v>
      </c>
      <c r="Q19" t="s">
        <v>3</v>
      </c>
      <c r="R19" t="s">
        <v>3</v>
      </c>
      <c r="S19" t="s">
        <v>671</v>
      </c>
      <c r="T19" t="s">
        <v>672</v>
      </c>
      <c r="U19" t="s">
        <v>673</v>
      </c>
    </row>
    <row r="20" spans="1:21" x14ac:dyDescent="0.2">
      <c r="A20">
        <v>37</v>
      </c>
      <c r="B20">
        <v>1</v>
      </c>
      <c r="C20" t="s">
        <v>3</v>
      </c>
      <c r="D20" t="s">
        <v>674</v>
      </c>
      <c r="E20" t="s">
        <v>675</v>
      </c>
      <c r="F20" t="s">
        <v>675</v>
      </c>
      <c r="G20" t="s">
        <v>675</v>
      </c>
      <c r="H20" t="s">
        <v>3</v>
      </c>
      <c r="I20" t="s">
        <v>675</v>
      </c>
      <c r="J20" t="s">
        <v>675</v>
      </c>
      <c r="K20" t="s">
        <v>3</v>
      </c>
      <c r="L20" t="s">
        <v>3</v>
      </c>
      <c r="M20" t="s">
        <v>3</v>
      </c>
      <c r="N20" t="s">
        <v>674</v>
      </c>
      <c r="O20" t="s">
        <v>675</v>
      </c>
      <c r="P20" t="s">
        <v>3</v>
      </c>
      <c r="Q20" t="s">
        <v>3</v>
      </c>
      <c r="R20" t="s">
        <v>3</v>
      </c>
      <c r="S20" t="s">
        <v>676</v>
      </c>
      <c r="T20" t="s">
        <v>677</v>
      </c>
      <c r="U20" t="s">
        <v>678</v>
      </c>
    </row>
    <row r="21" spans="1:21" x14ac:dyDescent="0.2">
      <c r="A21">
        <v>38</v>
      </c>
      <c r="B21">
        <v>1</v>
      </c>
      <c r="C21" t="s">
        <v>3</v>
      </c>
      <c r="D21" t="s">
        <v>113</v>
      </c>
      <c r="E21" t="s">
        <v>114</v>
      </c>
      <c r="F21" t="s">
        <v>114</v>
      </c>
      <c r="G21" t="s">
        <v>114</v>
      </c>
      <c r="H21" t="s">
        <v>3</v>
      </c>
      <c r="I21" t="s">
        <v>114</v>
      </c>
      <c r="J21" t="s">
        <v>114</v>
      </c>
      <c r="K21" t="s">
        <v>3</v>
      </c>
      <c r="L21" t="s">
        <v>3</v>
      </c>
      <c r="M21" t="s">
        <v>3</v>
      </c>
      <c r="N21" t="s">
        <v>113</v>
      </c>
      <c r="O21" t="s">
        <v>114</v>
      </c>
      <c r="P21" t="s">
        <v>3</v>
      </c>
      <c r="Q21" t="s">
        <v>3</v>
      </c>
      <c r="R21" t="s">
        <v>3</v>
      </c>
      <c r="S21" t="s">
        <v>671</v>
      </c>
      <c r="T21" t="s">
        <v>672</v>
      </c>
      <c r="U21" t="s">
        <v>673</v>
      </c>
    </row>
    <row r="22" spans="1:21" x14ac:dyDescent="0.2">
      <c r="A22">
        <v>38</v>
      </c>
      <c r="B22">
        <v>1</v>
      </c>
      <c r="C22" t="s">
        <v>3</v>
      </c>
      <c r="D22" t="s">
        <v>674</v>
      </c>
      <c r="E22" t="s">
        <v>675</v>
      </c>
      <c r="F22" t="s">
        <v>675</v>
      </c>
      <c r="G22" t="s">
        <v>675</v>
      </c>
      <c r="H22" t="s">
        <v>3</v>
      </c>
      <c r="I22" t="s">
        <v>675</v>
      </c>
      <c r="J22" t="s">
        <v>675</v>
      </c>
      <c r="K22" t="s">
        <v>3</v>
      </c>
      <c r="L22" t="s">
        <v>3</v>
      </c>
      <c r="M22" t="s">
        <v>3</v>
      </c>
      <c r="N22" t="s">
        <v>674</v>
      </c>
      <c r="O22" t="s">
        <v>675</v>
      </c>
      <c r="P22" t="s">
        <v>3</v>
      </c>
      <c r="Q22" t="s">
        <v>3</v>
      </c>
      <c r="R22" t="s">
        <v>3</v>
      </c>
      <c r="S22" t="s">
        <v>676</v>
      </c>
      <c r="T22" t="s">
        <v>677</v>
      </c>
      <c r="U22" t="s">
        <v>678</v>
      </c>
    </row>
    <row r="23" spans="1:21" x14ac:dyDescent="0.2">
      <c r="A23">
        <v>39</v>
      </c>
      <c r="B23">
        <v>1</v>
      </c>
      <c r="C23" t="s">
        <v>3</v>
      </c>
      <c r="D23" t="s">
        <v>113</v>
      </c>
      <c r="E23" t="s">
        <v>114</v>
      </c>
      <c r="F23" t="s">
        <v>114</v>
      </c>
      <c r="G23" t="s">
        <v>114</v>
      </c>
      <c r="H23" t="s">
        <v>3</v>
      </c>
      <c r="I23" t="s">
        <v>114</v>
      </c>
      <c r="J23" t="s">
        <v>114</v>
      </c>
      <c r="K23" t="s">
        <v>3</v>
      </c>
      <c r="L23" t="s">
        <v>3</v>
      </c>
      <c r="M23" t="s">
        <v>3</v>
      </c>
      <c r="N23" t="s">
        <v>113</v>
      </c>
      <c r="O23" t="s">
        <v>114</v>
      </c>
      <c r="P23" t="s">
        <v>3</v>
      </c>
      <c r="Q23" t="s">
        <v>3</v>
      </c>
      <c r="R23" t="s">
        <v>3</v>
      </c>
      <c r="S23" t="s">
        <v>671</v>
      </c>
      <c r="T23" t="s">
        <v>672</v>
      </c>
      <c r="U23" t="s">
        <v>673</v>
      </c>
    </row>
    <row r="24" spans="1:21" x14ac:dyDescent="0.2">
      <c r="A24">
        <v>39</v>
      </c>
      <c r="B24">
        <v>1</v>
      </c>
      <c r="C24" t="s">
        <v>3</v>
      </c>
      <c r="D24" t="s">
        <v>674</v>
      </c>
      <c r="E24" t="s">
        <v>675</v>
      </c>
      <c r="F24" t="s">
        <v>675</v>
      </c>
      <c r="G24" t="s">
        <v>675</v>
      </c>
      <c r="H24" t="s">
        <v>3</v>
      </c>
      <c r="I24" t="s">
        <v>675</v>
      </c>
      <c r="J24" t="s">
        <v>675</v>
      </c>
      <c r="K24" t="s">
        <v>3</v>
      </c>
      <c r="L24" t="s">
        <v>3</v>
      </c>
      <c r="M24" t="s">
        <v>3</v>
      </c>
      <c r="N24" t="s">
        <v>674</v>
      </c>
      <c r="O24" t="s">
        <v>675</v>
      </c>
      <c r="P24" t="s">
        <v>3</v>
      </c>
      <c r="Q24" t="s">
        <v>3</v>
      </c>
      <c r="R24" t="s">
        <v>3</v>
      </c>
      <c r="S24" t="s">
        <v>676</v>
      </c>
      <c r="T24" t="s">
        <v>677</v>
      </c>
      <c r="U24" t="s">
        <v>678</v>
      </c>
    </row>
    <row r="25" spans="1:21" x14ac:dyDescent="0.2">
      <c r="A25">
        <v>40</v>
      </c>
      <c r="B25">
        <v>1</v>
      </c>
      <c r="C25" t="s">
        <v>3</v>
      </c>
      <c r="D25" t="s">
        <v>113</v>
      </c>
      <c r="E25" t="s">
        <v>114</v>
      </c>
      <c r="F25" t="s">
        <v>114</v>
      </c>
      <c r="G25" t="s">
        <v>114</v>
      </c>
      <c r="H25" t="s">
        <v>3</v>
      </c>
      <c r="I25" t="s">
        <v>114</v>
      </c>
      <c r="J25" t="s">
        <v>114</v>
      </c>
      <c r="K25" t="s">
        <v>3</v>
      </c>
      <c r="L25" t="s">
        <v>3</v>
      </c>
      <c r="M25" t="s">
        <v>3</v>
      </c>
      <c r="N25" t="s">
        <v>113</v>
      </c>
      <c r="O25" t="s">
        <v>114</v>
      </c>
      <c r="P25" t="s">
        <v>3</v>
      </c>
      <c r="Q25" t="s">
        <v>3</v>
      </c>
      <c r="R25" t="s">
        <v>3</v>
      </c>
      <c r="S25" t="s">
        <v>671</v>
      </c>
      <c r="T25" t="s">
        <v>672</v>
      </c>
      <c r="U25" t="s">
        <v>673</v>
      </c>
    </row>
    <row r="26" spans="1:21" x14ac:dyDescent="0.2">
      <c r="A26">
        <v>40</v>
      </c>
      <c r="B26">
        <v>1</v>
      </c>
      <c r="C26" t="s">
        <v>3</v>
      </c>
      <c r="D26" t="s">
        <v>674</v>
      </c>
      <c r="E26" t="s">
        <v>675</v>
      </c>
      <c r="F26" t="s">
        <v>675</v>
      </c>
      <c r="G26" t="s">
        <v>675</v>
      </c>
      <c r="H26" t="s">
        <v>3</v>
      </c>
      <c r="I26" t="s">
        <v>675</v>
      </c>
      <c r="J26" t="s">
        <v>675</v>
      </c>
      <c r="K26" t="s">
        <v>3</v>
      </c>
      <c r="L26" t="s">
        <v>3</v>
      </c>
      <c r="M26" t="s">
        <v>3</v>
      </c>
      <c r="N26" t="s">
        <v>674</v>
      </c>
      <c r="O26" t="s">
        <v>675</v>
      </c>
      <c r="P26" t="s">
        <v>3</v>
      </c>
      <c r="Q26" t="s">
        <v>3</v>
      </c>
      <c r="R26" t="s">
        <v>3</v>
      </c>
      <c r="S26" t="s">
        <v>676</v>
      </c>
      <c r="T26" t="s">
        <v>677</v>
      </c>
      <c r="U26" t="s">
        <v>678</v>
      </c>
    </row>
    <row r="27" spans="1:21" x14ac:dyDescent="0.2">
      <c r="A27">
        <v>41</v>
      </c>
      <c r="B27">
        <v>1</v>
      </c>
      <c r="C27" t="s">
        <v>3</v>
      </c>
      <c r="D27" t="s">
        <v>113</v>
      </c>
      <c r="E27" t="s">
        <v>114</v>
      </c>
      <c r="F27" t="s">
        <v>114</v>
      </c>
      <c r="G27" t="s">
        <v>114</v>
      </c>
      <c r="H27" t="s">
        <v>3</v>
      </c>
      <c r="I27" t="s">
        <v>114</v>
      </c>
      <c r="J27" t="s">
        <v>114</v>
      </c>
      <c r="K27" t="s">
        <v>3</v>
      </c>
      <c r="L27" t="s">
        <v>3</v>
      </c>
      <c r="M27" t="s">
        <v>3</v>
      </c>
      <c r="N27" t="s">
        <v>113</v>
      </c>
      <c r="O27" t="s">
        <v>114</v>
      </c>
      <c r="P27" t="s">
        <v>3</v>
      </c>
      <c r="Q27" t="s">
        <v>3</v>
      </c>
      <c r="R27" t="s">
        <v>3</v>
      </c>
      <c r="S27" t="s">
        <v>671</v>
      </c>
      <c r="T27" t="s">
        <v>672</v>
      </c>
      <c r="U27" t="s">
        <v>673</v>
      </c>
    </row>
    <row r="28" spans="1:21" x14ac:dyDescent="0.2">
      <c r="A28">
        <v>41</v>
      </c>
      <c r="B28">
        <v>1</v>
      </c>
      <c r="C28" t="s">
        <v>3</v>
      </c>
      <c r="D28" t="s">
        <v>674</v>
      </c>
      <c r="E28" t="s">
        <v>675</v>
      </c>
      <c r="F28" t="s">
        <v>675</v>
      </c>
      <c r="G28" t="s">
        <v>675</v>
      </c>
      <c r="H28" t="s">
        <v>3</v>
      </c>
      <c r="I28" t="s">
        <v>675</v>
      </c>
      <c r="J28" t="s">
        <v>675</v>
      </c>
      <c r="K28" t="s">
        <v>3</v>
      </c>
      <c r="L28" t="s">
        <v>3</v>
      </c>
      <c r="M28" t="s">
        <v>3</v>
      </c>
      <c r="N28" t="s">
        <v>674</v>
      </c>
      <c r="O28" t="s">
        <v>675</v>
      </c>
      <c r="P28" t="s">
        <v>3</v>
      </c>
      <c r="Q28" t="s">
        <v>3</v>
      </c>
      <c r="R28" t="s">
        <v>3</v>
      </c>
      <c r="S28" t="s">
        <v>676</v>
      </c>
      <c r="T28" t="s">
        <v>677</v>
      </c>
      <c r="U28" t="s">
        <v>678</v>
      </c>
    </row>
    <row r="29" spans="1:21" x14ac:dyDescent="0.2">
      <c r="A29">
        <v>42</v>
      </c>
      <c r="B29">
        <v>1</v>
      </c>
      <c r="C29" t="s">
        <v>3</v>
      </c>
      <c r="D29" t="s">
        <v>113</v>
      </c>
      <c r="E29" t="s">
        <v>114</v>
      </c>
      <c r="F29" t="s">
        <v>114</v>
      </c>
      <c r="G29" t="s">
        <v>114</v>
      </c>
      <c r="H29" t="s">
        <v>3</v>
      </c>
      <c r="I29" t="s">
        <v>114</v>
      </c>
      <c r="J29" t="s">
        <v>114</v>
      </c>
      <c r="K29" t="s">
        <v>3</v>
      </c>
      <c r="L29" t="s">
        <v>3</v>
      </c>
      <c r="M29" t="s">
        <v>3</v>
      </c>
      <c r="N29" t="s">
        <v>113</v>
      </c>
      <c r="O29" t="s">
        <v>114</v>
      </c>
      <c r="P29" t="s">
        <v>3</v>
      </c>
      <c r="Q29" t="s">
        <v>3</v>
      </c>
      <c r="R29" t="s">
        <v>3</v>
      </c>
      <c r="S29" t="s">
        <v>671</v>
      </c>
      <c r="T29" t="s">
        <v>672</v>
      </c>
      <c r="U29" t="s">
        <v>673</v>
      </c>
    </row>
    <row r="30" spans="1:21" x14ac:dyDescent="0.2">
      <c r="A30">
        <v>42</v>
      </c>
      <c r="B30">
        <v>1</v>
      </c>
      <c r="C30" t="s">
        <v>3</v>
      </c>
      <c r="D30" t="s">
        <v>674</v>
      </c>
      <c r="E30" t="s">
        <v>675</v>
      </c>
      <c r="F30" t="s">
        <v>675</v>
      </c>
      <c r="G30" t="s">
        <v>675</v>
      </c>
      <c r="H30" t="s">
        <v>3</v>
      </c>
      <c r="I30" t="s">
        <v>675</v>
      </c>
      <c r="J30" t="s">
        <v>675</v>
      </c>
      <c r="K30" t="s">
        <v>3</v>
      </c>
      <c r="L30" t="s">
        <v>3</v>
      </c>
      <c r="M30" t="s">
        <v>3</v>
      </c>
      <c r="N30" t="s">
        <v>674</v>
      </c>
      <c r="O30" t="s">
        <v>675</v>
      </c>
      <c r="P30" t="s">
        <v>3</v>
      </c>
      <c r="Q30" t="s">
        <v>3</v>
      </c>
      <c r="R30" t="s">
        <v>3</v>
      </c>
      <c r="S30" t="s">
        <v>676</v>
      </c>
      <c r="T30" t="s">
        <v>677</v>
      </c>
      <c r="U30" t="s">
        <v>678</v>
      </c>
    </row>
    <row r="31" spans="1:21" x14ac:dyDescent="0.2">
      <c r="A31">
        <v>43</v>
      </c>
      <c r="B31">
        <v>1</v>
      </c>
      <c r="C31" t="s">
        <v>3</v>
      </c>
      <c r="D31" t="s">
        <v>113</v>
      </c>
      <c r="E31" t="s">
        <v>114</v>
      </c>
      <c r="F31" t="s">
        <v>114</v>
      </c>
      <c r="G31" t="s">
        <v>114</v>
      </c>
      <c r="H31" t="s">
        <v>3</v>
      </c>
      <c r="I31" t="s">
        <v>114</v>
      </c>
      <c r="J31" t="s">
        <v>114</v>
      </c>
      <c r="K31" t="s">
        <v>3</v>
      </c>
      <c r="L31" t="s">
        <v>3</v>
      </c>
      <c r="M31" t="s">
        <v>3</v>
      </c>
      <c r="N31" t="s">
        <v>113</v>
      </c>
      <c r="O31" t="s">
        <v>114</v>
      </c>
      <c r="P31" t="s">
        <v>3</v>
      </c>
      <c r="Q31" t="s">
        <v>3</v>
      </c>
      <c r="R31" t="s">
        <v>3</v>
      </c>
      <c r="S31" t="s">
        <v>671</v>
      </c>
      <c r="T31" t="s">
        <v>672</v>
      </c>
      <c r="U31" t="s">
        <v>673</v>
      </c>
    </row>
    <row r="32" spans="1:21" x14ac:dyDescent="0.2">
      <c r="A32">
        <v>43</v>
      </c>
      <c r="B32">
        <v>1</v>
      </c>
      <c r="C32" t="s">
        <v>3</v>
      </c>
      <c r="D32" t="s">
        <v>674</v>
      </c>
      <c r="E32" t="s">
        <v>675</v>
      </c>
      <c r="F32" t="s">
        <v>675</v>
      </c>
      <c r="G32" t="s">
        <v>675</v>
      </c>
      <c r="H32" t="s">
        <v>3</v>
      </c>
      <c r="I32" t="s">
        <v>675</v>
      </c>
      <c r="J32" t="s">
        <v>675</v>
      </c>
      <c r="K32" t="s">
        <v>3</v>
      </c>
      <c r="L32" t="s">
        <v>3</v>
      </c>
      <c r="M32" t="s">
        <v>3</v>
      </c>
      <c r="N32" t="s">
        <v>674</v>
      </c>
      <c r="O32" t="s">
        <v>675</v>
      </c>
      <c r="P32" t="s">
        <v>3</v>
      </c>
      <c r="Q32" t="s">
        <v>3</v>
      </c>
      <c r="R32" t="s">
        <v>3</v>
      </c>
      <c r="S32" t="s">
        <v>676</v>
      </c>
      <c r="T32" t="s">
        <v>677</v>
      </c>
      <c r="U32" t="s">
        <v>678</v>
      </c>
    </row>
    <row r="33" spans="1:21" x14ac:dyDescent="0.2">
      <c r="A33">
        <v>44</v>
      </c>
      <c r="B33">
        <v>1</v>
      </c>
      <c r="C33" t="s">
        <v>3</v>
      </c>
      <c r="D33" t="s">
        <v>113</v>
      </c>
      <c r="E33" t="s">
        <v>114</v>
      </c>
      <c r="F33" t="s">
        <v>114</v>
      </c>
      <c r="G33" t="s">
        <v>114</v>
      </c>
      <c r="H33" t="s">
        <v>3</v>
      </c>
      <c r="I33" t="s">
        <v>114</v>
      </c>
      <c r="J33" t="s">
        <v>114</v>
      </c>
      <c r="K33" t="s">
        <v>3</v>
      </c>
      <c r="L33" t="s">
        <v>3</v>
      </c>
      <c r="M33" t="s">
        <v>3</v>
      </c>
      <c r="N33" t="s">
        <v>113</v>
      </c>
      <c r="O33" t="s">
        <v>114</v>
      </c>
      <c r="P33" t="s">
        <v>3</v>
      </c>
      <c r="Q33" t="s">
        <v>3</v>
      </c>
      <c r="R33" t="s">
        <v>3</v>
      </c>
      <c r="S33" t="s">
        <v>671</v>
      </c>
      <c r="T33" t="s">
        <v>672</v>
      </c>
      <c r="U33" t="s">
        <v>673</v>
      </c>
    </row>
    <row r="34" spans="1:21" x14ac:dyDescent="0.2">
      <c r="A34">
        <v>44</v>
      </c>
      <c r="B34">
        <v>1</v>
      </c>
      <c r="C34" t="s">
        <v>3</v>
      </c>
      <c r="D34" t="s">
        <v>674</v>
      </c>
      <c r="E34" t="s">
        <v>675</v>
      </c>
      <c r="F34" t="s">
        <v>675</v>
      </c>
      <c r="G34" t="s">
        <v>675</v>
      </c>
      <c r="H34" t="s">
        <v>3</v>
      </c>
      <c r="I34" t="s">
        <v>675</v>
      </c>
      <c r="J34" t="s">
        <v>675</v>
      </c>
      <c r="K34" t="s">
        <v>3</v>
      </c>
      <c r="L34" t="s">
        <v>3</v>
      </c>
      <c r="M34" t="s">
        <v>3</v>
      </c>
      <c r="N34" t="s">
        <v>674</v>
      </c>
      <c r="O34" t="s">
        <v>675</v>
      </c>
      <c r="P34" t="s">
        <v>3</v>
      </c>
      <c r="Q34" t="s">
        <v>3</v>
      </c>
      <c r="R34" t="s">
        <v>3</v>
      </c>
      <c r="S34" t="s">
        <v>676</v>
      </c>
      <c r="T34" t="s">
        <v>677</v>
      </c>
      <c r="U34" t="s">
        <v>678</v>
      </c>
    </row>
    <row r="35" spans="1:21" x14ac:dyDescent="0.2">
      <c r="A35">
        <v>45</v>
      </c>
      <c r="B35">
        <v>1</v>
      </c>
      <c r="C35" t="s">
        <v>3</v>
      </c>
      <c r="D35" t="s">
        <v>113</v>
      </c>
      <c r="E35" t="s">
        <v>114</v>
      </c>
      <c r="F35" t="s">
        <v>114</v>
      </c>
      <c r="G35" t="s">
        <v>114</v>
      </c>
      <c r="H35" t="s">
        <v>3</v>
      </c>
      <c r="I35" t="s">
        <v>114</v>
      </c>
      <c r="J35" t="s">
        <v>114</v>
      </c>
      <c r="K35" t="s">
        <v>3</v>
      </c>
      <c r="L35" t="s">
        <v>3</v>
      </c>
      <c r="M35" t="s">
        <v>3</v>
      </c>
      <c r="N35" t="s">
        <v>113</v>
      </c>
      <c r="O35" t="s">
        <v>114</v>
      </c>
      <c r="P35" t="s">
        <v>3</v>
      </c>
      <c r="Q35" t="s">
        <v>3</v>
      </c>
      <c r="R35" t="s">
        <v>3</v>
      </c>
      <c r="S35" t="s">
        <v>671</v>
      </c>
      <c r="T35" t="s">
        <v>672</v>
      </c>
      <c r="U35" t="s">
        <v>673</v>
      </c>
    </row>
    <row r="36" spans="1:21" x14ac:dyDescent="0.2">
      <c r="A36">
        <v>45</v>
      </c>
      <c r="B36">
        <v>1</v>
      </c>
      <c r="C36" t="s">
        <v>3</v>
      </c>
      <c r="D36" t="s">
        <v>674</v>
      </c>
      <c r="E36" t="s">
        <v>675</v>
      </c>
      <c r="F36" t="s">
        <v>675</v>
      </c>
      <c r="G36" t="s">
        <v>675</v>
      </c>
      <c r="H36" t="s">
        <v>3</v>
      </c>
      <c r="I36" t="s">
        <v>675</v>
      </c>
      <c r="J36" t="s">
        <v>675</v>
      </c>
      <c r="K36" t="s">
        <v>3</v>
      </c>
      <c r="L36" t="s">
        <v>3</v>
      </c>
      <c r="M36" t="s">
        <v>3</v>
      </c>
      <c r="N36" t="s">
        <v>674</v>
      </c>
      <c r="O36" t="s">
        <v>675</v>
      </c>
      <c r="P36" t="s">
        <v>3</v>
      </c>
      <c r="Q36" t="s">
        <v>3</v>
      </c>
      <c r="R36" t="s">
        <v>3</v>
      </c>
      <c r="S36" t="s">
        <v>676</v>
      </c>
      <c r="T36" t="s">
        <v>677</v>
      </c>
      <c r="U36" t="s">
        <v>678</v>
      </c>
    </row>
    <row r="37" spans="1:21" x14ac:dyDescent="0.2">
      <c r="A37">
        <v>46</v>
      </c>
      <c r="B37">
        <v>1</v>
      </c>
      <c r="C37" t="s">
        <v>3</v>
      </c>
      <c r="D37" t="s">
        <v>113</v>
      </c>
      <c r="E37" t="s">
        <v>114</v>
      </c>
      <c r="F37" t="s">
        <v>114</v>
      </c>
      <c r="G37" t="s">
        <v>114</v>
      </c>
      <c r="H37" t="s">
        <v>3</v>
      </c>
      <c r="I37" t="s">
        <v>114</v>
      </c>
      <c r="J37" t="s">
        <v>114</v>
      </c>
      <c r="K37" t="s">
        <v>3</v>
      </c>
      <c r="L37" t="s">
        <v>3</v>
      </c>
      <c r="M37" t="s">
        <v>3</v>
      </c>
      <c r="N37" t="s">
        <v>113</v>
      </c>
      <c r="O37" t="s">
        <v>114</v>
      </c>
      <c r="P37" t="s">
        <v>3</v>
      </c>
      <c r="Q37" t="s">
        <v>3</v>
      </c>
      <c r="R37" t="s">
        <v>3</v>
      </c>
      <c r="S37" t="s">
        <v>671</v>
      </c>
      <c r="T37" t="s">
        <v>672</v>
      </c>
      <c r="U37" t="s">
        <v>673</v>
      </c>
    </row>
    <row r="38" spans="1:21" x14ac:dyDescent="0.2">
      <c r="A38">
        <v>46</v>
      </c>
      <c r="B38">
        <v>1</v>
      </c>
      <c r="C38" t="s">
        <v>3</v>
      </c>
      <c r="D38" t="s">
        <v>674</v>
      </c>
      <c r="E38" t="s">
        <v>675</v>
      </c>
      <c r="F38" t="s">
        <v>675</v>
      </c>
      <c r="G38" t="s">
        <v>675</v>
      </c>
      <c r="H38" t="s">
        <v>3</v>
      </c>
      <c r="I38" t="s">
        <v>675</v>
      </c>
      <c r="J38" t="s">
        <v>675</v>
      </c>
      <c r="K38" t="s">
        <v>3</v>
      </c>
      <c r="L38" t="s">
        <v>3</v>
      </c>
      <c r="M38" t="s">
        <v>3</v>
      </c>
      <c r="N38" t="s">
        <v>674</v>
      </c>
      <c r="O38" t="s">
        <v>675</v>
      </c>
      <c r="P38" t="s">
        <v>3</v>
      </c>
      <c r="Q38" t="s">
        <v>3</v>
      </c>
      <c r="R38" t="s">
        <v>3</v>
      </c>
      <c r="S38" t="s">
        <v>676</v>
      </c>
      <c r="T38" t="s">
        <v>677</v>
      </c>
      <c r="U38" t="s">
        <v>678</v>
      </c>
    </row>
    <row r="39" spans="1:21" x14ac:dyDescent="0.2">
      <c r="A39">
        <v>47</v>
      </c>
      <c r="B39">
        <v>1</v>
      </c>
      <c r="C39" t="s">
        <v>3</v>
      </c>
      <c r="D39" t="s">
        <v>113</v>
      </c>
      <c r="E39" t="s">
        <v>114</v>
      </c>
      <c r="F39" t="s">
        <v>114</v>
      </c>
      <c r="G39" t="s">
        <v>114</v>
      </c>
      <c r="H39" t="s">
        <v>3</v>
      </c>
      <c r="I39" t="s">
        <v>114</v>
      </c>
      <c r="J39" t="s">
        <v>114</v>
      </c>
      <c r="K39" t="s">
        <v>3</v>
      </c>
      <c r="L39" t="s">
        <v>3</v>
      </c>
      <c r="M39" t="s">
        <v>3</v>
      </c>
      <c r="N39" t="s">
        <v>113</v>
      </c>
      <c r="O39" t="s">
        <v>114</v>
      </c>
      <c r="P39" t="s">
        <v>3</v>
      </c>
      <c r="Q39" t="s">
        <v>3</v>
      </c>
      <c r="R39" t="s">
        <v>3</v>
      </c>
      <c r="S39" t="s">
        <v>671</v>
      </c>
      <c r="T39" t="s">
        <v>672</v>
      </c>
      <c r="U39" t="s">
        <v>673</v>
      </c>
    </row>
    <row r="40" spans="1:21" x14ac:dyDescent="0.2">
      <c r="A40">
        <v>47</v>
      </c>
      <c r="B40">
        <v>1</v>
      </c>
      <c r="C40" t="s">
        <v>3</v>
      </c>
      <c r="D40" t="s">
        <v>674</v>
      </c>
      <c r="E40" t="s">
        <v>675</v>
      </c>
      <c r="F40" t="s">
        <v>675</v>
      </c>
      <c r="G40" t="s">
        <v>675</v>
      </c>
      <c r="H40" t="s">
        <v>3</v>
      </c>
      <c r="I40" t="s">
        <v>675</v>
      </c>
      <c r="J40" t="s">
        <v>675</v>
      </c>
      <c r="K40" t="s">
        <v>3</v>
      </c>
      <c r="L40" t="s">
        <v>3</v>
      </c>
      <c r="M40" t="s">
        <v>3</v>
      </c>
      <c r="N40" t="s">
        <v>674</v>
      </c>
      <c r="O40" t="s">
        <v>675</v>
      </c>
      <c r="P40" t="s">
        <v>3</v>
      </c>
      <c r="Q40" t="s">
        <v>3</v>
      </c>
      <c r="R40" t="s">
        <v>3</v>
      </c>
      <c r="S40" t="s">
        <v>676</v>
      </c>
      <c r="T40" t="s">
        <v>677</v>
      </c>
      <c r="U40" t="s">
        <v>678</v>
      </c>
    </row>
    <row r="41" spans="1:21" x14ac:dyDescent="0.2">
      <c r="A41">
        <v>48</v>
      </c>
      <c r="B41">
        <v>1</v>
      </c>
      <c r="C41" t="s">
        <v>3</v>
      </c>
      <c r="D41" t="s">
        <v>113</v>
      </c>
      <c r="E41" t="s">
        <v>679</v>
      </c>
      <c r="F41" t="s">
        <v>679</v>
      </c>
      <c r="G41" t="s">
        <v>680</v>
      </c>
      <c r="H41" t="s">
        <v>3</v>
      </c>
      <c r="I41" t="s">
        <v>680</v>
      </c>
      <c r="J41" t="s">
        <v>679</v>
      </c>
      <c r="K41" t="s">
        <v>3</v>
      </c>
      <c r="L41" t="s">
        <v>3</v>
      </c>
      <c r="M41" t="s">
        <v>3</v>
      </c>
      <c r="N41" t="s">
        <v>113</v>
      </c>
      <c r="O41" t="s">
        <v>679</v>
      </c>
      <c r="P41" t="s">
        <v>3</v>
      </c>
      <c r="Q41" t="s">
        <v>3</v>
      </c>
      <c r="R41" t="s">
        <v>3</v>
      </c>
      <c r="S41" t="s">
        <v>681</v>
      </c>
      <c r="T41" t="s">
        <v>682</v>
      </c>
      <c r="U41" t="s">
        <v>683</v>
      </c>
    </row>
    <row r="42" spans="1:21" x14ac:dyDescent="0.2">
      <c r="A42">
        <v>48</v>
      </c>
      <c r="B42">
        <v>1</v>
      </c>
      <c r="C42" t="s">
        <v>3</v>
      </c>
      <c r="D42" t="s">
        <v>113</v>
      </c>
      <c r="E42" t="s">
        <v>114</v>
      </c>
      <c r="F42" t="s">
        <v>114</v>
      </c>
      <c r="G42" t="s">
        <v>114</v>
      </c>
      <c r="H42" t="s">
        <v>3</v>
      </c>
      <c r="I42" t="s">
        <v>114</v>
      </c>
      <c r="J42" t="s">
        <v>114</v>
      </c>
      <c r="K42" t="s">
        <v>3</v>
      </c>
      <c r="L42" t="s">
        <v>3</v>
      </c>
      <c r="M42" t="s">
        <v>3</v>
      </c>
      <c r="N42" t="s">
        <v>113</v>
      </c>
      <c r="O42" t="s">
        <v>114</v>
      </c>
      <c r="P42" t="s">
        <v>3</v>
      </c>
      <c r="Q42" t="s">
        <v>3</v>
      </c>
      <c r="R42" t="s">
        <v>3</v>
      </c>
      <c r="S42" t="s">
        <v>671</v>
      </c>
      <c r="T42" t="s">
        <v>672</v>
      </c>
      <c r="U42" t="s">
        <v>673</v>
      </c>
    </row>
    <row r="43" spans="1:21" x14ac:dyDescent="0.2">
      <c r="A43">
        <v>48</v>
      </c>
      <c r="B43">
        <v>1</v>
      </c>
      <c r="C43" t="s">
        <v>3</v>
      </c>
      <c r="D43" t="s">
        <v>684</v>
      </c>
      <c r="E43" t="s">
        <v>684</v>
      </c>
      <c r="F43" t="s">
        <v>684</v>
      </c>
      <c r="G43" t="s">
        <v>684</v>
      </c>
      <c r="H43" t="s">
        <v>3</v>
      </c>
      <c r="I43" t="s">
        <v>684</v>
      </c>
      <c r="J43" t="s">
        <v>684</v>
      </c>
      <c r="K43" t="s">
        <v>3</v>
      </c>
      <c r="L43" t="s">
        <v>3</v>
      </c>
      <c r="M43" t="s">
        <v>3</v>
      </c>
      <c r="N43" t="s">
        <v>684</v>
      </c>
      <c r="O43" t="s">
        <v>684</v>
      </c>
      <c r="P43" t="s">
        <v>3</v>
      </c>
      <c r="Q43" t="s">
        <v>3</v>
      </c>
      <c r="R43" t="s">
        <v>3</v>
      </c>
      <c r="S43" t="s">
        <v>685</v>
      </c>
      <c r="T43" t="s">
        <v>686</v>
      </c>
      <c r="U43" t="s">
        <v>683</v>
      </c>
    </row>
    <row r="44" spans="1:21" x14ac:dyDescent="0.2">
      <c r="A44">
        <v>49</v>
      </c>
      <c r="B44">
        <v>1</v>
      </c>
      <c r="C44" t="s">
        <v>3</v>
      </c>
      <c r="D44" t="s">
        <v>113</v>
      </c>
      <c r="E44" t="s">
        <v>679</v>
      </c>
      <c r="F44" t="s">
        <v>679</v>
      </c>
      <c r="G44" t="s">
        <v>680</v>
      </c>
      <c r="H44" t="s">
        <v>3</v>
      </c>
      <c r="I44" t="s">
        <v>680</v>
      </c>
      <c r="J44" t="s">
        <v>679</v>
      </c>
      <c r="K44" t="s">
        <v>3</v>
      </c>
      <c r="L44" t="s">
        <v>3</v>
      </c>
      <c r="M44" t="s">
        <v>3</v>
      </c>
      <c r="N44" t="s">
        <v>113</v>
      </c>
      <c r="O44" t="s">
        <v>679</v>
      </c>
      <c r="P44" t="s">
        <v>3</v>
      </c>
      <c r="Q44" t="s">
        <v>3</v>
      </c>
      <c r="R44" t="s">
        <v>3</v>
      </c>
      <c r="S44" t="s">
        <v>681</v>
      </c>
      <c r="T44" t="s">
        <v>682</v>
      </c>
      <c r="U44" t="s">
        <v>683</v>
      </c>
    </row>
    <row r="45" spans="1:21" x14ac:dyDescent="0.2">
      <c r="A45">
        <v>49</v>
      </c>
      <c r="B45">
        <v>1</v>
      </c>
      <c r="C45" t="s">
        <v>3</v>
      </c>
      <c r="D45" t="s">
        <v>113</v>
      </c>
      <c r="E45" t="s">
        <v>114</v>
      </c>
      <c r="F45" t="s">
        <v>114</v>
      </c>
      <c r="G45" t="s">
        <v>114</v>
      </c>
      <c r="H45" t="s">
        <v>3</v>
      </c>
      <c r="I45" t="s">
        <v>114</v>
      </c>
      <c r="J45" t="s">
        <v>114</v>
      </c>
      <c r="K45" t="s">
        <v>3</v>
      </c>
      <c r="L45" t="s">
        <v>3</v>
      </c>
      <c r="M45" t="s">
        <v>3</v>
      </c>
      <c r="N45" t="s">
        <v>113</v>
      </c>
      <c r="O45" t="s">
        <v>114</v>
      </c>
      <c r="P45" t="s">
        <v>3</v>
      </c>
      <c r="Q45" t="s">
        <v>3</v>
      </c>
      <c r="R45" t="s">
        <v>3</v>
      </c>
      <c r="S45" t="s">
        <v>671</v>
      </c>
      <c r="T45" t="s">
        <v>672</v>
      </c>
      <c r="U45" t="s">
        <v>673</v>
      </c>
    </row>
    <row r="46" spans="1:21" x14ac:dyDescent="0.2">
      <c r="A46">
        <v>49</v>
      </c>
      <c r="B46">
        <v>1</v>
      </c>
      <c r="C46" t="s">
        <v>3</v>
      </c>
      <c r="D46" t="s">
        <v>684</v>
      </c>
      <c r="E46" t="s">
        <v>684</v>
      </c>
      <c r="F46" t="s">
        <v>684</v>
      </c>
      <c r="G46" t="s">
        <v>684</v>
      </c>
      <c r="H46" t="s">
        <v>3</v>
      </c>
      <c r="I46" t="s">
        <v>684</v>
      </c>
      <c r="J46" t="s">
        <v>684</v>
      </c>
      <c r="K46" t="s">
        <v>3</v>
      </c>
      <c r="L46" t="s">
        <v>3</v>
      </c>
      <c r="M46" t="s">
        <v>3</v>
      </c>
      <c r="N46" t="s">
        <v>684</v>
      </c>
      <c r="O46" t="s">
        <v>684</v>
      </c>
      <c r="P46" t="s">
        <v>3</v>
      </c>
      <c r="Q46" t="s">
        <v>3</v>
      </c>
      <c r="R46" t="s">
        <v>3</v>
      </c>
      <c r="S46" t="s">
        <v>685</v>
      </c>
      <c r="T46" t="s">
        <v>686</v>
      </c>
      <c r="U46" t="s">
        <v>683</v>
      </c>
    </row>
    <row r="47" spans="1:21" x14ac:dyDescent="0.2">
      <c r="A47">
        <v>50</v>
      </c>
      <c r="B47">
        <v>1</v>
      </c>
      <c r="C47" t="s">
        <v>3</v>
      </c>
      <c r="D47" t="s">
        <v>113</v>
      </c>
      <c r="E47" t="s">
        <v>114</v>
      </c>
      <c r="F47" t="s">
        <v>114</v>
      </c>
      <c r="G47" t="s">
        <v>114</v>
      </c>
      <c r="H47" t="s">
        <v>3</v>
      </c>
      <c r="I47" t="s">
        <v>114</v>
      </c>
      <c r="J47" t="s">
        <v>114</v>
      </c>
      <c r="K47" t="s">
        <v>3</v>
      </c>
      <c r="L47" t="s">
        <v>3</v>
      </c>
      <c r="M47" t="s">
        <v>3</v>
      </c>
      <c r="N47" t="s">
        <v>113</v>
      </c>
      <c r="O47" t="s">
        <v>114</v>
      </c>
      <c r="P47" t="s">
        <v>3</v>
      </c>
      <c r="Q47" t="s">
        <v>3</v>
      </c>
      <c r="R47" t="s">
        <v>3</v>
      </c>
      <c r="S47" t="s">
        <v>671</v>
      </c>
      <c r="T47" t="s">
        <v>672</v>
      </c>
      <c r="U47" t="s">
        <v>673</v>
      </c>
    </row>
    <row r="48" spans="1:21" x14ac:dyDescent="0.2">
      <c r="A48">
        <v>50</v>
      </c>
      <c r="B48">
        <v>1</v>
      </c>
      <c r="C48" t="s">
        <v>3</v>
      </c>
      <c r="D48" t="s">
        <v>674</v>
      </c>
      <c r="E48" t="s">
        <v>675</v>
      </c>
      <c r="F48" t="s">
        <v>675</v>
      </c>
      <c r="G48" t="s">
        <v>675</v>
      </c>
      <c r="H48" t="s">
        <v>3</v>
      </c>
      <c r="I48" t="s">
        <v>675</v>
      </c>
      <c r="J48" t="s">
        <v>675</v>
      </c>
      <c r="K48" t="s">
        <v>3</v>
      </c>
      <c r="L48" t="s">
        <v>3</v>
      </c>
      <c r="M48" t="s">
        <v>3</v>
      </c>
      <c r="N48" t="s">
        <v>674</v>
      </c>
      <c r="O48" t="s">
        <v>675</v>
      </c>
      <c r="P48" t="s">
        <v>3</v>
      </c>
      <c r="Q48" t="s">
        <v>3</v>
      </c>
      <c r="R48" t="s">
        <v>3</v>
      </c>
      <c r="S48" t="s">
        <v>676</v>
      </c>
      <c r="T48" t="s">
        <v>677</v>
      </c>
      <c r="U48" t="s">
        <v>678</v>
      </c>
    </row>
    <row r="49" spans="1:21" x14ac:dyDescent="0.2">
      <c r="A49">
        <v>51</v>
      </c>
      <c r="B49">
        <v>1</v>
      </c>
      <c r="C49" t="s">
        <v>3</v>
      </c>
      <c r="D49" t="s">
        <v>113</v>
      </c>
      <c r="E49" t="s">
        <v>114</v>
      </c>
      <c r="F49" t="s">
        <v>114</v>
      </c>
      <c r="G49" t="s">
        <v>114</v>
      </c>
      <c r="H49" t="s">
        <v>3</v>
      </c>
      <c r="I49" t="s">
        <v>114</v>
      </c>
      <c r="J49" t="s">
        <v>114</v>
      </c>
      <c r="K49" t="s">
        <v>3</v>
      </c>
      <c r="L49" t="s">
        <v>3</v>
      </c>
      <c r="M49" t="s">
        <v>3</v>
      </c>
      <c r="N49" t="s">
        <v>113</v>
      </c>
      <c r="O49" t="s">
        <v>114</v>
      </c>
      <c r="P49" t="s">
        <v>3</v>
      </c>
      <c r="Q49" t="s">
        <v>3</v>
      </c>
      <c r="R49" t="s">
        <v>3</v>
      </c>
      <c r="S49" t="s">
        <v>671</v>
      </c>
      <c r="T49" t="s">
        <v>672</v>
      </c>
      <c r="U49" t="s">
        <v>673</v>
      </c>
    </row>
    <row r="50" spans="1:21" x14ac:dyDescent="0.2">
      <c r="A50">
        <v>51</v>
      </c>
      <c r="B50">
        <v>1</v>
      </c>
      <c r="C50" t="s">
        <v>3</v>
      </c>
      <c r="D50" t="s">
        <v>674</v>
      </c>
      <c r="E50" t="s">
        <v>675</v>
      </c>
      <c r="F50" t="s">
        <v>675</v>
      </c>
      <c r="G50" t="s">
        <v>675</v>
      </c>
      <c r="H50" t="s">
        <v>3</v>
      </c>
      <c r="I50" t="s">
        <v>675</v>
      </c>
      <c r="J50" t="s">
        <v>675</v>
      </c>
      <c r="K50" t="s">
        <v>3</v>
      </c>
      <c r="L50" t="s">
        <v>3</v>
      </c>
      <c r="M50" t="s">
        <v>3</v>
      </c>
      <c r="N50" t="s">
        <v>674</v>
      </c>
      <c r="O50" t="s">
        <v>675</v>
      </c>
      <c r="P50" t="s">
        <v>3</v>
      </c>
      <c r="Q50" t="s">
        <v>3</v>
      </c>
      <c r="R50" t="s">
        <v>3</v>
      </c>
      <c r="S50" t="s">
        <v>676</v>
      </c>
      <c r="T50" t="s">
        <v>677</v>
      </c>
      <c r="U50" t="s">
        <v>678</v>
      </c>
    </row>
    <row r="51" spans="1:21" x14ac:dyDescent="0.2">
      <c r="A51">
        <v>52</v>
      </c>
      <c r="B51">
        <v>1</v>
      </c>
      <c r="C51" t="s">
        <v>3</v>
      </c>
      <c r="D51" t="s">
        <v>113</v>
      </c>
      <c r="E51" t="s">
        <v>679</v>
      </c>
      <c r="F51" t="s">
        <v>679</v>
      </c>
      <c r="G51" t="s">
        <v>680</v>
      </c>
      <c r="H51" t="s">
        <v>3</v>
      </c>
      <c r="I51" t="s">
        <v>680</v>
      </c>
      <c r="J51" t="s">
        <v>679</v>
      </c>
      <c r="K51" t="s">
        <v>3</v>
      </c>
      <c r="L51" t="s">
        <v>3</v>
      </c>
      <c r="M51" t="s">
        <v>3</v>
      </c>
      <c r="N51" t="s">
        <v>113</v>
      </c>
      <c r="O51" t="s">
        <v>679</v>
      </c>
      <c r="P51" t="s">
        <v>3</v>
      </c>
      <c r="Q51" t="s">
        <v>3</v>
      </c>
      <c r="R51" t="s">
        <v>3</v>
      </c>
      <c r="S51" t="s">
        <v>681</v>
      </c>
      <c r="T51" t="s">
        <v>682</v>
      </c>
      <c r="U51" t="s">
        <v>683</v>
      </c>
    </row>
    <row r="52" spans="1:21" x14ac:dyDescent="0.2">
      <c r="A52">
        <v>52</v>
      </c>
      <c r="B52">
        <v>1</v>
      </c>
      <c r="C52" t="s">
        <v>3</v>
      </c>
      <c r="D52" t="s">
        <v>113</v>
      </c>
      <c r="E52" t="s">
        <v>114</v>
      </c>
      <c r="F52" t="s">
        <v>114</v>
      </c>
      <c r="G52" t="s">
        <v>114</v>
      </c>
      <c r="H52" t="s">
        <v>3</v>
      </c>
      <c r="I52" t="s">
        <v>114</v>
      </c>
      <c r="J52" t="s">
        <v>114</v>
      </c>
      <c r="K52" t="s">
        <v>3</v>
      </c>
      <c r="L52" t="s">
        <v>3</v>
      </c>
      <c r="M52" t="s">
        <v>3</v>
      </c>
      <c r="N52" t="s">
        <v>113</v>
      </c>
      <c r="O52" t="s">
        <v>114</v>
      </c>
      <c r="P52" t="s">
        <v>3</v>
      </c>
      <c r="Q52" t="s">
        <v>3</v>
      </c>
      <c r="R52" t="s">
        <v>3</v>
      </c>
      <c r="S52" t="s">
        <v>671</v>
      </c>
      <c r="T52" t="s">
        <v>672</v>
      </c>
      <c r="U52" t="s">
        <v>673</v>
      </c>
    </row>
    <row r="53" spans="1:21" x14ac:dyDescent="0.2">
      <c r="A53">
        <v>52</v>
      </c>
      <c r="B53">
        <v>1</v>
      </c>
      <c r="C53" t="s">
        <v>3</v>
      </c>
      <c r="D53" t="s">
        <v>684</v>
      </c>
      <c r="E53" t="s">
        <v>684</v>
      </c>
      <c r="F53" t="s">
        <v>684</v>
      </c>
      <c r="G53" t="s">
        <v>684</v>
      </c>
      <c r="H53" t="s">
        <v>3</v>
      </c>
      <c r="I53" t="s">
        <v>684</v>
      </c>
      <c r="J53" t="s">
        <v>684</v>
      </c>
      <c r="K53" t="s">
        <v>3</v>
      </c>
      <c r="L53" t="s">
        <v>3</v>
      </c>
      <c r="M53" t="s">
        <v>3</v>
      </c>
      <c r="N53" t="s">
        <v>684</v>
      </c>
      <c r="O53" t="s">
        <v>684</v>
      </c>
      <c r="P53" t="s">
        <v>3</v>
      </c>
      <c r="Q53" t="s">
        <v>3</v>
      </c>
      <c r="R53" t="s">
        <v>3</v>
      </c>
      <c r="S53" t="s">
        <v>685</v>
      </c>
      <c r="T53" t="s">
        <v>686</v>
      </c>
      <c r="U53" t="s">
        <v>683</v>
      </c>
    </row>
    <row r="54" spans="1:21" x14ac:dyDescent="0.2">
      <c r="A54">
        <v>53</v>
      </c>
      <c r="B54">
        <v>1</v>
      </c>
      <c r="C54" t="s">
        <v>3</v>
      </c>
      <c r="D54" t="s">
        <v>113</v>
      </c>
      <c r="E54" t="s">
        <v>679</v>
      </c>
      <c r="F54" t="s">
        <v>679</v>
      </c>
      <c r="G54" t="s">
        <v>680</v>
      </c>
      <c r="H54" t="s">
        <v>3</v>
      </c>
      <c r="I54" t="s">
        <v>680</v>
      </c>
      <c r="J54" t="s">
        <v>679</v>
      </c>
      <c r="K54" t="s">
        <v>3</v>
      </c>
      <c r="L54" t="s">
        <v>3</v>
      </c>
      <c r="M54" t="s">
        <v>3</v>
      </c>
      <c r="N54" t="s">
        <v>113</v>
      </c>
      <c r="O54" t="s">
        <v>679</v>
      </c>
      <c r="P54" t="s">
        <v>3</v>
      </c>
      <c r="Q54" t="s">
        <v>3</v>
      </c>
      <c r="R54" t="s">
        <v>3</v>
      </c>
      <c r="S54" t="s">
        <v>681</v>
      </c>
      <c r="T54" t="s">
        <v>682</v>
      </c>
      <c r="U54" t="s">
        <v>683</v>
      </c>
    </row>
    <row r="55" spans="1:21" x14ac:dyDescent="0.2">
      <c r="A55">
        <v>53</v>
      </c>
      <c r="B55">
        <v>1</v>
      </c>
      <c r="C55" t="s">
        <v>3</v>
      </c>
      <c r="D55" t="s">
        <v>113</v>
      </c>
      <c r="E55" t="s">
        <v>114</v>
      </c>
      <c r="F55" t="s">
        <v>114</v>
      </c>
      <c r="G55" t="s">
        <v>114</v>
      </c>
      <c r="H55" t="s">
        <v>3</v>
      </c>
      <c r="I55" t="s">
        <v>114</v>
      </c>
      <c r="J55" t="s">
        <v>114</v>
      </c>
      <c r="K55" t="s">
        <v>3</v>
      </c>
      <c r="L55" t="s">
        <v>3</v>
      </c>
      <c r="M55" t="s">
        <v>3</v>
      </c>
      <c r="N55" t="s">
        <v>113</v>
      </c>
      <c r="O55" t="s">
        <v>114</v>
      </c>
      <c r="P55" t="s">
        <v>3</v>
      </c>
      <c r="Q55" t="s">
        <v>3</v>
      </c>
      <c r="R55" t="s">
        <v>3</v>
      </c>
      <c r="S55" t="s">
        <v>671</v>
      </c>
      <c r="T55" t="s">
        <v>672</v>
      </c>
      <c r="U55" t="s">
        <v>673</v>
      </c>
    </row>
    <row r="56" spans="1:21" x14ac:dyDescent="0.2">
      <c r="A56">
        <v>53</v>
      </c>
      <c r="B56">
        <v>1</v>
      </c>
      <c r="C56" t="s">
        <v>3</v>
      </c>
      <c r="D56" t="s">
        <v>684</v>
      </c>
      <c r="E56" t="s">
        <v>684</v>
      </c>
      <c r="F56" t="s">
        <v>684</v>
      </c>
      <c r="G56" t="s">
        <v>684</v>
      </c>
      <c r="H56" t="s">
        <v>3</v>
      </c>
      <c r="I56" t="s">
        <v>684</v>
      </c>
      <c r="J56" t="s">
        <v>684</v>
      </c>
      <c r="K56" t="s">
        <v>3</v>
      </c>
      <c r="L56" t="s">
        <v>3</v>
      </c>
      <c r="M56" t="s">
        <v>3</v>
      </c>
      <c r="N56" t="s">
        <v>684</v>
      </c>
      <c r="O56" t="s">
        <v>684</v>
      </c>
      <c r="P56" t="s">
        <v>3</v>
      </c>
      <c r="Q56" t="s">
        <v>3</v>
      </c>
      <c r="R56" t="s">
        <v>3</v>
      </c>
      <c r="S56" t="s">
        <v>685</v>
      </c>
      <c r="T56" t="s">
        <v>686</v>
      </c>
      <c r="U56" t="s">
        <v>683</v>
      </c>
    </row>
    <row r="57" spans="1:21" x14ac:dyDescent="0.2">
      <c r="A57">
        <v>54</v>
      </c>
      <c r="B57">
        <v>1</v>
      </c>
      <c r="C57" t="s">
        <v>3</v>
      </c>
      <c r="D57" t="s">
        <v>113</v>
      </c>
      <c r="E57" t="s">
        <v>679</v>
      </c>
      <c r="F57" t="s">
        <v>679</v>
      </c>
      <c r="G57" t="s">
        <v>680</v>
      </c>
      <c r="H57" t="s">
        <v>3</v>
      </c>
      <c r="I57" t="s">
        <v>680</v>
      </c>
      <c r="J57" t="s">
        <v>679</v>
      </c>
      <c r="K57" t="s">
        <v>3</v>
      </c>
      <c r="L57" t="s">
        <v>3</v>
      </c>
      <c r="M57" t="s">
        <v>3</v>
      </c>
      <c r="N57" t="s">
        <v>113</v>
      </c>
      <c r="O57" t="s">
        <v>679</v>
      </c>
      <c r="P57" t="s">
        <v>3</v>
      </c>
      <c r="Q57" t="s">
        <v>3</v>
      </c>
      <c r="R57" t="s">
        <v>3</v>
      </c>
      <c r="S57" t="s">
        <v>681</v>
      </c>
      <c r="T57" t="s">
        <v>682</v>
      </c>
      <c r="U57" t="s">
        <v>683</v>
      </c>
    </row>
    <row r="58" spans="1:21" x14ac:dyDescent="0.2">
      <c r="A58">
        <v>54</v>
      </c>
      <c r="B58">
        <v>1</v>
      </c>
      <c r="C58" t="s">
        <v>3</v>
      </c>
      <c r="D58" t="s">
        <v>113</v>
      </c>
      <c r="E58" t="s">
        <v>114</v>
      </c>
      <c r="F58" t="s">
        <v>114</v>
      </c>
      <c r="G58" t="s">
        <v>114</v>
      </c>
      <c r="H58" t="s">
        <v>3</v>
      </c>
      <c r="I58" t="s">
        <v>114</v>
      </c>
      <c r="J58" t="s">
        <v>114</v>
      </c>
      <c r="K58" t="s">
        <v>3</v>
      </c>
      <c r="L58" t="s">
        <v>3</v>
      </c>
      <c r="M58" t="s">
        <v>3</v>
      </c>
      <c r="N58" t="s">
        <v>113</v>
      </c>
      <c r="O58" t="s">
        <v>114</v>
      </c>
      <c r="P58" t="s">
        <v>3</v>
      </c>
      <c r="Q58" t="s">
        <v>3</v>
      </c>
      <c r="R58" t="s">
        <v>3</v>
      </c>
      <c r="S58" t="s">
        <v>671</v>
      </c>
      <c r="T58" t="s">
        <v>672</v>
      </c>
      <c r="U58" t="s">
        <v>673</v>
      </c>
    </row>
    <row r="59" spans="1:21" x14ac:dyDescent="0.2">
      <c r="A59">
        <v>54</v>
      </c>
      <c r="B59">
        <v>1</v>
      </c>
      <c r="C59" t="s">
        <v>3</v>
      </c>
      <c r="D59" t="s">
        <v>684</v>
      </c>
      <c r="E59" t="s">
        <v>684</v>
      </c>
      <c r="F59" t="s">
        <v>684</v>
      </c>
      <c r="G59" t="s">
        <v>684</v>
      </c>
      <c r="H59" t="s">
        <v>3</v>
      </c>
      <c r="I59" t="s">
        <v>684</v>
      </c>
      <c r="J59" t="s">
        <v>684</v>
      </c>
      <c r="K59" t="s">
        <v>3</v>
      </c>
      <c r="L59" t="s">
        <v>3</v>
      </c>
      <c r="M59" t="s">
        <v>3</v>
      </c>
      <c r="N59" t="s">
        <v>684</v>
      </c>
      <c r="O59" t="s">
        <v>684</v>
      </c>
      <c r="P59" t="s">
        <v>3</v>
      </c>
      <c r="Q59" t="s">
        <v>3</v>
      </c>
      <c r="R59" t="s">
        <v>3</v>
      </c>
      <c r="S59" t="s">
        <v>685</v>
      </c>
      <c r="T59" t="s">
        <v>686</v>
      </c>
      <c r="U59" t="s">
        <v>683</v>
      </c>
    </row>
    <row r="60" spans="1:21" x14ac:dyDescent="0.2">
      <c r="A60">
        <v>55</v>
      </c>
      <c r="B60">
        <v>1</v>
      </c>
      <c r="C60" t="s">
        <v>3</v>
      </c>
      <c r="D60" t="s">
        <v>113</v>
      </c>
      <c r="E60" t="s">
        <v>679</v>
      </c>
      <c r="F60" t="s">
        <v>679</v>
      </c>
      <c r="G60" t="s">
        <v>680</v>
      </c>
      <c r="H60" t="s">
        <v>3</v>
      </c>
      <c r="I60" t="s">
        <v>680</v>
      </c>
      <c r="J60" t="s">
        <v>679</v>
      </c>
      <c r="K60" t="s">
        <v>3</v>
      </c>
      <c r="L60" t="s">
        <v>3</v>
      </c>
      <c r="M60" t="s">
        <v>3</v>
      </c>
      <c r="N60" t="s">
        <v>113</v>
      </c>
      <c r="O60" t="s">
        <v>679</v>
      </c>
      <c r="P60" t="s">
        <v>3</v>
      </c>
      <c r="Q60" t="s">
        <v>3</v>
      </c>
      <c r="R60" t="s">
        <v>3</v>
      </c>
      <c r="S60" t="s">
        <v>681</v>
      </c>
      <c r="T60" t="s">
        <v>682</v>
      </c>
      <c r="U60" t="s">
        <v>683</v>
      </c>
    </row>
    <row r="61" spans="1:21" x14ac:dyDescent="0.2">
      <c r="A61">
        <v>55</v>
      </c>
      <c r="B61">
        <v>1</v>
      </c>
      <c r="C61" t="s">
        <v>3</v>
      </c>
      <c r="D61" t="s">
        <v>113</v>
      </c>
      <c r="E61" t="s">
        <v>114</v>
      </c>
      <c r="F61" t="s">
        <v>114</v>
      </c>
      <c r="G61" t="s">
        <v>114</v>
      </c>
      <c r="H61" t="s">
        <v>3</v>
      </c>
      <c r="I61" t="s">
        <v>114</v>
      </c>
      <c r="J61" t="s">
        <v>114</v>
      </c>
      <c r="K61" t="s">
        <v>3</v>
      </c>
      <c r="L61" t="s">
        <v>3</v>
      </c>
      <c r="M61" t="s">
        <v>3</v>
      </c>
      <c r="N61" t="s">
        <v>113</v>
      </c>
      <c r="O61" t="s">
        <v>114</v>
      </c>
      <c r="P61" t="s">
        <v>3</v>
      </c>
      <c r="Q61" t="s">
        <v>3</v>
      </c>
      <c r="R61" t="s">
        <v>3</v>
      </c>
      <c r="S61" t="s">
        <v>671</v>
      </c>
      <c r="T61" t="s">
        <v>672</v>
      </c>
      <c r="U61" t="s">
        <v>673</v>
      </c>
    </row>
    <row r="62" spans="1:21" x14ac:dyDescent="0.2">
      <c r="A62">
        <v>55</v>
      </c>
      <c r="B62">
        <v>1</v>
      </c>
      <c r="C62" t="s">
        <v>3</v>
      </c>
      <c r="D62" t="s">
        <v>684</v>
      </c>
      <c r="E62" t="s">
        <v>684</v>
      </c>
      <c r="F62" t="s">
        <v>684</v>
      </c>
      <c r="G62" t="s">
        <v>684</v>
      </c>
      <c r="H62" t="s">
        <v>3</v>
      </c>
      <c r="I62" t="s">
        <v>684</v>
      </c>
      <c r="J62" t="s">
        <v>684</v>
      </c>
      <c r="K62" t="s">
        <v>3</v>
      </c>
      <c r="L62" t="s">
        <v>3</v>
      </c>
      <c r="M62" t="s">
        <v>3</v>
      </c>
      <c r="N62" t="s">
        <v>684</v>
      </c>
      <c r="O62" t="s">
        <v>684</v>
      </c>
      <c r="P62" t="s">
        <v>3</v>
      </c>
      <c r="Q62" t="s">
        <v>3</v>
      </c>
      <c r="R62" t="s">
        <v>3</v>
      </c>
      <c r="S62" t="s">
        <v>685</v>
      </c>
      <c r="T62" t="s">
        <v>686</v>
      </c>
      <c r="U62" t="s">
        <v>683</v>
      </c>
    </row>
    <row r="63" spans="1:21" x14ac:dyDescent="0.2">
      <c r="A63">
        <v>56</v>
      </c>
      <c r="B63">
        <v>1</v>
      </c>
      <c r="C63" t="s">
        <v>3</v>
      </c>
      <c r="D63" t="s">
        <v>113</v>
      </c>
      <c r="E63" t="s">
        <v>679</v>
      </c>
      <c r="F63" t="s">
        <v>679</v>
      </c>
      <c r="G63" t="s">
        <v>680</v>
      </c>
      <c r="H63" t="s">
        <v>3</v>
      </c>
      <c r="I63" t="s">
        <v>680</v>
      </c>
      <c r="J63" t="s">
        <v>679</v>
      </c>
      <c r="K63" t="s">
        <v>3</v>
      </c>
      <c r="L63" t="s">
        <v>3</v>
      </c>
      <c r="M63" t="s">
        <v>3</v>
      </c>
      <c r="N63" t="s">
        <v>113</v>
      </c>
      <c r="O63" t="s">
        <v>679</v>
      </c>
      <c r="P63" t="s">
        <v>3</v>
      </c>
      <c r="Q63" t="s">
        <v>3</v>
      </c>
      <c r="R63" t="s">
        <v>3</v>
      </c>
      <c r="S63" t="s">
        <v>681</v>
      </c>
      <c r="T63" t="s">
        <v>682</v>
      </c>
      <c r="U63" t="s">
        <v>683</v>
      </c>
    </row>
    <row r="64" spans="1:21" x14ac:dyDescent="0.2">
      <c r="A64">
        <v>56</v>
      </c>
      <c r="B64">
        <v>1</v>
      </c>
      <c r="C64" t="s">
        <v>3</v>
      </c>
      <c r="D64" t="s">
        <v>113</v>
      </c>
      <c r="E64" t="s">
        <v>114</v>
      </c>
      <c r="F64" t="s">
        <v>114</v>
      </c>
      <c r="G64" t="s">
        <v>114</v>
      </c>
      <c r="H64" t="s">
        <v>3</v>
      </c>
      <c r="I64" t="s">
        <v>114</v>
      </c>
      <c r="J64" t="s">
        <v>114</v>
      </c>
      <c r="K64" t="s">
        <v>3</v>
      </c>
      <c r="L64" t="s">
        <v>3</v>
      </c>
      <c r="M64" t="s">
        <v>3</v>
      </c>
      <c r="N64" t="s">
        <v>113</v>
      </c>
      <c r="O64" t="s">
        <v>114</v>
      </c>
      <c r="P64" t="s">
        <v>3</v>
      </c>
      <c r="Q64" t="s">
        <v>3</v>
      </c>
      <c r="R64" t="s">
        <v>3</v>
      </c>
      <c r="S64" t="s">
        <v>671</v>
      </c>
      <c r="T64" t="s">
        <v>672</v>
      </c>
      <c r="U64" t="s">
        <v>673</v>
      </c>
    </row>
    <row r="65" spans="1:21" x14ac:dyDescent="0.2">
      <c r="A65">
        <v>56</v>
      </c>
      <c r="B65">
        <v>1</v>
      </c>
      <c r="C65" t="s">
        <v>3</v>
      </c>
      <c r="D65" t="s">
        <v>684</v>
      </c>
      <c r="E65" t="s">
        <v>684</v>
      </c>
      <c r="F65" t="s">
        <v>684</v>
      </c>
      <c r="G65" t="s">
        <v>684</v>
      </c>
      <c r="H65" t="s">
        <v>3</v>
      </c>
      <c r="I65" t="s">
        <v>684</v>
      </c>
      <c r="J65" t="s">
        <v>684</v>
      </c>
      <c r="K65" t="s">
        <v>3</v>
      </c>
      <c r="L65" t="s">
        <v>3</v>
      </c>
      <c r="M65" t="s">
        <v>3</v>
      </c>
      <c r="N65" t="s">
        <v>684</v>
      </c>
      <c r="O65" t="s">
        <v>684</v>
      </c>
      <c r="P65" t="s">
        <v>3</v>
      </c>
      <c r="Q65" t="s">
        <v>3</v>
      </c>
      <c r="R65" t="s">
        <v>3</v>
      </c>
      <c r="S65" t="s">
        <v>685</v>
      </c>
      <c r="T65" t="s">
        <v>686</v>
      </c>
      <c r="U65" t="s">
        <v>683</v>
      </c>
    </row>
    <row r="66" spans="1:21" x14ac:dyDescent="0.2">
      <c r="A66">
        <v>57</v>
      </c>
      <c r="B66">
        <v>1</v>
      </c>
      <c r="C66" t="s">
        <v>3</v>
      </c>
      <c r="D66" t="s">
        <v>113</v>
      </c>
      <c r="E66" t="s">
        <v>679</v>
      </c>
      <c r="F66" t="s">
        <v>679</v>
      </c>
      <c r="G66" t="s">
        <v>680</v>
      </c>
      <c r="H66" t="s">
        <v>3</v>
      </c>
      <c r="I66" t="s">
        <v>680</v>
      </c>
      <c r="J66" t="s">
        <v>679</v>
      </c>
      <c r="K66" t="s">
        <v>3</v>
      </c>
      <c r="L66" t="s">
        <v>3</v>
      </c>
      <c r="M66" t="s">
        <v>3</v>
      </c>
      <c r="N66" t="s">
        <v>113</v>
      </c>
      <c r="O66" t="s">
        <v>679</v>
      </c>
      <c r="P66" t="s">
        <v>3</v>
      </c>
      <c r="Q66" t="s">
        <v>3</v>
      </c>
      <c r="R66" t="s">
        <v>3</v>
      </c>
      <c r="S66" t="s">
        <v>681</v>
      </c>
      <c r="T66" t="s">
        <v>682</v>
      </c>
      <c r="U66" t="s">
        <v>683</v>
      </c>
    </row>
    <row r="67" spans="1:21" x14ac:dyDescent="0.2">
      <c r="A67">
        <v>57</v>
      </c>
      <c r="B67">
        <v>1</v>
      </c>
      <c r="C67" t="s">
        <v>3</v>
      </c>
      <c r="D67" t="s">
        <v>113</v>
      </c>
      <c r="E67" t="s">
        <v>114</v>
      </c>
      <c r="F67" t="s">
        <v>114</v>
      </c>
      <c r="G67" t="s">
        <v>114</v>
      </c>
      <c r="H67" t="s">
        <v>3</v>
      </c>
      <c r="I67" t="s">
        <v>114</v>
      </c>
      <c r="J67" t="s">
        <v>114</v>
      </c>
      <c r="K67" t="s">
        <v>3</v>
      </c>
      <c r="L67" t="s">
        <v>3</v>
      </c>
      <c r="M67" t="s">
        <v>3</v>
      </c>
      <c r="N67" t="s">
        <v>113</v>
      </c>
      <c r="O67" t="s">
        <v>114</v>
      </c>
      <c r="P67" t="s">
        <v>3</v>
      </c>
      <c r="Q67" t="s">
        <v>3</v>
      </c>
      <c r="R67" t="s">
        <v>3</v>
      </c>
      <c r="S67" t="s">
        <v>671</v>
      </c>
      <c r="T67" t="s">
        <v>672</v>
      </c>
      <c r="U67" t="s">
        <v>673</v>
      </c>
    </row>
    <row r="68" spans="1:21" x14ac:dyDescent="0.2">
      <c r="A68">
        <v>57</v>
      </c>
      <c r="B68">
        <v>1</v>
      </c>
      <c r="C68" t="s">
        <v>3</v>
      </c>
      <c r="D68" t="s">
        <v>684</v>
      </c>
      <c r="E68" t="s">
        <v>684</v>
      </c>
      <c r="F68" t="s">
        <v>684</v>
      </c>
      <c r="G68" t="s">
        <v>684</v>
      </c>
      <c r="H68" t="s">
        <v>3</v>
      </c>
      <c r="I68" t="s">
        <v>684</v>
      </c>
      <c r="J68" t="s">
        <v>684</v>
      </c>
      <c r="K68" t="s">
        <v>3</v>
      </c>
      <c r="L68" t="s">
        <v>3</v>
      </c>
      <c r="M68" t="s">
        <v>3</v>
      </c>
      <c r="N68" t="s">
        <v>684</v>
      </c>
      <c r="O68" t="s">
        <v>684</v>
      </c>
      <c r="P68" t="s">
        <v>3</v>
      </c>
      <c r="Q68" t="s">
        <v>3</v>
      </c>
      <c r="R68" t="s">
        <v>3</v>
      </c>
      <c r="S68" t="s">
        <v>685</v>
      </c>
      <c r="T68" t="s">
        <v>686</v>
      </c>
      <c r="U68" t="s">
        <v>683</v>
      </c>
    </row>
    <row r="69" spans="1:21" x14ac:dyDescent="0.2">
      <c r="A69">
        <v>58</v>
      </c>
      <c r="B69">
        <v>1</v>
      </c>
      <c r="C69" t="s">
        <v>3</v>
      </c>
      <c r="D69" t="s">
        <v>113</v>
      </c>
      <c r="E69" t="s">
        <v>114</v>
      </c>
      <c r="F69" t="s">
        <v>114</v>
      </c>
      <c r="G69" t="s">
        <v>114</v>
      </c>
      <c r="H69" t="s">
        <v>3</v>
      </c>
      <c r="I69" t="s">
        <v>114</v>
      </c>
      <c r="J69" t="s">
        <v>114</v>
      </c>
      <c r="K69" t="s">
        <v>3</v>
      </c>
      <c r="L69" t="s">
        <v>3</v>
      </c>
      <c r="M69" t="s">
        <v>3</v>
      </c>
      <c r="N69" t="s">
        <v>113</v>
      </c>
      <c r="O69" t="s">
        <v>114</v>
      </c>
      <c r="P69" t="s">
        <v>3</v>
      </c>
      <c r="Q69" t="s">
        <v>3</v>
      </c>
      <c r="R69" t="s">
        <v>3</v>
      </c>
      <c r="S69" t="s">
        <v>671</v>
      </c>
      <c r="T69" t="s">
        <v>672</v>
      </c>
      <c r="U69" t="s">
        <v>673</v>
      </c>
    </row>
    <row r="70" spans="1:21" x14ac:dyDescent="0.2">
      <c r="A70">
        <v>59</v>
      </c>
      <c r="B70">
        <v>1</v>
      </c>
      <c r="C70" t="s">
        <v>3</v>
      </c>
      <c r="D70" t="s">
        <v>113</v>
      </c>
      <c r="E70" t="s">
        <v>114</v>
      </c>
      <c r="F70" t="s">
        <v>114</v>
      </c>
      <c r="G70" t="s">
        <v>114</v>
      </c>
      <c r="H70" t="s">
        <v>3</v>
      </c>
      <c r="I70" t="s">
        <v>114</v>
      </c>
      <c r="J70" t="s">
        <v>114</v>
      </c>
      <c r="K70" t="s">
        <v>3</v>
      </c>
      <c r="L70" t="s">
        <v>3</v>
      </c>
      <c r="M70" t="s">
        <v>3</v>
      </c>
      <c r="N70" t="s">
        <v>113</v>
      </c>
      <c r="O70" t="s">
        <v>114</v>
      </c>
      <c r="P70" t="s">
        <v>3</v>
      </c>
      <c r="Q70" t="s">
        <v>3</v>
      </c>
      <c r="R70" t="s">
        <v>3</v>
      </c>
      <c r="S70" t="s">
        <v>671</v>
      </c>
      <c r="T70" t="s">
        <v>672</v>
      </c>
      <c r="U70" t="s">
        <v>673</v>
      </c>
    </row>
    <row r="71" spans="1:21" x14ac:dyDescent="0.2">
      <c r="A71">
        <v>60</v>
      </c>
      <c r="B71">
        <v>1</v>
      </c>
      <c r="C71" t="s">
        <v>3</v>
      </c>
      <c r="D71" t="s">
        <v>113</v>
      </c>
      <c r="E71" t="s">
        <v>114</v>
      </c>
      <c r="F71" t="s">
        <v>114</v>
      </c>
      <c r="G71" t="s">
        <v>114</v>
      </c>
      <c r="H71" t="s">
        <v>3</v>
      </c>
      <c r="I71" t="s">
        <v>114</v>
      </c>
      <c r="J71" t="s">
        <v>114</v>
      </c>
      <c r="K71" t="s">
        <v>3</v>
      </c>
      <c r="L71" t="s">
        <v>3</v>
      </c>
      <c r="M71" t="s">
        <v>3</v>
      </c>
      <c r="N71" t="s">
        <v>113</v>
      </c>
      <c r="O71" t="s">
        <v>114</v>
      </c>
      <c r="P71" t="s">
        <v>3</v>
      </c>
      <c r="Q71" t="s">
        <v>3</v>
      </c>
      <c r="R71" t="s">
        <v>3</v>
      </c>
      <c r="S71" t="s">
        <v>671</v>
      </c>
      <c r="T71" t="s">
        <v>672</v>
      </c>
      <c r="U71" t="s">
        <v>673</v>
      </c>
    </row>
    <row r="72" spans="1:21" x14ac:dyDescent="0.2">
      <c r="A72">
        <v>61</v>
      </c>
      <c r="B72">
        <v>1</v>
      </c>
      <c r="C72" t="s">
        <v>3</v>
      </c>
      <c r="D72" t="s">
        <v>113</v>
      </c>
      <c r="E72" t="s">
        <v>114</v>
      </c>
      <c r="F72" t="s">
        <v>114</v>
      </c>
      <c r="G72" t="s">
        <v>114</v>
      </c>
      <c r="H72" t="s">
        <v>3</v>
      </c>
      <c r="I72" t="s">
        <v>114</v>
      </c>
      <c r="J72" t="s">
        <v>114</v>
      </c>
      <c r="K72" t="s">
        <v>3</v>
      </c>
      <c r="L72" t="s">
        <v>3</v>
      </c>
      <c r="M72" t="s">
        <v>3</v>
      </c>
      <c r="N72" t="s">
        <v>113</v>
      </c>
      <c r="O72" t="s">
        <v>114</v>
      </c>
      <c r="P72" t="s">
        <v>3</v>
      </c>
      <c r="Q72" t="s">
        <v>3</v>
      </c>
      <c r="R72" t="s">
        <v>3</v>
      </c>
      <c r="S72" t="s">
        <v>671</v>
      </c>
      <c r="T72" t="s">
        <v>672</v>
      </c>
      <c r="U72" t="s">
        <v>673</v>
      </c>
    </row>
    <row r="73" spans="1:21" x14ac:dyDescent="0.2">
      <c r="A73">
        <v>97</v>
      </c>
      <c r="B73">
        <v>1</v>
      </c>
      <c r="C73" t="s">
        <v>3</v>
      </c>
      <c r="D73" t="s">
        <v>113</v>
      </c>
      <c r="E73" t="s">
        <v>114</v>
      </c>
      <c r="F73" t="s">
        <v>114</v>
      </c>
      <c r="G73" t="s">
        <v>114</v>
      </c>
      <c r="H73" t="s">
        <v>3</v>
      </c>
      <c r="I73" t="s">
        <v>114</v>
      </c>
      <c r="J73" t="s">
        <v>114</v>
      </c>
      <c r="K73" t="s">
        <v>3</v>
      </c>
      <c r="L73" t="s">
        <v>3</v>
      </c>
      <c r="M73" t="s">
        <v>3</v>
      </c>
      <c r="N73" t="s">
        <v>113</v>
      </c>
      <c r="O73" t="s">
        <v>114</v>
      </c>
      <c r="P73" t="s">
        <v>3</v>
      </c>
      <c r="Q73" t="s">
        <v>3</v>
      </c>
      <c r="R73" t="s">
        <v>3</v>
      </c>
      <c r="S73" t="s">
        <v>671</v>
      </c>
      <c r="T73" t="s">
        <v>672</v>
      </c>
      <c r="U73" t="s">
        <v>673</v>
      </c>
    </row>
    <row r="74" spans="1:21" x14ac:dyDescent="0.2">
      <c r="A74">
        <v>98</v>
      </c>
      <c r="B74">
        <v>1</v>
      </c>
      <c r="C74" t="s">
        <v>3</v>
      </c>
      <c r="D74" t="s">
        <v>113</v>
      </c>
      <c r="E74" t="s">
        <v>114</v>
      </c>
      <c r="F74" t="s">
        <v>114</v>
      </c>
      <c r="G74" t="s">
        <v>114</v>
      </c>
      <c r="H74" t="s">
        <v>3</v>
      </c>
      <c r="I74" t="s">
        <v>114</v>
      </c>
      <c r="J74" t="s">
        <v>114</v>
      </c>
      <c r="K74" t="s">
        <v>3</v>
      </c>
      <c r="L74" t="s">
        <v>3</v>
      </c>
      <c r="M74" t="s">
        <v>3</v>
      </c>
      <c r="N74" t="s">
        <v>113</v>
      </c>
      <c r="O74" t="s">
        <v>114</v>
      </c>
      <c r="P74" t="s">
        <v>3</v>
      </c>
      <c r="Q74" t="s">
        <v>3</v>
      </c>
      <c r="R74" t="s">
        <v>3</v>
      </c>
      <c r="S74" t="s">
        <v>671</v>
      </c>
      <c r="T74" t="s">
        <v>672</v>
      </c>
      <c r="U74" t="s">
        <v>673</v>
      </c>
    </row>
    <row r="75" spans="1:21" x14ac:dyDescent="0.2">
      <c r="A75">
        <v>101</v>
      </c>
      <c r="B75">
        <v>1</v>
      </c>
      <c r="C75" t="s">
        <v>3</v>
      </c>
      <c r="D75" t="s">
        <v>113</v>
      </c>
      <c r="E75" t="s">
        <v>114</v>
      </c>
      <c r="F75" t="s">
        <v>114</v>
      </c>
      <c r="G75" t="s">
        <v>114</v>
      </c>
      <c r="H75" t="s">
        <v>3</v>
      </c>
      <c r="I75" t="s">
        <v>114</v>
      </c>
      <c r="J75" t="s">
        <v>114</v>
      </c>
      <c r="K75" t="s">
        <v>3</v>
      </c>
      <c r="L75" t="s">
        <v>3</v>
      </c>
      <c r="M75" t="s">
        <v>3</v>
      </c>
      <c r="N75" t="s">
        <v>113</v>
      </c>
      <c r="O75" t="s">
        <v>114</v>
      </c>
      <c r="P75" t="s">
        <v>3</v>
      </c>
      <c r="Q75" t="s">
        <v>3</v>
      </c>
      <c r="R75" t="s">
        <v>3</v>
      </c>
      <c r="S75" t="s">
        <v>671</v>
      </c>
      <c r="T75" t="s">
        <v>672</v>
      </c>
      <c r="U75" t="s">
        <v>673</v>
      </c>
    </row>
    <row r="76" spans="1:21" x14ac:dyDescent="0.2">
      <c r="A76">
        <v>102</v>
      </c>
      <c r="B76">
        <v>1</v>
      </c>
      <c r="C76" t="s">
        <v>3</v>
      </c>
      <c r="D76" t="s">
        <v>113</v>
      </c>
      <c r="E76" t="s">
        <v>114</v>
      </c>
      <c r="F76" t="s">
        <v>114</v>
      </c>
      <c r="G76" t="s">
        <v>114</v>
      </c>
      <c r="H76" t="s">
        <v>3</v>
      </c>
      <c r="I76" t="s">
        <v>114</v>
      </c>
      <c r="J76" t="s">
        <v>114</v>
      </c>
      <c r="K76" t="s">
        <v>3</v>
      </c>
      <c r="L76" t="s">
        <v>3</v>
      </c>
      <c r="M76" t="s">
        <v>3</v>
      </c>
      <c r="N76" t="s">
        <v>113</v>
      </c>
      <c r="O76" t="s">
        <v>114</v>
      </c>
      <c r="P76" t="s">
        <v>3</v>
      </c>
      <c r="Q76" t="s">
        <v>3</v>
      </c>
      <c r="R76" t="s">
        <v>3</v>
      </c>
      <c r="S76" t="s">
        <v>671</v>
      </c>
      <c r="T76" t="s">
        <v>672</v>
      </c>
      <c r="U76" t="s">
        <v>673</v>
      </c>
    </row>
    <row r="77" spans="1:21" x14ac:dyDescent="0.2">
      <c r="A77">
        <v>105</v>
      </c>
      <c r="B77">
        <v>1</v>
      </c>
      <c r="C77" t="s">
        <v>3</v>
      </c>
      <c r="D77" t="s">
        <v>113</v>
      </c>
      <c r="E77" t="s">
        <v>114</v>
      </c>
      <c r="F77" t="s">
        <v>114</v>
      </c>
      <c r="G77" t="s">
        <v>114</v>
      </c>
      <c r="H77" t="s">
        <v>3</v>
      </c>
      <c r="I77" t="s">
        <v>114</v>
      </c>
      <c r="J77" t="s">
        <v>114</v>
      </c>
      <c r="K77" t="s">
        <v>3</v>
      </c>
      <c r="L77" t="s">
        <v>3</v>
      </c>
      <c r="M77" t="s">
        <v>3</v>
      </c>
      <c r="N77" t="s">
        <v>113</v>
      </c>
      <c r="O77" t="s">
        <v>114</v>
      </c>
      <c r="P77" t="s">
        <v>3</v>
      </c>
      <c r="Q77" t="s">
        <v>3</v>
      </c>
      <c r="R77" t="s">
        <v>3</v>
      </c>
      <c r="S77" t="s">
        <v>671</v>
      </c>
      <c r="T77" t="s">
        <v>672</v>
      </c>
      <c r="U77" t="s">
        <v>673</v>
      </c>
    </row>
    <row r="78" spans="1:21" x14ac:dyDescent="0.2">
      <c r="A78">
        <v>106</v>
      </c>
      <c r="B78">
        <v>1</v>
      </c>
      <c r="C78" t="s">
        <v>3</v>
      </c>
      <c r="D78" t="s">
        <v>113</v>
      </c>
      <c r="E78" t="s">
        <v>114</v>
      </c>
      <c r="F78" t="s">
        <v>114</v>
      </c>
      <c r="G78" t="s">
        <v>114</v>
      </c>
      <c r="H78" t="s">
        <v>3</v>
      </c>
      <c r="I78" t="s">
        <v>114</v>
      </c>
      <c r="J78" t="s">
        <v>114</v>
      </c>
      <c r="K78" t="s">
        <v>3</v>
      </c>
      <c r="L78" t="s">
        <v>3</v>
      </c>
      <c r="M78" t="s">
        <v>3</v>
      </c>
      <c r="N78" t="s">
        <v>113</v>
      </c>
      <c r="O78" t="s">
        <v>114</v>
      </c>
      <c r="P78" t="s">
        <v>3</v>
      </c>
      <c r="Q78" t="s">
        <v>3</v>
      </c>
      <c r="R78" t="s">
        <v>3</v>
      </c>
      <c r="S78" t="s">
        <v>671</v>
      </c>
      <c r="T78" t="s">
        <v>672</v>
      </c>
      <c r="U78" t="s">
        <v>673</v>
      </c>
    </row>
    <row r="79" spans="1:21" x14ac:dyDescent="0.2">
      <c r="A79">
        <v>109</v>
      </c>
      <c r="B79">
        <v>1</v>
      </c>
      <c r="C79" t="s">
        <v>3</v>
      </c>
      <c r="D79" t="s">
        <v>113</v>
      </c>
      <c r="E79" t="s">
        <v>114</v>
      </c>
      <c r="F79" t="s">
        <v>114</v>
      </c>
      <c r="G79" t="s">
        <v>114</v>
      </c>
      <c r="H79" t="s">
        <v>3</v>
      </c>
      <c r="I79" t="s">
        <v>114</v>
      </c>
      <c r="J79" t="s">
        <v>114</v>
      </c>
      <c r="K79" t="s">
        <v>3</v>
      </c>
      <c r="L79" t="s">
        <v>3</v>
      </c>
      <c r="M79" t="s">
        <v>3</v>
      </c>
      <c r="N79" t="s">
        <v>113</v>
      </c>
      <c r="O79" t="s">
        <v>114</v>
      </c>
      <c r="P79" t="s">
        <v>3</v>
      </c>
      <c r="Q79" t="s">
        <v>3</v>
      </c>
      <c r="R79" t="s">
        <v>3</v>
      </c>
      <c r="S79" t="s">
        <v>671</v>
      </c>
      <c r="T79" t="s">
        <v>672</v>
      </c>
      <c r="U79" t="s">
        <v>673</v>
      </c>
    </row>
    <row r="80" spans="1:21" x14ac:dyDescent="0.2">
      <c r="A80">
        <v>110</v>
      </c>
      <c r="B80">
        <v>1</v>
      </c>
      <c r="C80" t="s">
        <v>3</v>
      </c>
      <c r="D80" t="s">
        <v>113</v>
      </c>
      <c r="E80" t="s">
        <v>114</v>
      </c>
      <c r="F80" t="s">
        <v>114</v>
      </c>
      <c r="G80" t="s">
        <v>114</v>
      </c>
      <c r="H80" t="s">
        <v>3</v>
      </c>
      <c r="I80" t="s">
        <v>114</v>
      </c>
      <c r="J80" t="s">
        <v>114</v>
      </c>
      <c r="K80" t="s">
        <v>3</v>
      </c>
      <c r="L80" t="s">
        <v>3</v>
      </c>
      <c r="M80" t="s">
        <v>3</v>
      </c>
      <c r="N80" t="s">
        <v>113</v>
      </c>
      <c r="O80" t="s">
        <v>114</v>
      </c>
      <c r="P80" t="s">
        <v>3</v>
      </c>
      <c r="Q80" t="s">
        <v>3</v>
      </c>
      <c r="R80" t="s">
        <v>3</v>
      </c>
      <c r="S80" t="s">
        <v>671</v>
      </c>
      <c r="T80" t="s">
        <v>672</v>
      </c>
      <c r="U80" t="s">
        <v>673</v>
      </c>
    </row>
    <row r="81" spans="1:21" x14ac:dyDescent="0.2">
      <c r="A81">
        <v>121</v>
      </c>
      <c r="B81">
        <v>1</v>
      </c>
      <c r="C81" t="s">
        <v>3</v>
      </c>
      <c r="D81" t="s">
        <v>113</v>
      </c>
      <c r="E81" t="s">
        <v>114</v>
      </c>
      <c r="F81" t="s">
        <v>114</v>
      </c>
      <c r="G81" t="s">
        <v>114</v>
      </c>
      <c r="H81" t="s">
        <v>3</v>
      </c>
      <c r="I81" t="s">
        <v>114</v>
      </c>
      <c r="J81" t="s">
        <v>114</v>
      </c>
      <c r="K81" t="s">
        <v>3</v>
      </c>
      <c r="L81" t="s">
        <v>3</v>
      </c>
      <c r="M81" t="s">
        <v>3</v>
      </c>
      <c r="N81" t="s">
        <v>113</v>
      </c>
      <c r="O81" t="s">
        <v>114</v>
      </c>
      <c r="P81" t="s">
        <v>3</v>
      </c>
      <c r="Q81" t="s">
        <v>3</v>
      </c>
      <c r="R81" t="s">
        <v>3</v>
      </c>
      <c r="S81" t="s">
        <v>671</v>
      </c>
      <c r="T81" t="s">
        <v>672</v>
      </c>
      <c r="U81" t="s">
        <v>673</v>
      </c>
    </row>
    <row r="82" spans="1:21" x14ac:dyDescent="0.2">
      <c r="A82">
        <v>122</v>
      </c>
      <c r="B82">
        <v>1</v>
      </c>
      <c r="C82" t="s">
        <v>3</v>
      </c>
      <c r="D82" t="s">
        <v>113</v>
      </c>
      <c r="E82" t="s">
        <v>114</v>
      </c>
      <c r="F82" t="s">
        <v>114</v>
      </c>
      <c r="G82" t="s">
        <v>114</v>
      </c>
      <c r="H82" t="s">
        <v>3</v>
      </c>
      <c r="I82" t="s">
        <v>114</v>
      </c>
      <c r="J82" t="s">
        <v>114</v>
      </c>
      <c r="K82" t="s">
        <v>3</v>
      </c>
      <c r="L82" t="s">
        <v>3</v>
      </c>
      <c r="M82" t="s">
        <v>3</v>
      </c>
      <c r="N82" t="s">
        <v>113</v>
      </c>
      <c r="O82" t="s">
        <v>114</v>
      </c>
      <c r="P82" t="s">
        <v>3</v>
      </c>
      <c r="Q82" t="s">
        <v>3</v>
      </c>
      <c r="R82" t="s">
        <v>3</v>
      </c>
      <c r="S82" t="s">
        <v>671</v>
      </c>
      <c r="T82" t="s">
        <v>672</v>
      </c>
      <c r="U82" t="s">
        <v>673</v>
      </c>
    </row>
    <row r="83" spans="1:21" x14ac:dyDescent="0.2">
      <c r="A83">
        <v>125</v>
      </c>
      <c r="B83">
        <v>1</v>
      </c>
      <c r="C83" t="s">
        <v>3</v>
      </c>
      <c r="D83" t="s">
        <v>113</v>
      </c>
      <c r="E83" t="s">
        <v>114</v>
      </c>
      <c r="F83" t="s">
        <v>114</v>
      </c>
      <c r="G83" t="s">
        <v>114</v>
      </c>
      <c r="H83" t="s">
        <v>3</v>
      </c>
      <c r="I83" t="s">
        <v>114</v>
      </c>
      <c r="J83" t="s">
        <v>114</v>
      </c>
      <c r="K83" t="s">
        <v>3</v>
      </c>
      <c r="L83" t="s">
        <v>3</v>
      </c>
      <c r="M83" t="s">
        <v>3</v>
      </c>
      <c r="N83" t="s">
        <v>113</v>
      </c>
      <c r="O83" t="s">
        <v>114</v>
      </c>
      <c r="P83" t="s">
        <v>3</v>
      </c>
      <c r="Q83" t="s">
        <v>3</v>
      </c>
      <c r="R83" t="s">
        <v>3</v>
      </c>
      <c r="S83" t="s">
        <v>671</v>
      </c>
      <c r="T83" t="s">
        <v>672</v>
      </c>
      <c r="U83" t="s">
        <v>673</v>
      </c>
    </row>
    <row r="84" spans="1:21" x14ac:dyDescent="0.2">
      <c r="A84">
        <v>126</v>
      </c>
      <c r="B84">
        <v>1</v>
      </c>
      <c r="C84" t="s">
        <v>3</v>
      </c>
      <c r="D84" t="s">
        <v>113</v>
      </c>
      <c r="E84" t="s">
        <v>114</v>
      </c>
      <c r="F84" t="s">
        <v>114</v>
      </c>
      <c r="G84" t="s">
        <v>114</v>
      </c>
      <c r="H84" t="s">
        <v>3</v>
      </c>
      <c r="I84" t="s">
        <v>114</v>
      </c>
      <c r="J84" t="s">
        <v>114</v>
      </c>
      <c r="K84" t="s">
        <v>3</v>
      </c>
      <c r="L84" t="s">
        <v>3</v>
      </c>
      <c r="M84" t="s">
        <v>3</v>
      </c>
      <c r="N84" t="s">
        <v>113</v>
      </c>
      <c r="O84" t="s">
        <v>114</v>
      </c>
      <c r="P84" t="s">
        <v>3</v>
      </c>
      <c r="Q84" t="s">
        <v>3</v>
      </c>
      <c r="R84" t="s">
        <v>3</v>
      </c>
      <c r="S84" t="s">
        <v>671</v>
      </c>
      <c r="T84" t="s">
        <v>672</v>
      </c>
      <c r="U84" t="s">
        <v>673</v>
      </c>
    </row>
    <row r="85" spans="1:21" x14ac:dyDescent="0.2">
      <c r="A85">
        <v>129</v>
      </c>
      <c r="B85">
        <v>1</v>
      </c>
      <c r="C85" t="s">
        <v>3</v>
      </c>
      <c r="D85" t="s">
        <v>113</v>
      </c>
      <c r="E85" t="s">
        <v>114</v>
      </c>
      <c r="F85" t="s">
        <v>114</v>
      </c>
      <c r="G85" t="s">
        <v>114</v>
      </c>
      <c r="H85" t="s">
        <v>3</v>
      </c>
      <c r="I85" t="s">
        <v>114</v>
      </c>
      <c r="J85" t="s">
        <v>114</v>
      </c>
      <c r="K85" t="s">
        <v>3</v>
      </c>
      <c r="L85" t="s">
        <v>3</v>
      </c>
      <c r="M85" t="s">
        <v>3</v>
      </c>
      <c r="N85" t="s">
        <v>113</v>
      </c>
      <c r="O85" t="s">
        <v>114</v>
      </c>
      <c r="P85" t="s">
        <v>3</v>
      </c>
      <c r="Q85" t="s">
        <v>3</v>
      </c>
      <c r="R85" t="s">
        <v>3</v>
      </c>
      <c r="S85" t="s">
        <v>671</v>
      </c>
      <c r="T85" t="s">
        <v>672</v>
      </c>
      <c r="U85" t="s">
        <v>673</v>
      </c>
    </row>
    <row r="86" spans="1:21" x14ac:dyDescent="0.2">
      <c r="A86">
        <v>130</v>
      </c>
      <c r="B86">
        <v>1</v>
      </c>
      <c r="C86" t="s">
        <v>3</v>
      </c>
      <c r="D86" t="s">
        <v>113</v>
      </c>
      <c r="E86" t="s">
        <v>114</v>
      </c>
      <c r="F86" t="s">
        <v>114</v>
      </c>
      <c r="G86" t="s">
        <v>114</v>
      </c>
      <c r="H86" t="s">
        <v>3</v>
      </c>
      <c r="I86" t="s">
        <v>114</v>
      </c>
      <c r="J86" t="s">
        <v>114</v>
      </c>
      <c r="K86" t="s">
        <v>3</v>
      </c>
      <c r="L86" t="s">
        <v>3</v>
      </c>
      <c r="M86" t="s">
        <v>3</v>
      </c>
      <c r="N86" t="s">
        <v>113</v>
      </c>
      <c r="O86" t="s">
        <v>114</v>
      </c>
      <c r="P86" t="s">
        <v>3</v>
      </c>
      <c r="Q86" t="s">
        <v>3</v>
      </c>
      <c r="R86" t="s">
        <v>3</v>
      </c>
      <c r="S86" t="s">
        <v>671</v>
      </c>
      <c r="T86" t="s">
        <v>672</v>
      </c>
      <c r="U86" t="s">
        <v>673</v>
      </c>
    </row>
    <row r="87" spans="1:21" x14ac:dyDescent="0.2">
      <c r="A87">
        <v>133</v>
      </c>
      <c r="B87">
        <v>1</v>
      </c>
      <c r="C87" t="s">
        <v>3</v>
      </c>
      <c r="D87" t="s">
        <v>113</v>
      </c>
      <c r="E87" t="s">
        <v>114</v>
      </c>
      <c r="F87" t="s">
        <v>114</v>
      </c>
      <c r="G87" t="s">
        <v>114</v>
      </c>
      <c r="H87" t="s">
        <v>3</v>
      </c>
      <c r="I87" t="s">
        <v>114</v>
      </c>
      <c r="J87" t="s">
        <v>114</v>
      </c>
      <c r="K87" t="s">
        <v>3</v>
      </c>
      <c r="L87" t="s">
        <v>3</v>
      </c>
      <c r="M87" t="s">
        <v>3</v>
      </c>
      <c r="N87" t="s">
        <v>113</v>
      </c>
      <c r="O87" t="s">
        <v>114</v>
      </c>
      <c r="P87" t="s">
        <v>3</v>
      </c>
      <c r="Q87" t="s">
        <v>3</v>
      </c>
      <c r="R87" t="s">
        <v>3</v>
      </c>
      <c r="S87" t="s">
        <v>671</v>
      </c>
      <c r="T87" t="s">
        <v>672</v>
      </c>
      <c r="U87" t="s">
        <v>673</v>
      </c>
    </row>
    <row r="88" spans="1:21" x14ac:dyDescent="0.2">
      <c r="A88">
        <v>134</v>
      </c>
      <c r="B88">
        <v>1</v>
      </c>
      <c r="C88" t="s">
        <v>3</v>
      </c>
      <c r="D88" t="s">
        <v>113</v>
      </c>
      <c r="E88" t="s">
        <v>114</v>
      </c>
      <c r="F88" t="s">
        <v>114</v>
      </c>
      <c r="G88" t="s">
        <v>114</v>
      </c>
      <c r="H88" t="s">
        <v>3</v>
      </c>
      <c r="I88" t="s">
        <v>114</v>
      </c>
      <c r="J88" t="s">
        <v>114</v>
      </c>
      <c r="K88" t="s">
        <v>3</v>
      </c>
      <c r="L88" t="s">
        <v>3</v>
      </c>
      <c r="M88" t="s">
        <v>3</v>
      </c>
      <c r="N88" t="s">
        <v>113</v>
      </c>
      <c r="O88" t="s">
        <v>114</v>
      </c>
      <c r="P88" t="s">
        <v>3</v>
      </c>
      <c r="Q88" t="s">
        <v>3</v>
      </c>
      <c r="R88" t="s">
        <v>3</v>
      </c>
      <c r="S88" t="s">
        <v>671</v>
      </c>
      <c r="T88" t="s">
        <v>672</v>
      </c>
      <c r="U88" t="s">
        <v>673</v>
      </c>
    </row>
    <row r="89" spans="1:21" x14ac:dyDescent="0.2">
      <c r="A89">
        <v>137</v>
      </c>
      <c r="B89">
        <v>1</v>
      </c>
      <c r="C89" t="s">
        <v>3</v>
      </c>
      <c r="D89" t="s">
        <v>113</v>
      </c>
      <c r="E89" t="s">
        <v>114</v>
      </c>
      <c r="F89" t="s">
        <v>114</v>
      </c>
      <c r="G89" t="s">
        <v>114</v>
      </c>
      <c r="H89" t="s">
        <v>3</v>
      </c>
      <c r="I89" t="s">
        <v>114</v>
      </c>
      <c r="J89" t="s">
        <v>114</v>
      </c>
      <c r="K89" t="s">
        <v>3</v>
      </c>
      <c r="L89" t="s">
        <v>3</v>
      </c>
      <c r="M89" t="s">
        <v>3</v>
      </c>
      <c r="N89" t="s">
        <v>113</v>
      </c>
      <c r="O89" t="s">
        <v>114</v>
      </c>
      <c r="P89" t="s">
        <v>3</v>
      </c>
      <c r="Q89" t="s">
        <v>3</v>
      </c>
      <c r="R89" t="s">
        <v>3</v>
      </c>
      <c r="S89" t="s">
        <v>671</v>
      </c>
      <c r="T89" t="s">
        <v>672</v>
      </c>
      <c r="U89" t="s">
        <v>673</v>
      </c>
    </row>
    <row r="90" spans="1:21" x14ac:dyDescent="0.2">
      <c r="A90">
        <v>138</v>
      </c>
      <c r="B90">
        <v>1</v>
      </c>
      <c r="C90" t="s">
        <v>3</v>
      </c>
      <c r="D90" t="s">
        <v>113</v>
      </c>
      <c r="E90" t="s">
        <v>114</v>
      </c>
      <c r="F90" t="s">
        <v>114</v>
      </c>
      <c r="G90" t="s">
        <v>114</v>
      </c>
      <c r="H90" t="s">
        <v>3</v>
      </c>
      <c r="I90" t="s">
        <v>114</v>
      </c>
      <c r="J90" t="s">
        <v>114</v>
      </c>
      <c r="K90" t="s">
        <v>3</v>
      </c>
      <c r="L90" t="s">
        <v>3</v>
      </c>
      <c r="M90" t="s">
        <v>3</v>
      </c>
      <c r="N90" t="s">
        <v>113</v>
      </c>
      <c r="O90" t="s">
        <v>114</v>
      </c>
      <c r="P90" t="s">
        <v>3</v>
      </c>
      <c r="Q90" t="s">
        <v>3</v>
      </c>
      <c r="R90" t="s">
        <v>3</v>
      </c>
      <c r="S90" t="s">
        <v>671</v>
      </c>
      <c r="T90" t="s">
        <v>672</v>
      </c>
      <c r="U90" t="s">
        <v>673</v>
      </c>
    </row>
    <row r="91" spans="1:21" x14ac:dyDescent="0.2">
      <c r="A91">
        <v>141</v>
      </c>
      <c r="B91">
        <v>1</v>
      </c>
      <c r="C91" t="s">
        <v>3</v>
      </c>
      <c r="D91" t="s">
        <v>113</v>
      </c>
      <c r="E91" t="s">
        <v>114</v>
      </c>
      <c r="F91" t="s">
        <v>114</v>
      </c>
      <c r="G91" t="s">
        <v>114</v>
      </c>
      <c r="H91" t="s">
        <v>3</v>
      </c>
      <c r="I91" t="s">
        <v>114</v>
      </c>
      <c r="J91" t="s">
        <v>114</v>
      </c>
      <c r="K91" t="s">
        <v>3</v>
      </c>
      <c r="L91" t="s">
        <v>3</v>
      </c>
      <c r="M91" t="s">
        <v>3</v>
      </c>
      <c r="N91" t="s">
        <v>113</v>
      </c>
      <c r="O91" t="s">
        <v>114</v>
      </c>
      <c r="P91" t="s">
        <v>3</v>
      </c>
      <c r="Q91" t="s">
        <v>3</v>
      </c>
      <c r="R91" t="s">
        <v>3</v>
      </c>
      <c r="S91" t="s">
        <v>671</v>
      </c>
      <c r="T91" t="s">
        <v>672</v>
      </c>
      <c r="U91" t="s">
        <v>673</v>
      </c>
    </row>
    <row r="92" spans="1:21" x14ac:dyDescent="0.2">
      <c r="A92">
        <v>142</v>
      </c>
      <c r="B92">
        <v>1</v>
      </c>
      <c r="C92" t="s">
        <v>3</v>
      </c>
      <c r="D92" t="s">
        <v>113</v>
      </c>
      <c r="E92" t="s">
        <v>114</v>
      </c>
      <c r="F92" t="s">
        <v>114</v>
      </c>
      <c r="G92" t="s">
        <v>114</v>
      </c>
      <c r="H92" t="s">
        <v>3</v>
      </c>
      <c r="I92" t="s">
        <v>114</v>
      </c>
      <c r="J92" t="s">
        <v>114</v>
      </c>
      <c r="K92" t="s">
        <v>3</v>
      </c>
      <c r="L92" t="s">
        <v>3</v>
      </c>
      <c r="M92" t="s">
        <v>3</v>
      </c>
      <c r="N92" t="s">
        <v>113</v>
      </c>
      <c r="O92" t="s">
        <v>114</v>
      </c>
      <c r="P92" t="s">
        <v>3</v>
      </c>
      <c r="Q92" t="s">
        <v>3</v>
      </c>
      <c r="R92" t="s">
        <v>3</v>
      </c>
      <c r="S92" t="s">
        <v>671</v>
      </c>
      <c r="T92" t="s">
        <v>672</v>
      </c>
      <c r="U92" t="s">
        <v>673</v>
      </c>
    </row>
    <row r="93" spans="1:21" x14ac:dyDescent="0.2">
      <c r="A93">
        <v>155</v>
      </c>
      <c r="B93">
        <v>1</v>
      </c>
      <c r="C93" t="s">
        <v>3</v>
      </c>
      <c r="D93" t="s">
        <v>113</v>
      </c>
      <c r="E93" t="s">
        <v>679</v>
      </c>
      <c r="F93" t="s">
        <v>679</v>
      </c>
      <c r="G93" t="s">
        <v>680</v>
      </c>
      <c r="H93" t="s">
        <v>3</v>
      </c>
      <c r="I93" t="s">
        <v>680</v>
      </c>
      <c r="J93" t="s">
        <v>679</v>
      </c>
      <c r="K93" t="s">
        <v>3</v>
      </c>
      <c r="L93" t="s">
        <v>3</v>
      </c>
      <c r="M93" t="s">
        <v>3</v>
      </c>
      <c r="N93" t="s">
        <v>113</v>
      </c>
      <c r="O93" t="s">
        <v>679</v>
      </c>
      <c r="P93" t="s">
        <v>3</v>
      </c>
      <c r="Q93" t="s">
        <v>3</v>
      </c>
      <c r="R93" t="s">
        <v>3</v>
      </c>
      <c r="S93" t="s">
        <v>681</v>
      </c>
      <c r="T93" t="s">
        <v>682</v>
      </c>
      <c r="U93" t="s">
        <v>683</v>
      </c>
    </row>
    <row r="94" spans="1:21" x14ac:dyDescent="0.2">
      <c r="A94">
        <v>155</v>
      </c>
      <c r="B94">
        <v>1</v>
      </c>
      <c r="C94" t="s">
        <v>3</v>
      </c>
      <c r="D94" t="s">
        <v>113</v>
      </c>
      <c r="E94" t="s">
        <v>114</v>
      </c>
      <c r="F94" t="s">
        <v>114</v>
      </c>
      <c r="G94" t="s">
        <v>114</v>
      </c>
      <c r="H94" t="s">
        <v>3</v>
      </c>
      <c r="I94" t="s">
        <v>114</v>
      </c>
      <c r="J94" t="s">
        <v>114</v>
      </c>
      <c r="K94" t="s">
        <v>3</v>
      </c>
      <c r="L94" t="s">
        <v>3</v>
      </c>
      <c r="M94" t="s">
        <v>3</v>
      </c>
      <c r="N94" t="s">
        <v>113</v>
      </c>
      <c r="O94" t="s">
        <v>114</v>
      </c>
      <c r="P94" t="s">
        <v>3</v>
      </c>
      <c r="Q94" t="s">
        <v>3</v>
      </c>
      <c r="R94" t="s">
        <v>3</v>
      </c>
      <c r="S94" t="s">
        <v>671</v>
      </c>
      <c r="T94" t="s">
        <v>672</v>
      </c>
      <c r="U94" t="s">
        <v>673</v>
      </c>
    </row>
    <row r="95" spans="1:21" x14ac:dyDescent="0.2">
      <c r="A95">
        <v>156</v>
      </c>
      <c r="B95">
        <v>1</v>
      </c>
      <c r="C95" t="s">
        <v>3</v>
      </c>
      <c r="D95" t="s">
        <v>113</v>
      </c>
      <c r="E95" t="s">
        <v>679</v>
      </c>
      <c r="F95" t="s">
        <v>679</v>
      </c>
      <c r="G95" t="s">
        <v>680</v>
      </c>
      <c r="H95" t="s">
        <v>3</v>
      </c>
      <c r="I95" t="s">
        <v>680</v>
      </c>
      <c r="J95" t="s">
        <v>679</v>
      </c>
      <c r="K95" t="s">
        <v>3</v>
      </c>
      <c r="L95" t="s">
        <v>3</v>
      </c>
      <c r="M95" t="s">
        <v>3</v>
      </c>
      <c r="N95" t="s">
        <v>113</v>
      </c>
      <c r="O95" t="s">
        <v>679</v>
      </c>
      <c r="P95" t="s">
        <v>3</v>
      </c>
      <c r="Q95" t="s">
        <v>3</v>
      </c>
      <c r="R95" t="s">
        <v>3</v>
      </c>
      <c r="S95" t="s">
        <v>681</v>
      </c>
      <c r="T95" t="s">
        <v>682</v>
      </c>
      <c r="U95" t="s">
        <v>683</v>
      </c>
    </row>
    <row r="96" spans="1:21" x14ac:dyDescent="0.2">
      <c r="A96">
        <v>156</v>
      </c>
      <c r="B96">
        <v>1</v>
      </c>
      <c r="C96" t="s">
        <v>3</v>
      </c>
      <c r="D96" t="s">
        <v>113</v>
      </c>
      <c r="E96" t="s">
        <v>114</v>
      </c>
      <c r="F96" t="s">
        <v>114</v>
      </c>
      <c r="G96" t="s">
        <v>114</v>
      </c>
      <c r="H96" t="s">
        <v>3</v>
      </c>
      <c r="I96" t="s">
        <v>114</v>
      </c>
      <c r="J96" t="s">
        <v>114</v>
      </c>
      <c r="K96" t="s">
        <v>3</v>
      </c>
      <c r="L96" t="s">
        <v>3</v>
      </c>
      <c r="M96" t="s">
        <v>3</v>
      </c>
      <c r="N96" t="s">
        <v>113</v>
      </c>
      <c r="O96" t="s">
        <v>114</v>
      </c>
      <c r="P96" t="s">
        <v>3</v>
      </c>
      <c r="Q96" t="s">
        <v>3</v>
      </c>
      <c r="R96" t="s">
        <v>3</v>
      </c>
      <c r="S96" t="s">
        <v>671</v>
      </c>
      <c r="T96" t="s">
        <v>672</v>
      </c>
      <c r="U96" t="s">
        <v>673</v>
      </c>
    </row>
    <row r="97" spans="1:21" x14ac:dyDescent="0.2">
      <c r="A97">
        <v>159</v>
      </c>
      <c r="B97">
        <v>1</v>
      </c>
      <c r="C97" t="s">
        <v>3</v>
      </c>
      <c r="D97" t="s">
        <v>113</v>
      </c>
      <c r="E97" t="s">
        <v>114</v>
      </c>
      <c r="F97" t="s">
        <v>114</v>
      </c>
      <c r="G97" t="s">
        <v>114</v>
      </c>
      <c r="H97" t="s">
        <v>3</v>
      </c>
      <c r="I97" t="s">
        <v>114</v>
      </c>
      <c r="J97" t="s">
        <v>114</v>
      </c>
      <c r="K97" t="s">
        <v>3</v>
      </c>
      <c r="L97" t="s">
        <v>3</v>
      </c>
      <c r="M97" t="s">
        <v>3</v>
      </c>
      <c r="N97" t="s">
        <v>113</v>
      </c>
      <c r="O97" t="s">
        <v>114</v>
      </c>
      <c r="P97" t="s">
        <v>3</v>
      </c>
      <c r="Q97" t="s">
        <v>3</v>
      </c>
      <c r="R97" t="s">
        <v>3</v>
      </c>
      <c r="S97" t="s">
        <v>671</v>
      </c>
      <c r="T97" t="s">
        <v>672</v>
      </c>
      <c r="U97" t="s">
        <v>673</v>
      </c>
    </row>
    <row r="98" spans="1:21" x14ac:dyDescent="0.2">
      <c r="A98">
        <v>160</v>
      </c>
      <c r="B98">
        <v>1</v>
      </c>
      <c r="C98" t="s">
        <v>3</v>
      </c>
      <c r="D98" t="s">
        <v>113</v>
      </c>
      <c r="E98" t="s">
        <v>114</v>
      </c>
      <c r="F98" t="s">
        <v>114</v>
      </c>
      <c r="G98" t="s">
        <v>114</v>
      </c>
      <c r="H98" t="s">
        <v>3</v>
      </c>
      <c r="I98" t="s">
        <v>114</v>
      </c>
      <c r="J98" t="s">
        <v>114</v>
      </c>
      <c r="K98" t="s">
        <v>3</v>
      </c>
      <c r="L98" t="s">
        <v>3</v>
      </c>
      <c r="M98" t="s">
        <v>3</v>
      </c>
      <c r="N98" t="s">
        <v>113</v>
      </c>
      <c r="O98" t="s">
        <v>114</v>
      </c>
      <c r="P98" t="s">
        <v>3</v>
      </c>
      <c r="Q98" t="s">
        <v>3</v>
      </c>
      <c r="R98" t="s">
        <v>3</v>
      </c>
      <c r="S98" t="s">
        <v>671</v>
      </c>
      <c r="T98" t="s">
        <v>672</v>
      </c>
      <c r="U98" t="s">
        <v>673</v>
      </c>
    </row>
    <row r="99" spans="1:21" x14ac:dyDescent="0.2">
      <c r="A99">
        <v>163</v>
      </c>
      <c r="B99">
        <v>1</v>
      </c>
      <c r="C99" t="s">
        <v>3</v>
      </c>
      <c r="D99" t="s">
        <v>113</v>
      </c>
      <c r="E99" t="s">
        <v>679</v>
      </c>
      <c r="F99" t="s">
        <v>679</v>
      </c>
      <c r="G99" t="s">
        <v>680</v>
      </c>
      <c r="H99" t="s">
        <v>3</v>
      </c>
      <c r="I99" t="s">
        <v>680</v>
      </c>
      <c r="J99" t="s">
        <v>679</v>
      </c>
      <c r="K99" t="s">
        <v>3</v>
      </c>
      <c r="L99" t="s">
        <v>3</v>
      </c>
      <c r="M99" t="s">
        <v>3</v>
      </c>
      <c r="N99" t="s">
        <v>113</v>
      </c>
      <c r="O99" t="s">
        <v>679</v>
      </c>
      <c r="P99" t="s">
        <v>3</v>
      </c>
      <c r="Q99" t="s">
        <v>3</v>
      </c>
      <c r="R99" t="s">
        <v>3</v>
      </c>
      <c r="S99" t="s">
        <v>681</v>
      </c>
      <c r="T99" t="s">
        <v>682</v>
      </c>
      <c r="U99" t="s">
        <v>683</v>
      </c>
    </row>
    <row r="100" spans="1:21" x14ac:dyDescent="0.2">
      <c r="A100">
        <v>163</v>
      </c>
      <c r="B100">
        <v>1</v>
      </c>
      <c r="C100" t="s">
        <v>3</v>
      </c>
      <c r="D100" t="s">
        <v>113</v>
      </c>
      <c r="E100" t="s">
        <v>114</v>
      </c>
      <c r="F100" t="s">
        <v>114</v>
      </c>
      <c r="G100" t="s">
        <v>114</v>
      </c>
      <c r="H100" t="s">
        <v>3</v>
      </c>
      <c r="I100" t="s">
        <v>114</v>
      </c>
      <c r="J100" t="s">
        <v>114</v>
      </c>
      <c r="K100" t="s">
        <v>3</v>
      </c>
      <c r="L100" t="s">
        <v>3</v>
      </c>
      <c r="M100" t="s">
        <v>3</v>
      </c>
      <c r="N100" t="s">
        <v>113</v>
      </c>
      <c r="O100" t="s">
        <v>114</v>
      </c>
      <c r="P100" t="s">
        <v>3</v>
      </c>
      <c r="Q100" t="s">
        <v>3</v>
      </c>
      <c r="R100" t="s">
        <v>3</v>
      </c>
      <c r="S100" t="s">
        <v>671</v>
      </c>
      <c r="T100" t="s">
        <v>672</v>
      </c>
      <c r="U100" t="s">
        <v>673</v>
      </c>
    </row>
    <row r="101" spans="1:21" x14ac:dyDescent="0.2">
      <c r="A101">
        <v>164</v>
      </c>
      <c r="B101">
        <v>1</v>
      </c>
      <c r="C101" t="s">
        <v>3</v>
      </c>
      <c r="D101" t="s">
        <v>113</v>
      </c>
      <c r="E101" t="s">
        <v>679</v>
      </c>
      <c r="F101" t="s">
        <v>679</v>
      </c>
      <c r="G101" t="s">
        <v>680</v>
      </c>
      <c r="H101" t="s">
        <v>3</v>
      </c>
      <c r="I101" t="s">
        <v>680</v>
      </c>
      <c r="J101" t="s">
        <v>679</v>
      </c>
      <c r="K101" t="s">
        <v>3</v>
      </c>
      <c r="L101" t="s">
        <v>3</v>
      </c>
      <c r="M101" t="s">
        <v>3</v>
      </c>
      <c r="N101" t="s">
        <v>113</v>
      </c>
      <c r="O101" t="s">
        <v>679</v>
      </c>
      <c r="P101" t="s">
        <v>3</v>
      </c>
      <c r="Q101" t="s">
        <v>3</v>
      </c>
      <c r="R101" t="s">
        <v>3</v>
      </c>
      <c r="S101" t="s">
        <v>681</v>
      </c>
      <c r="T101" t="s">
        <v>682</v>
      </c>
      <c r="U101" t="s">
        <v>683</v>
      </c>
    </row>
    <row r="102" spans="1:21" x14ac:dyDescent="0.2">
      <c r="A102">
        <v>164</v>
      </c>
      <c r="B102">
        <v>1</v>
      </c>
      <c r="C102" t="s">
        <v>3</v>
      </c>
      <c r="D102" t="s">
        <v>113</v>
      </c>
      <c r="E102" t="s">
        <v>114</v>
      </c>
      <c r="F102" t="s">
        <v>114</v>
      </c>
      <c r="G102" t="s">
        <v>114</v>
      </c>
      <c r="H102" t="s">
        <v>3</v>
      </c>
      <c r="I102" t="s">
        <v>114</v>
      </c>
      <c r="J102" t="s">
        <v>114</v>
      </c>
      <c r="K102" t="s">
        <v>3</v>
      </c>
      <c r="L102" t="s">
        <v>3</v>
      </c>
      <c r="M102" t="s">
        <v>3</v>
      </c>
      <c r="N102" t="s">
        <v>113</v>
      </c>
      <c r="O102" t="s">
        <v>114</v>
      </c>
      <c r="P102" t="s">
        <v>3</v>
      </c>
      <c r="Q102" t="s">
        <v>3</v>
      </c>
      <c r="R102" t="s">
        <v>3</v>
      </c>
      <c r="S102" t="s">
        <v>671</v>
      </c>
      <c r="T102" t="s">
        <v>672</v>
      </c>
      <c r="U102" t="s">
        <v>673</v>
      </c>
    </row>
    <row r="103" spans="1:21" x14ac:dyDescent="0.2">
      <c r="A103">
        <v>169</v>
      </c>
      <c r="B103">
        <v>1</v>
      </c>
      <c r="C103" t="s">
        <v>3</v>
      </c>
      <c r="D103" t="s">
        <v>113</v>
      </c>
      <c r="E103" t="s">
        <v>679</v>
      </c>
      <c r="F103" t="s">
        <v>679</v>
      </c>
      <c r="G103" t="s">
        <v>680</v>
      </c>
      <c r="H103" t="s">
        <v>3</v>
      </c>
      <c r="I103" t="s">
        <v>680</v>
      </c>
      <c r="J103" t="s">
        <v>679</v>
      </c>
      <c r="K103" t="s">
        <v>3</v>
      </c>
      <c r="L103" t="s">
        <v>3</v>
      </c>
      <c r="M103" t="s">
        <v>3</v>
      </c>
      <c r="N103" t="s">
        <v>113</v>
      </c>
      <c r="O103" t="s">
        <v>679</v>
      </c>
      <c r="P103" t="s">
        <v>3</v>
      </c>
      <c r="Q103" t="s">
        <v>3</v>
      </c>
      <c r="R103" t="s">
        <v>3</v>
      </c>
      <c r="S103" t="s">
        <v>681</v>
      </c>
      <c r="T103" t="s">
        <v>682</v>
      </c>
      <c r="U103" t="s">
        <v>683</v>
      </c>
    </row>
    <row r="104" spans="1:21" x14ac:dyDescent="0.2">
      <c r="A104">
        <v>169</v>
      </c>
      <c r="B104">
        <v>1</v>
      </c>
      <c r="C104" t="s">
        <v>3</v>
      </c>
      <c r="D104" t="s">
        <v>113</v>
      </c>
      <c r="E104" t="s">
        <v>114</v>
      </c>
      <c r="F104" t="s">
        <v>114</v>
      </c>
      <c r="G104" t="s">
        <v>114</v>
      </c>
      <c r="H104" t="s">
        <v>3</v>
      </c>
      <c r="I104" t="s">
        <v>114</v>
      </c>
      <c r="J104" t="s">
        <v>114</v>
      </c>
      <c r="K104" t="s">
        <v>3</v>
      </c>
      <c r="L104" t="s">
        <v>3</v>
      </c>
      <c r="M104" t="s">
        <v>3</v>
      </c>
      <c r="N104" t="s">
        <v>113</v>
      </c>
      <c r="O104" t="s">
        <v>114</v>
      </c>
      <c r="P104" t="s">
        <v>3</v>
      </c>
      <c r="Q104" t="s">
        <v>3</v>
      </c>
      <c r="R104" t="s">
        <v>3</v>
      </c>
      <c r="S104" t="s">
        <v>671</v>
      </c>
      <c r="T104" t="s">
        <v>672</v>
      </c>
      <c r="U104" t="s">
        <v>673</v>
      </c>
    </row>
    <row r="105" spans="1:21" x14ac:dyDescent="0.2">
      <c r="A105">
        <v>170</v>
      </c>
      <c r="B105">
        <v>1</v>
      </c>
      <c r="C105" t="s">
        <v>3</v>
      </c>
      <c r="D105" t="s">
        <v>113</v>
      </c>
      <c r="E105" t="s">
        <v>679</v>
      </c>
      <c r="F105" t="s">
        <v>679</v>
      </c>
      <c r="G105" t="s">
        <v>680</v>
      </c>
      <c r="H105" t="s">
        <v>3</v>
      </c>
      <c r="I105" t="s">
        <v>680</v>
      </c>
      <c r="J105" t="s">
        <v>679</v>
      </c>
      <c r="K105" t="s">
        <v>3</v>
      </c>
      <c r="L105" t="s">
        <v>3</v>
      </c>
      <c r="M105" t="s">
        <v>3</v>
      </c>
      <c r="N105" t="s">
        <v>113</v>
      </c>
      <c r="O105" t="s">
        <v>679</v>
      </c>
      <c r="P105" t="s">
        <v>3</v>
      </c>
      <c r="Q105" t="s">
        <v>3</v>
      </c>
      <c r="R105" t="s">
        <v>3</v>
      </c>
      <c r="S105" t="s">
        <v>681</v>
      </c>
      <c r="T105" t="s">
        <v>682</v>
      </c>
      <c r="U105" t="s">
        <v>683</v>
      </c>
    </row>
    <row r="106" spans="1:21" x14ac:dyDescent="0.2">
      <c r="A106">
        <v>170</v>
      </c>
      <c r="B106">
        <v>1</v>
      </c>
      <c r="C106" t="s">
        <v>3</v>
      </c>
      <c r="D106" t="s">
        <v>113</v>
      </c>
      <c r="E106" t="s">
        <v>114</v>
      </c>
      <c r="F106" t="s">
        <v>114</v>
      </c>
      <c r="G106" t="s">
        <v>114</v>
      </c>
      <c r="H106" t="s">
        <v>3</v>
      </c>
      <c r="I106" t="s">
        <v>114</v>
      </c>
      <c r="J106" t="s">
        <v>114</v>
      </c>
      <c r="K106" t="s">
        <v>3</v>
      </c>
      <c r="L106" t="s">
        <v>3</v>
      </c>
      <c r="M106" t="s">
        <v>3</v>
      </c>
      <c r="N106" t="s">
        <v>113</v>
      </c>
      <c r="O106" t="s">
        <v>114</v>
      </c>
      <c r="P106" t="s">
        <v>3</v>
      </c>
      <c r="Q106" t="s">
        <v>3</v>
      </c>
      <c r="R106" t="s">
        <v>3</v>
      </c>
      <c r="S106" t="s">
        <v>671</v>
      </c>
      <c r="T106" t="s">
        <v>672</v>
      </c>
      <c r="U106" t="s">
        <v>673</v>
      </c>
    </row>
    <row r="107" spans="1:21" x14ac:dyDescent="0.2">
      <c r="A107">
        <v>175</v>
      </c>
      <c r="B107">
        <v>1</v>
      </c>
      <c r="C107" t="s">
        <v>3</v>
      </c>
      <c r="D107" t="s">
        <v>113</v>
      </c>
      <c r="E107" t="s">
        <v>679</v>
      </c>
      <c r="F107" t="s">
        <v>679</v>
      </c>
      <c r="G107" t="s">
        <v>680</v>
      </c>
      <c r="H107" t="s">
        <v>3</v>
      </c>
      <c r="I107" t="s">
        <v>680</v>
      </c>
      <c r="J107" t="s">
        <v>679</v>
      </c>
      <c r="K107" t="s">
        <v>3</v>
      </c>
      <c r="L107" t="s">
        <v>3</v>
      </c>
      <c r="M107" t="s">
        <v>3</v>
      </c>
      <c r="N107" t="s">
        <v>113</v>
      </c>
      <c r="O107" t="s">
        <v>679</v>
      </c>
      <c r="P107" t="s">
        <v>3</v>
      </c>
      <c r="Q107" t="s">
        <v>3</v>
      </c>
      <c r="R107" t="s">
        <v>3</v>
      </c>
      <c r="S107" t="s">
        <v>681</v>
      </c>
      <c r="T107" t="s">
        <v>682</v>
      </c>
      <c r="U107" t="s">
        <v>683</v>
      </c>
    </row>
    <row r="108" spans="1:21" x14ac:dyDescent="0.2">
      <c r="A108">
        <v>175</v>
      </c>
      <c r="B108">
        <v>1</v>
      </c>
      <c r="C108" t="s">
        <v>3</v>
      </c>
      <c r="D108" t="s">
        <v>113</v>
      </c>
      <c r="E108" t="s">
        <v>114</v>
      </c>
      <c r="F108" t="s">
        <v>114</v>
      </c>
      <c r="G108" t="s">
        <v>114</v>
      </c>
      <c r="H108" t="s">
        <v>3</v>
      </c>
      <c r="I108" t="s">
        <v>114</v>
      </c>
      <c r="J108" t="s">
        <v>114</v>
      </c>
      <c r="K108" t="s">
        <v>3</v>
      </c>
      <c r="L108" t="s">
        <v>3</v>
      </c>
      <c r="M108" t="s">
        <v>3</v>
      </c>
      <c r="N108" t="s">
        <v>113</v>
      </c>
      <c r="O108" t="s">
        <v>114</v>
      </c>
      <c r="P108" t="s">
        <v>3</v>
      </c>
      <c r="Q108" t="s">
        <v>3</v>
      </c>
      <c r="R108" t="s">
        <v>3</v>
      </c>
      <c r="S108" t="s">
        <v>671</v>
      </c>
      <c r="T108" t="s">
        <v>672</v>
      </c>
      <c r="U108" t="s">
        <v>673</v>
      </c>
    </row>
    <row r="109" spans="1:21" x14ac:dyDescent="0.2">
      <c r="A109">
        <v>176</v>
      </c>
      <c r="B109">
        <v>1</v>
      </c>
      <c r="C109" t="s">
        <v>3</v>
      </c>
      <c r="D109" t="s">
        <v>113</v>
      </c>
      <c r="E109" t="s">
        <v>679</v>
      </c>
      <c r="F109" t="s">
        <v>679</v>
      </c>
      <c r="G109" t="s">
        <v>680</v>
      </c>
      <c r="H109" t="s">
        <v>3</v>
      </c>
      <c r="I109" t="s">
        <v>680</v>
      </c>
      <c r="J109" t="s">
        <v>679</v>
      </c>
      <c r="K109" t="s">
        <v>3</v>
      </c>
      <c r="L109" t="s">
        <v>3</v>
      </c>
      <c r="M109" t="s">
        <v>3</v>
      </c>
      <c r="N109" t="s">
        <v>113</v>
      </c>
      <c r="O109" t="s">
        <v>679</v>
      </c>
      <c r="P109" t="s">
        <v>3</v>
      </c>
      <c r="Q109" t="s">
        <v>3</v>
      </c>
      <c r="R109" t="s">
        <v>3</v>
      </c>
      <c r="S109" t="s">
        <v>681</v>
      </c>
      <c r="T109" t="s">
        <v>682</v>
      </c>
      <c r="U109" t="s">
        <v>683</v>
      </c>
    </row>
    <row r="110" spans="1:21" x14ac:dyDescent="0.2">
      <c r="A110">
        <v>176</v>
      </c>
      <c r="B110">
        <v>1</v>
      </c>
      <c r="C110" t="s">
        <v>3</v>
      </c>
      <c r="D110" t="s">
        <v>113</v>
      </c>
      <c r="E110" t="s">
        <v>114</v>
      </c>
      <c r="F110" t="s">
        <v>114</v>
      </c>
      <c r="G110" t="s">
        <v>114</v>
      </c>
      <c r="H110" t="s">
        <v>3</v>
      </c>
      <c r="I110" t="s">
        <v>114</v>
      </c>
      <c r="J110" t="s">
        <v>114</v>
      </c>
      <c r="K110" t="s">
        <v>3</v>
      </c>
      <c r="L110" t="s">
        <v>3</v>
      </c>
      <c r="M110" t="s">
        <v>3</v>
      </c>
      <c r="N110" t="s">
        <v>113</v>
      </c>
      <c r="O110" t="s">
        <v>114</v>
      </c>
      <c r="P110" t="s">
        <v>3</v>
      </c>
      <c r="Q110" t="s">
        <v>3</v>
      </c>
      <c r="R110" t="s">
        <v>3</v>
      </c>
      <c r="S110" t="s">
        <v>671</v>
      </c>
      <c r="T110" t="s">
        <v>672</v>
      </c>
      <c r="U110" t="s">
        <v>673</v>
      </c>
    </row>
    <row r="111" spans="1:21" x14ac:dyDescent="0.2">
      <c r="A111">
        <v>214</v>
      </c>
      <c r="B111">
        <v>1</v>
      </c>
      <c r="C111" t="s">
        <v>3</v>
      </c>
      <c r="D111" t="s">
        <v>113</v>
      </c>
      <c r="E111" t="s">
        <v>114</v>
      </c>
      <c r="F111" t="s">
        <v>114</v>
      </c>
      <c r="G111" t="s">
        <v>114</v>
      </c>
      <c r="H111" t="s">
        <v>3</v>
      </c>
      <c r="I111" t="s">
        <v>114</v>
      </c>
      <c r="J111" t="s">
        <v>114</v>
      </c>
      <c r="K111" t="s">
        <v>3</v>
      </c>
      <c r="L111" t="s">
        <v>3</v>
      </c>
      <c r="M111" t="s">
        <v>3</v>
      </c>
      <c r="N111" t="s">
        <v>113</v>
      </c>
      <c r="O111" t="s">
        <v>114</v>
      </c>
      <c r="P111" t="s">
        <v>3</v>
      </c>
      <c r="Q111" t="s">
        <v>3</v>
      </c>
      <c r="R111" t="s">
        <v>3</v>
      </c>
      <c r="S111" t="s">
        <v>671</v>
      </c>
      <c r="T111" t="s">
        <v>672</v>
      </c>
      <c r="U111" t="s">
        <v>673</v>
      </c>
    </row>
    <row r="112" spans="1:21" x14ac:dyDescent="0.2">
      <c r="A112">
        <v>215</v>
      </c>
      <c r="B112">
        <v>1</v>
      </c>
      <c r="C112" t="s">
        <v>3</v>
      </c>
      <c r="D112" t="s">
        <v>113</v>
      </c>
      <c r="E112" t="s">
        <v>114</v>
      </c>
      <c r="F112" t="s">
        <v>114</v>
      </c>
      <c r="G112" t="s">
        <v>114</v>
      </c>
      <c r="H112" t="s">
        <v>3</v>
      </c>
      <c r="I112" t="s">
        <v>114</v>
      </c>
      <c r="J112" t="s">
        <v>114</v>
      </c>
      <c r="K112" t="s">
        <v>3</v>
      </c>
      <c r="L112" t="s">
        <v>3</v>
      </c>
      <c r="M112" t="s">
        <v>3</v>
      </c>
      <c r="N112" t="s">
        <v>113</v>
      </c>
      <c r="O112" t="s">
        <v>114</v>
      </c>
      <c r="P112" t="s">
        <v>3</v>
      </c>
      <c r="Q112" t="s">
        <v>3</v>
      </c>
      <c r="R112" t="s">
        <v>3</v>
      </c>
      <c r="S112" t="s">
        <v>671</v>
      </c>
      <c r="T112" t="s">
        <v>672</v>
      </c>
      <c r="U112" t="s">
        <v>673</v>
      </c>
    </row>
    <row r="113" spans="1:21" x14ac:dyDescent="0.2">
      <c r="A113">
        <v>222</v>
      </c>
      <c r="B113">
        <v>1</v>
      </c>
      <c r="C113" t="s">
        <v>3</v>
      </c>
      <c r="D113" t="s">
        <v>113</v>
      </c>
      <c r="E113" t="s">
        <v>114</v>
      </c>
      <c r="F113" t="s">
        <v>114</v>
      </c>
      <c r="G113" t="s">
        <v>114</v>
      </c>
      <c r="H113" t="s">
        <v>3</v>
      </c>
      <c r="I113" t="s">
        <v>114</v>
      </c>
      <c r="J113" t="s">
        <v>114</v>
      </c>
      <c r="K113" t="s">
        <v>3</v>
      </c>
      <c r="L113" t="s">
        <v>3</v>
      </c>
      <c r="M113" t="s">
        <v>3</v>
      </c>
      <c r="N113" t="s">
        <v>113</v>
      </c>
      <c r="O113" t="s">
        <v>114</v>
      </c>
      <c r="P113" t="s">
        <v>3</v>
      </c>
      <c r="Q113" t="s">
        <v>3</v>
      </c>
      <c r="R113" t="s">
        <v>3</v>
      </c>
      <c r="S113" t="s">
        <v>671</v>
      </c>
      <c r="T113" t="s">
        <v>672</v>
      </c>
      <c r="U113" t="s">
        <v>673</v>
      </c>
    </row>
    <row r="114" spans="1:21" x14ac:dyDescent="0.2">
      <c r="A114">
        <v>223</v>
      </c>
      <c r="B114">
        <v>1</v>
      </c>
      <c r="C114" t="s">
        <v>3</v>
      </c>
      <c r="D114" t="s">
        <v>113</v>
      </c>
      <c r="E114" t="s">
        <v>114</v>
      </c>
      <c r="F114" t="s">
        <v>114</v>
      </c>
      <c r="G114" t="s">
        <v>114</v>
      </c>
      <c r="H114" t="s">
        <v>3</v>
      </c>
      <c r="I114" t="s">
        <v>114</v>
      </c>
      <c r="J114" t="s">
        <v>114</v>
      </c>
      <c r="K114" t="s">
        <v>3</v>
      </c>
      <c r="L114" t="s">
        <v>3</v>
      </c>
      <c r="M114" t="s">
        <v>3</v>
      </c>
      <c r="N114" t="s">
        <v>113</v>
      </c>
      <c r="O114" t="s">
        <v>114</v>
      </c>
      <c r="P114" t="s">
        <v>3</v>
      </c>
      <c r="Q114" t="s">
        <v>3</v>
      </c>
      <c r="R114" t="s">
        <v>3</v>
      </c>
      <c r="S114" t="s">
        <v>671</v>
      </c>
      <c r="T114" t="s">
        <v>672</v>
      </c>
      <c r="U114" t="s">
        <v>673</v>
      </c>
    </row>
    <row r="115" spans="1:21" x14ac:dyDescent="0.2">
      <c r="A115">
        <v>234</v>
      </c>
      <c r="B115">
        <v>1</v>
      </c>
      <c r="C115" t="s">
        <v>3</v>
      </c>
      <c r="D115" t="s">
        <v>113</v>
      </c>
      <c r="E115" t="s">
        <v>114</v>
      </c>
      <c r="F115" t="s">
        <v>114</v>
      </c>
      <c r="G115" t="s">
        <v>114</v>
      </c>
      <c r="H115" t="s">
        <v>3</v>
      </c>
      <c r="I115" t="s">
        <v>114</v>
      </c>
      <c r="J115" t="s">
        <v>114</v>
      </c>
      <c r="K115" t="s">
        <v>3</v>
      </c>
      <c r="L115" t="s">
        <v>3</v>
      </c>
      <c r="M115" t="s">
        <v>3</v>
      </c>
      <c r="N115" t="s">
        <v>113</v>
      </c>
      <c r="O115" t="s">
        <v>114</v>
      </c>
      <c r="P115" t="s">
        <v>3</v>
      </c>
      <c r="Q115" t="s">
        <v>3</v>
      </c>
      <c r="R115" t="s">
        <v>3</v>
      </c>
      <c r="S115" t="s">
        <v>671</v>
      </c>
      <c r="T115" t="s">
        <v>672</v>
      </c>
      <c r="U115" t="s">
        <v>673</v>
      </c>
    </row>
    <row r="116" spans="1:21" x14ac:dyDescent="0.2">
      <c r="A116">
        <v>235</v>
      </c>
      <c r="B116">
        <v>1</v>
      </c>
      <c r="C116" t="s">
        <v>3</v>
      </c>
      <c r="D116" t="s">
        <v>113</v>
      </c>
      <c r="E116" t="s">
        <v>114</v>
      </c>
      <c r="F116" t="s">
        <v>114</v>
      </c>
      <c r="G116" t="s">
        <v>114</v>
      </c>
      <c r="H116" t="s">
        <v>3</v>
      </c>
      <c r="I116" t="s">
        <v>114</v>
      </c>
      <c r="J116" t="s">
        <v>114</v>
      </c>
      <c r="K116" t="s">
        <v>3</v>
      </c>
      <c r="L116" t="s">
        <v>3</v>
      </c>
      <c r="M116" t="s">
        <v>3</v>
      </c>
      <c r="N116" t="s">
        <v>113</v>
      </c>
      <c r="O116" t="s">
        <v>114</v>
      </c>
      <c r="P116" t="s">
        <v>3</v>
      </c>
      <c r="Q116" t="s">
        <v>3</v>
      </c>
      <c r="R116" t="s">
        <v>3</v>
      </c>
      <c r="S116" t="s">
        <v>671</v>
      </c>
      <c r="T116" t="s">
        <v>672</v>
      </c>
      <c r="U116" t="s">
        <v>673</v>
      </c>
    </row>
    <row r="117" spans="1:21" x14ac:dyDescent="0.2">
      <c r="A117">
        <v>240</v>
      </c>
      <c r="B117">
        <v>1</v>
      </c>
      <c r="C117" t="s">
        <v>3</v>
      </c>
      <c r="D117" t="s">
        <v>113</v>
      </c>
      <c r="E117" t="s">
        <v>114</v>
      </c>
      <c r="F117" t="s">
        <v>114</v>
      </c>
      <c r="G117" t="s">
        <v>114</v>
      </c>
      <c r="H117" t="s">
        <v>3</v>
      </c>
      <c r="I117" t="s">
        <v>114</v>
      </c>
      <c r="J117" t="s">
        <v>114</v>
      </c>
      <c r="K117" t="s">
        <v>3</v>
      </c>
      <c r="L117" t="s">
        <v>3</v>
      </c>
      <c r="M117" t="s">
        <v>3</v>
      </c>
      <c r="N117" t="s">
        <v>113</v>
      </c>
      <c r="O117" t="s">
        <v>114</v>
      </c>
      <c r="P117" t="s">
        <v>3</v>
      </c>
      <c r="Q117" t="s">
        <v>3</v>
      </c>
      <c r="R117" t="s">
        <v>3</v>
      </c>
      <c r="S117" t="s">
        <v>671</v>
      </c>
      <c r="T117" t="s">
        <v>672</v>
      </c>
      <c r="U117" t="s">
        <v>673</v>
      </c>
    </row>
    <row r="118" spans="1:21" x14ac:dyDescent="0.2">
      <c r="A118">
        <v>241</v>
      </c>
      <c r="B118">
        <v>1</v>
      </c>
      <c r="C118" t="s">
        <v>3</v>
      </c>
      <c r="D118" t="s">
        <v>113</v>
      </c>
      <c r="E118" t="s">
        <v>114</v>
      </c>
      <c r="F118" t="s">
        <v>114</v>
      </c>
      <c r="G118" t="s">
        <v>114</v>
      </c>
      <c r="H118" t="s">
        <v>3</v>
      </c>
      <c r="I118" t="s">
        <v>114</v>
      </c>
      <c r="J118" t="s">
        <v>114</v>
      </c>
      <c r="K118" t="s">
        <v>3</v>
      </c>
      <c r="L118" t="s">
        <v>3</v>
      </c>
      <c r="M118" t="s">
        <v>3</v>
      </c>
      <c r="N118" t="s">
        <v>113</v>
      </c>
      <c r="O118" t="s">
        <v>114</v>
      </c>
      <c r="P118" t="s">
        <v>3</v>
      </c>
      <c r="Q118" t="s">
        <v>3</v>
      </c>
      <c r="R118" t="s">
        <v>3</v>
      </c>
      <c r="S118" t="s">
        <v>671</v>
      </c>
      <c r="T118" t="s">
        <v>672</v>
      </c>
      <c r="U118" t="s">
        <v>673</v>
      </c>
    </row>
    <row r="119" spans="1:21" x14ac:dyDescent="0.2">
      <c r="A119">
        <v>244</v>
      </c>
      <c r="B119">
        <v>1</v>
      </c>
      <c r="C119" t="s">
        <v>3</v>
      </c>
      <c r="D119" t="s">
        <v>113</v>
      </c>
      <c r="E119" t="s">
        <v>114</v>
      </c>
      <c r="F119" t="s">
        <v>114</v>
      </c>
      <c r="G119" t="s">
        <v>114</v>
      </c>
      <c r="H119" t="s">
        <v>3</v>
      </c>
      <c r="I119" t="s">
        <v>114</v>
      </c>
      <c r="J119" t="s">
        <v>114</v>
      </c>
      <c r="K119" t="s">
        <v>3</v>
      </c>
      <c r="L119" t="s">
        <v>3</v>
      </c>
      <c r="M119" t="s">
        <v>3</v>
      </c>
      <c r="N119" t="s">
        <v>113</v>
      </c>
      <c r="O119" t="s">
        <v>114</v>
      </c>
      <c r="P119" t="s">
        <v>3</v>
      </c>
      <c r="Q119" t="s">
        <v>3</v>
      </c>
      <c r="R119" t="s">
        <v>3</v>
      </c>
      <c r="S119" t="s">
        <v>671</v>
      </c>
      <c r="T119" t="s">
        <v>672</v>
      </c>
      <c r="U119" t="s">
        <v>673</v>
      </c>
    </row>
    <row r="120" spans="1:21" x14ac:dyDescent="0.2">
      <c r="A120">
        <v>245</v>
      </c>
      <c r="B120">
        <v>1</v>
      </c>
      <c r="C120" t="s">
        <v>3</v>
      </c>
      <c r="D120" t="s">
        <v>113</v>
      </c>
      <c r="E120" t="s">
        <v>114</v>
      </c>
      <c r="F120" t="s">
        <v>114</v>
      </c>
      <c r="G120" t="s">
        <v>114</v>
      </c>
      <c r="H120" t="s">
        <v>3</v>
      </c>
      <c r="I120" t="s">
        <v>114</v>
      </c>
      <c r="J120" t="s">
        <v>114</v>
      </c>
      <c r="K120" t="s">
        <v>3</v>
      </c>
      <c r="L120" t="s">
        <v>3</v>
      </c>
      <c r="M120" t="s">
        <v>3</v>
      </c>
      <c r="N120" t="s">
        <v>113</v>
      </c>
      <c r="O120" t="s">
        <v>114</v>
      </c>
      <c r="P120" t="s">
        <v>3</v>
      </c>
      <c r="Q120" t="s">
        <v>3</v>
      </c>
      <c r="R120" t="s">
        <v>3</v>
      </c>
      <c r="S120" t="s">
        <v>671</v>
      </c>
      <c r="T120" t="s">
        <v>672</v>
      </c>
      <c r="U120" t="s">
        <v>673</v>
      </c>
    </row>
    <row r="121" spans="1:21" x14ac:dyDescent="0.2">
      <c r="A121">
        <v>252</v>
      </c>
      <c r="B121">
        <v>1</v>
      </c>
      <c r="C121" t="s">
        <v>3</v>
      </c>
      <c r="D121" t="s">
        <v>113</v>
      </c>
      <c r="E121" t="s">
        <v>114</v>
      </c>
      <c r="F121" t="s">
        <v>114</v>
      </c>
      <c r="G121" t="s">
        <v>114</v>
      </c>
      <c r="H121" t="s">
        <v>3</v>
      </c>
      <c r="I121" t="s">
        <v>114</v>
      </c>
      <c r="J121" t="s">
        <v>114</v>
      </c>
      <c r="K121" t="s">
        <v>3</v>
      </c>
      <c r="L121" t="s">
        <v>3</v>
      </c>
      <c r="M121" t="s">
        <v>3</v>
      </c>
      <c r="N121" t="s">
        <v>113</v>
      </c>
      <c r="O121" t="s">
        <v>114</v>
      </c>
      <c r="P121" t="s">
        <v>3</v>
      </c>
      <c r="Q121" t="s">
        <v>3</v>
      </c>
      <c r="R121" t="s">
        <v>3</v>
      </c>
      <c r="S121" t="s">
        <v>671</v>
      </c>
      <c r="T121" t="s">
        <v>672</v>
      </c>
      <c r="U121" t="s">
        <v>673</v>
      </c>
    </row>
    <row r="122" spans="1:21" x14ac:dyDescent="0.2">
      <c r="A122">
        <v>253</v>
      </c>
      <c r="B122">
        <v>1</v>
      </c>
      <c r="C122" t="s">
        <v>3</v>
      </c>
      <c r="D122" t="s">
        <v>113</v>
      </c>
      <c r="E122" t="s">
        <v>114</v>
      </c>
      <c r="F122" t="s">
        <v>114</v>
      </c>
      <c r="G122" t="s">
        <v>114</v>
      </c>
      <c r="H122" t="s">
        <v>3</v>
      </c>
      <c r="I122" t="s">
        <v>114</v>
      </c>
      <c r="J122" t="s">
        <v>114</v>
      </c>
      <c r="K122" t="s">
        <v>3</v>
      </c>
      <c r="L122" t="s">
        <v>3</v>
      </c>
      <c r="M122" t="s">
        <v>3</v>
      </c>
      <c r="N122" t="s">
        <v>113</v>
      </c>
      <c r="O122" t="s">
        <v>114</v>
      </c>
      <c r="P122" t="s">
        <v>3</v>
      </c>
      <c r="Q122" t="s">
        <v>3</v>
      </c>
      <c r="R122" t="s">
        <v>3</v>
      </c>
      <c r="S122" t="s">
        <v>671</v>
      </c>
      <c r="T122" t="s">
        <v>672</v>
      </c>
      <c r="U122" t="s">
        <v>673</v>
      </c>
    </row>
    <row r="123" spans="1:21" x14ac:dyDescent="0.2">
      <c r="A123">
        <v>256</v>
      </c>
      <c r="B123">
        <v>1</v>
      </c>
      <c r="C123" t="s">
        <v>3</v>
      </c>
      <c r="D123" t="s">
        <v>113</v>
      </c>
      <c r="E123" t="s">
        <v>114</v>
      </c>
      <c r="F123" t="s">
        <v>114</v>
      </c>
      <c r="G123" t="s">
        <v>114</v>
      </c>
      <c r="H123" t="s">
        <v>3</v>
      </c>
      <c r="I123" t="s">
        <v>114</v>
      </c>
      <c r="J123" t="s">
        <v>114</v>
      </c>
      <c r="K123" t="s">
        <v>3</v>
      </c>
      <c r="L123" t="s">
        <v>3</v>
      </c>
      <c r="M123" t="s">
        <v>3</v>
      </c>
      <c r="N123" t="s">
        <v>113</v>
      </c>
      <c r="O123" t="s">
        <v>114</v>
      </c>
      <c r="P123" t="s">
        <v>3</v>
      </c>
      <c r="Q123" t="s">
        <v>3</v>
      </c>
      <c r="R123" t="s">
        <v>3</v>
      </c>
      <c r="S123" t="s">
        <v>671</v>
      </c>
      <c r="T123" t="s">
        <v>672</v>
      </c>
      <c r="U123" t="s">
        <v>673</v>
      </c>
    </row>
    <row r="124" spans="1:21" x14ac:dyDescent="0.2">
      <c r="A124">
        <v>257</v>
      </c>
      <c r="B124">
        <v>1</v>
      </c>
      <c r="C124" t="s">
        <v>3</v>
      </c>
      <c r="D124" t="s">
        <v>113</v>
      </c>
      <c r="E124" t="s">
        <v>114</v>
      </c>
      <c r="F124" t="s">
        <v>114</v>
      </c>
      <c r="G124" t="s">
        <v>114</v>
      </c>
      <c r="H124" t="s">
        <v>3</v>
      </c>
      <c r="I124" t="s">
        <v>114</v>
      </c>
      <c r="J124" t="s">
        <v>114</v>
      </c>
      <c r="K124" t="s">
        <v>3</v>
      </c>
      <c r="L124" t="s">
        <v>3</v>
      </c>
      <c r="M124" t="s">
        <v>3</v>
      </c>
      <c r="N124" t="s">
        <v>113</v>
      </c>
      <c r="O124" t="s">
        <v>114</v>
      </c>
      <c r="P124" t="s">
        <v>3</v>
      </c>
      <c r="Q124" t="s">
        <v>3</v>
      </c>
      <c r="R124" t="s">
        <v>3</v>
      </c>
      <c r="S124" t="s">
        <v>671</v>
      </c>
      <c r="T124" t="s">
        <v>672</v>
      </c>
      <c r="U124" t="s">
        <v>673</v>
      </c>
    </row>
    <row r="125" spans="1:21" x14ac:dyDescent="0.2">
      <c r="A125">
        <v>260</v>
      </c>
      <c r="B125">
        <v>1</v>
      </c>
      <c r="C125" t="s">
        <v>3</v>
      </c>
      <c r="D125" t="s">
        <v>113</v>
      </c>
      <c r="E125" t="s">
        <v>114</v>
      </c>
      <c r="F125" t="s">
        <v>114</v>
      </c>
      <c r="G125" t="s">
        <v>114</v>
      </c>
      <c r="H125" t="s">
        <v>3</v>
      </c>
      <c r="I125" t="s">
        <v>114</v>
      </c>
      <c r="J125" t="s">
        <v>114</v>
      </c>
      <c r="K125" t="s">
        <v>3</v>
      </c>
      <c r="L125" t="s">
        <v>3</v>
      </c>
      <c r="M125" t="s">
        <v>3</v>
      </c>
      <c r="N125" t="s">
        <v>113</v>
      </c>
      <c r="O125" t="s">
        <v>114</v>
      </c>
      <c r="P125" t="s">
        <v>3</v>
      </c>
      <c r="Q125" t="s">
        <v>3</v>
      </c>
      <c r="R125" t="s">
        <v>3</v>
      </c>
      <c r="S125" t="s">
        <v>671</v>
      </c>
      <c r="T125" t="s">
        <v>672</v>
      </c>
      <c r="U125" t="s">
        <v>673</v>
      </c>
    </row>
    <row r="126" spans="1:21" x14ac:dyDescent="0.2">
      <c r="A126">
        <v>261</v>
      </c>
      <c r="B126">
        <v>1</v>
      </c>
      <c r="C126" t="s">
        <v>3</v>
      </c>
      <c r="D126" t="s">
        <v>113</v>
      </c>
      <c r="E126" t="s">
        <v>114</v>
      </c>
      <c r="F126" t="s">
        <v>114</v>
      </c>
      <c r="G126" t="s">
        <v>114</v>
      </c>
      <c r="H126" t="s">
        <v>3</v>
      </c>
      <c r="I126" t="s">
        <v>114</v>
      </c>
      <c r="J126" t="s">
        <v>114</v>
      </c>
      <c r="K126" t="s">
        <v>3</v>
      </c>
      <c r="L126" t="s">
        <v>3</v>
      </c>
      <c r="M126" t="s">
        <v>3</v>
      </c>
      <c r="N126" t="s">
        <v>113</v>
      </c>
      <c r="O126" t="s">
        <v>114</v>
      </c>
      <c r="P126" t="s">
        <v>3</v>
      </c>
      <c r="Q126" t="s">
        <v>3</v>
      </c>
      <c r="R126" t="s">
        <v>3</v>
      </c>
      <c r="S126" t="s">
        <v>671</v>
      </c>
      <c r="T126" t="s">
        <v>672</v>
      </c>
      <c r="U126" t="s">
        <v>673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7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74599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02-01-19</v>
      </c>
      <c r="G12" t="str">
        <f>Source!G12</f>
        <v>02-01-19 АУГП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">
      <c r="D14" t="s">
        <v>5</v>
      </c>
      <c r="E14" t="s">
        <v>16</v>
      </c>
      <c r="AD14">
        <v>3</v>
      </c>
    </row>
    <row r="15" spans="1:103" x14ac:dyDescent="0.2">
      <c r="B15" t="s">
        <v>687</v>
      </c>
      <c r="C15">
        <v>1</v>
      </c>
      <c r="D15" t="s">
        <v>181</v>
      </c>
      <c r="E15" t="s">
        <v>3</v>
      </c>
      <c r="F15" t="s">
        <v>688</v>
      </c>
      <c r="G15" t="s">
        <v>3</v>
      </c>
      <c r="H15">
        <v>7394</v>
      </c>
      <c r="I15">
        <v>7394</v>
      </c>
      <c r="J15">
        <v>0</v>
      </c>
      <c r="K15">
        <v>7394</v>
      </c>
      <c r="L15">
        <v>0</v>
      </c>
      <c r="M15">
        <v>0</v>
      </c>
      <c r="N15">
        <v>0</v>
      </c>
      <c r="O15" t="s">
        <v>689</v>
      </c>
      <c r="P15" t="s">
        <v>3</v>
      </c>
      <c r="Q15" t="s">
        <v>690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7394</v>
      </c>
      <c r="AD15">
        <v>1</v>
      </c>
      <c r="AE15">
        <v>0</v>
      </c>
      <c r="AF15">
        <v>3</v>
      </c>
      <c r="AG15">
        <v>3</v>
      </c>
      <c r="AH15" t="s">
        <v>183</v>
      </c>
      <c r="AI15" t="s">
        <v>182</v>
      </c>
      <c r="AJ15">
        <v>46141.573298611111</v>
      </c>
      <c r="AK15">
        <v>55937480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691</v>
      </c>
      <c r="AT15">
        <v>1</v>
      </c>
      <c r="AU15">
        <v>8</v>
      </c>
    </row>
    <row r="16" spans="1:103" x14ac:dyDescent="0.2">
      <c r="B16" t="s">
        <v>692</v>
      </c>
      <c r="C16">
        <v>0</v>
      </c>
      <c r="D16" t="s">
        <v>181</v>
      </c>
      <c r="E16" t="s">
        <v>3</v>
      </c>
      <c r="F16" t="s">
        <v>688</v>
      </c>
      <c r="G16" t="s">
        <v>3</v>
      </c>
      <c r="H16">
        <v>7394</v>
      </c>
      <c r="I16">
        <v>7394</v>
      </c>
      <c r="J16">
        <v>0</v>
      </c>
      <c r="K16">
        <v>7394</v>
      </c>
      <c r="L16">
        <v>0</v>
      </c>
      <c r="M16">
        <v>0</v>
      </c>
      <c r="N16">
        <v>0</v>
      </c>
      <c r="O16" t="s">
        <v>693</v>
      </c>
      <c r="P16" t="s">
        <v>3</v>
      </c>
      <c r="Q16" t="s">
        <v>694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7394</v>
      </c>
      <c r="AD16">
        <v>1</v>
      </c>
      <c r="AE16">
        <v>0</v>
      </c>
      <c r="AF16">
        <v>3</v>
      </c>
      <c r="AG16">
        <v>3</v>
      </c>
      <c r="AH16" t="s">
        <v>183</v>
      </c>
      <c r="AI16" t="s">
        <v>182</v>
      </c>
      <c r="AJ16">
        <v>46141.573298611111</v>
      </c>
      <c r="AK16">
        <v>55937480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8</v>
      </c>
    </row>
    <row r="17" spans="2:47" x14ac:dyDescent="0.2">
      <c r="B17" t="s">
        <v>695</v>
      </c>
      <c r="C17">
        <v>0</v>
      </c>
      <c r="D17" t="s">
        <v>181</v>
      </c>
      <c r="E17" t="s">
        <v>3</v>
      </c>
      <c r="F17" t="s">
        <v>688</v>
      </c>
      <c r="G17" t="s">
        <v>3</v>
      </c>
      <c r="H17">
        <v>7394</v>
      </c>
      <c r="I17">
        <v>7394</v>
      </c>
      <c r="J17">
        <v>0</v>
      </c>
      <c r="K17">
        <v>7394</v>
      </c>
      <c r="L17">
        <v>0</v>
      </c>
      <c r="M17">
        <v>0</v>
      </c>
      <c r="N17">
        <v>0</v>
      </c>
      <c r="O17" t="s">
        <v>696</v>
      </c>
      <c r="P17" t="s">
        <v>3</v>
      </c>
      <c r="Q17" t="s">
        <v>697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7394</v>
      </c>
      <c r="AD17">
        <v>1</v>
      </c>
      <c r="AE17">
        <v>0</v>
      </c>
      <c r="AF17">
        <v>3</v>
      </c>
      <c r="AG17">
        <v>3</v>
      </c>
      <c r="AH17" t="s">
        <v>183</v>
      </c>
      <c r="AI17" t="s">
        <v>182</v>
      </c>
      <c r="AJ17">
        <v>46141.573298611111</v>
      </c>
      <c r="AK17">
        <v>55937480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8</v>
      </c>
    </row>
    <row r="18" spans="2:47" x14ac:dyDescent="0.2">
      <c r="B18" t="s">
        <v>698</v>
      </c>
      <c r="C18">
        <v>1</v>
      </c>
      <c r="D18" t="s">
        <v>191</v>
      </c>
      <c r="E18" t="s">
        <v>3</v>
      </c>
      <c r="F18" t="s">
        <v>688</v>
      </c>
      <c r="G18" t="s">
        <v>3</v>
      </c>
      <c r="H18">
        <v>42981</v>
      </c>
      <c r="I18">
        <v>42981</v>
      </c>
      <c r="J18">
        <v>0</v>
      </c>
      <c r="K18">
        <v>42981</v>
      </c>
      <c r="L18">
        <v>0</v>
      </c>
      <c r="M18">
        <v>0</v>
      </c>
      <c r="N18">
        <v>0</v>
      </c>
      <c r="O18" t="s">
        <v>689</v>
      </c>
      <c r="P18" t="s">
        <v>3</v>
      </c>
      <c r="Q18" t="s">
        <v>690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42981</v>
      </c>
      <c r="AD18">
        <v>1</v>
      </c>
      <c r="AE18">
        <v>0</v>
      </c>
      <c r="AF18">
        <v>3</v>
      </c>
      <c r="AG18">
        <v>3</v>
      </c>
      <c r="AH18" t="s">
        <v>183</v>
      </c>
      <c r="AI18" t="s">
        <v>192</v>
      </c>
      <c r="AJ18">
        <v>46141.573333333334</v>
      </c>
      <c r="AK18">
        <v>55937490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691</v>
      </c>
      <c r="AT18">
        <v>1</v>
      </c>
      <c r="AU18">
        <v>1</v>
      </c>
    </row>
    <row r="19" spans="2:47" x14ac:dyDescent="0.2">
      <c r="B19" t="s">
        <v>699</v>
      </c>
      <c r="C19">
        <v>0</v>
      </c>
      <c r="D19" t="s">
        <v>191</v>
      </c>
      <c r="E19" t="s">
        <v>3</v>
      </c>
      <c r="F19" t="s">
        <v>688</v>
      </c>
      <c r="G19" t="s">
        <v>3</v>
      </c>
      <c r="H19">
        <v>42981</v>
      </c>
      <c r="I19">
        <v>42981</v>
      </c>
      <c r="J19">
        <v>0</v>
      </c>
      <c r="K19">
        <v>42981</v>
      </c>
      <c r="L19">
        <v>0</v>
      </c>
      <c r="M19">
        <v>0</v>
      </c>
      <c r="N19">
        <v>0</v>
      </c>
      <c r="O19" t="s">
        <v>700</v>
      </c>
      <c r="P19" t="s">
        <v>3</v>
      </c>
      <c r="Q19" t="s">
        <v>701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42981</v>
      </c>
      <c r="AD19">
        <v>1</v>
      </c>
      <c r="AE19">
        <v>0</v>
      </c>
      <c r="AF19">
        <v>3</v>
      </c>
      <c r="AG19">
        <v>3</v>
      </c>
      <c r="AH19" t="s">
        <v>183</v>
      </c>
      <c r="AI19" t="s">
        <v>192</v>
      </c>
      <c r="AJ19">
        <v>46141.573333333334</v>
      </c>
      <c r="AK19">
        <v>55937490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">
      <c r="B20" t="s">
        <v>702</v>
      </c>
      <c r="C20">
        <v>0</v>
      </c>
      <c r="D20" t="s">
        <v>191</v>
      </c>
      <c r="E20" t="s">
        <v>3</v>
      </c>
      <c r="F20" t="s">
        <v>688</v>
      </c>
      <c r="G20" t="s">
        <v>3</v>
      </c>
      <c r="H20">
        <v>42981</v>
      </c>
      <c r="I20">
        <v>42981</v>
      </c>
      <c r="J20">
        <v>0</v>
      </c>
      <c r="K20">
        <v>42981</v>
      </c>
      <c r="L20">
        <v>0</v>
      </c>
      <c r="M20">
        <v>0</v>
      </c>
      <c r="N20">
        <v>0</v>
      </c>
      <c r="O20" t="s">
        <v>703</v>
      </c>
      <c r="P20" t="s">
        <v>3</v>
      </c>
      <c r="Q20" t="s">
        <v>704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42981</v>
      </c>
      <c r="AD20">
        <v>1</v>
      </c>
      <c r="AE20">
        <v>0</v>
      </c>
      <c r="AF20">
        <v>3</v>
      </c>
      <c r="AG20">
        <v>3</v>
      </c>
      <c r="AH20" t="s">
        <v>183</v>
      </c>
      <c r="AI20" t="s">
        <v>192</v>
      </c>
      <c r="AJ20">
        <v>46141.573333333334</v>
      </c>
      <c r="AK20">
        <v>55937490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">
      <c r="B21" t="s">
        <v>705</v>
      </c>
      <c r="C21">
        <v>1</v>
      </c>
      <c r="D21" t="s">
        <v>197</v>
      </c>
      <c r="E21" t="s">
        <v>3</v>
      </c>
      <c r="F21" t="s">
        <v>688</v>
      </c>
      <c r="G21" t="s">
        <v>3</v>
      </c>
      <c r="H21">
        <v>21132</v>
      </c>
      <c r="I21">
        <v>21132</v>
      </c>
      <c r="J21">
        <v>0</v>
      </c>
      <c r="K21">
        <v>21132</v>
      </c>
      <c r="L21">
        <v>0</v>
      </c>
      <c r="M21">
        <v>0</v>
      </c>
      <c r="N21">
        <v>0</v>
      </c>
      <c r="O21" t="s">
        <v>689</v>
      </c>
      <c r="P21" t="s">
        <v>3</v>
      </c>
      <c r="Q21" t="s">
        <v>690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21132</v>
      </c>
      <c r="AD21">
        <v>1</v>
      </c>
      <c r="AE21">
        <v>0</v>
      </c>
      <c r="AF21">
        <v>3</v>
      </c>
      <c r="AG21">
        <v>3</v>
      </c>
      <c r="AH21" t="s">
        <v>183</v>
      </c>
      <c r="AI21" t="s">
        <v>198</v>
      </c>
      <c r="AJ21">
        <v>46141.57335648148</v>
      </c>
      <c r="AK21">
        <v>55937517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691</v>
      </c>
      <c r="AT21">
        <v>1</v>
      </c>
      <c r="AU21">
        <v>1</v>
      </c>
    </row>
    <row r="22" spans="2:47" x14ac:dyDescent="0.2">
      <c r="B22" t="s">
        <v>706</v>
      </c>
      <c r="C22">
        <v>0</v>
      </c>
      <c r="D22" t="s">
        <v>197</v>
      </c>
      <c r="E22" t="s">
        <v>3</v>
      </c>
      <c r="F22" t="s">
        <v>688</v>
      </c>
      <c r="G22" t="s">
        <v>3</v>
      </c>
      <c r="H22">
        <v>21132</v>
      </c>
      <c r="I22">
        <v>21132</v>
      </c>
      <c r="J22">
        <v>0</v>
      </c>
      <c r="K22">
        <v>21132</v>
      </c>
      <c r="L22">
        <v>0</v>
      </c>
      <c r="M22">
        <v>0</v>
      </c>
      <c r="N22">
        <v>0</v>
      </c>
      <c r="O22" t="s">
        <v>696</v>
      </c>
      <c r="P22" t="s">
        <v>3</v>
      </c>
      <c r="Q22" t="s">
        <v>697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21132</v>
      </c>
      <c r="AD22">
        <v>1</v>
      </c>
      <c r="AE22">
        <v>0</v>
      </c>
      <c r="AF22">
        <v>3</v>
      </c>
      <c r="AG22">
        <v>3</v>
      </c>
      <c r="AH22" t="s">
        <v>183</v>
      </c>
      <c r="AI22" t="s">
        <v>198</v>
      </c>
      <c r="AJ22">
        <v>46141.57335648148</v>
      </c>
      <c r="AK22">
        <v>55937517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">
      <c r="B23" t="s">
        <v>707</v>
      </c>
      <c r="C23">
        <v>0</v>
      </c>
      <c r="D23" t="s">
        <v>197</v>
      </c>
      <c r="E23" t="s">
        <v>3</v>
      </c>
      <c r="F23" t="s">
        <v>688</v>
      </c>
      <c r="G23" t="s">
        <v>3</v>
      </c>
      <c r="H23">
        <v>21132</v>
      </c>
      <c r="I23">
        <v>21132</v>
      </c>
      <c r="J23">
        <v>0</v>
      </c>
      <c r="K23">
        <v>21132</v>
      </c>
      <c r="L23">
        <v>0</v>
      </c>
      <c r="M23">
        <v>0</v>
      </c>
      <c r="N23">
        <v>0</v>
      </c>
      <c r="O23" t="s">
        <v>703</v>
      </c>
      <c r="P23" t="s">
        <v>3</v>
      </c>
      <c r="Q23" t="s">
        <v>704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21132</v>
      </c>
      <c r="AD23">
        <v>1</v>
      </c>
      <c r="AE23">
        <v>0</v>
      </c>
      <c r="AF23">
        <v>3</v>
      </c>
      <c r="AG23">
        <v>3</v>
      </c>
      <c r="AH23" t="s">
        <v>183</v>
      </c>
      <c r="AI23" t="s">
        <v>198</v>
      </c>
      <c r="AJ23">
        <v>46141.57335648148</v>
      </c>
      <c r="AK23">
        <v>55937517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">
      <c r="B24" t="s">
        <v>708</v>
      </c>
      <c r="C24">
        <v>0</v>
      </c>
      <c r="D24" t="s">
        <v>203</v>
      </c>
      <c r="E24" t="s">
        <v>3</v>
      </c>
      <c r="F24" t="s">
        <v>688</v>
      </c>
      <c r="G24" t="s">
        <v>3</v>
      </c>
      <c r="H24">
        <v>6960</v>
      </c>
      <c r="I24">
        <v>6960</v>
      </c>
      <c r="J24">
        <v>0</v>
      </c>
      <c r="K24">
        <v>6960</v>
      </c>
      <c r="L24">
        <v>0</v>
      </c>
      <c r="M24">
        <v>0</v>
      </c>
      <c r="N24">
        <v>0</v>
      </c>
      <c r="O24" t="s">
        <v>709</v>
      </c>
      <c r="P24" t="s">
        <v>3</v>
      </c>
      <c r="Q24" t="s">
        <v>710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6960</v>
      </c>
      <c r="AD24">
        <v>1</v>
      </c>
      <c r="AE24">
        <v>0</v>
      </c>
      <c r="AF24">
        <v>3</v>
      </c>
      <c r="AG24">
        <v>3</v>
      </c>
      <c r="AH24" t="s">
        <v>183</v>
      </c>
      <c r="AI24" t="s">
        <v>204</v>
      </c>
      <c r="AJ24">
        <v>46141.573379629626</v>
      </c>
      <c r="AK24">
        <v>55937531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691</v>
      </c>
      <c r="AT24">
        <v>1</v>
      </c>
      <c r="AU24">
        <v>4</v>
      </c>
    </row>
    <row r="25" spans="2:47" x14ac:dyDescent="0.2">
      <c r="B25" t="s">
        <v>711</v>
      </c>
      <c r="C25">
        <v>0</v>
      </c>
      <c r="D25" t="s">
        <v>203</v>
      </c>
      <c r="E25" t="s">
        <v>3</v>
      </c>
      <c r="F25" t="s">
        <v>688</v>
      </c>
      <c r="G25" t="s">
        <v>3</v>
      </c>
      <c r="H25">
        <v>7526</v>
      </c>
      <c r="I25">
        <v>7526</v>
      </c>
      <c r="J25">
        <v>0</v>
      </c>
      <c r="K25">
        <v>7526</v>
      </c>
      <c r="L25">
        <v>0</v>
      </c>
      <c r="M25">
        <v>0</v>
      </c>
      <c r="N25">
        <v>0</v>
      </c>
      <c r="O25" t="s">
        <v>712</v>
      </c>
      <c r="P25" t="s">
        <v>3</v>
      </c>
      <c r="Q25" t="s">
        <v>713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7526</v>
      </c>
      <c r="AD25">
        <v>1</v>
      </c>
      <c r="AE25">
        <v>0</v>
      </c>
      <c r="AF25">
        <v>3</v>
      </c>
      <c r="AG25">
        <v>3</v>
      </c>
      <c r="AH25" t="s">
        <v>183</v>
      </c>
      <c r="AI25" t="s">
        <v>204</v>
      </c>
      <c r="AJ25">
        <v>46141.573379629626</v>
      </c>
      <c r="AK25">
        <v>55937531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4</v>
      </c>
    </row>
    <row r="26" spans="2:47" x14ac:dyDescent="0.2">
      <c r="B26" t="s">
        <v>714</v>
      </c>
      <c r="C26">
        <v>1</v>
      </c>
      <c r="D26" t="s">
        <v>203</v>
      </c>
      <c r="E26" t="s">
        <v>3</v>
      </c>
      <c r="F26" t="s">
        <v>688</v>
      </c>
      <c r="G26" t="s">
        <v>3</v>
      </c>
      <c r="H26">
        <v>6442</v>
      </c>
      <c r="I26">
        <v>6442</v>
      </c>
      <c r="J26">
        <v>0</v>
      </c>
      <c r="K26">
        <v>6442</v>
      </c>
      <c r="L26">
        <v>0</v>
      </c>
      <c r="M26">
        <v>0</v>
      </c>
      <c r="N26">
        <v>0</v>
      </c>
      <c r="O26" t="s">
        <v>715</v>
      </c>
      <c r="P26" t="s">
        <v>3</v>
      </c>
      <c r="Q26" t="s">
        <v>716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6442</v>
      </c>
      <c r="AD26">
        <v>1</v>
      </c>
      <c r="AE26">
        <v>0</v>
      </c>
      <c r="AF26">
        <v>3</v>
      </c>
      <c r="AG26">
        <v>3</v>
      </c>
      <c r="AH26" t="s">
        <v>183</v>
      </c>
      <c r="AI26" t="s">
        <v>204</v>
      </c>
      <c r="AJ26">
        <v>46141.573379629626</v>
      </c>
      <c r="AK26">
        <v>55937531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4</v>
      </c>
    </row>
    <row r="27" spans="2:47" x14ac:dyDescent="0.2">
      <c r="B27" t="s">
        <v>717</v>
      </c>
      <c r="C27">
        <v>1</v>
      </c>
      <c r="D27" t="s">
        <v>207</v>
      </c>
      <c r="E27" t="s">
        <v>3</v>
      </c>
      <c r="F27" t="s">
        <v>688</v>
      </c>
      <c r="G27" t="s">
        <v>3</v>
      </c>
      <c r="H27">
        <v>7116</v>
      </c>
      <c r="I27">
        <v>7116</v>
      </c>
      <c r="J27">
        <v>0</v>
      </c>
      <c r="K27">
        <v>7116</v>
      </c>
      <c r="L27">
        <v>0</v>
      </c>
      <c r="M27">
        <v>0</v>
      </c>
      <c r="N27">
        <v>0</v>
      </c>
      <c r="O27" t="s">
        <v>689</v>
      </c>
      <c r="P27" t="s">
        <v>3</v>
      </c>
      <c r="Q27" t="s">
        <v>690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7116</v>
      </c>
      <c r="AD27">
        <v>1</v>
      </c>
      <c r="AE27">
        <v>0</v>
      </c>
      <c r="AF27">
        <v>3</v>
      </c>
      <c r="AG27">
        <v>3</v>
      </c>
      <c r="AH27" t="s">
        <v>183</v>
      </c>
      <c r="AI27" t="s">
        <v>208</v>
      </c>
      <c r="AJ27">
        <v>46141.57340277778</v>
      </c>
      <c r="AK27">
        <v>55937537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691</v>
      </c>
      <c r="AT27">
        <v>1</v>
      </c>
      <c r="AU27">
        <v>1</v>
      </c>
    </row>
    <row r="28" spans="2:47" x14ac:dyDescent="0.2">
      <c r="B28" t="s">
        <v>718</v>
      </c>
      <c r="C28">
        <v>0</v>
      </c>
      <c r="D28" t="s">
        <v>207</v>
      </c>
      <c r="E28" t="s">
        <v>3</v>
      </c>
      <c r="F28" t="s">
        <v>688</v>
      </c>
      <c r="G28" t="s">
        <v>3</v>
      </c>
      <c r="H28">
        <v>7759</v>
      </c>
      <c r="I28">
        <v>7759</v>
      </c>
      <c r="J28">
        <v>0</v>
      </c>
      <c r="K28">
        <v>7759</v>
      </c>
      <c r="L28">
        <v>0</v>
      </c>
      <c r="M28">
        <v>0</v>
      </c>
      <c r="N28">
        <v>0</v>
      </c>
      <c r="O28" t="s">
        <v>719</v>
      </c>
      <c r="P28" t="s">
        <v>3</v>
      </c>
      <c r="Q28" t="s">
        <v>720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7759</v>
      </c>
      <c r="AD28">
        <v>1</v>
      </c>
      <c r="AE28">
        <v>0</v>
      </c>
      <c r="AF28">
        <v>3</v>
      </c>
      <c r="AG28">
        <v>3</v>
      </c>
      <c r="AH28" t="s">
        <v>183</v>
      </c>
      <c r="AI28" t="s">
        <v>208</v>
      </c>
      <c r="AJ28">
        <v>46141.57340277778</v>
      </c>
      <c r="AK28">
        <v>55937537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">
      <c r="B29" t="s">
        <v>721</v>
      </c>
      <c r="C29">
        <v>0</v>
      </c>
      <c r="D29" t="s">
        <v>207</v>
      </c>
      <c r="E29" t="s">
        <v>3</v>
      </c>
      <c r="F29" t="s">
        <v>688</v>
      </c>
      <c r="G29" t="s">
        <v>3</v>
      </c>
      <c r="H29">
        <v>10614</v>
      </c>
      <c r="I29">
        <v>10614</v>
      </c>
      <c r="J29">
        <v>0</v>
      </c>
      <c r="K29">
        <v>10614</v>
      </c>
      <c r="L29">
        <v>0</v>
      </c>
      <c r="M29">
        <v>0</v>
      </c>
      <c r="N29">
        <v>0</v>
      </c>
      <c r="O29" t="s">
        <v>700</v>
      </c>
      <c r="P29" t="s">
        <v>3</v>
      </c>
      <c r="Q29" t="s">
        <v>701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10614</v>
      </c>
      <c r="AD29">
        <v>1</v>
      </c>
      <c r="AE29">
        <v>0</v>
      </c>
      <c r="AF29">
        <v>3</v>
      </c>
      <c r="AG29">
        <v>3</v>
      </c>
      <c r="AH29" t="s">
        <v>183</v>
      </c>
      <c r="AI29" t="s">
        <v>208</v>
      </c>
      <c r="AJ29">
        <v>46141.57340277778</v>
      </c>
      <c r="AK29">
        <v>55937537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">
      <c r="B30" t="s">
        <v>722</v>
      </c>
      <c r="C30">
        <v>0</v>
      </c>
      <c r="D30" t="s">
        <v>211</v>
      </c>
      <c r="E30" t="s">
        <v>3</v>
      </c>
      <c r="F30" t="s">
        <v>688</v>
      </c>
      <c r="G30" t="s">
        <v>3</v>
      </c>
      <c r="H30">
        <v>9286</v>
      </c>
      <c r="I30">
        <v>9286</v>
      </c>
      <c r="J30">
        <v>0</v>
      </c>
      <c r="K30">
        <v>9286</v>
      </c>
      <c r="L30">
        <v>0</v>
      </c>
      <c r="M30">
        <v>0</v>
      </c>
      <c r="N30">
        <v>0</v>
      </c>
      <c r="O30" t="s">
        <v>723</v>
      </c>
      <c r="P30" t="s">
        <v>3</v>
      </c>
      <c r="Q30" t="s">
        <v>724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9286</v>
      </c>
      <c r="AD30">
        <v>1</v>
      </c>
      <c r="AE30">
        <v>0</v>
      </c>
      <c r="AF30">
        <v>3</v>
      </c>
      <c r="AG30">
        <v>3</v>
      </c>
      <c r="AH30" t="s">
        <v>183</v>
      </c>
      <c r="AI30" t="s">
        <v>212</v>
      </c>
      <c r="AJ30">
        <v>46141.573425925926</v>
      </c>
      <c r="AK30">
        <v>55937543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691</v>
      </c>
      <c r="AT30">
        <v>1</v>
      </c>
      <c r="AU30">
        <v>1</v>
      </c>
    </row>
    <row r="31" spans="2:47" x14ac:dyDescent="0.2">
      <c r="B31" t="s">
        <v>725</v>
      </c>
      <c r="C31">
        <v>1</v>
      </c>
      <c r="D31" t="s">
        <v>211</v>
      </c>
      <c r="E31" t="s">
        <v>3</v>
      </c>
      <c r="F31" t="s">
        <v>688</v>
      </c>
      <c r="G31" t="s">
        <v>3</v>
      </c>
      <c r="H31">
        <v>8306</v>
      </c>
      <c r="I31">
        <v>8306</v>
      </c>
      <c r="J31">
        <v>0</v>
      </c>
      <c r="K31">
        <v>8306</v>
      </c>
      <c r="L31">
        <v>0</v>
      </c>
      <c r="M31">
        <v>0</v>
      </c>
      <c r="N31">
        <v>0</v>
      </c>
      <c r="O31" t="s">
        <v>703</v>
      </c>
      <c r="P31" t="s">
        <v>3</v>
      </c>
      <c r="Q31" t="s">
        <v>704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8306</v>
      </c>
      <c r="AD31">
        <v>1</v>
      </c>
      <c r="AE31">
        <v>0</v>
      </c>
      <c r="AF31">
        <v>3</v>
      </c>
      <c r="AG31">
        <v>3</v>
      </c>
      <c r="AH31" t="s">
        <v>183</v>
      </c>
      <c r="AI31" t="s">
        <v>212</v>
      </c>
      <c r="AJ31">
        <v>46141.573425925926</v>
      </c>
      <c r="AK31">
        <v>55937543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">
      <c r="B32" t="s">
        <v>726</v>
      </c>
      <c r="C32">
        <v>0</v>
      </c>
      <c r="D32" t="s">
        <v>211</v>
      </c>
      <c r="E32" t="s">
        <v>3</v>
      </c>
      <c r="F32" t="s">
        <v>688</v>
      </c>
      <c r="G32" t="s">
        <v>3</v>
      </c>
      <c r="H32">
        <v>8306.3700000000008</v>
      </c>
      <c r="I32">
        <v>8306.3700000000008</v>
      </c>
      <c r="J32">
        <v>0</v>
      </c>
      <c r="K32">
        <v>8306.3700000000008</v>
      </c>
      <c r="L32">
        <v>0</v>
      </c>
      <c r="M32">
        <v>0</v>
      </c>
      <c r="N32">
        <v>0</v>
      </c>
      <c r="O32" t="s">
        <v>700</v>
      </c>
      <c r="P32" t="s">
        <v>3</v>
      </c>
      <c r="Q32" t="s">
        <v>701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8306.3700000000008</v>
      </c>
      <c r="AD32">
        <v>1</v>
      </c>
      <c r="AE32">
        <v>0</v>
      </c>
      <c r="AF32">
        <v>3</v>
      </c>
      <c r="AG32">
        <v>3</v>
      </c>
      <c r="AH32" t="s">
        <v>183</v>
      </c>
      <c r="AI32" t="s">
        <v>212</v>
      </c>
      <c r="AJ32">
        <v>46141.573425925926</v>
      </c>
      <c r="AK32">
        <v>55937543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">
      <c r="B33" t="s">
        <v>727</v>
      </c>
      <c r="C33">
        <v>1</v>
      </c>
      <c r="D33" t="s">
        <v>229</v>
      </c>
      <c r="E33" t="s">
        <v>3</v>
      </c>
      <c r="F33" t="s">
        <v>688</v>
      </c>
      <c r="G33" t="s">
        <v>3</v>
      </c>
      <c r="H33">
        <v>1552</v>
      </c>
      <c r="I33">
        <v>1552</v>
      </c>
      <c r="J33">
        <v>0</v>
      </c>
      <c r="K33">
        <v>1552</v>
      </c>
      <c r="L33">
        <v>0</v>
      </c>
      <c r="M33">
        <v>0</v>
      </c>
      <c r="N33">
        <v>0</v>
      </c>
      <c r="O33" t="s">
        <v>689</v>
      </c>
      <c r="P33" t="s">
        <v>3</v>
      </c>
      <c r="Q33" t="s">
        <v>690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1552</v>
      </c>
      <c r="AD33">
        <v>1</v>
      </c>
      <c r="AE33">
        <v>0</v>
      </c>
      <c r="AF33">
        <v>3</v>
      </c>
      <c r="AG33">
        <v>3</v>
      </c>
      <c r="AH33" t="s">
        <v>183</v>
      </c>
      <c r="AI33" t="s">
        <v>230</v>
      </c>
      <c r="AJ33">
        <v>46141.573449074072</v>
      </c>
      <c r="AK33">
        <v>55937554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691</v>
      </c>
      <c r="AT33">
        <v>1</v>
      </c>
      <c r="AU33">
        <v>8</v>
      </c>
    </row>
    <row r="34" spans="2:47" x14ac:dyDescent="0.2">
      <c r="B34" t="s">
        <v>728</v>
      </c>
      <c r="C34">
        <v>0</v>
      </c>
      <c r="D34" t="s">
        <v>229</v>
      </c>
      <c r="E34" t="s">
        <v>3</v>
      </c>
      <c r="F34" t="s">
        <v>688</v>
      </c>
      <c r="G34" t="s">
        <v>3</v>
      </c>
      <c r="H34">
        <v>1552</v>
      </c>
      <c r="I34">
        <v>1552</v>
      </c>
      <c r="J34">
        <v>0</v>
      </c>
      <c r="K34">
        <v>1552</v>
      </c>
      <c r="L34">
        <v>0</v>
      </c>
      <c r="M34">
        <v>0</v>
      </c>
      <c r="N34">
        <v>0</v>
      </c>
      <c r="O34" t="s">
        <v>696</v>
      </c>
      <c r="P34" t="s">
        <v>3</v>
      </c>
      <c r="Q34" t="s">
        <v>697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1552</v>
      </c>
      <c r="AD34">
        <v>1</v>
      </c>
      <c r="AE34">
        <v>0</v>
      </c>
      <c r="AF34">
        <v>3</v>
      </c>
      <c r="AG34">
        <v>3</v>
      </c>
      <c r="AH34" t="s">
        <v>183</v>
      </c>
      <c r="AI34" t="s">
        <v>230</v>
      </c>
      <c r="AJ34">
        <v>46141.573449074072</v>
      </c>
      <c r="AK34">
        <v>55937554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8</v>
      </c>
    </row>
    <row r="35" spans="2:47" x14ac:dyDescent="0.2">
      <c r="B35" t="s">
        <v>729</v>
      </c>
      <c r="C35">
        <v>0</v>
      </c>
      <c r="D35" t="s">
        <v>229</v>
      </c>
      <c r="E35" t="s">
        <v>3</v>
      </c>
      <c r="F35" t="s">
        <v>688</v>
      </c>
      <c r="G35" t="s">
        <v>3</v>
      </c>
      <c r="H35">
        <v>1552</v>
      </c>
      <c r="I35">
        <v>1552</v>
      </c>
      <c r="J35">
        <v>0</v>
      </c>
      <c r="K35">
        <v>1552</v>
      </c>
      <c r="L35">
        <v>0</v>
      </c>
      <c r="M35">
        <v>0</v>
      </c>
      <c r="N35">
        <v>0</v>
      </c>
      <c r="O35" t="s">
        <v>703</v>
      </c>
      <c r="P35" t="s">
        <v>3</v>
      </c>
      <c r="Q35" t="s">
        <v>704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1552</v>
      </c>
      <c r="AD35">
        <v>1</v>
      </c>
      <c r="AE35">
        <v>0</v>
      </c>
      <c r="AF35">
        <v>3</v>
      </c>
      <c r="AG35">
        <v>3</v>
      </c>
      <c r="AH35" t="s">
        <v>183</v>
      </c>
      <c r="AI35" t="s">
        <v>230</v>
      </c>
      <c r="AJ35">
        <v>46141.573449074072</v>
      </c>
      <c r="AK35">
        <v>55937554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8</v>
      </c>
    </row>
    <row r="36" spans="2:47" x14ac:dyDescent="0.2">
      <c r="B36" t="s">
        <v>730</v>
      </c>
      <c r="C36">
        <v>1</v>
      </c>
      <c r="D36" t="s">
        <v>234</v>
      </c>
      <c r="E36" t="s">
        <v>3</v>
      </c>
      <c r="F36" t="s">
        <v>688</v>
      </c>
      <c r="G36" t="s">
        <v>3</v>
      </c>
      <c r="H36">
        <v>1296</v>
      </c>
      <c r="I36">
        <v>1296</v>
      </c>
      <c r="J36">
        <v>0</v>
      </c>
      <c r="K36">
        <v>1296</v>
      </c>
      <c r="L36">
        <v>0</v>
      </c>
      <c r="M36">
        <v>0</v>
      </c>
      <c r="N36">
        <v>0</v>
      </c>
      <c r="O36" t="s">
        <v>689</v>
      </c>
      <c r="P36" t="s">
        <v>3</v>
      </c>
      <c r="Q36" t="s">
        <v>690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1296</v>
      </c>
      <c r="AD36">
        <v>1</v>
      </c>
      <c r="AE36">
        <v>0</v>
      </c>
      <c r="AF36">
        <v>3</v>
      </c>
      <c r="AG36">
        <v>3</v>
      </c>
      <c r="AH36" t="s">
        <v>183</v>
      </c>
      <c r="AI36" t="s">
        <v>235</v>
      </c>
      <c r="AJ36">
        <v>46141.573472222219</v>
      </c>
      <c r="AK36">
        <v>55937566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691</v>
      </c>
      <c r="AT36">
        <v>1</v>
      </c>
      <c r="AU36">
        <v>4</v>
      </c>
    </row>
    <row r="37" spans="2:47" x14ac:dyDescent="0.2">
      <c r="B37" t="s">
        <v>731</v>
      </c>
      <c r="C37">
        <v>0</v>
      </c>
      <c r="D37" t="s">
        <v>234</v>
      </c>
      <c r="E37" t="s">
        <v>3</v>
      </c>
      <c r="F37" t="s">
        <v>688</v>
      </c>
      <c r="G37" t="s">
        <v>3</v>
      </c>
      <c r="H37">
        <v>1296</v>
      </c>
      <c r="I37">
        <v>1296</v>
      </c>
      <c r="J37">
        <v>0</v>
      </c>
      <c r="K37">
        <v>1296</v>
      </c>
      <c r="L37">
        <v>0</v>
      </c>
      <c r="M37">
        <v>0</v>
      </c>
      <c r="N37">
        <v>0</v>
      </c>
      <c r="O37" t="s">
        <v>719</v>
      </c>
      <c r="P37" t="s">
        <v>3</v>
      </c>
      <c r="Q37" t="s">
        <v>720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1296</v>
      </c>
      <c r="AD37">
        <v>1</v>
      </c>
      <c r="AE37">
        <v>0</v>
      </c>
      <c r="AF37">
        <v>3</v>
      </c>
      <c r="AG37">
        <v>3</v>
      </c>
      <c r="AH37" t="s">
        <v>183</v>
      </c>
      <c r="AI37" t="s">
        <v>235</v>
      </c>
      <c r="AJ37">
        <v>46141.573472222219</v>
      </c>
      <c r="AK37">
        <v>55937566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4</v>
      </c>
    </row>
    <row r="38" spans="2:47" x14ac:dyDescent="0.2">
      <c r="B38" t="s">
        <v>732</v>
      </c>
      <c r="C38">
        <v>0</v>
      </c>
      <c r="D38" t="s">
        <v>234</v>
      </c>
      <c r="E38" t="s">
        <v>3</v>
      </c>
      <c r="F38" t="s">
        <v>688</v>
      </c>
      <c r="G38" t="s">
        <v>3</v>
      </c>
      <c r="H38">
        <v>1296</v>
      </c>
      <c r="I38">
        <v>1296</v>
      </c>
      <c r="J38">
        <v>0</v>
      </c>
      <c r="K38">
        <v>1296</v>
      </c>
      <c r="L38">
        <v>0</v>
      </c>
      <c r="M38">
        <v>0</v>
      </c>
      <c r="N38">
        <v>0</v>
      </c>
      <c r="O38" t="s">
        <v>703</v>
      </c>
      <c r="P38" t="s">
        <v>3</v>
      </c>
      <c r="Q38" t="s">
        <v>704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1296</v>
      </c>
      <c r="AD38">
        <v>1</v>
      </c>
      <c r="AE38">
        <v>0</v>
      </c>
      <c r="AF38">
        <v>3</v>
      </c>
      <c r="AG38">
        <v>3</v>
      </c>
      <c r="AH38" t="s">
        <v>183</v>
      </c>
      <c r="AI38" t="s">
        <v>235</v>
      </c>
      <c r="AJ38">
        <v>46141.573472222219</v>
      </c>
      <c r="AK38">
        <v>55937566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4</v>
      </c>
    </row>
    <row r="39" spans="2:47" x14ac:dyDescent="0.2">
      <c r="B39" t="s">
        <v>733</v>
      </c>
      <c r="C39">
        <v>1</v>
      </c>
      <c r="D39" t="s">
        <v>249</v>
      </c>
      <c r="E39" t="s">
        <v>3</v>
      </c>
      <c r="F39" t="s">
        <v>688</v>
      </c>
      <c r="G39" t="s">
        <v>3</v>
      </c>
      <c r="H39">
        <v>818</v>
      </c>
      <c r="I39">
        <v>818</v>
      </c>
      <c r="J39">
        <v>0</v>
      </c>
      <c r="K39">
        <v>818</v>
      </c>
      <c r="L39">
        <v>0</v>
      </c>
      <c r="M39">
        <v>0</v>
      </c>
      <c r="N39">
        <v>0</v>
      </c>
      <c r="O39" t="s">
        <v>689</v>
      </c>
      <c r="P39" t="s">
        <v>3</v>
      </c>
      <c r="Q39" t="s">
        <v>690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818</v>
      </c>
      <c r="AD39">
        <v>1</v>
      </c>
      <c r="AE39">
        <v>0</v>
      </c>
      <c r="AF39">
        <v>3</v>
      </c>
      <c r="AG39">
        <v>3</v>
      </c>
      <c r="AH39" t="s">
        <v>183</v>
      </c>
      <c r="AI39" t="s">
        <v>250</v>
      </c>
      <c r="AJ39">
        <v>46141.573530092595</v>
      </c>
      <c r="AK39">
        <v>55937594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691</v>
      </c>
      <c r="AT39">
        <v>1</v>
      </c>
      <c r="AU39">
        <v>4</v>
      </c>
    </row>
    <row r="40" spans="2:47" x14ac:dyDescent="0.2">
      <c r="B40" t="s">
        <v>734</v>
      </c>
      <c r="C40">
        <v>0</v>
      </c>
      <c r="D40" t="s">
        <v>249</v>
      </c>
      <c r="E40" t="s">
        <v>3</v>
      </c>
      <c r="F40" t="s">
        <v>688</v>
      </c>
      <c r="G40" t="s">
        <v>3</v>
      </c>
      <c r="H40">
        <v>818</v>
      </c>
      <c r="I40">
        <v>818</v>
      </c>
      <c r="J40">
        <v>0</v>
      </c>
      <c r="K40">
        <v>818</v>
      </c>
      <c r="L40">
        <v>0</v>
      </c>
      <c r="M40">
        <v>0</v>
      </c>
      <c r="N40">
        <v>0</v>
      </c>
      <c r="O40" t="s">
        <v>712</v>
      </c>
      <c r="P40" t="s">
        <v>3</v>
      </c>
      <c r="Q40" t="s">
        <v>713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818</v>
      </c>
      <c r="AD40">
        <v>1</v>
      </c>
      <c r="AE40">
        <v>0</v>
      </c>
      <c r="AF40">
        <v>3</v>
      </c>
      <c r="AG40">
        <v>3</v>
      </c>
      <c r="AH40" t="s">
        <v>183</v>
      </c>
      <c r="AI40" t="s">
        <v>250</v>
      </c>
      <c r="AJ40">
        <v>46141.573530092595</v>
      </c>
      <c r="AK40">
        <v>55937594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4</v>
      </c>
    </row>
    <row r="41" spans="2:47" x14ac:dyDescent="0.2">
      <c r="B41" t="s">
        <v>735</v>
      </c>
      <c r="C41">
        <v>0</v>
      </c>
      <c r="D41" t="s">
        <v>249</v>
      </c>
      <c r="E41" t="s">
        <v>3</v>
      </c>
      <c r="F41" t="s">
        <v>688</v>
      </c>
      <c r="G41" t="s">
        <v>3</v>
      </c>
      <c r="H41">
        <v>818</v>
      </c>
      <c r="I41">
        <v>818</v>
      </c>
      <c r="J41">
        <v>0</v>
      </c>
      <c r="K41">
        <v>818</v>
      </c>
      <c r="L41">
        <v>0</v>
      </c>
      <c r="M41">
        <v>0</v>
      </c>
      <c r="N41">
        <v>0</v>
      </c>
      <c r="O41" t="s">
        <v>703</v>
      </c>
      <c r="P41" t="s">
        <v>3</v>
      </c>
      <c r="Q41" t="s">
        <v>704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818</v>
      </c>
      <c r="AD41">
        <v>1</v>
      </c>
      <c r="AE41">
        <v>0</v>
      </c>
      <c r="AF41">
        <v>3</v>
      </c>
      <c r="AG41">
        <v>3</v>
      </c>
      <c r="AH41" t="s">
        <v>183</v>
      </c>
      <c r="AI41" t="s">
        <v>250</v>
      </c>
      <c r="AJ41">
        <v>46141.573530092595</v>
      </c>
      <c r="AK41">
        <v>55937594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4</v>
      </c>
    </row>
    <row r="42" spans="2:47" x14ac:dyDescent="0.2">
      <c r="B42" t="s">
        <v>736</v>
      </c>
      <c r="C42">
        <v>0</v>
      </c>
      <c r="D42" t="s">
        <v>255</v>
      </c>
      <c r="E42" t="s">
        <v>3</v>
      </c>
      <c r="F42" t="s">
        <v>688</v>
      </c>
      <c r="G42" t="s">
        <v>3</v>
      </c>
      <c r="H42">
        <v>226187.34</v>
      </c>
      <c r="I42">
        <v>226187.34</v>
      </c>
      <c r="J42">
        <v>0</v>
      </c>
      <c r="K42">
        <v>226187.34</v>
      </c>
      <c r="L42">
        <v>0</v>
      </c>
      <c r="M42">
        <v>0</v>
      </c>
      <c r="N42">
        <v>0</v>
      </c>
      <c r="O42" t="s">
        <v>737</v>
      </c>
      <c r="P42" t="s">
        <v>3</v>
      </c>
      <c r="Q42" t="s">
        <v>738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226187.34</v>
      </c>
      <c r="AD42">
        <v>1</v>
      </c>
      <c r="AE42">
        <v>0</v>
      </c>
      <c r="AF42">
        <v>3</v>
      </c>
      <c r="AG42">
        <v>3</v>
      </c>
      <c r="AH42" t="s">
        <v>183</v>
      </c>
      <c r="AI42" t="s">
        <v>256</v>
      </c>
      <c r="AJ42">
        <v>46141.573553240742</v>
      </c>
      <c r="AK42">
        <v>55937635</v>
      </c>
      <c r="AL42">
        <v>0</v>
      </c>
      <c r="AM42">
        <v>0</v>
      </c>
      <c r="AN42">
        <v>0</v>
      </c>
      <c r="AO42">
        <v>46073</v>
      </c>
      <c r="AP42">
        <v>0</v>
      </c>
      <c r="AQ42">
        <v>1</v>
      </c>
      <c r="AR42">
        <v>0</v>
      </c>
      <c r="AS42" t="s">
        <v>691</v>
      </c>
      <c r="AT42">
        <v>2</v>
      </c>
      <c r="AU42">
        <v>6</v>
      </c>
    </row>
    <row r="43" spans="2:47" x14ac:dyDescent="0.2">
      <c r="B43" t="s">
        <v>739</v>
      </c>
      <c r="C43">
        <v>1</v>
      </c>
      <c r="D43" t="s">
        <v>255</v>
      </c>
      <c r="E43" t="s">
        <v>3</v>
      </c>
      <c r="F43" t="s">
        <v>688</v>
      </c>
      <c r="G43" t="s">
        <v>3</v>
      </c>
      <c r="H43">
        <v>208852.58</v>
      </c>
      <c r="I43">
        <v>208852.58</v>
      </c>
      <c r="J43">
        <v>0</v>
      </c>
      <c r="K43">
        <v>208852.58</v>
      </c>
      <c r="L43">
        <v>0</v>
      </c>
      <c r="M43">
        <v>0</v>
      </c>
      <c r="N43">
        <v>0</v>
      </c>
      <c r="O43" t="s">
        <v>740</v>
      </c>
      <c r="P43" t="s">
        <v>3</v>
      </c>
      <c r="Q43" t="s">
        <v>741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208852.58</v>
      </c>
      <c r="AD43">
        <v>1</v>
      </c>
      <c r="AE43">
        <v>0</v>
      </c>
      <c r="AF43">
        <v>3</v>
      </c>
      <c r="AG43">
        <v>3</v>
      </c>
      <c r="AH43" t="s">
        <v>183</v>
      </c>
      <c r="AI43" t="s">
        <v>256</v>
      </c>
      <c r="AJ43">
        <v>46141.573553240742</v>
      </c>
      <c r="AK43">
        <v>55937635</v>
      </c>
      <c r="AL43">
        <v>0</v>
      </c>
      <c r="AM43">
        <v>0</v>
      </c>
      <c r="AN43">
        <v>0</v>
      </c>
      <c r="AO43">
        <v>46073</v>
      </c>
      <c r="AP43">
        <v>0</v>
      </c>
      <c r="AQ43">
        <v>1</v>
      </c>
      <c r="AR43">
        <v>0</v>
      </c>
      <c r="AS43" t="s">
        <v>3</v>
      </c>
      <c r="AT43">
        <v>2</v>
      </c>
      <c r="AU43">
        <v>6</v>
      </c>
    </row>
    <row r="44" spans="2:47" x14ac:dyDescent="0.2">
      <c r="B44" t="s">
        <v>742</v>
      </c>
      <c r="C44">
        <v>0</v>
      </c>
      <c r="D44" t="s">
        <v>255</v>
      </c>
      <c r="E44" t="s">
        <v>3</v>
      </c>
      <c r="F44" t="s">
        <v>688</v>
      </c>
      <c r="G44" t="s">
        <v>3</v>
      </c>
      <c r="H44">
        <v>239261.52</v>
      </c>
      <c r="I44">
        <v>239261.52</v>
      </c>
      <c r="J44">
        <v>0</v>
      </c>
      <c r="K44">
        <v>239261.52</v>
      </c>
      <c r="L44">
        <v>0</v>
      </c>
      <c r="M44">
        <v>0</v>
      </c>
      <c r="N44">
        <v>0</v>
      </c>
      <c r="O44" t="s">
        <v>743</v>
      </c>
      <c r="P44" t="s">
        <v>3</v>
      </c>
      <c r="Q44" t="s">
        <v>744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239261.52</v>
      </c>
      <c r="AD44">
        <v>1</v>
      </c>
      <c r="AE44">
        <v>0</v>
      </c>
      <c r="AF44">
        <v>3</v>
      </c>
      <c r="AG44">
        <v>3</v>
      </c>
      <c r="AH44" t="s">
        <v>183</v>
      </c>
      <c r="AI44" t="s">
        <v>256</v>
      </c>
      <c r="AJ44">
        <v>46141.573553240742</v>
      </c>
      <c r="AK44">
        <v>55937635</v>
      </c>
      <c r="AL44">
        <v>0</v>
      </c>
      <c r="AM44">
        <v>0</v>
      </c>
      <c r="AN44">
        <v>0</v>
      </c>
      <c r="AO44">
        <v>46073</v>
      </c>
      <c r="AP44">
        <v>0</v>
      </c>
      <c r="AQ44">
        <v>1</v>
      </c>
      <c r="AR44">
        <v>0</v>
      </c>
      <c r="AS44" t="s">
        <v>3</v>
      </c>
      <c r="AT44">
        <v>2</v>
      </c>
      <c r="AU44">
        <v>6</v>
      </c>
    </row>
    <row r="45" spans="2:47" x14ac:dyDescent="0.2">
      <c r="B45" t="s">
        <v>745</v>
      </c>
      <c r="C45">
        <v>0</v>
      </c>
      <c r="D45" t="s">
        <v>259</v>
      </c>
      <c r="E45" t="s">
        <v>3</v>
      </c>
      <c r="F45" t="s">
        <v>688</v>
      </c>
      <c r="G45" t="s">
        <v>3</v>
      </c>
      <c r="H45">
        <v>192756.21</v>
      </c>
      <c r="I45">
        <v>192756.21</v>
      </c>
      <c r="J45">
        <v>0</v>
      </c>
      <c r="K45">
        <v>192756.21</v>
      </c>
      <c r="L45">
        <v>0</v>
      </c>
      <c r="M45">
        <v>0</v>
      </c>
      <c r="N45">
        <v>0</v>
      </c>
      <c r="O45" t="s">
        <v>737</v>
      </c>
      <c r="P45" t="s">
        <v>3</v>
      </c>
      <c r="Q45" t="s">
        <v>738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192756.21</v>
      </c>
      <c r="AD45">
        <v>1</v>
      </c>
      <c r="AE45">
        <v>0</v>
      </c>
      <c r="AF45">
        <v>3</v>
      </c>
      <c r="AG45">
        <v>3</v>
      </c>
      <c r="AH45" t="s">
        <v>183</v>
      </c>
      <c r="AI45" t="s">
        <v>260</v>
      </c>
      <c r="AJ45">
        <v>46141.573587962965</v>
      </c>
      <c r="AK45">
        <v>55937643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691</v>
      </c>
      <c r="AT45">
        <v>1</v>
      </c>
      <c r="AU45">
        <v>2</v>
      </c>
    </row>
    <row r="46" spans="2:47" x14ac:dyDescent="0.2">
      <c r="B46" t="s">
        <v>746</v>
      </c>
      <c r="C46">
        <v>1</v>
      </c>
      <c r="D46" t="s">
        <v>259</v>
      </c>
      <c r="E46" t="s">
        <v>3</v>
      </c>
      <c r="F46" t="s">
        <v>688</v>
      </c>
      <c r="G46" t="s">
        <v>3</v>
      </c>
      <c r="H46">
        <v>177983.57</v>
      </c>
      <c r="I46">
        <v>177983.57</v>
      </c>
      <c r="J46">
        <v>0</v>
      </c>
      <c r="K46">
        <v>177983.57</v>
      </c>
      <c r="L46">
        <v>0</v>
      </c>
      <c r="M46">
        <v>0</v>
      </c>
      <c r="N46">
        <v>0</v>
      </c>
      <c r="O46" t="s">
        <v>740</v>
      </c>
      <c r="P46" t="s">
        <v>3</v>
      </c>
      <c r="Q46" t="s">
        <v>741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177983.57</v>
      </c>
      <c r="AD46">
        <v>1</v>
      </c>
      <c r="AE46">
        <v>0</v>
      </c>
      <c r="AF46">
        <v>3</v>
      </c>
      <c r="AG46">
        <v>3</v>
      </c>
      <c r="AH46" t="s">
        <v>183</v>
      </c>
      <c r="AI46" t="s">
        <v>260</v>
      </c>
      <c r="AJ46">
        <v>46141.573587962965</v>
      </c>
      <c r="AK46">
        <v>55937643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2</v>
      </c>
    </row>
    <row r="47" spans="2:47" x14ac:dyDescent="0.2">
      <c r="B47" t="s">
        <v>747</v>
      </c>
      <c r="C47">
        <v>0</v>
      </c>
      <c r="D47" t="s">
        <v>259</v>
      </c>
      <c r="E47" t="s">
        <v>3</v>
      </c>
      <c r="F47" t="s">
        <v>688</v>
      </c>
      <c r="G47" t="s">
        <v>3</v>
      </c>
      <c r="H47">
        <v>203897.98</v>
      </c>
      <c r="I47">
        <v>203897.98</v>
      </c>
      <c r="J47">
        <v>0</v>
      </c>
      <c r="K47">
        <v>203897.98</v>
      </c>
      <c r="L47">
        <v>0</v>
      </c>
      <c r="M47">
        <v>0</v>
      </c>
      <c r="N47">
        <v>0</v>
      </c>
      <c r="O47" t="s">
        <v>743</v>
      </c>
      <c r="P47" t="s">
        <v>3</v>
      </c>
      <c r="Q47" t="s">
        <v>744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203897.98</v>
      </c>
      <c r="AD47">
        <v>1</v>
      </c>
      <c r="AE47">
        <v>0</v>
      </c>
      <c r="AF47">
        <v>3</v>
      </c>
      <c r="AG47">
        <v>3</v>
      </c>
      <c r="AH47" t="s">
        <v>183</v>
      </c>
      <c r="AI47" t="s">
        <v>260</v>
      </c>
      <c r="AJ47">
        <v>46141.573587962965</v>
      </c>
      <c r="AK47">
        <v>55937643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2</v>
      </c>
    </row>
    <row r="48" spans="2:47" x14ac:dyDescent="0.2">
      <c r="B48" t="s">
        <v>748</v>
      </c>
      <c r="C48">
        <v>0</v>
      </c>
      <c r="D48" t="s">
        <v>263</v>
      </c>
      <c r="E48" t="s">
        <v>3</v>
      </c>
      <c r="F48" t="s">
        <v>688</v>
      </c>
      <c r="G48" t="s">
        <v>3</v>
      </c>
      <c r="H48">
        <v>239108.69</v>
      </c>
      <c r="I48">
        <v>239108.69</v>
      </c>
      <c r="J48">
        <v>0</v>
      </c>
      <c r="K48">
        <v>239108.69</v>
      </c>
      <c r="L48">
        <v>0</v>
      </c>
      <c r="M48">
        <v>0</v>
      </c>
      <c r="N48">
        <v>0</v>
      </c>
      <c r="O48" t="s">
        <v>737</v>
      </c>
      <c r="P48" t="s">
        <v>3</v>
      </c>
      <c r="Q48" t="s">
        <v>738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239108.69</v>
      </c>
      <c r="AD48">
        <v>1</v>
      </c>
      <c r="AE48">
        <v>0</v>
      </c>
      <c r="AF48">
        <v>3</v>
      </c>
      <c r="AG48">
        <v>3</v>
      </c>
      <c r="AH48" t="s">
        <v>183</v>
      </c>
      <c r="AI48" t="s">
        <v>264</v>
      </c>
      <c r="AJ48">
        <v>46141.573611111111</v>
      </c>
      <c r="AK48">
        <v>55937649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691</v>
      </c>
      <c r="AT48">
        <v>1</v>
      </c>
      <c r="AU48">
        <v>2</v>
      </c>
    </row>
    <row r="49" spans="2:47" x14ac:dyDescent="0.2">
      <c r="B49" t="s">
        <v>749</v>
      </c>
      <c r="C49">
        <v>1</v>
      </c>
      <c r="D49" t="s">
        <v>263</v>
      </c>
      <c r="E49" t="s">
        <v>3</v>
      </c>
      <c r="F49" t="s">
        <v>688</v>
      </c>
      <c r="G49" t="s">
        <v>3</v>
      </c>
      <c r="H49">
        <v>220783.55</v>
      </c>
      <c r="I49">
        <v>220783.55</v>
      </c>
      <c r="J49">
        <v>0</v>
      </c>
      <c r="K49">
        <v>220783.55</v>
      </c>
      <c r="L49">
        <v>0</v>
      </c>
      <c r="M49">
        <v>0</v>
      </c>
      <c r="N49">
        <v>0</v>
      </c>
      <c r="O49" t="s">
        <v>740</v>
      </c>
      <c r="P49" t="s">
        <v>3</v>
      </c>
      <c r="Q49" t="s">
        <v>741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220783.55</v>
      </c>
      <c r="AD49">
        <v>1</v>
      </c>
      <c r="AE49">
        <v>0</v>
      </c>
      <c r="AF49">
        <v>3</v>
      </c>
      <c r="AG49">
        <v>3</v>
      </c>
      <c r="AH49" t="s">
        <v>183</v>
      </c>
      <c r="AI49" t="s">
        <v>264</v>
      </c>
      <c r="AJ49">
        <v>46141.573611111111</v>
      </c>
      <c r="AK49">
        <v>55937649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2</v>
      </c>
    </row>
    <row r="50" spans="2:47" x14ac:dyDescent="0.2">
      <c r="B50" t="s">
        <v>750</v>
      </c>
      <c r="C50">
        <v>0</v>
      </c>
      <c r="D50" t="s">
        <v>263</v>
      </c>
      <c r="E50" t="s">
        <v>3</v>
      </c>
      <c r="F50" t="s">
        <v>688</v>
      </c>
      <c r="G50" t="s">
        <v>3</v>
      </c>
      <c r="H50">
        <v>252929.75</v>
      </c>
      <c r="I50">
        <v>252929.75</v>
      </c>
      <c r="J50">
        <v>0</v>
      </c>
      <c r="K50">
        <v>252929.75</v>
      </c>
      <c r="L50">
        <v>0</v>
      </c>
      <c r="M50">
        <v>0</v>
      </c>
      <c r="N50">
        <v>0</v>
      </c>
      <c r="O50" t="s">
        <v>743</v>
      </c>
      <c r="P50" t="s">
        <v>3</v>
      </c>
      <c r="Q50" t="s">
        <v>744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252929.75</v>
      </c>
      <c r="AD50">
        <v>1</v>
      </c>
      <c r="AE50">
        <v>0</v>
      </c>
      <c r="AF50">
        <v>3</v>
      </c>
      <c r="AG50">
        <v>3</v>
      </c>
      <c r="AH50" t="s">
        <v>183</v>
      </c>
      <c r="AI50" t="s">
        <v>264</v>
      </c>
      <c r="AJ50">
        <v>46141.573611111111</v>
      </c>
      <c r="AK50">
        <v>55937649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2</v>
      </c>
    </row>
    <row r="51" spans="2:47" x14ac:dyDescent="0.2">
      <c r="B51" t="s">
        <v>751</v>
      </c>
      <c r="C51">
        <v>0</v>
      </c>
      <c r="D51" t="s">
        <v>267</v>
      </c>
      <c r="E51" t="s">
        <v>3</v>
      </c>
      <c r="F51" t="s">
        <v>688</v>
      </c>
      <c r="G51" t="s">
        <v>3</v>
      </c>
      <c r="H51">
        <v>231704.34</v>
      </c>
      <c r="I51">
        <v>231704.34</v>
      </c>
      <c r="J51">
        <v>0</v>
      </c>
      <c r="K51">
        <v>231704.34</v>
      </c>
      <c r="L51">
        <v>0</v>
      </c>
      <c r="M51">
        <v>0</v>
      </c>
      <c r="N51">
        <v>0</v>
      </c>
      <c r="O51" t="s">
        <v>737</v>
      </c>
      <c r="P51" t="s">
        <v>3</v>
      </c>
      <c r="Q51" t="s">
        <v>738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231704.34</v>
      </c>
      <c r="AD51">
        <v>1</v>
      </c>
      <c r="AE51">
        <v>0</v>
      </c>
      <c r="AF51">
        <v>3</v>
      </c>
      <c r="AG51">
        <v>3</v>
      </c>
      <c r="AH51" t="s">
        <v>183</v>
      </c>
      <c r="AI51" t="s">
        <v>268</v>
      </c>
      <c r="AJ51">
        <v>46141.573634259257</v>
      </c>
      <c r="AK51">
        <v>55937655</v>
      </c>
      <c r="AL51">
        <v>0</v>
      </c>
      <c r="AM51">
        <v>0</v>
      </c>
      <c r="AN51">
        <v>0</v>
      </c>
      <c r="AO51">
        <v>46073</v>
      </c>
      <c r="AP51">
        <v>0</v>
      </c>
      <c r="AQ51">
        <v>1</v>
      </c>
      <c r="AR51">
        <v>0</v>
      </c>
      <c r="AS51" t="s">
        <v>691</v>
      </c>
      <c r="AT51">
        <v>1</v>
      </c>
      <c r="AU51">
        <v>2</v>
      </c>
    </row>
    <row r="52" spans="2:47" x14ac:dyDescent="0.2">
      <c r="B52" t="s">
        <v>752</v>
      </c>
      <c r="C52">
        <v>1</v>
      </c>
      <c r="D52" t="s">
        <v>267</v>
      </c>
      <c r="E52" t="s">
        <v>3</v>
      </c>
      <c r="F52" t="s">
        <v>688</v>
      </c>
      <c r="G52" t="s">
        <v>3</v>
      </c>
      <c r="H52">
        <v>213946.76</v>
      </c>
      <c r="I52">
        <v>213946.76</v>
      </c>
      <c r="J52">
        <v>0</v>
      </c>
      <c r="K52">
        <v>213946.76</v>
      </c>
      <c r="L52">
        <v>0</v>
      </c>
      <c r="M52">
        <v>0</v>
      </c>
      <c r="N52">
        <v>0</v>
      </c>
      <c r="O52" t="s">
        <v>740</v>
      </c>
      <c r="P52" t="s">
        <v>3</v>
      </c>
      <c r="Q52" t="s">
        <v>741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213946.76</v>
      </c>
      <c r="AD52">
        <v>1</v>
      </c>
      <c r="AE52">
        <v>0</v>
      </c>
      <c r="AF52">
        <v>3</v>
      </c>
      <c r="AG52">
        <v>3</v>
      </c>
      <c r="AH52" t="s">
        <v>183</v>
      </c>
      <c r="AI52" t="s">
        <v>268</v>
      </c>
      <c r="AJ52">
        <v>46141.573634259257</v>
      </c>
      <c r="AK52">
        <v>55937655</v>
      </c>
      <c r="AL52">
        <v>0</v>
      </c>
      <c r="AM52">
        <v>0</v>
      </c>
      <c r="AN52">
        <v>0</v>
      </c>
      <c r="AO52">
        <v>46073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2</v>
      </c>
    </row>
    <row r="53" spans="2:47" x14ac:dyDescent="0.2">
      <c r="B53" t="s">
        <v>753</v>
      </c>
      <c r="C53">
        <v>0</v>
      </c>
      <c r="D53" t="s">
        <v>267</v>
      </c>
      <c r="E53" t="s">
        <v>3</v>
      </c>
      <c r="F53" t="s">
        <v>688</v>
      </c>
      <c r="G53" t="s">
        <v>3</v>
      </c>
      <c r="H53">
        <v>245097.41</v>
      </c>
      <c r="I53">
        <v>245097.41</v>
      </c>
      <c r="J53">
        <v>0</v>
      </c>
      <c r="K53">
        <v>245097.41</v>
      </c>
      <c r="L53">
        <v>0</v>
      </c>
      <c r="M53">
        <v>0</v>
      </c>
      <c r="N53">
        <v>0</v>
      </c>
      <c r="O53" t="s">
        <v>743</v>
      </c>
      <c r="P53" t="s">
        <v>3</v>
      </c>
      <c r="Q53" t="s">
        <v>744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245097.41</v>
      </c>
      <c r="AD53">
        <v>1</v>
      </c>
      <c r="AE53">
        <v>0</v>
      </c>
      <c r="AF53">
        <v>3</v>
      </c>
      <c r="AG53">
        <v>3</v>
      </c>
      <c r="AH53" t="s">
        <v>183</v>
      </c>
      <c r="AI53" t="s">
        <v>268</v>
      </c>
      <c r="AJ53">
        <v>46141.573634259257</v>
      </c>
      <c r="AK53">
        <v>55937655</v>
      </c>
      <c r="AL53">
        <v>0</v>
      </c>
      <c r="AM53">
        <v>0</v>
      </c>
      <c r="AN53">
        <v>0</v>
      </c>
      <c r="AO53">
        <v>46073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2</v>
      </c>
    </row>
    <row r="54" spans="2:47" x14ac:dyDescent="0.2">
      <c r="B54" t="s">
        <v>754</v>
      </c>
      <c r="C54">
        <v>1</v>
      </c>
      <c r="D54" t="s">
        <v>275</v>
      </c>
      <c r="E54" t="s">
        <v>3</v>
      </c>
      <c r="F54" t="s">
        <v>688</v>
      </c>
      <c r="G54" t="s">
        <v>3</v>
      </c>
      <c r="H54">
        <v>2530</v>
      </c>
      <c r="I54">
        <v>2530</v>
      </c>
      <c r="J54">
        <v>0</v>
      </c>
      <c r="K54">
        <v>2530</v>
      </c>
      <c r="L54">
        <v>0</v>
      </c>
      <c r="M54">
        <v>0</v>
      </c>
      <c r="N54">
        <v>0</v>
      </c>
      <c r="O54" t="s">
        <v>755</v>
      </c>
      <c r="P54" t="s">
        <v>3</v>
      </c>
      <c r="Q54" t="s">
        <v>756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2530</v>
      </c>
      <c r="AD54">
        <v>1</v>
      </c>
      <c r="AE54">
        <v>0</v>
      </c>
      <c r="AF54">
        <v>3</v>
      </c>
      <c r="AG54">
        <v>3</v>
      </c>
      <c r="AH54" t="s">
        <v>183</v>
      </c>
      <c r="AI54" t="s">
        <v>276</v>
      </c>
      <c r="AJ54">
        <v>46141.573657407411</v>
      </c>
      <c r="AK54">
        <v>55937662</v>
      </c>
      <c r="AL54">
        <v>0</v>
      </c>
      <c r="AM54">
        <v>0</v>
      </c>
      <c r="AN54">
        <v>0</v>
      </c>
      <c r="AO54">
        <v>46073</v>
      </c>
      <c r="AP54">
        <v>0</v>
      </c>
      <c r="AQ54">
        <v>1</v>
      </c>
      <c r="AR54">
        <v>0</v>
      </c>
      <c r="AS54" t="s">
        <v>691</v>
      </c>
      <c r="AT54">
        <v>1</v>
      </c>
      <c r="AU54">
        <v>1</v>
      </c>
    </row>
    <row r="55" spans="2:47" x14ac:dyDescent="0.2">
      <c r="B55" t="s">
        <v>757</v>
      </c>
      <c r="C55">
        <v>0</v>
      </c>
      <c r="D55" t="s">
        <v>275</v>
      </c>
      <c r="E55" t="s">
        <v>3</v>
      </c>
      <c r="F55" t="s">
        <v>688</v>
      </c>
      <c r="G55" t="s">
        <v>3</v>
      </c>
      <c r="H55">
        <v>3450</v>
      </c>
      <c r="I55">
        <v>3450</v>
      </c>
      <c r="J55">
        <v>0</v>
      </c>
      <c r="K55">
        <v>3450</v>
      </c>
      <c r="L55">
        <v>0</v>
      </c>
      <c r="M55">
        <v>0</v>
      </c>
      <c r="N55">
        <v>0</v>
      </c>
      <c r="O55" t="s">
        <v>758</v>
      </c>
      <c r="P55" t="s">
        <v>3</v>
      </c>
      <c r="Q55" t="s">
        <v>759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3450</v>
      </c>
      <c r="AD55">
        <v>1</v>
      </c>
      <c r="AE55">
        <v>0</v>
      </c>
      <c r="AF55">
        <v>3</v>
      </c>
      <c r="AG55">
        <v>3</v>
      </c>
      <c r="AH55" t="s">
        <v>183</v>
      </c>
      <c r="AI55" t="s">
        <v>276</v>
      </c>
      <c r="AJ55">
        <v>46141.573657407411</v>
      </c>
      <c r="AK55">
        <v>55937662</v>
      </c>
      <c r="AL55">
        <v>0</v>
      </c>
      <c r="AM55">
        <v>0</v>
      </c>
      <c r="AN55">
        <v>0</v>
      </c>
      <c r="AO55">
        <v>46073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</v>
      </c>
    </row>
    <row r="56" spans="2:47" x14ac:dyDescent="0.2">
      <c r="B56" t="s">
        <v>760</v>
      </c>
      <c r="C56">
        <v>0</v>
      </c>
      <c r="D56" t="s">
        <v>275</v>
      </c>
      <c r="E56" t="s">
        <v>3</v>
      </c>
      <c r="F56" t="s">
        <v>688</v>
      </c>
      <c r="G56" t="s">
        <v>3</v>
      </c>
      <c r="H56">
        <v>2601</v>
      </c>
      <c r="I56">
        <v>2601</v>
      </c>
      <c r="J56">
        <v>0</v>
      </c>
      <c r="K56">
        <v>2601</v>
      </c>
      <c r="L56">
        <v>0</v>
      </c>
      <c r="M56">
        <v>0</v>
      </c>
      <c r="N56">
        <v>0</v>
      </c>
      <c r="O56" t="s">
        <v>761</v>
      </c>
      <c r="P56" t="s">
        <v>3</v>
      </c>
      <c r="Q56" t="s">
        <v>762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2601</v>
      </c>
      <c r="AD56">
        <v>1</v>
      </c>
      <c r="AE56">
        <v>0</v>
      </c>
      <c r="AF56">
        <v>3</v>
      </c>
      <c r="AG56">
        <v>3</v>
      </c>
      <c r="AH56" t="s">
        <v>183</v>
      </c>
      <c r="AI56" t="s">
        <v>276</v>
      </c>
      <c r="AJ56">
        <v>46141.573657407411</v>
      </c>
      <c r="AK56">
        <v>55937662</v>
      </c>
      <c r="AL56">
        <v>0</v>
      </c>
      <c r="AM56">
        <v>0</v>
      </c>
      <c r="AN56">
        <v>0</v>
      </c>
      <c r="AO56">
        <v>46073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</v>
      </c>
    </row>
    <row r="57" spans="2:47" x14ac:dyDescent="0.2">
      <c r="B57" t="s">
        <v>763</v>
      </c>
      <c r="C57">
        <v>0</v>
      </c>
      <c r="D57" t="s">
        <v>314</v>
      </c>
      <c r="E57" t="s">
        <v>3</v>
      </c>
      <c r="F57" t="s">
        <v>688</v>
      </c>
      <c r="G57" t="s">
        <v>3</v>
      </c>
      <c r="H57">
        <v>22200.35</v>
      </c>
      <c r="I57">
        <v>22200.35</v>
      </c>
      <c r="J57">
        <v>0</v>
      </c>
      <c r="K57">
        <v>22200.35</v>
      </c>
      <c r="L57">
        <v>0</v>
      </c>
      <c r="M57">
        <v>0</v>
      </c>
      <c r="N57">
        <v>0</v>
      </c>
      <c r="O57" t="s">
        <v>737</v>
      </c>
      <c r="P57" t="s">
        <v>3</v>
      </c>
      <c r="Q57" t="s">
        <v>738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22200.35</v>
      </c>
      <c r="AD57">
        <v>1</v>
      </c>
      <c r="AE57">
        <v>0</v>
      </c>
      <c r="AF57">
        <v>3</v>
      </c>
      <c r="AG57">
        <v>3</v>
      </c>
      <c r="AH57" t="s">
        <v>183</v>
      </c>
      <c r="AI57" t="s">
        <v>315</v>
      </c>
      <c r="AJ57">
        <v>46141.573680555557</v>
      </c>
      <c r="AK57">
        <v>55937706</v>
      </c>
      <c r="AL57">
        <v>0</v>
      </c>
      <c r="AM57">
        <v>0</v>
      </c>
      <c r="AN57">
        <v>0</v>
      </c>
      <c r="AO57">
        <v>46073</v>
      </c>
      <c r="AP57">
        <v>0</v>
      </c>
      <c r="AQ57">
        <v>1</v>
      </c>
      <c r="AR57">
        <v>0</v>
      </c>
      <c r="AS57" t="s">
        <v>691</v>
      </c>
      <c r="AT57">
        <v>1</v>
      </c>
      <c r="AU57">
        <v>4</v>
      </c>
    </row>
    <row r="58" spans="2:47" x14ac:dyDescent="0.2">
      <c r="B58" t="s">
        <v>764</v>
      </c>
      <c r="C58">
        <v>1</v>
      </c>
      <c r="D58" t="s">
        <v>314</v>
      </c>
      <c r="E58" t="s">
        <v>3</v>
      </c>
      <c r="F58" t="s">
        <v>688</v>
      </c>
      <c r="G58" t="s">
        <v>3</v>
      </c>
      <c r="H58">
        <v>20498.939999999999</v>
      </c>
      <c r="I58">
        <v>20498.939999999999</v>
      </c>
      <c r="J58">
        <v>0</v>
      </c>
      <c r="K58">
        <v>20498.939999999999</v>
      </c>
      <c r="L58">
        <v>0</v>
      </c>
      <c r="M58">
        <v>0</v>
      </c>
      <c r="N58">
        <v>0</v>
      </c>
      <c r="O58" t="s">
        <v>740</v>
      </c>
      <c r="P58" t="s">
        <v>3</v>
      </c>
      <c r="Q58" t="s">
        <v>741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20498.939999999999</v>
      </c>
      <c r="AD58">
        <v>1</v>
      </c>
      <c r="AE58">
        <v>0</v>
      </c>
      <c r="AF58">
        <v>3</v>
      </c>
      <c r="AG58">
        <v>3</v>
      </c>
      <c r="AH58" t="s">
        <v>183</v>
      </c>
      <c r="AI58" t="s">
        <v>315</v>
      </c>
      <c r="AJ58">
        <v>46141.573680555557</v>
      </c>
      <c r="AK58">
        <v>55937706</v>
      </c>
      <c r="AL58">
        <v>0</v>
      </c>
      <c r="AM58">
        <v>0</v>
      </c>
      <c r="AN58">
        <v>0</v>
      </c>
      <c r="AO58">
        <v>46073</v>
      </c>
      <c r="AP58">
        <v>0</v>
      </c>
      <c r="AQ58">
        <v>1</v>
      </c>
      <c r="AR58">
        <v>0</v>
      </c>
      <c r="AS58" t="s">
        <v>3</v>
      </c>
      <c r="AT58">
        <v>1</v>
      </c>
      <c r="AU58">
        <v>4</v>
      </c>
    </row>
    <row r="59" spans="2:47" x14ac:dyDescent="0.2">
      <c r="B59" t="s">
        <v>765</v>
      </c>
      <c r="C59">
        <v>0</v>
      </c>
      <c r="D59" t="s">
        <v>314</v>
      </c>
      <c r="E59" t="s">
        <v>3</v>
      </c>
      <c r="F59" t="s">
        <v>688</v>
      </c>
      <c r="G59" t="s">
        <v>3</v>
      </c>
      <c r="H59">
        <v>23483.59</v>
      </c>
      <c r="I59">
        <v>23483.59</v>
      </c>
      <c r="J59">
        <v>0</v>
      </c>
      <c r="K59">
        <v>23483.59</v>
      </c>
      <c r="L59">
        <v>0</v>
      </c>
      <c r="M59">
        <v>0</v>
      </c>
      <c r="N59">
        <v>0</v>
      </c>
      <c r="O59" t="s">
        <v>743</v>
      </c>
      <c r="P59" t="s">
        <v>3</v>
      </c>
      <c r="Q59" t="s">
        <v>744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23483.59</v>
      </c>
      <c r="AD59">
        <v>1</v>
      </c>
      <c r="AE59">
        <v>0</v>
      </c>
      <c r="AF59">
        <v>3</v>
      </c>
      <c r="AG59">
        <v>3</v>
      </c>
      <c r="AH59" t="s">
        <v>183</v>
      </c>
      <c r="AI59" t="s">
        <v>315</v>
      </c>
      <c r="AJ59">
        <v>46141.573680555557</v>
      </c>
      <c r="AK59">
        <v>55937706</v>
      </c>
      <c r="AL59">
        <v>0</v>
      </c>
      <c r="AM59">
        <v>0</v>
      </c>
      <c r="AN59">
        <v>0</v>
      </c>
      <c r="AO59">
        <v>46073</v>
      </c>
      <c r="AP59">
        <v>0</v>
      </c>
      <c r="AQ59">
        <v>1</v>
      </c>
      <c r="AR59">
        <v>0</v>
      </c>
      <c r="AS59" t="s">
        <v>3</v>
      </c>
      <c r="AT59">
        <v>1</v>
      </c>
      <c r="AU59">
        <v>4</v>
      </c>
    </row>
    <row r="60" spans="2:47" x14ac:dyDescent="0.2">
      <c r="B60" t="s">
        <v>766</v>
      </c>
      <c r="C60">
        <v>1</v>
      </c>
      <c r="D60" t="s">
        <v>320</v>
      </c>
      <c r="E60" t="s">
        <v>3</v>
      </c>
      <c r="F60" t="s">
        <v>688</v>
      </c>
      <c r="G60" t="s">
        <v>3</v>
      </c>
      <c r="H60">
        <v>3000</v>
      </c>
      <c r="I60">
        <v>3000</v>
      </c>
      <c r="J60">
        <v>0</v>
      </c>
      <c r="K60">
        <v>3000</v>
      </c>
      <c r="L60">
        <v>0</v>
      </c>
      <c r="M60">
        <v>0</v>
      </c>
      <c r="N60">
        <v>0</v>
      </c>
      <c r="O60" t="s">
        <v>767</v>
      </c>
      <c r="P60" t="s">
        <v>3</v>
      </c>
      <c r="Q60" t="s">
        <v>768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3000</v>
      </c>
      <c r="AD60">
        <v>1</v>
      </c>
      <c r="AE60">
        <v>0</v>
      </c>
      <c r="AF60">
        <v>1</v>
      </c>
      <c r="AG60">
        <v>3</v>
      </c>
      <c r="AH60" t="s">
        <v>183</v>
      </c>
      <c r="AI60" t="s">
        <v>321</v>
      </c>
      <c r="AJ60">
        <v>46141.573703703703</v>
      </c>
      <c r="AK60">
        <v>55937724</v>
      </c>
      <c r="AL60">
        <v>0</v>
      </c>
      <c r="AM60">
        <v>0</v>
      </c>
      <c r="AN60">
        <v>0</v>
      </c>
      <c r="AO60">
        <v>46073</v>
      </c>
      <c r="AP60">
        <v>0</v>
      </c>
      <c r="AQ60">
        <v>1</v>
      </c>
      <c r="AR60">
        <v>0</v>
      </c>
      <c r="AS60" t="s">
        <v>691</v>
      </c>
      <c r="AT60">
        <v>1</v>
      </c>
      <c r="AU60">
        <v>4</v>
      </c>
    </row>
    <row r="61" spans="2:47" x14ac:dyDescent="0.2">
      <c r="B61" t="s">
        <v>769</v>
      </c>
      <c r="C61">
        <v>0</v>
      </c>
      <c r="D61" t="s">
        <v>320</v>
      </c>
      <c r="E61" t="s">
        <v>3</v>
      </c>
      <c r="F61" t="s">
        <v>688</v>
      </c>
      <c r="G61" t="s">
        <v>3</v>
      </c>
      <c r="H61">
        <v>3000</v>
      </c>
      <c r="I61">
        <v>3000</v>
      </c>
      <c r="J61">
        <v>0</v>
      </c>
      <c r="K61">
        <v>3000</v>
      </c>
      <c r="L61">
        <v>0</v>
      </c>
      <c r="M61">
        <v>0</v>
      </c>
      <c r="N61">
        <v>0</v>
      </c>
      <c r="O61" t="s">
        <v>689</v>
      </c>
      <c r="P61" t="s">
        <v>3</v>
      </c>
      <c r="Q61" t="s">
        <v>690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3000</v>
      </c>
      <c r="AD61">
        <v>1</v>
      </c>
      <c r="AE61">
        <v>0</v>
      </c>
      <c r="AF61">
        <v>1</v>
      </c>
      <c r="AG61">
        <v>3</v>
      </c>
      <c r="AH61" t="s">
        <v>183</v>
      </c>
      <c r="AI61" t="s">
        <v>321</v>
      </c>
      <c r="AJ61">
        <v>46141.573703703703</v>
      </c>
      <c r="AK61">
        <v>55937724</v>
      </c>
      <c r="AL61">
        <v>0</v>
      </c>
      <c r="AM61">
        <v>0</v>
      </c>
      <c r="AN61">
        <v>0</v>
      </c>
      <c r="AO61">
        <v>46073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4</v>
      </c>
    </row>
    <row r="62" spans="2:47" x14ac:dyDescent="0.2">
      <c r="B62" t="s">
        <v>770</v>
      </c>
      <c r="C62">
        <v>0</v>
      </c>
      <c r="D62" t="s">
        <v>320</v>
      </c>
      <c r="E62" t="s">
        <v>3</v>
      </c>
      <c r="F62" t="s">
        <v>688</v>
      </c>
      <c r="G62" t="s">
        <v>3</v>
      </c>
      <c r="H62">
        <v>3099.6</v>
      </c>
      <c r="I62">
        <v>3099.6</v>
      </c>
      <c r="J62">
        <v>0</v>
      </c>
      <c r="K62">
        <v>3099.6</v>
      </c>
      <c r="L62">
        <v>0</v>
      </c>
      <c r="M62">
        <v>0</v>
      </c>
      <c r="N62">
        <v>0</v>
      </c>
      <c r="O62" t="s">
        <v>771</v>
      </c>
      <c r="P62" t="s">
        <v>3</v>
      </c>
      <c r="Q62" t="s">
        <v>772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3099.6</v>
      </c>
      <c r="AD62">
        <v>1</v>
      </c>
      <c r="AE62">
        <v>0</v>
      </c>
      <c r="AF62">
        <v>1</v>
      </c>
      <c r="AG62">
        <v>3</v>
      </c>
      <c r="AH62" t="s">
        <v>183</v>
      </c>
      <c r="AI62" t="s">
        <v>321</v>
      </c>
      <c r="AJ62">
        <v>46141.573703703703</v>
      </c>
      <c r="AK62">
        <v>55937724</v>
      </c>
      <c r="AL62">
        <v>0</v>
      </c>
      <c r="AM62">
        <v>0</v>
      </c>
      <c r="AN62">
        <v>0</v>
      </c>
      <c r="AO62">
        <v>46073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4</v>
      </c>
    </row>
    <row r="63" spans="2:47" x14ac:dyDescent="0.2">
      <c r="B63" t="s">
        <v>773</v>
      </c>
      <c r="C63">
        <v>1</v>
      </c>
      <c r="D63" t="s">
        <v>347</v>
      </c>
      <c r="E63" t="s">
        <v>3</v>
      </c>
      <c r="F63" t="s">
        <v>688</v>
      </c>
      <c r="G63" t="s">
        <v>3</v>
      </c>
      <c r="H63">
        <v>2462.1</v>
      </c>
      <c r="I63">
        <v>2462.1</v>
      </c>
      <c r="J63">
        <v>0</v>
      </c>
      <c r="K63">
        <v>2462.1</v>
      </c>
      <c r="L63">
        <v>0</v>
      </c>
      <c r="M63">
        <v>0</v>
      </c>
      <c r="N63">
        <v>0</v>
      </c>
      <c r="O63" t="s">
        <v>689</v>
      </c>
      <c r="P63" t="s">
        <v>3</v>
      </c>
      <c r="Q63" t="s">
        <v>690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2462.1</v>
      </c>
      <c r="AD63">
        <v>1</v>
      </c>
      <c r="AE63">
        <v>0</v>
      </c>
      <c r="AF63">
        <v>1</v>
      </c>
      <c r="AG63">
        <v>3</v>
      </c>
      <c r="AH63" t="s">
        <v>183</v>
      </c>
      <c r="AI63" t="s">
        <v>348</v>
      </c>
      <c r="AJ63">
        <v>46141.573796296296</v>
      </c>
      <c r="AK63">
        <v>55937903</v>
      </c>
      <c r="AL63">
        <v>0</v>
      </c>
      <c r="AM63">
        <v>0</v>
      </c>
      <c r="AN63">
        <v>0</v>
      </c>
      <c r="AO63">
        <v>46073</v>
      </c>
      <c r="AP63">
        <v>0</v>
      </c>
      <c r="AQ63">
        <v>1</v>
      </c>
      <c r="AR63">
        <v>0</v>
      </c>
      <c r="AS63" t="s">
        <v>691</v>
      </c>
      <c r="AT63">
        <v>1</v>
      </c>
      <c r="AU63">
        <v>33</v>
      </c>
    </row>
    <row r="64" spans="2:47" x14ac:dyDescent="0.2">
      <c r="B64" t="s">
        <v>774</v>
      </c>
      <c r="C64">
        <v>0</v>
      </c>
      <c r="D64" t="s">
        <v>347</v>
      </c>
      <c r="E64" t="s">
        <v>3</v>
      </c>
      <c r="F64" t="s">
        <v>688</v>
      </c>
      <c r="G64" t="s">
        <v>3</v>
      </c>
      <c r="H64">
        <v>2462.1</v>
      </c>
      <c r="I64">
        <v>2462.1</v>
      </c>
      <c r="J64">
        <v>0</v>
      </c>
      <c r="K64">
        <v>2462.1</v>
      </c>
      <c r="L64">
        <v>0</v>
      </c>
      <c r="M64">
        <v>0</v>
      </c>
      <c r="N64">
        <v>0</v>
      </c>
      <c r="O64" t="s">
        <v>719</v>
      </c>
      <c r="P64" t="s">
        <v>3</v>
      </c>
      <c r="Q64" t="s">
        <v>720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2462.1</v>
      </c>
      <c r="AD64">
        <v>1</v>
      </c>
      <c r="AE64">
        <v>0</v>
      </c>
      <c r="AF64">
        <v>1</v>
      </c>
      <c r="AG64">
        <v>3</v>
      </c>
      <c r="AH64" t="s">
        <v>183</v>
      </c>
      <c r="AI64" t="s">
        <v>348</v>
      </c>
      <c r="AJ64">
        <v>46141.573796296296</v>
      </c>
      <c r="AK64">
        <v>55937903</v>
      </c>
      <c r="AL64">
        <v>0</v>
      </c>
      <c r="AM64">
        <v>0</v>
      </c>
      <c r="AN64">
        <v>0</v>
      </c>
      <c r="AO64">
        <v>46073</v>
      </c>
      <c r="AP64">
        <v>0</v>
      </c>
      <c r="AQ64">
        <v>1</v>
      </c>
      <c r="AR64">
        <v>0</v>
      </c>
      <c r="AS64" t="s">
        <v>3</v>
      </c>
      <c r="AT64">
        <v>1</v>
      </c>
      <c r="AU64">
        <v>33</v>
      </c>
    </row>
    <row r="65" spans="2:47" x14ac:dyDescent="0.2">
      <c r="B65" t="s">
        <v>775</v>
      </c>
      <c r="C65">
        <v>0</v>
      </c>
      <c r="D65" t="s">
        <v>347</v>
      </c>
      <c r="E65" t="s">
        <v>3</v>
      </c>
      <c r="F65" t="s">
        <v>688</v>
      </c>
      <c r="G65" t="s">
        <v>3</v>
      </c>
      <c r="H65">
        <v>2516.56</v>
      </c>
      <c r="I65">
        <v>2516.56</v>
      </c>
      <c r="J65">
        <v>0</v>
      </c>
      <c r="K65">
        <v>2516.56</v>
      </c>
      <c r="L65">
        <v>0</v>
      </c>
      <c r="M65">
        <v>0</v>
      </c>
      <c r="N65">
        <v>0</v>
      </c>
      <c r="O65" t="s">
        <v>776</v>
      </c>
      <c r="P65" t="s">
        <v>3</v>
      </c>
      <c r="Q65" t="s">
        <v>777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2516.56</v>
      </c>
      <c r="AD65">
        <v>1</v>
      </c>
      <c r="AE65">
        <v>0</v>
      </c>
      <c r="AF65">
        <v>1</v>
      </c>
      <c r="AG65">
        <v>3</v>
      </c>
      <c r="AH65" t="s">
        <v>183</v>
      </c>
      <c r="AI65" t="s">
        <v>348</v>
      </c>
      <c r="AJ65">
        <v>46141.573796296296</v>
      </c>
      <c r="AK65">
        <v>55937903</v>
      </c>
      <c r="AL65">
        <v>0</v>
      </c>
      <c r="AM65">
        <v>0</v>
      </c>
      <c r="AN65">
        <v>0</v>
      </c>
      <c r="AO65">
        <v>46073</v>
      </c>
      <c r="AP65">
        <v>0</v>
      </c>
      <c r="AQ65">
        <v>1</v>
      </c>
      <c r="AR65">
        <v>0</v>
      </c>
      <c r="AS65" t="s">
        <v>3</v>
      </c>
      <c r="AT65">
        <v>1</v>
      </c>
      <c r="AU65">
        <v>33</v>
      </c>
    </row>
    <row r="66" spans="2:47" x14ac:dyDescent="0.2">
      <c r="B66" t="s">
        <v>778</v>
      </c>
      <c r="C66">
        <v>1</v>
      </c>
      <c r="D66" t="s">
        <v>391</v>
      </c>
      <c r="E66" t="s">
        <v>3</v>
      </c>
      <c r="F66" t="s">
        <v>688</v>
      </c>
      <c r="G66" t="s">
        <v>3</v>
      </c>
      <c r="H66">
        <v>41.83</v>
      </c>
      <c r="I66">
        <v>41.83</v>
      </c>
      <c r="J66">
        <v>0</v>
      </c>
      <c r="K66">
        <v>41.83</v>
      </c>
      <c r="L66">
        <v>0</v>
      </c>
      <c r="M66">
        <v>0</v>
      </c>
      <c r="N66">
        <v>0</v>
      </c>
      <c r="O66" t="s">
        <v>779</v>
      </c>
      <c r="P66" t="s">
        <v>3</v>
      </c>
      <c r="Q66" t="s">
        <v>780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41.83</v>
      </c>
      <c r="AD66">
        <v>1</v>
      </c>
      <c r="AE66">
        <v>0</v>
      </c>
      <c r="AF66">
        <v>1</v>
      </c>
      <c r="AG66">
        <v>3</v>
      </c>
      <c r="AH66" t="s">
        <v>332</v>
      </c>
      <c r="AI66" t="s">
        <v>392</v>
      </c>
      <c r="AJ66">
        <v>46141.573819444442</v>
      </c>
      <c r="AK66">
        <v>55937966</v>
      </c>
      <c r="AL66">
        <v>0</v>
      </c>
      <c r="AM66">
        <v>0</v>
      </c>
      <c r="AN66">
        <v>0</v>
      </c>
      <c r="AO66">
        <v>46073</v>
      </c>
      <c r="AP66">
        <v>0</v>
      </c>
      <c r="AQ66">
        <v>1</v>
      </c>
      <c r="AR66">
        <v>0</v>
      </c>
      <c r="AS66" t="s">
        <v>691</v>
      </c>
      <c r="AT66">
        <v>1</v>
      </c>
      <c r="AU66">
        <v>661.26</v>
      </c>
    </row>
    <row r="67" spans="2:47" x14ac:dyDescent="0.2">
      <c r="B67" t="s">
        <v>781</v>
      </c>
      <c r="C67">
        <v>0</v>
      </c>
      <c r="D67" t="s">
        <v>391</v>
      </c>
      <c r="E67" t="s">
        <v>3</v>
      </c>
      <c r="F67" t="s">
        <v>688</v>
      </c>
      <c r="G67" t="s">
        <v>3</v>
      </c>
      <c r="H67">
        <v>43.81</v>
      </c>
      <c r="I67">
        <v>43.81</v>
      </c>
      <c r="J67">
        <v>0</v>
      </c>
      <c r="K67">
        <v>43.81</v>
      </c>
      <c r="L67">
        <v>0</v>
      </c>
      <c r="M67">
        <v>0</v>
      </c>
      <c r="N67">
        <v>0</v>
      </c>
      <c r="O67" t="s">
        <v>712</v>
      </c>
      <c r="P67" t="s">
        <v>3</v>
      </c>
      <c r="Q67" t="s">
        <v>713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43.81</v>
      </c>
      <c r="AD67">
        <v>1</v>
      </c>
      <c r="AE67">
        <v>0</v>
      </c>
      <c r="AF67">
        <v>1</v>
      </c>
      <c r="AG67">
        <v>3</v>
      </c>
      <c r="AH67" t="s">
        <v>332</v>
      </c>
      <c r="AI67" t="s">
        <v>392</v>
      </c>
      <c r="AJ67">
        <v>46141.573819444442</v>
      </c>
      <c r="AK67">
        <v>55937966</v>
      </c>
      <c r="AL67">
        <v>0</v>
      </c>
      <c r="AM67">
        <v>0</v>
      </c>
      <c r="AN67">
        <v>0</v>
      </c>
      <c r="AO67">
        <v>46073</v>
      </c>
      <c r="AP67">
        <v>0</v>
      </c>
      <c r="AQ67">
        <v>1</v>
      </c>
      <c r="AR67">
        <v>0</v>
      </c>
      <c r="AS67" t="s">
        <v>3</v>
      </c>
      <c r="AT67">
        <v>1</v>
      </c>
      <c r="AU67">
        <v>661.26</v>
      </c>
    </row>
    <row r="68" spans="2:47" x14ac:dyDescent="0.2">
      <c r="B68" t="s">
        <v>782</v>
      </c>
      <c r="C68">
        <v>0</v>
      </c>
      <c r="D68" t="s">
        <v>391</v>
      </c>
      <c r="E68" t="s">
        <v>3</v>
      </c>
      <c r="F68" t="s">
        <v>688</v>
      </c>
      <c r="G68" t="s">
        <v>3</v>
      </c>
      <c r="H68">
        <v>44.66</v>
      </c>
      <c r="I68">
        <v>44.66</v>
      </c>
      <c r="J68">
        <v>0</v>
      </c>
      <c r="K68">
        <v>44.66</v>
      </c>
      <c r="L68">
        <v>0</v>
      </c>
      <c r="M68">
        <v>0</v>
      </c>
      <c r="N68">
        <v>0</v>
      </c>
      <c r="O68" t="s">
        <v>703</v>
      </c>
      <c r="P68" t="s">
        <v>3</v>
      </c>
      <c r="Q68" t="s">
        <v>704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44.66</v>
      </c>
      <c r="AD68">
        <v>1</v>
      </c>
      <c r="AE68">
        <v>0</v>
      </c>
      <c r="AF68">
        <v>1</v>
      </c>
      <c r="AG68">
        <v>3</v>
      </c>
      <c r="AH68" t="s">
        <v>332</v>
      </c>
      <c r="AI68" t="s">
        <v>392</v>
      </c>
      <c r="AJ68">
        <v>46141.573819444442</v>
      </c>
      <c r="AK68">
        <v>55937966</v>
      </c>
      <c r="AL68">
        <v>0</v>
      </c>
      <c r="AM68">
        <v>0</v>
      </c>
      <c r="AN68">
        <v>0</v>
      </c>
      <c r="AO68">
        <v>46073</v>
      </c>
      <c r="AP68">
        <v>0</v>
      </c>
      <c r="AQ68">
        <v>1</v>
      </c>
      <c r="AR68">
        <v>0</v>
      </c>
      <c r="AS68" t="s">
        <v>3</v>
      </c>
      <c r="AT68">
        <v>1</v>
      </c>
      <c r="AU68">
        <v>661.26</v>
      </c>
    </row>
    <row r="69" spans="2:47" x14ac:dyDescent="0.2">
      <c r="B69" t="s">
        <v>783</v>
      </c>
      <c r="C69">
        <v>1</v>
      </c>
      <c r="D69" t="s">
        <v>401</v>
      </c>
      <c r="E69" t="s">
        <v>3</v>
      </c>
      <c r="F69" t="s">
        <v>688</v>
      </c>
      <c r="G69" t="s">
        <v>3</v>
      </c>
      <c r="H69">
        <v>136.97</v>
      </c>
      <c r="I69">
        <v>136.97</v>
      </c>
      <c r="J69">
        <v>0</v>
      </c>
      <c r="K69">
        <v>136.97</v>
      </c>
      <c r="L69">
        <v>0</v>
      </c>
      <c r="M69">
        <v>0</v>
      </c>
      <c r="N69">
        <v>0</v>
      </c>
      <c r="O69" t="s">
        <v>784</v>
      </c>
      <c r="P69" t="s">
        <v>3</v>
      </c>
      <c r="Q69" t="s">
        <v>785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136.97</v>
      </c>
      <c r="AD69">
        <v>1</v>
      </c>
      <c r="AE69">
        <v>0</v>
      </c>
      <c r="AF69">
        <v>1</v>
      </c>
      <c r="AG69">
        <v>3</v>
      </c>
      <c r="AH69" t="s">
        <v>332</v>
      </c>
      <c r="AI69" t="s">
        <v>402</v>
      </c>
      <c r="AJ69">
        <v>46141.573842592596</v>
      </c>
      <c r="AK69">
        <v>55937973</v>
      </c>
      <c r="AL69">
        <v>0</v>
      </c>
      <c r="AM69">
        <v>0</v>
      </c>
      <c r="AN69">
        <v>0</v>
      </c>
      <c r="AO69">
        <v>46073</v>
      </c>
      <c r="AP69">
        <v>0</v>
      </c>
      <c r="AQ69">
        <v>1</v>
      </c>
      <c r="AR69">
        <v>0</v>
      </c>
      <c r="AS69" t="s">
        <v>691</v>
      </c>
      <c r="AT69">
        <v>2</v>
      </c>
      <c r="AU69">
        <v>4.12</v>
      </c>
    </row>
    <row r="70" spans="2:47" x14ac:dyDescent="0.2">
      <c r="B70" t="s">
        <v>786</v>
      </c>
      <c r="C70">
        <v>0</v>
      </c>
      <c r="D70" t="s">
        <v>401</v>
      </c>
      <c r="E70" t="s">
        <v>3</v>
      </c>
      <c r="F70" t="s">
        <v>688</v>
      </c>
      <c r="G70" t="s">
        <v>3</v>
      </c>
      <c r="H70">
        <v>147.29</v>
      </c>
      <c r="I70">
        <v>147.29</v>
      </c>
      <c r="J70">
        <v>0</v>
      </c>
      <c r="K70">
        <v>147.29</v>
      </c>
      <c r="L70">
        <v>0</v>
      </c>
      <c r="M70">
        <v>0</v>
      </c>
      <c r="N70">
        <v>0</v>
      </c>
      <c r="O70" t="s">
        <v>787</v>
      </c>
      <c r="P70" t="s">
        <v>3</v>
      </c>
      <c r="Q70" t="s">
        <v>788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147.29</v>
      </c>
      <c r="AD70">
        <v>1</v>
      </c>
      <c r="AE70">
        <v>0</v>
      </c>
      <c r="AF70">
        <v>1</v>
      </c>
      <c r="AG70">
        <v>3</v>
      </c>
      <c r="AH70" t="s">
        <v>332</v>
      </c>
      <c r="AI70" t="s">
        <v>402</v>
      </c>
      <c r="AJ70">
        <v>46141.573842592596</v>
      </c>
      <c r="AK70">
        <v>55937973</v>
      </c>
      <c r="AL70">
        <v>0</v>
      </c>
      <c r="AM70">
        <v>0</v>
      </c>
      <c r="AN70">
        <v>0</v>
      </c>
      <c r="AO70">
        <v>46073</v>
      </c>
      <c r="AP70">
        <v>0</v>
      </c>
      <c r="AQ70">
        <v>1</v>
      </c>
      <c r="AR70">
        <v>0</v>
      </c>
      <c r="AS70" t="s">
        <v>3</v>
      </c>
      <c r="AT70">
        <v>2</v>
      </c>
      <c r="AU70">
        <v>4.12</v>
      </c>
    </row>
    <row r="71" spans="2:47" x14ac:dyDescent="0.2">
      <c r="B71" t="s">
        <v>789</v>
      </c>
      <c r="C71">
        <v>0</v>
      </c>
      <c r="D71" t="s">
        <v>401</v>
      </c>
      <c r="E71" t="s">
        <v>3</v>
      </c>
      <c r="F71" t="s">
        <v>688</v>
      </c>
      <c r="G71" t="s">
        <v>3</v>
      </c>
      <c r="H71">
        <v>160.84</v>
      </c>
      <c r="I71">
        <v>160.84</v>
      </c>
      <c r="J71">
        <v>0</v>
      </c>
      <c r="K71">
        <v>160.84</v>
      </c>
      <c r="L71">
        <v>0</v>
      </c>
      <c r="M71">
        <v>0</v>
      </c>
      <c r="N71">
        <v>0</v>
      </c>
      <c r="O71" t="s">
        <v>790</v>
      </c>
      <c r="P71" t="s">
        <v>3</v>
      </c>
      <c r="Q71" t="s">
        <v>791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160.84</v>
      </c>
      <c r="AD71">
        <v>1</v>
      </c>
      <c r="AE71">
        <v>0</v>
      </c>
      <c r="AF71">
        <v>1</v>
      </c>
      <c r="AG71">
        <v>3</v>
      </c>
      <c r="AH71" t="s">
        <v>332</v>
      </c>
      <c r="AI71" t="s">
        <v>402</v>
      </c>
      <c r="AJ71">
        <v>46141.573842592596</v>
      </c>
      <c r="AK71">
        <v>55937973</v>
      </c>
      <c r="AL71">
        <v>0</v>
      </c>
      <c r="AM71">
        <v>0</v>
      </c>
      <c r="AN71">
        <v>0</v>
      </c>
      <c r="AO71">
        <v>46073</v>
      </c>
      <c r="AP71">
        <v>0</v>
      </c>
      <c r="AQ71">
        <v>1</v>
      </c>
      <c r="AR71">
        <v>0</v>
      </c>
      <c r="AS71" t="s">
        <v>3</v>
      </c>
      <c r="AT71">
        <v>2</v>
      </c>
      <c r="AU71">
        <v>4.12</v>
      </c>
    </row>
    <row r="72" spans="2:47" x14ac:dyDescent="0.2">
      <c r="B72" t="s">
        <v>792</v>
      </c>
      <c r="C72">
        <v>1</v>
      </c>
      <c r="D72" t="s">
        <v>426</v>
      </c>
      <c r="E72" t="s">
        <v>3</v>
      </c>
      <c r="F72" t="s">
        <v>688</v>
      </c>
      <c r="G72" t="s">
        <v>3</v>
      </c>
      <c r="H72">
        <v>1239.8399999999999</v>
      </c>
      <c r="I72">
        <v>1239.8399999999999</v>
      </c>
      <c r="J72">
        <v>0</v>
      </c>
      <c r="K72">
        <v>1239.8399999999999</v>
      </c>
      <c r="L72">
        <v>0</v>
      </c>
      <c r="M72">
        <v>0</v>
      </c>
      <c r="N72">
        <v>0</v>
      </c>
      <c r="O72" t="s">
        <v>771</v>
      </c>
      <c r="P72" t="s">
        <v>3</v>
      </c>
      <c r="Q72" t="s">
        <v>772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1239.8399999999999</v>
      </c>
      <c r="AD72">
        <v>1</v>
      </c>
      <c r="AE72">
        <v>0</v>
      </c>
      <c r="AF72">
        <v>1</v>
      </c>
      <c r="AG72">
        <v>3</v>
      </c>
      <c r="AH72" t="s">
        <v>183</v>
      </c>
      <c r="AI72" t="s">
        <v>427</v>
      </c>
      <c r="AJ72">
        <v>46141.573912037034</v>
      </c>
      <c r="AK72">
        <v>55938027</v>
      </c>
      <c r="AL72">
        <v>0</v>
      </c>
      <c r="AM72">
        <v>0</v>
      </c>
      <c r="AN72">
        <v>0</v>
      </c>
      <c r="AO72">
        <v>46073</v>
      </c>
      <c r="AP72">
        <v>0</v>
      </c>
      <c r="AQ72">
        <v>1</v>
      </c>
      <c r="AR72">
        <v>0</v>
      </c>
      <c r="AS72" t="s">
        <v>691</v>
      </c>
      <c r="AT72">
        <v>1</v>
      </c>
      <c r="AU72">
        <v>1</v>
      </c>
    </row>
    <row r="73" spans="2:47" x14ac:dyDescent="0.2">
      <c r="B73" t="s">
        <v>793</v>
      </c>
      <c r="C73">
        <v>0</v>
      </c>
      <c r="D73" t="s">
        <v>426</v>
      </c>
      <c r="E73" t="s">
        <v>3</v>
      </c>
      <c r="F73" t="s">
        <v>688</v>
      </c>
      <c r="G73" t="s">
        <v>3</v>
      </c>
      <c r="H73">
        <v>1430</v>
      </c>
      <c r="I73">
        <v>1430</v>
      </c>
      <c r="J73">
        <v>0</v>
      </c>
      <c r="K73">
        <v>1430</v>
      </c>
      <c r="L73">
        <v>0</v>
      </c>
      <c r="M73">
        <v>0</v>
      </c>
      <c r="N73">
        <v>0</v>
      </c>
      <c r="O73" t="s">
        <v>709</v>
      </c>
      <c r="P73" t="s">
        <v>3</v>
      </c>
      <c r="Q73" t="s">
        <v>710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1430</v>
      </c>
      <c r="AD73">
        <v>1</v>
      </c>
      <c r="AE73">
        <v>0</v>
      </c>
      <c r="AF73">
        <v>1</v>
      </c>
      <c r="AG73">
        <v>3</v>
      </c>
      <c r="AH73" t="s">
        <v>183</v>
      </c>
      <c r="AI73" t="s">
        <v>427</v>
      </c>
      <c r="AJ73">
        <v>46141.573912037034</v>
      </c>
      <c r="AK73">
        <v>55938027</v>
      </c>
      <c r="AL73">
        <v>0</v>
      </c>
      <c r="AM73">
        <v>0</v>
      </c>
      <c r="AN73">
        <v>0</v>
      </c>
      <c r="AO73">
        <v>46073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1</v>
      </c>
    </row>
    <row r="74" spans="2:47" x14ac:dyDescent="0.2">
      <c r="B74" t="s">
        <v>794</v>
      </c>
      <c r="C74">
        <v>0</v>
      </c>
      <c r="D74" t="s">
        <v>426</v>
      </c>
      <c r="E74" t="s">
        <v>3</v>
      </c>
      <c r="F74" t="s">
        <v>688</v>
      </c>
      <c r="G74" t="s">
        <v>3</v>
      </c>
      <c r="H74">
        <v>1512.56</v>
      </c>
      <c r="I74">
        <v>1512.56</v>
      </c>
      <c r="J74">
        <v>0</v>
      </c>
      <c r="K74">
        <v>1512.56</v>
      </c>
      <c r="L74">
        <v>0</v>
      </c>
      <c r="M74">
        <v>0</v>
      </c>
      <c r="N74">
        <v>0</v>
      </c>
      <c r="O74" t="s">
        <v>719</v>
      </c>
      <c r="P74" t="s">
        <v>3</v>
      </c>
      <c r="Q74" t="s">
        <v>720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1512.56</v>
      </c>
      <c r="AD74">
        <v>1</v>
      </c>
      <c r="AE74">
        <v>0</v>
      </c>
      <c r="AF74">
        <v>1</v>
      </c>
      <c r="AG74">
        <v>3</v>
      </c>
      <c r="AH74" t="s">
        <v>183</v>
      </c>
      <c r="AI74" t="s">
        <v>427</v>
      </c>
      <c r="AJ74">
        <v>46141.573912037034</v>
      </c>
      <c r="AK74">
        <v>55938027</v>
      </c>
      <c r="AL74">
        <v>0</v>
      </c>
      <c r="AM74">
        <v>0</v>
      </c>
      <c r="AN74">
        <v>0</v>
      </c>
      <c r="AO74">
        <v>46073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2026-05-08T11:49:59Z</dcterms:created>
  <dcterms:modified xsi:type="dcterms:W3CDTF">2026-07-02T17:03:46Z</dcterms:modified>
</cp:coreProperties>
</file>