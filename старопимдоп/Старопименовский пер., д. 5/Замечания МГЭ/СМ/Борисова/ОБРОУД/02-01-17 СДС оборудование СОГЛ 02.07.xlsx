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7E8164E1-C44E-4BCF-B5F4-D8AF0B7F9A81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доп.67'!$A$1:$AU$356</definedName>
    <definedName name="_xlnm.Print_Titles" localSheetId="0">'Смета по ТСН-2001(с доп.67'!$34:$34</definedName>
    <definedName name="_xlnm.Print_Area" localSheetId="0">'Смета по ТСН-2001(с доп.67'!$A$1:$K$357</definedName>
  </definedNames>
  <calcPr calcId="191029" calcOnSave="0"/>
</workbook>
</file>

<file path=xl/calcChain.xml><?xml version="1.0" encoding="utf-8"?>
<calcChain xmlns="http://schemas.openxmlformats.org/spreadsheetml/2006/main">
  <c r="A15" i="7" l="1"/>
  <c r="H355" i="7"/>
  <c r="H352" i="7"/>
  <c r="C355" i="7"/>
  <c r="C352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 s="1"/>
  <c r="I349" i="7"/>
  <c r="J349" i="7"/>
  <c r="I348" i="7"/>
  <c r="J348" i="7"/>
  <c r="A347" i="7"/>
  <c r="J345" i="7"/>
  <c r="H345" i="7"/>
  <c r="C345" i="7"/>
  <c r="J344" i="7"/>
  <c r="H344" i="7"/>
  <c r="C344" i="7"/>
  <c r="J343" i="7"/>
  <c r="H343" i="7"/>
  <c r="C343" i="7"/>
  <c r="I342" i="7"/>
  <c r="J342" i="7"/>
  <c r="I341" i="7"/>
  <c r="J341" i="7"/>
  <c r="A340" i="7"/>
  <c r="I338" i="7"/>
  <c r="J338" i="7"/>
  <c r="I337" i="7"/>
  <c r="J337" i="7"/>
  <c r="AQ336" i="7"/>
  <c r="A336" i="7"/>
  <c r="H332" i="7"/>
  <c r="J332" i="7"/>
  <c r="I330" i="7"/>
  <c r="H330" i="7"/>
  <c r="E330" i="7"/>
  <c r="K329" i="7"/>
  <c r="J329" i="7"/>
  <c r="E329" i="7"/>
  <c r="J328" i="7"/>
  <c r="E328" i="7"/>
  <c r="K327" i="7"/>
  <c r="J327" i="7"/>
  <c r="I327" i="7"/>
  <c r="H327" i="7"/>
  <c r="F327" i="7"/>
  <c r="K326" i="7"/>
  <c r="J326" i="7"/>
  <c r="I326" i="7"/>
  <c r="H326" i="7"/>
  <c r="F326" i="7"/>
  <c r="C325" i="7"/>
  <c r="V324" i="7"/>
  <c r="T324" i="7"/>
  <c r="R324" i="7"/>
  <c r="K328" i="7" s="1"/>
  <c r="U324" i="7"/>
  <c r="S324" i="7"/>
  <c r="I329" i="7" s="1"/>
  <c r="Q324" i="7"/>
  <c r="I328" i="7" s="1"/>
  <c r="E324" i="7"/>
  <c r="D324" i="7"/>
  <c r="B324" i="7"/>
  <c r="P322" i="7"/>
  <c r="K321" i="7"/>
  <c r="J322" i="7" s="1"/>
  <c r="J321" i="7"/>
  <c r="I321" i="7"/>
  <c r="O322" i="7" s="1"/>
  <c r="H321" i="7"/>
  <c r="F321" i="7"/>
  <c r="V321" i="7"/>
  <c r="T321" i="7"/>
  <c r="R321" i="7"/>
  <c r="U321" i="7"/>
  <c r="S321" i="7"/>
  <c r="Q321" i="7"/>
  <c r="E321" i="7"/>
  <c r="D321" i="7"/>
  <c r="B321" i="7"/>
  <c r="O319" i="7"/>
  <c r="P319" i="7"/>
  <c r="K318" i="7"/>
  <c r="J319" i="7" s="1"/>
  <c r="J318" i="7"/>
  <c r="I318" i="7"/>
  <c r="H319" i="7" s="1"/>
  <c r="H318" i="7"/>
  <c r="F318" i="7"/>
  <c r="V318" i="7"/>
  <c r="T318" i="7"/>
  <c r="R318" i="7"/>
  <c r="U318" i="7"/>
  <c r="S318" i="7"/>
  <c r="Q318" i="7"/>
  <c r="E318" i="7"/>
  <c r="D318" i="7"/>
  <c r="B318" i="7"/>
  <c r="H315" i="7"/>
  <c r="J315" i="7"/>
  <c r="I313" i="7"/>
  <c r="H313" i="7"/>
  <c r="E313" i="7"/>
  <c r="J312" i="7"/>
  <c r="E312" i="7"/>
  <c r="J311" i="7"/>
  <c r="I311" i="7"/>
  <c r="E311" i="7"/>
  <c r="K310" i="7"/>
  <c r="J310" i="7"/>
  <c r="I310" i="7"/>
  <c r="H310" i="7"/>
  <c r="F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H307" i="7"/>
  <c r="F307" i="7"/>
  <c r="C306" i="7"/>
  <c r="V305" i="7"/>
  <c r="T305" i="7"/>
  <c r="K312" i="7" s="1"/>
  <c r="R305" i="7"/>
  <c r="K311" i="7" s="1"/>
  <c r="U305" i="7"/>
  <c r="S305" i="7"/>
  <c r="I312" i="7" s="1"/>
  <c r="Q305" i="7"/>
  <c r="E305" i="7"/>
  <c r="D305" i="7"/>
  <c r="B305" i="7"/>
  <c r="C302" i="7"/>
  <c r="K301" i="7"/>
  <c r="P303" i="7" s="1"/>
  <c r="J301" i="7"/>
  <c r="I301" i="7"/>
  <c r="O303" i="7" s="1"/>
  <c r="H301" i="7"/>
  <c r="F301" i="7"/>
  <c r="V301" i="7"/>
  <c r="T301" i="7"/>
  <c r="R301" i="7"/>
  <c r="U301" i="7"/>
  <c r="S301" i="7"/>
  <c r="Q301" i="7"/>
  <c r="E301" i="7"/>
  <c r="D301" i="7"/>
  <c r="B301" i="7"/>
  <c r="H298" i="7"/>
  <c r="J298" i="7"/>
  <c r="I296" i="7"/>
  <c r="H296" i="7"/>
  <c r="E296" i="7"/>
  <c r="J295" i="7"/>
  <c r="E295" i="7"/>
  <c r="J294" i="7"/>
  <c r="E294" i="7"/>
  <c r="K293" i="7"/>
  <c r="J293" i="7"/>
  <c r="H293" i="7"/>
  <c r="I293" i="7"/>
  <c r="F293" i="7"/>
  <c r="V293" i="7"/>
  <c r="T293" i="7"/>
  <c r="R293" i="7"/>
  <c r="U293" i="7"/>
  <c r="S293" i="7"/>
  <c r="Q293" i="7"/>
  <c r="E293" i="7"/>
  <c r="D293" i="7"/>
  <c r="B293" i="7"/>
  <c r="K292" i="7"/>
  <c r="J292" i="7"/>
  <c r="I292" i="7"/>
  <c r="H292" i="7"/>
  <c r="F292" i="7"/>
  <c r="K291" i="7"/>
  <c r="J291" i="7"/>
  <c r="I291" i="7"/>
  <c r="H291" i="7"/>
  <c r="F291" i="7"/>
  <c r="K290" i="7"/>
  <c r="J290" i="7"/>
  <c r="I290" i="7"/>
  <c r="H290" i="7"/>
  <c r="F290" i="7"/>
  <c r="K289" i="7"/>
  <c r="J289" i="7"/>
  <c r="I289" i="7"/>
  <c r="H289" i="7"/>
  <c r="F289" i="7"/>
  <c r="C288" i="7"/>
  <c r="V287" i="7"/>
  <c r="T287" i="7"/>
  <c r="K295" i="7" s="1"/>
  <c r="R287" i="7"/>
  <c r="K294" i="7" s="1"/>
  <c r="U287" i="7"/>
  <c r="S287" i="7"/>
  <c r="I295" i="7" s="1"/>
  <c r="Q287" i="7"/>
  <c r="I294" i="7" s="1"/>
  <c r="E287" i="7"/>
  <c r="D287" i="7"/>
  <c r="B287" i="7"/>
  <c r="A286" i="7"/>
  <c r="I284" i="7"/>
  <c r="J284" i="7"/>
  <c r="I283" i="7"/>
  <c r="J283" i="7"/>
  <c r="A282" i="7"/>
  <c r="H279" i="7"/>
  <c r="J279" i="7"/>
  <c r="K278" i="7"/>
  <c r="P279" i="7" s="1"/>
  <c r="J278" i="7"/>
  <c r="I278" i="7"/>
  <c r="O279" i="7" s="1"/>
  <c r="H278" i="7"/>
  <c r="F278" i="7"/>
  <c r="V278" i="7"/>
  <c r="T278" i="7"/>
  <c r="R278" i="7"/>
  <c r="U278" i="7"/>
  <c r="S278" i="7"/>
  <c r="Q278" i="7"/>
  <c r="E278" i="7"/>
  <c r="D278" i="7"/>
  <c r="B278" i="7"/>
  <c r="H275" i="7"/>
  <c r="J275" i="7"/>
  <c r="I273" i="7"/>
  <c r="H273" i="7"/>
  <c r="E273" i="7"/>
  <c r="K272" i="7"/>
  <c r="J272" i="7"/>
  <c r="E272" i="7"/>
  <c r="J271" i="7"/>
  <c r="I271" i="7"/>
  <c r="E271" i="7"/>
  <c r="K270" i="7"/>
  <c r="J270" i="7"/>
  <c r="I270" i="7"/>
  <c r="H270" i="7"/>
  <c r="F270" i="7"/>
  <c r="K269" i="7"/>
  <c r="J269" i="7"/>
  <c r="I269" i="7"/>
  <c r="H269" i="7"/>
  <c r="F269" i="7"/>
  <c r="V268" i="7"/>
  <c r="T268" i="7"/>
  <c r="R268" i="7"/>
  <c r="K271" i="7" s="1"/>
  <c r="U268" i="7"/>
  <c r="S268" i="7"/>
  <c r="I272" i="7" s="1"/>
  <c r="Q268" i="7"/>
  <c r="E268" i="7"/>
  <c r="D268" i="7"/>
  <c r="B268" i="7"/>
  <c r="H266" i="7"/>
  <c r="P266" i="7"/>
  <c r="J266" i="7"/>
  <c r="K265" i="7"/>
  <c r="J265" i="7"/>
  <c r="I265" i="7"/>
  <c r="O266" i="7" s="1"/>
  <c r="H265" i="7"/>
  <c r="F265" i="7"/>
  <c r="V265" i="7"/>
  <c r="T265" i="7"/>
  <c r="R265" i="7"/>
  <c r="U265" i="7"/>
  <c r="S265" i="7"/>
  <c r="Q265" i="7"/>
  <c r="E265" i="7"/>
  <c r="D265" i="7"/>
  <c r="B265" i="7"/>
  <c r="H262" i="7"/>
  <c r="J262" i="7"/>
  <c r="I260" i="7"/>
  <c r="H260" i="7"/>
  <c r="E260" i="7"/>
  <c r="J259" i="7"/>
  <c r="I259" i="7"/>
  <c r="E259" i="7"/>
  <c r="K258" i="7"/>
  <c r="J258" i="7"/>
  <c r="E258" i="7"/>
  <c r="K257" i="7"/>
  <c r="J257" i="7"/>
  <c r="I257" i="7"/>
  <c r="H257" i="7"/>
  <c r="F257" i="7"/>
  <c r="K256" i="7"/>
  <c r="J256" i="7"/>
  <c r="I256" i="7"/>
  <c r="H256" i="7"/>
  <c r="F256" i="7"/>
  <c r="K255" i="7"/>
  <c r="J255" i="7"/>
  <c r="I255" i="7"/>
  <c r="H255" i="7"/>
  <c r="F255" i="7"/>
  <c r="V254" i="7"/>
  <c r="T254" i="7"/>
  <c r="K259" i="7" s="1"/>
  <c r="R254" i="7"/>
  <c r="U254" i="7"/>
  <c r="S254" i="7"/>
  <c r="Q254" i="7"/>
  <c r="I258" i="7" s="1"/>
  <c r="E254" i="7"/>
  <c r="D254" i="7"/>
  <c r="B254" i="7"/>
  <c r="A253" i="7"/>
  <c r="I251" i="7"/>
  <c r="J251" i="7"/>
  <c r="I250" i="7"/>
  <c r="J250" i="7"/>
  <c r="A249" i="7"/>
  <c r="P246" i="7"/>
  <c r="K245" i="7"/>
  <c r="J246" i="7" s="1"/>
  <c r="J245" i="7"/>
  <c r="I245" i="7"/>
  <c r="O246" i="7" s="1"/>
  <c r="H245" i="7"/>
  <c r="F245" i="7"/>
  <c r="V245" i="7"/>
  <c r="T245" i="7"/>
  <c r="R245" i="7"/>
  <c r="U245" i="7"/>
  <c r="S245" i="7"/>
  <c r="Q245" i="7"/>
  <c r="E245" i="7"/>
  <c r="D245" i="7"/>
  <c r="B245" i="7"/>
  <c r="O243" i="7"/>
  <c r="K242" i="7"/>
  <c r="P243" i="7" s="1"/>
  <c r="J242" i="7"/>
  <c r="I242" i="7"/>
  <c r="H243" i="7" s="1"/>
  <c r="H242" i="7"/>
  <c r="F242" i="7"/>
  <c r="V242" i="7"/>
  <c r="T242" i="7"/>
  <c r="R242" i="7"/>
  <c r="U242" i="7"/>
  <c r="S242" i="7"/>
  <c r="Q242" i="7"/>
  <c r="E242" i="7"/>
  <c r="D242" i="7"/>
  <c r="B242" i="7"/>
  <c r="P240" i="7"/>
  <c r="K239" i="7"/>
  <c r="J240" i="7" s="1"/>
  <c r="J239" i="7"/>
  <c r="I239" i="7"/>
  <c r="O240" i="7" s="1"/>
  <c r="H239" i="7"/>
  <c r="F239" i="7"/>
  <c r="V239" i="7"/>
  <c r="T239" i="7"/>
  <c r="R239" i="7"/>
  <c r="U239" i="7"/>
  <c r="S239" i="7"/>
  <c r="Q239" i="7"/>
  <c r="E239" i="7"/>
  <c r="D239" i="7"/>
  <c r="B239" i="7"/>
  <c r="H236" i="7"/>
  <c r="J236" i="7"/>
  <c r="I234" i="7"/>
  <c r="H234" i="7"/>
  <c r="E234" i="7"/>
  <c r="K233" i="7"/>
  <c r="J233" i="7"/>
  <c r="E233" i="7"/>
  <c r="J232" i="7"/>
  <c r="I232" i="7"/>
  <c r="E232" i="7"/>
  <c r="K231" i="7"/>
  <c r="J231" i="7"/>
  <c r="I231" i="7"/>
  <c r="H231" i="7"/>
  <c r="F231" i="7"/>
  <c r="K230" i="7"/>
  <c r="J230" i="7"/>
  <c r="I230" i="7"/>
  <c r="H230" i="7"/>
  <c r="F230" i="7"/>
  <c r="K229" i="7"/>
  <c r="J229" i="7"/>
  <c r="I229" i="7"/>
  <c r="H229" i="7"/>
  <c r="F229" i="7"/>
  <c r="K228" i="7"/>
  <c r="J228" i="7"/>
  <c r="I228" i="7"/>
  <c r="H228" i="7"/>
  <c r="F228" i="7"/>
  <c r="C227" i="7"/>
  <c r="V226" i="7"/>
  <c r="T226" i="7"/>
  <c r="R226" i="7"/>
  <c r="K232" i="7" s="1"/>
  <c r="U226" i="7"/>
  <c r="S226" i="7"/>
  <c r="I233" i="7" s="1"/>
  <c r="Q226" i="7"/>
  <c r="E226" i="7"/>
  <c r="D226" i="7"/>
  <c r="B226" i="7"/>
  <c r="H224" i="7"/>
  <c r="K223" i="7"/>
  <c r="P224" i="7" s="1"/>
  <c r="J223" i="7"/>
  <c r="I223" i="7"/>
  <c r="O224" i="7" s="1"/>
  <c r="H223" i="7"/>
  <c r="F223" i="7"/>
  <c r="V223" i="7"/>
  <c r="T223" i="7"/>
  <c r="R223" i="7"/>
  <c r="U223" i="7"/>
  <c r="S223" i="7"/>
  <c r="Q223" i="7"/>
  <c r="E223" i="7"/>
  <c r="D223" i="7"/>
  <c r="B223" i="7"/>
  <c r="H220" i="7"/>
  <c r="J220" i="7"/>
  <c r="I218" i="7"/>
  <c r="H218" i="7"/>
  <c r="E218" i="7"/>
  <c r="K217" i="7"/>
  <c r="J217" i="7"/>
  <c r="E217" i="7"/>
  <c r="J216" i="7"/>
  <c r="I216" i="7"/>
  <c r="E216" i="7"/>
  <c r="K215" i="7"/>
  <c r="J215" i="7"/>
  <c r="I215" i="7"/>
  <c r="H215" i="7"/>
  <c r="F215" i="7"/>
  <c r="K214" i="7"/>
  <c r="J214" i="7"/>
  <c r="I214" i="7"/>
  <c r="H214" i="7"/>
  <c r="F214" i="7"/>
  <c r="V213" i="7"/>
  <c r="T213" i="7"/>
  <c r="R213" i="7"/>
  <c r="K216" i="7" s="1"/>
  <c r="U213" i="7"/>
  <c r="S213" i="7"/>
  <c r="I217" i="7" s="1"/>
  <c r="Q213" i="7"/>
  <c r="E213" i="7"/>
  <c r="D213" i="7"/>
  <c r="B213" i="7"/>
  <c r="P211" i="7"/>
  <c r="J211" i="7"/>
  <c r="K210" i="7"/>
  <c r="J210" i="7"/>
  <c r="I210" i="7"/>
  <c r="O211" i="7" s="1"/>
  <c r="H210" i="7"/>
  <c r="F210" i="7"/>
  <c r="V210" i="7"/>
  <c r="T210" i="7"/>
  <c r="R210" i="7"/>
  <c r="U210" i="7"/>
  <c r="S210" i="7"/>
  <c r="Q210" i="7"/>
  <c r="E210" i="7"/>
  <c r="D210" i="7"/>
  <c r="B210" i="7"/>
  <c r="O208" i="7"/>
  <c r="H208" i="7"/>
  <c r="P208" i="7"/>
  <c r="J208" i="7"/>
  <c r="K207" i="7"/>
  <c r="J207" i="7"/>
  <c r="I207" i="7"/>
  <c r="H207" i="7"/>
  <c r="F207" i="7"/>
  <c r="V207" i="7"/>
  <c r="T207" i="7"/>
  <c r="R207" i="7"/>
  <c r="U207" i="7"/>
  <c r="S207" i="7"/>
  <c r="Q207" i="7"/>
  <c r="E207" i="7"/>
  <c r="D207" i="7"/>
  <c r="B207" i="7"/>
  <c r="H204" i="7"/>
  <c r="J204" i="7"/>
  <c r="I202" i="7"/>
  <c r="H202" i="7"/>
  <c r="E202" i="7"/>
  <c r="J201" i="7"/>
  <c r="E201" i="7"/>
  <c r="K200" i="7"/>
  <c r="J200" i="7"/>
  <c r="I200" i="7"/>
  <c r="E200" i="7"/>
  <c r="K199" i="7"/>
  <c r="J199" i="7"/>
  <c r="I199" i="7"/>
  <c r="H199" i="7"/>
  <c r="F199" i="7"/>
  <c r="K198" i="7"/>
  <c r="J198" i="7"/>
  <c r="I198" i="7"/>
  <c r="H198" i="7"/>
  <c r="F198" i="7"/>
  <c r="V197" i="7"/>
  <c r="T197" i="7"/>
  <c r="K201" i="7" s="1"/>
  <c r="R197" i="7"/>
  <c r="U197" i="7"/>
  <c r="S197" i="7"/>
  <c r="I201" i="7" s="1"/>
  <c r="Q197" i="7"/>
  <c r="E197" i="7"/>
  <c r="D197" i="7"/>
  <c r="B197" i="7"/>
  <c r="O195" i="7"/>
  <c r="H195" i="7"/>
  <c r="J195" i="7"/>
  <c r="K194" i="7"/>
  <c r="P195" i="7" s="1"/>
  <c r="J194" i="7"/>
  <c r="I194" i="7"/>
  <c r="H194" i="7"/>
  <c r="F194" i="7"/>
  <c r="V194" i="7"/>
  <c r="T194" i="7"/>
  <c r="R194" i="7"/>
  <c r="U194" i="7"/>
  <c r="S194" i="7"/>
  <c r="Q194" i="7"/>
  <c r="E194" i="7"/>
  <c r="D194" i="7"/>
  <c r="B194" i="7"/>
  <c r="H191" i="7"/>
  <c r="J191" i="7"/>
  <c r="I189" i="7"/>
  <c r="H189" i="7"/>
  <c r="E189" i="7"/>
  <c r="J188" i="7"/>
  <c r="I188" i="7"/>
  <c r="E188" i="7"/>
  <c r="J187" i="7"/>
  <c r="E187" i="7"/>
  <c r="K186" i="7"/>
  <c r="J186" i="7"/>
  <c r="H186" i="7"/>
  <c r="I186" i="7"/>
  <c r="F186" i="7"/>
  <c r="V186" i="7"/>
  <c r="T186" i="7"/>
  <c r="R186" i="7"/>
  <c r="U186" i="7"/>
  <c r="S186" i="7"/>
  <c r="Q186" i="7"/>
  <c r="E186" i="7"/>
  <c r="D186" i="7"/>
  <c r="B186" i="7"/>
  <c r="K185" i="7"/>
  <c r="J185" i="7"/>
  <c r="I185" i="7"/>
  <c r="H185" i="7"/>
  <c r="F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V181" i="7"/>
  <c r="T181" i="7"/>
  <c r="K188" i="7" s="1"/>
  <c r="R181" i="7"/>
  <c r="K187" i="7" s="1"/>
  <c r="U181" i="7"/>
  <c r="S181" i="7"/>
  <c r="Q181" i="7"/>
  <c r="I187" i="7" s="1"/>
  <c r="E181" i="7"/>
  <c r="D181" i="7"/>
  <c r="B181" i="7"/>
  <c r="H179" i="7"/>
  <c r="K178" i="7"/>
  <c r="P179" i="7" s="1"/>
  <c r="J178" i="7"/>
  <c r="I178" i="7"/>
  <c r="O179" i="7" s="1"/>
  <c r="H178" i="7"/>
  <c r="F178" i="7"/>
  <c r="V178" i="7"/>
  <c r="T178" i="7"/>
  <c r="R178" i="7"/>
  <c r="U178" i="7"/>
  <c r="S178" i="7"/>
  <c r="Q178" i="7"/>
  <c r="E178" i="7"/>
  <c r="D178" i="7"/>
  <c r="B178" i="7"/>
  <c r="H176" i="7"/>
  <c r="K175" i="7"/>
  <c r="P176" i="7" s="1"/>
  <c r="J175" i="7"/>
  <c r="I175" i="7"/>
  <c r="O176" i="7" s="1"/>
  <c r="H175" i="7"/>
  <c r="F175" i="7"/>
  <c r="V175" i="7"/>
  <c r="T175" i="7"/>
  <c r="R175" i="7"/>
  <c r="U175" i="7"/>
  <c r="S175" i="7"/>
  <c r="Q175" i="7"/>
  <c r="E175" i="7"/>
  <c r="D175" i="7"/>
  <c r="B175" i="7"/>
  <c r="H172" i="7"/>
  <c r="J172" i="7"/>
  <c r="I170" i="7"/>
  <c r="H170" i="7"/>
  <c r="E170" i="7"/>
  <c r="J169" i="7"/>
  <c r="E169" i="7"/>
  <c r="J168" i="7"/>
  <c r="I168" i="7"/>
  <c r="E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65" i="7"/>
  <c r="F165" i="7"/>
  <c r="K164" i="7"/>
  <c r="J164" i="7"/>
  <c r="I164" i="7"/>
  <c r="H164" i="7"/>
  <c r="F164" i="7"/>
  <c r="C163" i="7"/>
  <c r="V162" i="7"/>
  <c r="T162" i="7"/>
  <c r="K169" i="7" s="1"/>
  <c r="R162" i="7"/>
  <c r="K168" i="7" s="1"/>
  <c r="U162" i="7"/>
  <c r="S162" i="7"/>
  <c r="I169" i="7" s="1"/>
  <c r="Q162" i="7"/>
  <c r="E162" i="7"/>
  <c r="D162" i="7"/>
  <c r="B162" i="7"/>
  <c r="K159" i="7"/>
  <c r="P160" i="7" s="1"/>
  <c r="J159" i="7"/>
  <c r="I159" i="7"/>
  <c r="O160" i="7" s="1"/>
  <c r="H159" i="7"/>
  <c r="F159" i="7"/>
  <c r="V159" i="7"/>
  <c r="T159" i="7"/>
  <c r="R159" i="7"/>
  <c r="U159" i="7"/>
  <c r="S159" i="7"/>
  <c r="Q159" i="7"/>
  <c r="E159" i="7"/>
  <c r="D159" i="7"/>
  <c r="B159" i="7"/>
  <c r="H156" i="7"/>
  <c r="J156" i="7"/>
  <c r="I154" i="7"/>
  <c r="H154" i="7"/>
  <c r="E154" i="7"/>
  <c r="J153" i="7"/>
  <c r="E153" i="7"/>
  <c r="K152" i="7"/>
  <c r="J152" i="7"/>
  <c r="E152" i="7"/>
  <c r="K151" i="7"/>
  <c r="J151" i="7"/>
  <c r="I151" i="7"/>
  <c r="H151" i="7"/>
  <c r="F151" i="7"/>
  <c r="K150" i="7"/>
  <c r="J150" i="7"/>
  <c r="I150" i="7"/>
  <c r="H150" i="7"/>
  <c r="F150" i="7"/>
  <c r="K149" i="7"/>
  <c r="J149" i="7"/>
  <c r="I149" i="7"/>
  <c r="H149" i="7"/>
  <c r="F149" i="7"/>
  <c r="V148" i="7"/>
  <c r="T148" i="7"/>
  <c r="K153" i="7" s="1"/>
  <c r="R148" i="7"/>
  <c r="U148" i="7"/>
  <c r="S148" i="7"/>
  <c r="I153" i="7" s="1"/>
  <c r="Q148" i="7"/>
  <c r="I152" i="7" s="1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K136" i="7"/>
  <c r="J136" i="7"/>
  <c r="I136" i="7"/>
  <c r="E136" i="7"/>
  <c r="J135" i="7"/>
  <c r="E135" i="7"/>
  <c r="K134" i="7"/>
  <c r="J134" i="7"/>
  <c r="I134" i="7"/>
  <c r="H134" i="7"/>
  <c r="F134" i="7"/>
  <c r="C133" i="7"/>
  <c r="V132" i="7"/>
  <c r="T132" i="7"/>
  <c r="R132" i="7"/>
  <c r="K135" i="7" s="1"/>
  <c r="U132" i="7"/>
  <c r="S132" i="7"/>
  <c r="Q132" i="7"/>
  <c r="I135" i="7" s="1"/>
  <c r="E132" i="7"/>
  <c r="D132" i="7"/>
  <c r="B132" i="7"/>
  <c r="H129" i="7"/>
  <c r="J129" i="7"/>
  <c r="I127" i="7"/>
  <c r="H127" i="7"/>
  <c r="E127" i="7"/>
  <c r="J126" i="7"/>
  <c r="I126" i="7"/>
  <c r="E126" i="7"/>
  <c r="J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U122" i="7"/>
  <c r="S122" i="7"/>
  <c r="Q122" i="7"/>
  <c r="I125" i="7" s="1"/>
  <c r="E122" i="7"/>
  <c r="D122" i="7"/>
  <c r="B122" i="7"/>
  <c r="H119" i="7"/>
  <c r="J119" i="7"/>
  <c r="I117" i="7"/>
  <c r="H117" i="7"/>
  <c r="E117" i="7"/>
  <c r="K116" i="7"/>
  <c r="J116" i="7"/>
  <c r="E116" i="7"/>
  <c r="K115" i="7"/>
  <c r="J115" i="7"/>
  <c r="E115" i="7"/>
  <c r="K114" i="7"/>
  <c r="J114" i="7"/>
  <c r="I114" i="7"/>
  <c r="H114" i="7"/>
  <c r="F114" i="7"/>
  <c r="V113" i="7"/>
  <c r="T113" i="7"/>
  <c r="R113" i="7"/>
  <c r="U113" i="7"/>
  <c r="S113" i="7"/>
  <c r="I116" i="7" s="1"/>
  <c r="Q113" i="7"/>
  <c r="I115" i="7" s="1"/>
  <c r="E113" i="7"/>
  <c r="D113" i="7"/>
  <c r="B113" i="7"/>
  <c r="H110" i="7"/>
  <c r="J110" i="7"/>
  <c r="I108" i="7"/>
  <c r="H108" i="7"/>
  <c r="E108" i="7"/>
  <c r="J107" i="7"/>
  <c r="I107" i="7"/>
  <c r="E107" i="7"/>
  <c r="J106" i="7"/>
  <c r="I106" i="7"/>
  <c r="E106" i="7"/>
  <c r="K105" i="7"/>
  <c r="J105" i="7"/>
  <c r="I105" i="7"/>
  <c r="H105" i="7"/>
  <c r="F105" i="7"/>
  <c r="K104" i="7"/>
  <c r="J104" i="7"/>
  <c r="I104" i="7"/>
  <c r="H104" i="7"/>
  <c r="F104" i="7"/>
  <c r="V103" i="7"/>
  <c r="T103" i="7"/>
  <c r="K107" i="7" s="1"/>
  <c r="R103" i="7"/>
  <c r="K106" i="7" s="1"/>
  <c r="U103" i="7"/>
  <c r="S103" i="7"/>
  <c r="Q103" i="7"/>
  <c r="E103" i="7"/>
  <c r="D103" i="7"/>
  <c r="B103" i="7"/>
  <c r="H100" i="7"/>
  <c r="J100" i="7"/>
  <c r="I98" i="7"/>
  <c r="H98" i="7"/>
  <c r="E98" i="7"/>
  <c r="J97" i="7"/>
  <c r="E97" i="7"/>
  <c r="J96" i="7"/>
  <c r="E96" i="7"/>
  <c r="K95" i="7"/>
  <c r="J95" i="7"/>
  <c r="I95" i="7"/>
  <c r="H95" i="7"/>
  <c r="F95" i="7"/>
  <c r="K94" i="7"/>
  <c r="J94" i="7"/>
  <c r="I94" i="7"/>
  <c r="H94" i="7"/>
  <c r="F94" i="7"/>
  <c r="K93" i="7"/>
  <c r="J93" i="7"/>
  <c r="I93" i="7"/>
  <c r="H93" i="7"/>
  <c r="F93" i="7"/>
  <c r="C92" i="7"/>
  <c r="V91" i="7"/>
  <c r="T91" i="7"/>
  <c r="K97" i="7" s="1"/>
  <c r="R91" i="7"/>
  <c r="K96" i="7" s="1"/>
  <c r="U91" i="7"/>
  <c r="S91" i="7"/>
  <c r="I97" i="7" s="1"/>
  <c r="Q91" i="7"/>
  <c r="I96" i="7" s="1"/>
  <c r="E91" i="7"/>
  <c r="D91" i="7"/>
  <c r="B91" i="7"/>
  <c r="H88" i="7"/>
  <c r="J88" i="7"/>
  <c r="I86" i="7"/>
  <c r="H86" i="7"/>
  <c r="E86" i="7"/>
  <c r="J85" i="7"/>
  <c r="E85" i="7"/>
  <c r="K84" i="7"/>
  <c r="J84" i="7"/>
  <c r="E84" i="7"/>
  <c r="K83" i="7"/>
  <c r="J83" i="7"/>
  <c r="I83" i="7"/>
  <c r="H83" i="7"/>
  <c r="F83" i="7"/>
  <c r="V82" i="7"/>
  <c r="T82" i="7"/>
  <c r="K85" i="7" s="1"/>
  <c r="R82" i="7"/>
  <c r="U82" i="7"/>
  <c r="S82" i="7"/>
  <c r="I85" i="7" s="1"/>
  <c r="Q82" i="7"/>
  <c r="I84" i="7" s="1"/>
  <c r="E82" i="7"/>
  <c r="D82" i="7"/>
  <c r="B82" i="7"/>
  <c r="H79" i="7"/>
  <c r="J79" i="7"/>
  <c r="I77" i="7"/>
  <c r="H77" i="7"/>
  <c r="E77" i="7"/>
  <c r="J76" i="7"/>
  <c r="I76" i="7"/>
  <c r="E76" i="7"/>
  <c r="J75" i="7"/>
  <c r="E75" i="7"/>
  <c r="K74" i="7"/>
  <c r="J74" i="7"/>
  <c r="I74" i="7"/>
  <c r="H74" i="7"/>
  <c r="F74" i="7"/>
  <c r="V73" i="7"/>
  <c r="T73" i="7"/>
  <c r="K76" i="7" s="1"/>
  <c r="R73" i="7"/>
  <c r="K75" i="7" s="1"/>
  <c r="U73" i="7"/>
  <c r="S73" i="7"/>
  <c r="Q73" i="7"/>
  <c r="I75" i="7" s="1"/>
  <c r="H80" i="7" s="1"/>
  <c r="E73" i="7"/>
  <c r="D73" i="7"/>
  <c r="B73" i="7"/>
  <c r="H70" i="7"/>
  <c r="J70" i="7"/>
  <c r="I68" i="7"/>
  <c r="H68" i="7"/>
  <c r="E68" i="7"/>
  <c r="J67" i="7"/>
  <c r="E67" i="7"/>
  <c r="J66" i="7"/>
  <c r="E66" i="7"/>
  <c r="K65" i="7"/>
  <c r="J65" i="7"/>
  <c r="I65" i="7"/>
  <c r="H65" i="7"/>
  <c r="F65" i="7"/>
  <c r="K64" i="7"/>
  <c r="J64" i="7"/>
  <c r="I64" i="7"/>
  <c r="H64" i="7"/>
  <c r="F64" i="7"/>
  <c r="K63" i="7"/>
  <c r="J63" i="7"/>
  <c r="I63" i="7"/>
  <c r="H63" i="7"/>
  <c r="F63" i="7"/>
  <c r="V62" i="7"/>
  <c r="T62" i="7"/>
  <c r="K67" i="7" s="1"/>
  <c r="R62" i="7"/>
  <c r="K66" i="7" s="1"/>
  <c r="U62" i="7"/>
  <c r="S62" i="7"/>
  <c r="I67" i="7" s="1"/>
  <c r="Q62" i="7"/>
  <c r="I66" i="7" s="1"/>
  <c r="E62" i="7"/>
  <c r="D62" i="7"/>
  <c r="B62" i="7"/>
  <c r="H59" i="7"/>
  <c r="J59" i="7"/>
  <c r="I57" i="7"/>
  <c r="H57" i="7"/>
  <c r="E57" i="7"/>
  <c r="J56" i="7"/>
  <c r="E56" i="7"/>
  <c r="K55" i="7"/>
  <c r="J55" i="7"/>
  <c r="E55" i="7"/>
  <c r="K54" i="7"/>
  <c r="J54" i="7"/>
  <c r="I54" i="7"/>
  <c r="H54" i="7"/>
  <c r="F54" i="7"/>
  <c r="K53" i="7"/>
  <c r="J53" i="7"/>
  <c r="I53" i="7"/>
  <c r="H53" i="7"/>
  <c r="F53" i="7"/>
  <c r="K52" i="7"/>
  <c r="J52" i="7"/>
  <c r="I52" i="7"/>
  <c r="H52" i="7"/>
  <c r="F52" i="7"/>
  <c r="C51" i="7"/>
  <c r="V50" i="7"/>
  <c r="T50" i="7"/>
  <c r="K56" i="7" s="1"/>
  <c r="R50" i="7"/>
  <c r="U50" i="7"/>
  <c r="S50" i="7"/>
  <c r="I56" i="7" s="1"/>
  <c r="Q50" i="7"/>
  <c r="I55" i="7" s="1"/>
  <c r="E50" i="7"/>
  <c r="D50" i="7"/>
  <c r="B50" i="7"/>
  <c r="H47" i="7"/>
  <c r="J47" i="7"/>
  <c r="I45" i="7"/>
  <c r="H45" i="7"/>
  <c r="E45" i="7"/>
  <c r="J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J40" i="7"/>
  <c r="I40" i="7"/>
  <c r="H40" i="7"/>
  <c r="F40" i="7"/>
  <c r="V39" i="7"/>
  <c r="T39" i="7"/>
  <c r="K44" i="7" s="1"/>
  <c r="R39" i="7"/>
  <c r="K43" i="7" s="1"/>
  <c r="U39" i="7"/>
  <c r="S39" i="7"/>
  <c r="I44" i="7" s="1"/>
  <c r="Q39" i="7"/>
  <c r="I43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" i="3"/>
  <c r="Y1" i="3"/>
  <c r="CY1" i="3"/>
  <c r="CZ1" i="3"/>
  <c r="DA1" i="3"/>
  <c r="DB1" i="3"/>
  <c r="DC1" i="3"/>
  <c r="A2" i="3"/>
  <c r="Y2" i="3"/>
  <c r="CX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X4" i="3" s="1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U6" i="3"/>
  <c r="CV6" i="3"/>
  <c r="CX6" i="3"/>
  <c r="DF6" i="3" s="1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F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K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G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P28" i="1"/>
  <c r="Q28" i="1"/>
  <c r="U28" i="1"/>
  <c r="AC28" i="1"/>
  <c r="CQ28" i="1" s="1"/>
  <c r="AE28" i="1"/>
  <c r="R28" i="1" s="1"/>
  <c r="AF28" i="1"/>
  <c r="S28" i="1" s="1"/>
  <c r="AG28" i="1"/>
  <c r="AH28" i="1"/>
  <c r="AI28" i="1"/>
  <c r="CW28" i="1" s="1"/>
  <c r="V28" i="1" s="1"/>
  <c r="AJ28" i="1"/>
  <c r="CX28" i="1" s="1"/>
  <c r="W28" i="1" s="1"/>
  <c r="CT28" i="1"/>
  <c r="CU28" i="1"/>
  <c r="T28" i="1" s="1"/>
  <c r="CV28" i="1"/>
  <c r="CZ28" i="1"/>
  <c r="GL28" i="1"/>
  <c r="GN28" i="1"/>
  <c r="GP28" i="1"/>
  <c r="GV28" i="1"/>
  <c r="HC28" i="1" s="1"/>
  <c r="GX28" i="1" s="1"/>
  <c r="R29" i="1"/>
  <c r="S29" i="1"/>
  <c r="CZ29" i="1" s="1"/>
  <c r="T29" i="1"/>
  <c r="Y29" i="1"/>
  <c r="AB29" i="1"/>
  <c r="AC29" i="1"/>
  <c r="P29" i="1" s="1"/>
  <c r="AE29" i="1"/>
  <c r="AD29" i="1" s="1"/>
  <c r="AF29" i="1"/>
  <c r="CT29" i="1" s="1"/>
  <c r="AG29" i="1"/>
  <c r="CU29" i="1" s="1"/>
  <c r="AH29" i="1"/>
  <c r="CV29" i="1" s="1"/>
  <c r="U29" i="1" s="1"/>
  <c r="AI29" i="1"/>
  <c r="AJ29" i="1"/>
  <c r="CQ29" i="1"/>
  <c r="CR29" i="1"/>
  <c r="CS29" i="1"/>
  <c r="CW29" i="1"/>
  <c r="V29" i="1" s="1"/>
  <c r="CX29" i="1"/>
  <c r="W29" i="1" s="1"/>
  <c r="GL29" i="1"/>
  <c r="GN29" i="1"/>
  <c r="GP29" i="1"/>
  <c r="GV29" i="1"/>
  <c r="HC29" i="1"/>
  <c r="GX29" i="1" s="1"/>
  <c r="I30" i="1"/>
  <c r="R30" i="1" s="1"/>
  <c r="K30" i="1"/>
  <c r="Q30" i="1"/>
  <c r="AC30" i="1"/>
  <c r="AE30" i="1"/>
  <c r="AD30" i="1" s="1"/>
  <c r="AF30" i="1"/>
  <c r="S30" i="1" s="1"/>
  <c r="AG30" i="1"/>
  <c r="CU30" i="1" s="1"/>
  <c r="T30" i="1" s="1"/>
  <c r="AH30" i="1"/>
  <c r="CV30" i="1" s="1"/>
  <c r="U30" i="1" s="1"/>
  <c r="AI30" i="1"/>
  <c r="CW30" i="1" s="1"/>
  <c r="V30" i="1" s="1"/>
  <c r="AJ30" i="1"/>
  <c r="CT30" i="1"/>
  <c r="CX30" i="1"/>
  <c r="W30" i="1" s="1"/>
  <c r="GL30" i="1"/>
  <c r="GN30" i="1"/>
  <c r="GP30" i="1"/>
  <c r="GV30" i="1"/>
  <c r="HC30" i="1" s="1"/>
  <c r="GX30" i="1" s="1"/>
  <c r="I31" i="1"/>
  <c r="T31" i="1" s="1"/>
  <c r="K31" i="1"/>
  <c r="P31" i="1"/>
  <c r="V31" i="1"/>
  <c r="AC31" i="1"/>
  <c r="AB31" i="1" s="1"/>
  <c r="AD31" i="1"/>
  <c r="AE31" i="1"/>
  <c r="AF31" i="1"/>
  <c r="AG31" i="1"/>
  <c r="AH31" i="1"/>
  <c r="CV31" i="1" s="1"/>
  <c r="U31" i="1" s="1"/>
  <c r="AI31" i="1"/>
  <c r="CW31" i="1" s="1"/>
  <c r="AJ31" i="1"/>
  <c r="CX31" i="1" s="1"/>
  <c r="CQ31" i="1"/>
  <c r="CR31" i="1"/>
  <c r="CS31" i="1"/>
  <c r="CT31" i="1"/>
  <c r="CU31" i="1"/>
  <c r="GL31" i="1"/>
  <c r="GN31" i="1"/>
  <c r="GP31" i="1"/>
  <c r="GV31" i="1"/>
  <c r="HC31" i="1" s="1"/>
  <c r="GX31" i="1"/>
  <c r="P32" i="1"/>
  <c r="Q32" i="1"/>
  <c r="W32" i="1"/>
  <c r="AC32" i="1"/>
  <c r="AE32" i="1"/>
  <c r="AF32" i="1"/>
  <c r="AG32" i="1"/>
  <c r="CU32" i="1" s="1"/>
  <c r="T32" i="1" s="1"/>
  <c r="AH32" i="1"/>
  <c r="AI32" i="1"/>
  <c r="AJ32" i="1"/>
  <c r="CQ32" i="1"/>
  <c r="CR32" i="1"/>
  <c r="CV32" i="1"/>
  <c r="U32" i="1" s="1"/>
  <c r="CW32" i="1"/>
  <c r="V32" i="1" s="1"/>
  <c r="CX32" i="1"/>
  <c r="GL32" i="1"/>
  <c r="GN32" i="1"/>
  <c r="GP32" i="1"/>
  <c r="GV32" i="1"/>
  <c r="HC32" i="1"/>
  <c r="GX32" i="1" s="1"/>
  <c r="P33" i="1"/>
  <c r="R33" i="1"/>
  <c r="U33" i="1"/>
  <c r="AB33" i="1"/>
  <c r="AC33" i="1"/>
  <c r="CQ33" i="1" s="1"/>
  <c r="AD33" i="1"/>
  <c r="AE33" i="1"/>
  <c r="Q33" i="1" s="1"/>
  <c r="AF33" i="1"/>
  <c r="S33" i="1" s="1"/>
  <c r="AG33" i="1"/>
  <c r="AH33" i="1"/>
  <c r="CV33" i="1" s="1"/>
  <c r="AI33" i="1"/>
  <c r="CW33" i="1" s="1"/>
  <c r="V33" i="1" s="1"/>
  <c r="AJ33" i="1"/>
  <c r="CX33" i="1" s="1"/>
  <c r="W33" i="1" s="1"/>
  <c r="CR33" i="1"/>
  <c r="CS33" i="1"/>
  <c r="CT33" i="1"/>
  <c r="CU33" i="1"/>
  <c r="T33" i="1" s="1"/>
  <c r="GL33" i="1"/>
  <c r="GN33" i="1"/>
  <c r="GP33" i="1"/>
  <c r="FV49" i="1" s="1"/>
  <c r="GV33" i="1"/>
  <c r="HC33" i="1" s="1"/>
  <c r="GX33" i="1" s="1"/>
  <c r="P34" i="1"/>
  <c r="Q34" i="1"/>
  <c r="W34" i="1"/>
  <c r="AC34" i="1"/>
  <c r="AD34" i="1"/>
  <c r="AE34" i="1"/>
  <c r="CS34" i="1" s="1"/>
  <c r="AF34" i="1"/>
  <c r="S34" i="1" s="1"/>
  <c r="AG34" i="1"/>
  <c r="CU34" i="1" s="1"/>
  <c r="T34" i="1" s="1"/>
  <c r="AH34" i="1"/>
  <c r="AI34" i="1"/>
  <c r="AJ34" i="1"/>
  <c r="CQ34" i="1"/>
  <c r="CR34" i="1"/>
  <c r="CT34" i="1"/>
  <c r="CV34" i="1"/>
  <c r="U34" i="1" s="1"/>
  <c r="CW34" i="1"/>
  <c r="V34" i="1" s="1"/>
  <c r="CX34" i="1"/>
  <c r="GL34" i="1"/>
  <c r="GN34" i="1"/>
  <c r="GP34" i="1"/>
  <c r="GV34" i="1"/>
  <c r="HC34" i="1"/>
  <c r="GX34" i="1" s="1"/>
  <c r="P35" i="1"/>
  <c r="CP35" i="1" s="1"/>
  <c r="O35" i="1" s="1"/>
  <c r="S35" i="1"/>
  <c r="U35" i="1"/>
  <c r="V35" i="1"/>
  <c r="X35" i="1"/>
  <c r="Y35" i="1"/>
  <c r="AC35" i="1"/>
  <c r="AB35" i="1" s="1"/>
  <c r="AD35" i="1"/>
  <c r="AE35" i="1"/>
  <c r="Q35" i="1" s="1"/>
  <c r="AF35" i="1"/>
  <c r="AG35" i="1"/>
  <c r="CU35" i="1" s="1"/>
  <c r="T35" i="1" s="1"/>
  <c r="AH35" i="1"/>
  <c r="CV35" i="1" s="1"/>
  <c r="AI35" i="1"/>
  <c r="CW35" i="1" s="1"/>
  <c r="AJ35" i="1"/>
  <c r="CX35" i="1" s="1"/>
  <c r="W35" i="1" s="1"/>
  <c r="CQ35" i="1"/>
  <c r="CR35" i="1"/>
  <c r="CS35" i="1"/>
  <c r="CT35" i="1"/>
  <c r="CY35" i="1"/>
  <c r="CZ35" i="1"/>
  <c r="GL35" i="1"/>
  <c r="GN35" i="1"/>
  <c r="GP35" i="1"/>
  <c r="GV35" i="1"/>
  <c r="HC35" i="1" s="1"/>
  <c r="GX35" i="1"/>
  <c r="P36" i="1"/>
  <c r="S36" i="1"/>
  <c r="X36" i="1" s="1"/>
  <c r="W36" i="1"/>
  <c r="AC36" i="1"/>
  <c r="AD36" i="1"/>
  <c r="AB36" i="1" s="1"/>
  <c r="AE36" i="1"/>
  <c r="AF36" i="1"/>
  <c r="CT36" i="1" s="1"/>
  <c r="AG36" i="1"/>
  <c r="AH36" i="1"/>
  <c r="AI36" i="1"/>
  <c r="AJ36" i="1"/>
  <c r="CQ36" i="1"/>
  <c r="CU36" i="1"/>
  <c r="T36" i="1" s="1"/>
  <c r="CV36" i="1"/>
  <c r="U36" i="1" s="1"/>
  <c r="CW36" i="1"/>
  <c r="V36" i="1" s="1"/>
  <c r="CX36" i="1"/>
  <c r="GL36" i="1"/>
  <c r="GN36" i="1"/>
  <c r="GP36" i="1"/>
  <c r="GV36" i="1"/>
  <c r="GX36" i="1"/>
  <c r="HC36" i="1"/>
  <c r="R37" i="1"/>
  <c r="AC37" i="1"/>
  <c r="AD37" i="1"/>
  <c r="AE37" i="1"/>
  <c r="Q37" i="1" s="1"/>
  <c r="AF37" i="1"/>
  <c r="AG37" i="1"/>
  <c r="CU37" i="1" s="1"/>
  <c r="T37" i="1" s="1"/>
  <c r="AH37" i="1"/>
  <c r="CV37" i="1" s="1"/>
  <c r="U37" i="1" s="1"/>
  <c r="AI37" i="1"/>
  <c r="AJ37" i="1"/>
  <c r="CR37" i="1"/>
  <c r="CS37" i="1"/>
  <c r="CW37" i="1"/>
  <c r="V37" i="1" s="1"/>
  <c r="CX37" i="1"/>
  <c r="W37" i="1" s="1"/>
  <c r="GL37" i="1"/>
  <c r="GN37" i="1"/>
  <c r="GP37" i="1"/>
  <c r="GV37" i="1"/>
  <c r="HC37" i="1" s="1"/>
  <c r="GX37" i="1" s="1"/>
  <c r="I38" i="1"/>
  <c r="R38" i="1" s="1"/>
  <c r="K38" i="1"/>
  <c r="T38" i="1"/>
  <c r="U38" i="1"/>
  <c r="V38" i="1"/>
  <c r="AC38" i="1"/>
  <c r="CQ38" i="1" s="1"/>
  <c r="AD38" i="1"/>
  <c r="AB38" i="1" s="1"/>
  <c r="AE38" i="1"/>
  <c r="CS38" i="1" s="1"/>
  <c r="AF38" i="1"/>
  <c r="S38" i="1" s="1"/>
  <c r="AG38" i="1"/>
  <c r="AH38" i="1"/>
  <c r="AI38" i="1"/>
  <c r="CW38" i="1" s="1"/>
  <c r="AJ38" i="1"/>
  <c r="CX38" i="1" s="1"/>
  <c r="W38" i="1" s="1"/>
  <c r="CR38" i="1"/>
  <c r="CT38" i="1"/>
  <c r="CU38" i="1"/>
  <c r="CV38" i="1"/>
  <c r="CZ38" i="1"/>
  <c r="GL38" i="1"/>
  <c r="GN38" i="1"/>
  <c r="GP38" i="1"/>
  <c r="GV38" i="1"/>
  <c r="HC38" i="1"/>
  <c r="GX38" i="1" s="1"/>
  <c r="I39" i="1"/>
  <c r="K39" i="1"/>
  <c r="P39" i="1"/>
  <c r="T39" i="1"/>
  <c r="U39" i="1"/>
  <c r="V39" i="1"/>
  <c r="AC39" i="1"/>
  <c r="AE39" i="1"/>
  <c r="CZ39" i="1" s="1"/>
  <c r="AF39" i="1"/>
  <c r="S39" i="1" s="1"/>
  <c r="AG39" i="1"/>
  <c r="AH39" i="1"/>
  <c r="AI39" i="1"/>
  <c r="AJ39" i="1"/>
  <c r="CX39" i="1" s="1"/>
  <c r="W39" i="1" s="1"/>
  <c r="CQ39" i="1"/>
  <c r="CT39" i="1"/>
  <c r="CU39" i="1"/>
  <c r="CV39" i="1"/>
  <c r="CW39" i="1"/>
  <c r="CY39" i="1"/>
  <c r="GL39" i="1"/>
  <c r="GN39" i="1"/>
  <c r="GP39" i="1"/>
  <c r="GV39" i="1"/>
  <c r="HC39" i="1" s="1"/>
  <c r="GX39" i="1" s="1"/>
  <c r="GB49" i="1" s="1"/>
  <c r="S40" i="1"/>
  <c r="CY40" i="1" s="1"/>
  <c r="T40" i="1"/>
  <c r="AC40" i="1"/>
  <c r="AE40" i="1"/>
  <c r="CR40" i="1" s="1"/>
  <c r="AF40" i="1"/>
  <c r="CT40" i="1" s="1"/>
  <c r="AG40" i="1"/>
  <c r="CU40" i="1" s="1"/>
  <c r="AH40" i="1"/>
  <c r="AI40" i="1"/>
  <c r="AJ40" i="1"/>
  <c r="CV40" i="1"/>
  <c r="U40" i="1" s="1"/>
  <c r="CW40" i="1"/>
  <c r="V40" i="1" s="1"/>
  <c r="CX40" i="1"/>
  <c r="W40" i="1" s="1"/>
  <c r="GL40" i="1"/>
  <c r="GN40" i="1"/>
  <c r="GP40" i="1"/>
  <c r="GV40" i="1"/>
  <c r="HC40" i="1" s="1"/>
  <c r="GX40" i="1" s="1"/>
  <c r="P41" i="1"/>
  <c r="CP41" i="1" s="1"/>
  <c r="O41" i="1" s="1"/>
  <c r="Q41" i="1"/>
  <c r="R41" i="1"/>
  <c r="W41" i="1"/>
  <c r="X41" i="1"/>
  <c r="AC41" i="1"/>
  <c r="AD41" i="1"/>
  <c r="AB41" i="1" s="1"/>
  <c r="AE41" i="1"/>
  <c r="CR41" i="1" s="1"/>
  <c r="AF41" i="1"/>
  <c r="S41" i="1" s="1"/>
  <c r="AG41" i="1"/>
  <c r="AH41" i="1"/>
  <c r="AI41" i="1"/>
  <c r="CW41" i="1" s="1"/>
  <c r="V41" i="1" s="1"/>
  <c r="AJ41" i="1"/>
  <c r="CX41" i="1" s="1"/>
  <c r="CQ41" i="1"/>
  <c r="CS41" i="1"/>
  <c r="CT41" i="1"/>
  <c r="CU41" i="1"/>
  <c r="T41" i="1" s="1"/>
  <c r="CV41" i="1"/>
  <c r="U41" i="1" s="1"/>
  <c r="GL41" i="1"/>
  <c r="GN41" i="1"/>
  <c r="GP41" i="1"/>
  <c r="GV41" i="1"/>
  <c r="HC41" i="1"/>
  <c r="GX41" i="1" s="1"/>
  <c r="R42" i="1"/>
  <c r="T42" i="1"/>
  <c r="W42" i="1"/>
  <c r="AC42" i="1"/>
  <c r="P42" i="1" s="1"/>
  <c r="AD42" i="1"/>
  <c r="AE42" i="1"/>
  <c r="Q42" i="1" s="1"/>
  <c r="AF42" i="1"/>
  <c r="S42" i="1" s="1"/>
  <c r="AG42" i="1"/>
  <c r="CU42" i="1" s="1"/>
  <c r="AH42" i="1"/>
  <c r="CV42" i="1" s="1"/>
  <c r="U42" i="1" s="1"/>
  <c r="AI42" i="1"/>
  <c r="AJ42" i="1"/>
  <c r="CQ42" i="1"/>
  <c r="CR42" i="1"/>
  <c r="CS42" i="1"/>
  <c r="CW42" i="1"/>
  <c r="V42" i="1" s="1"/>
  <c r="CX42" i="1"/>
  <c r="GL42" i="1"/>
  <c r="GN42" i="1"/>
  <c r="GP42" i="1"/>
  <c r="GV42" i="1"/>
  <c r="HC42" i="1" s="1"/>
  <c r="GX42" i="1" s="1"/>
  <c r="T43" i="1"/>
  <c r="AC43" i="1"/>
  <c r="AD43" i="1"/>
  <c r="AE43" i="1"/>
  <c r="AF43" i="1"/>
  <c r="S43" i="1" s="1"/>
  <c r="X43" i="1" s="1"/>
  <c r="AG43" i="1"/>
  <c r="AH43" i="1"/>
  <c r="AI43" i="1"/>
  <c r="AJ43" i="1"/>
  <c r="CX43" i="1" s="1"/>
  <c r="W43" i="1" s="1"/>
  <c r="CU43" i="1"/>
  <c r="CV43" i="1"/>
  <c r="U43" i="1" s="1"/>
  <c r="CW43" i="1"/>
  <c r="V43" i="1" s="1"/>
  <c r="CY43" i="1"/>
  <c r="GL43" i="1"/>
  <c r="GN43" i="1"/>
  <c r="GP43" i="1"/>
  <c r="GV43" i="1"/>
  <c r="GX43" i="1"/>
  <c r="HC43" i="1"/>
  <c r="C44" i="1"/>
  <c r="D44" i="1"/>
  <c r="I44" i="1"/>
  <c r="K44" i="1"/>
  <c r="W44" i="1"/>
  <c r="AC44" i="1"/>
  <c r="AE44" i="1"/>
  <c r="AF44" i="1"/>
  <c r="AG44" i="1"/>
  <c r="AH44" i="1"/>
  <c r="AI44" i="1"/>
  <c r="CW44" i="1" s="1"/>
  <c r="V44" i="1" s="1"/>
  <c r="AJ44" i="1"/>
  <c r="CX44" i="1" s="1"/>
  <c r="CT44" i="1"/>
  <c r="CU44" i="1"/>
  <c r="CV44" i="1"/>
  <c r="U44" i="1" s="1"/>
  <c r="GL44" i="1"/>
  <c r="GO44" i="1"/>
  <c r="GP44" i="1"/>
  <c r="CD49" i="1" s="1"/>
  <c r="GV44" i="1"/>
  <c r="GX44" i="1"/>
  <c r="HC44" i="1"/>
  <c r="C45" i="1"/>
  <c r="D45" i="1"/>
  <c r="I45" i="1"/>
  <c r="K45" i="1"/>
  <c r="T45" i="1"/>
  <c r="AC45" i="1"/>
  <c r="AD45" i="1"/>
  <c r="AE45" i="1"/>
  <c r="AF45" i="1"/>
  <c r="CT45" i="1" s="1"/>
  <c r="AG45" i="1"/>
  <c r="AH45" i="1"/>
  <c r="CV45" i="1" s="1"/>
  <c r="U45" i="1" s="1"/>
  <c r="AI45" i="1"/>
  <c r="AJ45" i="1"/>
  <c r="CR45" i="1"/>
  <c r="CS45" i="1"/>
  <c r="CU45" i="1"/>
  <c r="CW45" i="1"/>
  <c r="V45" i="1" s="1"/>
  <c r="CX45" i="1"/>
  <c r="GL45" i="1"/>
  <c r="GO45" i="1"/>
  <c r="GP45" i="1"/>
  <c r="GV45" i="1"/>
  <c r="HC45" i="1" s="1"/>
  <c r="GX45" i="1" s="1"/>
  <c r="C46" i="1"/>
  <c r="D46" i="1"/>
  <c r="I46" i="1"/>
  <c r="K46" i="1"/>
  <c r="R46" i="1"/>
  <c r="U46" i="1"/>
  <c r="AB46" i="1"/>
  <c r="AC46" i="1"/>
  <c r="P46" i="1" s="1"/>
  <c r="AD46" i="1"/>
  <c r="AE46" i="1"/>
  <c r="AF46" i="1"/>
  <c r="AG46" i="1"/>
  <c r="CU46" i="1" s="1"/>
  <c r="T46" i="1" s="1"/>
  <c r="AH46" i="1"/>
  <c r="CV46" i="1" s="1"/>
  <c r="AI46" i="1"/>
  <c r="AJ46" i="1"/>
  <c r="CQ46" i="1"/>
  <c r="CR46" i="1"/>
  <c r="CS46" i="1"/>
  <c r="CW46" i="1"/>
  <c r="V46" i="1" s="1"/>
  <c r="CX46" i="1"/>
  <c r="W46" i="1" s="1"/>
  <c r="GL46" i="1"/>
  <c r="GO46" i="1"/>
  <c r="GP46" i="1"/>
  <c r="GV46" i="1"/>
  <c r="HC46" i="1" s="1"/>
  <c r="GX46" i="1" s="1"/>
  <c r="C47" i="1"/>
  <c r="D47" i="1"/>
  <c r="I47" i="1"/>
  <c r="K47" i="1"/>
  <c r="P47" i="1"/>
  <c r="Q47" i="1"/>
  <c r="AC47" i="1"/>
  <c r="AE47" i="1"/>
  <c r="AF47" i="1"/>
  <c r="AG47" i="1"/>
  <c r="CU47" i="1" s="1"/>
  <c r="T47" i="1" s="1"/>
  <c r="AH47" i="1"/>
  <c r="CV47" i="1" s="1"/>
  <c r="U47" i="1" s="1"/>
  <c r="AI47" i="1"/>
  <c r="AJ47" i="1"/>
  <c r="CQ47" i="1"/>
  <c r="CS47" i="1"/>
  <c r="CW47" i="1"/>
  <c r="V47" i="1" s="1"/>
  <c r="CX47" i="1"/>
  <c r="W47" i="1" s="1"/>
  <c r="GL47" i="1"/>
  <c r="GO47" i="1"/>
  <c r="GP47" i="1"/>
  <c r="GV47" i="1"/>
  <c r="GX47" i="1"/>
  <c r="HC47" i="1"/>
  <c r="B49" i="1"/>
  <c r="B26" i="1" s="1"/>
  <c r="C49" i="1"/>
  <c r="C26" i="1" s="1"/>
  <c r="D49" i="1"/>
  <c r="D26" i="1" s="1"/>
  <c r="F49" i="1"/>
  <c r="G49" i="1"/>
  <c r="AJ49" i="1"/>
  <c r="BC49" i="1"/>
  <c r="BX49" i="1"/>
  <c r="BY49" i="1"/>
  <c r="AP49" i="1" s="1"/>
  <c r="AP26" i="1" s="1"/>
  <c r="CK49" i="1"/>
  <c r="BB49" i="1" s="1"/>
  <c r="BB26" i="1" s="1"/>
  <c r="CL49" i="1"/>
  <c r="CL26" i="1" s="1"/>
  <c r="CM49" i="1"/>
  <c r="ET49" i="1"/>
  <c r="EU49" i="1"/>
  <c r="EV49" i="1"/>
  <c r="FP49" i="1"/>
  <c r="EG49" i="1" s="1"/>
  <c r="FQ49" i="1"/>
  <c r="GC49" i="1"/>
  <c r="GC26" i="1" s="1"/>
  <c r="GD49" i="1"/>
  <c r="GD26" i="1" s="1"/>
  <c r="GE49" i="1"/>
  <c r="GE26" i="1" s="1"/>
  <c r="P53" i="1"/>
  <c r="F58" i="1"/>
  <c r="F62" i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P83" i="1"/>
  <c r="Q83" i="1"/>
  <c r="R83" i="1"/>
  <c r="AC83" i="1"/>
  <c r="AD83" i="1"/>
  <c r="AE83" i="1"/>
  <c r="CS83" i="1" s="1"/>
  <c r="AF83" i="1"/>
  <c r="AG83" i="1"/>
  <c r="AH83" i="1"/>
  <c r="AI83" i="1"/>
  <c r="CW83" i="1" s="1"/>
  <c r="V83" i="1" s="1"/>
  <c r="AJ83" i="1"/>
  <c r="CX83" i="1" s="1"/>
  <c r="W83" i="1" s="1"/>
  <c r="CQ83" i="1"/>
  <c r="CR83" i="1"/>
  <c r="CU83" i="1"/>
  <c r="T83" i="1" s="1"/>
  <c r="CV83" i="1"/>
  <c r="U83" i="1" s="1"/>
  <c r="GL83" i="1"/>
  <c r="GN83" i="1"/>
  <c r="GP83" i="1"/>
  <c r="GV83" i="1"/>
  <c r="HC83" i="1"/>
  <c r="GX83" i="1" s="1"/>
  <c r="R84" i="1"/>
  <c r="T84" i="1"/>
  <c r="Y84" i="1"/>
  <c r="AB84" i="1"/>
  <c r="AC84" i="1"/>
  <c r="AD84" i="1"/>
  <c r="AE84" i="1"/>
  <c r="Q84" i="1" s="1"/>
  <c r="AF84" i="1"/>
  <c r="S84" i="1" s="1"/>
  <c r="AG84" i="1"/>
  <c r="CU84" i="1" s="1"/>
  <c r="AH84" i="1"/>
  <c r="CV84" i="1" s="1"/>
  <c r="U84" i="1" s="1"/>
  <c r="AI84" i="1"/>
  <c r="AJ84" i="1"/>
  <c r="CX84" i="1" s="1"/>
  <c r="W84" i="1" s="1"/>
  <c r="CR84" i="1"/>
  <c r="CS84" i="1"/>
  <c r="CT84" i="1"/>
  <c r="CW84" i="1"/>
  <c r="V84" i="1" s="1"/>
  <c r="GL84" i="1"/>
  <c r="GN84" i="1"/>
  <c r="GP84" i="1"/>
  <c r="GV84" i="1"/>
  <c r="HC84" i="1" s="1"/>
  <c r="GX84" i="1" s="1"/>
  <c r="S85" i="1"/>
  <c r="V85" i="1"/>
  <c r="W85" i="1"/>
  <c r="AC85" i="1"/>
  <c r="AD85" i="1"/>
  <c r="AE85" i="1"/>
  <c r="Q85" i="1" s="1"/>
  <c r="AF85" i="1"/>
  <c r="AG85" i="1"/>
  <c r="AH85" i="1"/>
  <c r="AI85" i="1"/>
  <c r="AJ85" i="1"/>
  <c r="CT85" i="1"/>
  <c r="CU85" i="1"/>
  <c r="T85" i="1" s="1"/>
  <c r="CV85" i="1"/>
  <c r="U85" i="1" s="1"/>
  <c r="CW85" i="1"/>
  <c r="CX85" i="1"/>
  <c r="GL85" i="1"/>
  <c r="GN85" i="1"/>
  <c r="GO85" i="1"/>
  <c r="GP85" i="1"/>
  <c r="GV85" i="1"/>
  <c r="HC85" i="1" s="1"/>
  <c r="GX85" i="1" s="1"/>
  <c r="R86" i="1"/>
  <c r="AC86" i="1"/>
  <c r="AD86" i="1"/>
  <c r="AE86" i="1"/>
  <c r="Q86" i="1" s="1"/>
  <c r="AF86" i="1"/>
  <c r="AG86" i="1"/>
  <c r="CU86" i="1" s="1"/>
  <c r="T86" i="1" s="1"/>
  <c r="AH86" i="1"/>
  <c r="CV86" i="1" s="1"/>
  <c r="U86" i="1" s="1"/>
  <c r="AI86" i="1"/>
  <c r="AJ86" i="1"/>
  <c r="CQ86" i="1"/>
  <c r="CR86" i="1"/>
  <c r="CS86" i="1"/>
  <c r="CW86" i="1"/>
  <c r="V86" i="1" s="1"/>
  <c r="CX86" i="1"/>
  <c r="W86" i="1" s="1"/>
  <c r="GL86" i="1"/>
  <c r="GN86" i="1"/>
  <c r="GO86" i="1"/>
  <c r="GP86" i="1"/>
  <c r="GV86" i="1"/>
  <c r="HC86" i="1"/>
  <c r="GX86" i="1" s="1"/>
  <c r="I87" i="1"/>
  <c r="K87" i="1"/>
  <c r="Q87" i="1"/>
  <c r="S87" i="1"/>
  <c r="Y87" i="1" s="1"/>
  <c r="U87" i="1"/>
  <c r="AC87" i="1"/>
  <c r="AE87" i="1"/>
  <c r="CR87" i="1" s="1"/>
  <c r="AF87" i="1"/>
  <c r="CT87" i="1" s="1"/>
  <c r="AG87" i="1"/>
  <c r="CU87" i="1" s="1"/>
  <c r="AH87" i="1"/>
  <c r="AI87" i="1"/>
  <c r="CW87" i="1" s="1"/>
  <c r="V87" i="1" s="1"/>
  <c r="AJ87" i="1"/>
  <c r="CQ87" i="1"/>
  <c r="CV87" i="1"/>
  <c r="CX87" i="1"/>
  <c r="W87" i="1" s="1"/>
  <c r="GL87" i="1"/>
  <c r="GN87" i="1"/>
  <c r="GP87" i="1"/>
  <c r="GV87" i="1"/>
  <c r="HC87" i="1"/>
  <c r="GX87" i="1" s="1"/>
  <c r="I88" i="1"/>
  <c r="P88" i="1" s="1"/>
  <c r="K88" i="1"/>
  <c r="T88" i="1"/>
  <c r="AC88" i="1"/>
  <c r="AD88" i="1"/>
  <c r="AB88" i="1" s="1"/>
  <c r="AE88" i="1"/>
  <c r="AF88" i="1"/>
  <c r="AG88" i="1"/>
  <c r="AH88" i="1"/>
  <c r="CV88" i="1" s="1"/>
  <c r="AI88" i="1"/>
  <c r="CW88" i="1" s="1"/>
  <c r="V88" i="1" s="1"/>
  <c r="AJ88" i="1"/>
  <c r="CQ88" i="1"/>
  <c r="CR88" i="1"/>
  <c r="CS88" i="1"/>
  <c r="CT88" i="1"/>
  <c r="CU88" i="1"/>
  <c r="CX88" i="1"/>
  <c r="W88" i="1" s="1"/>
  <c r="GL88" i="1"/>
  <c r="GN88" i="1"/>
  <c r="GP88" i="1"/>
  <c r="GV88" i="1"/>
  <c r="GX88" i="1"/>
  <c r="HC88" i="1"/>
  <c r="P89" i="1"/>
  <c r="Q89" i="1"/>
  <c r="R89" i="1"/>
  <c r="S89" i="1"/>
  <c r="CZ89" i="1" s="1"/>
  <c r="Y89" i="1"/>
  <c r="AC89" i="1"/>
  <c r="AD89" i="1"/>
  <c r="AB89" i="1" s="1"/>
  <c r="AE89" i="1"/>
  <c r="CS89" i="1" s="1"/>
  <c r="AF89" i="1"/>
  <c r="CT89" i="1" s="1"/>
  <c r="AG89" i="1"/>
  <c r="CU89" i="1" s="1"/>
  <c r="T89" i="1" s="1"/>
  <c r="AH89" i="1"/>
  <c r="AI89" i="1"/>
  <c r="AJ89" i="1"/>
  <c r="CP89" i="1"/>
  <c r="O89" i="1" s="1"/>
  <c r="CQ89" i="1"/>
  <c r="CR89" i="1"/>
  <c r="CV89" i="1"/>
  <c r="U89" i="1" s="1"/>
  <c r="CW89" i="1"/>
  <c r="V89" i="1" s="1"/>
  <c r="CX89" i="1"/>
  <c r="W89" i="1" s="1"/>
  <c r="FR89" i="1"/>
  <c r="GL89" i="1"/>
  <c r="GN89" i="1"/>
  <c r="GO89" i="1"/>
  <c r="GP89" i="1"/>
  <c r="GV89" i="1"/>
  <c r="HC89" i="1" s="1"/>
  <c r="GX89" i="1" s="1"/>
  <c r="Q90" i="1"/>
  <c r="R90" i="1"/>
  <c r="S90" i="1"/>
  <c r="Y90" i="1" s="1"/>
  <c r="U90" i="1"/>
  <c r="AC90" i="1"/>
  <c r="AE90" i="1"/>
  <c r="AD90" i="1" s="1"/>
  <c r="AF90" i="1"/>
  <c r="AG90" i="1"/>
  <c r="CU90" i="1" s="1"/>
  <c r="T90" i="1" s="1"/>
  <c r="AH90" i="1"/>
  <c r="AI90" i="1"/>
  <c r="AJ90" i="1"/>
  <c r="CX90" i="1" s="1"/>
  <c r="W90" i="1" s="1"/>
  <c r="CR90" i="1"/>
  <c r="CT90" i="1"/>
  <c r="CV90" i="1"/>
  <c r="CW90" i="1"/>
  <c r="V90" i="1" s="1"/>
  <c r="GL90" i="1"/>
  <c r="GN90" i="1"/>
  <c r="GO90" i="1"/>
  <c r="GP90" i="1"/>
  <c r="GV90" i="1"/>
  <c r="GX90" i="1"/>
  <c r="HC90" i="1"/>
  <c r="Q91" i="1"/>
  <c r="T91" i="1"/>
  <c r="W91" i="1"/>
  <c r="AC91" i="1"/>
  <c r="AD91" i="1"/>
  <c r="AB91" i="1" s="1"/>
  <c r="AE91" i="1"/>
  <c r="R91" i="1" s="1"/>
  <c r="AF91" i="1"/>
  <c r="S91" i="1" s="1"/>
  <c r="Y91" i="1" s="1"/>
  <c r="AG91" i="1"/>
  <c r="AH91" i="1"/>
  <c r="AI91" i="1"/>
  <c r="CW91" i="1" s="1"/>
  <c r="V91" i="1" s="1"/>
  <c r="AJ91" i="1"/>
  <c r="CR91" i="1"/>
  <c r="CS91" i="1"/>
  <c r="CU91" i="1"/>
  <c r="CV91" i="1"/>
  <c r="U91" i="1" s="1"/>
  <c r="CX91" i="1"/>
  <c r="GL91" i="1"/>
  <c r="GN91" i="1"/>
  <c r="GO91" i="1"/>
  <c r="GP91" i="1"/>
  <c r="GV91" i="1"/>
  <c r="HC91" i="1"/>
  <c r="GX91" i="1" s="1"/>
  <c r="P92" i="1"/>
  <c r="S92" i="1"/>
  <c r="X92" i="1"/>
  <c r="Y92" i="1"/>
  <c r="AC92" i="1"/>
  <c r="CQ92" i="1" s="1"/>
  <c r="AE92" i="1"/>
  <c r="CZ92" i="1" s="1"/>
  <c r="AF92" i="1"/>
  <c r="AG92" i="1"/>
  <c r="AH92" i="1"/>
  <c r="AI92" i="1"/>
  <c r="CW92" i="1" s="1"/>
  <c r="V92" i="1" s="1"/>
  <c r="AJ92" i="1"/>
  <c r="CX92" i="1" s="1"/>
  <c r="W92" i="1" s="1"/>
  <c r="CT92" i="1"/>
  <c r="CU92" i="1"/>
  <c r="T92" i="1" s="1"/>
  <c r="CV92" i="1"/>
  <c r="U92" i="1" s="1"/>
  <c r="CY92" i="1"/>
  <c r="GL92" i="1"/>
  <c r="GN92" i="1"/>
  <c r="GO92" i="1"/>
  <c r="GP92" i="1"/>
  <c r="GV92" i="1"/>
  <c r="GX92" i="1"/>
  <c r="HC92" i="1"/>
  <c r="P93" i="1"/>
  <c r="CP93" i="1" s="1"/>
  <c r="O93" i="1" s="1"/>
  <c r="Q93" i="1"/>
  <c r="S93" i="1"/>
  <c r="AC93" i="1"/>
  <c r="AE93" i="1"/>
  <c r="AF93" i="1"/>
  <c r="CT93" i="1" s="1"/>
  <c r="AG93" i="1"/>
  <c r="CU93" i="1" s="1"/>
  <c r="T93" i="1" s="1"/>
  <c r="AH93" i="1"/>
  <c r="AI93" i="1"/>
  <c r="CW93" i="1" s="1"/>
  <c r="V93" i="1" s="1"/>
  <c r="AJ93" i="1"/>
  <c r="CQ93" i="1"/>
  <c r="CV93" i="1"/>
  <c r="U93" i="1" s="1"/>
  <c r="CX93" i="1"/>
  <c r="W93" i="1" s="1"/>
  <c r="CZ93" i="1"/>
  <c r="GL93" i="1"/>
  <c r="GN93" i="1"/>
  <c r="GP93" i="1"/>
  <c r="GV93" i="1"/>
  <c r="HC93" i="1"/>
  <c r="GX93" i="1" s="1"/>
  <c r="P94" i="1"/>
  <c r="Q94" i="1"/>
  <c r="R94" i="1"/>
  <c r="T94" i="1"/>
  <c r="V94" i="1"/>
  <c r="Y94" i="1"/>
  <c r="AC94" i="1"/>
  <c r="CQ94" i="1" s="1"/>
  <c r="AE94" i="1"/>
  <c r="AD94" i="1" s="1"/>
  <c r="AB94" i="1" s="1"/>
  <c r="AF94" i="1"/>
  <c r="S94" i="1" s="1"/>
  <c r="AG94" i="1"/>
  <c r="AH94" i="1"/>
  <c r="CV94" i="1" s="1"/>
  <c r="U94" i="1" s="1"/>
  <c r="AI94" i="1"/>
  <c r="AJ94" i="1"/>
  <c r="CX94" i="1" s="1"/>
  <c r="W94" i="1" s="1"/>
  <c r="CR94" i="1"/>
  <c r="CS94" i="1"/>
  <c r="CU94" i="1"/>
  <c r="CW94" i="1"/>
  <c r="GL94" i="1"/>
  <c r="GN94" i="1"/>
  <c r="GP94" i="1"/>
  <c r="GV94" i="1"/>
  <c r="HC94" i="1" s="1"/>
  <c r="GX94" i="1"/>
  <c r="I95" i="1"/>
  <c r="W95" i="1" s="1"/>
  <c r="AC95" i="1"/>
  <c r="AD95" i="1"/>
  <c r="AE95" i="1"/>
  <c r="AF95" i="1"/>
  <c r="AG95" i="1"/>
  <c r="AH95" i="1"/>
  <c r="AI95" i="1"/>
  <c r="AJ95" i="1"/>
  <c r="CX95" i="1" s="1"/>
  <c r="CQ95" i="1"/>
  <c r="CR95" i="1"/>
  <c r="CS95" i="1"/>
  <c r="CU95" i="1"/>
  <c r="T95" i="1" s="1"/>
  <c r="CV95" i="1"/>
  <c r="CW95" i="1"/>
  <c r="V95" i="1" s="1"/>
  <c r="GL95" i="1"/>
  <c r="GN95" i="1"/>
  <c r="GP95" i="1"/>
  <c r="GV95" i="1"/>
  <c r="HC95" i="1"/>
  <c r="I96" i="1"/>
  <c r="R96" i="1" s="1"/>
  <c r="AC96" i="1"/>
  <c r="AE96" i="1"/>
  <c r="AF96" i="1"/>
  <c r="CT96" i="1" s="1"/>
  <c r="AG96" i="1"/>
  <c r="CU96" i="1" s="1"/>
  <c r="T96" i="1" s="1"/>
  <c r="AH96" i="1"/>
  <c r="CV96" i="1" s="1"/>
  <c r="U96" i="1" s="1"/>
  <c r="AI96" i="1"/>
  <c r="CW96" i="1" s="1"/>
  <c r="V96" i="1" s="1"/>
  <c r="AJ96" i="1"/>
  <c r="CQ96" i="1"/>
  <c r="CX96" i="1"/>
  <c r="W96" i="1" s="1"/>
  <c r="GL96" i="1"/>
  <c r="GN96" i="1"/>
  <c r="GP96" i="1"/>
  <c r="GV96" i="1"/>
  <c r="HC96" i="1"/>
  <c r="S97" i="1"/>
  <c r="AC97" i="1"/>
  <c r="AD97" i="1"/>
  <c r="AE97" i="1"/>
  <c r="CR97" i="1" s="1"/>
  <c r="AF97" i="1"/>
  <c r="CT97" i="1" s="1"/>
  <c r="AG97" i="1"/>
  <c r="CU97" i="1" s="1"/>
  <c r="T97" i="1" s="1"/>
  <c r="AH97" i="1"/>
  <c r="AI97" i="1"/>
  <c r="AJ97" i="1"/>
  <c r="CV97" i="1"/>
  <c r="U97" i="1" s="1"/>
  <c r="CW97" i="1"/>
  <c r="V97" i="1" s="1"/>
  <c r="CX97" i="1"/>
  <c r="W97" i="1" s="1"/>
  <c r="CZ97" i="1"/>
  <c r="GL97" i="1"/>
  <c r="GO97" i="1"/>
  <c r="GP97" i="1"/>
  <c r="GV97" i="1"/>
  <c r="HC97" i="1" s="1"/>
  <c r="GX97" i="1" s="1"/>
  <c r="P98" i="1"/>
  <c r="R98" i="1"/>
  <c r="W98" i="1"/>
  <c r="X98" i="1"/>
  <c r="AC98" i="1"/>
  <c r="AD98" i="1"/>
  <c r="AE98" i="1"/>
  <c r="Q98" i="1" s="1"/>
  <c r="AF98" i="1"/>
  <c r="S98" i="1" s="1"/>
  <c r="CZ98" i="1" s="1"/>
  <c r="AG98" i="1"/>
  <c r="AH98" i="1"/>
  <c r="CV98" i="1" s="1"/>
  <c r="U98" i="1" s="1"/>
  <c r="AI98" i="1"/>
  <c r="AJ98" i="1"/>
  <c r="CP98" i="1"/>
  <c r="O98" i="1" s="1"/>
  <c r="CQ98" i="1"/>
  <c r="CR98" i="1"/>
  <c r="CS98" i="1"/>
  <c r="CU98" i="1"/>
  <c r="T98" i="1" s="1"/>
  <c r="CW98" i="1"/>
  <c r="V98" i="1" s="1"/>
  <c r="CX98" i="1"/>
  <c r="GL98" i="1"/>
  <c r="GO98" i="1"/>
  <c r="GP98" i="1"/>
  <c r="GV98" i="1"/>
  <c r="HC98" i="1" s="1"/>
  <c r="GX98" i="1" s="1"/>
  <c r="T99" i="1"/>
  <c r="W99" i="1"/>
  <c r="Y99" i="1"/>
  <c r="AC99" i="1"/>
  <c r="AE99" i="1"/>
  <c r="AF99" i="1"/>
  <c r="S99" i="1" s="1"/>
  <c r="AG99" i="1"/>
  <c r="AH99" i="1"/>
  <c r="AI99" i="1"/>
  <c r="CW99" i="1" s="1"/>
  <c r="V99" i="1" s="1"/>
  <c r="AJ99" i="1"/>
  <c r="CX99" i="1" s="1"/>
  <c r="CT99" i="1"/>
  <c r="CU99" i="1"/>
  <c r="CV99" i="1"/>
  <c r="U99" i="1" s="1"/>
  <c r="CY99" i="1"/>
  <c r="GL99" i="1"/>
  <c r="GN99" i="1"/>
  <c r="GP99" i="1"/>
  <c r="GV99" i="1"/>
  <c r="HC99" i="1"/>
  <c r="GX99" i="1" s="1"/>
  <c r="Q100" i="1"/>
  <c r="R100" i="1"/>
  <c r="S100" i="1"/>
  <c r="AC100" i="1"/>
  <c r="P100" i="1" s="1"/>
  <c r="AE100" i="1"/>
  <c r="AF100" i="1"/>
  <c r="CT100" i="1" s="1"/>
  <c r="AG100" i="1"/>
  <c r="CU100" i="1" s="1"/>
  <c r="T100" i="1" s="1"/>
  <c r="AH100" i="1"/>
  <c r="CV100" i="1" s="1"/>
  <c r="U100" i="1" s="1"/>
  <c r="AI100" i="1"/>
  <c r="CW100" i="1" s="1"/>
  <c r="V100" i="1" s="1"/>
  <c r="AJ100" i="1"/>
  <c r="CQ100" i="1"/>
  <c r="CX100" i="1"/>
  <c r="W100" i="1" s="1"/>
  <c r="GL100" i="1"/>
  <c r="GN100" i="1"/>
  <c r="GP100" i="1"/>
  <c r="GV100" i="1"/>
  <c r="HC100" i="1"/>
  <c r="GX100" i="1" s="1"/>
  <c r="S101" i="1"/>
  <c r="AC101" i="1"/>
  <c r="AD101" i="1"/>
  <c r="AE101" i="1"/>
  <c r="AF101" i="1"/>
  <c r="CT101" i="1" s="1"/>
  <c r="AG101" i="1"/>
  <c r="CU101" i="1" s="1"/>
  <c r="T101" i="1" s="1"/>
  <c r="AH101" i="1"/>
  <c r="AI101" i="1"/>
  <c r="AJ101" i="1"/>
  <c r="CV101" i="1"/>
  <c r="U101" i="1" s="1"/>
  <c r="CW101" i="1"/>
  <c r="V101" i="1" s="1"/>
  <c r="CX101" i="1"/>
  <c r="W101" i="1" s="1"/>
  <c r="GL101" i="1"/>
  <c r="GN101" i="1"/>
  <c r="GO101" i="1"/>
  <c r="GP101" i="1"/>
  <c r="GV101" i="1"/>
  <c r="HC101" i="1" s="1"/>
  <c r="GX101" i="1" s="1"/>
  <c r="S102" i="1"/>
  <c r="V102" i="1"/>
  <c r="W102" i="1"/>
  <c r="X102" i="1"/>
  <c r="AC102" i="1"/>
  <c r="P102" i="1" s="1"/>
  <c r="AE102" i="1"/>
  <c r="Q102" i="1" s="1"/>
  <c r="CP102" i="1" s="1"/>
  <c r="O102" i="1" s="1"/>
  <c r="AF102" i="1"/>
  <c r="AG102" i="1"/>
  <c r="CU102" i="1" s="1"/>
  <c r="T102" i="1" s="1"/>
  <c r="AH102" i="1"/>
  <c r="AI102" i="1"/>
  <c r="AJ102" i="1"/>
  <c r="CX102" i="1" s="1"/>
  <c r="CQ102" i="1"/>
  <c r="CT102" i="1"/>
  <c r="CV102" i="1"/>
  <c r="U102" i="1" s="1"/>
  <c r="CW102" i="1"/>
  <c r="FR102" i="1"/>
  <c r="GL102" i="1"/>
  <c r="GN102" i="1"/>
  <c r="GO102" i="1"/>
  <c r="GP102" i="1"/>
  <c r="GV102" i="1"/>
  <c r="GX102" i="1"/>
  <c r="HC102" i="1"/>
  <c r="P103" i="1"/>
  <c r="R103" i="1"/>
  <c r="S103" i="1"/>
  <c r="X103" i="1" s="1"/>
  <c r="U103" i="1"/>
  <c r="Y103" i="1"/>
  <c r="AC103" i="1"/>
  <c r="AD103" i="1"/>
  <c r="AE103" i="1"/>
  <c r="Q103" i="1" s="1"/>
  <c r="AF103" i="1"/>
  <c r="AG103" i="1"/>
  <c r="AH103" i="1"/>
  <c r="CV103" i="1" s="1"/>
  <c r="AI103" i="1"/>
  <c r="CW103" i="1" s="1"/>
  <c r="V103" i="1" s="1"/>
  <c r="AJ103" i="1"/>
  <c r="CX103" i="1" s="1"/>
  <c r="W103" i="1" s="1"/>
  <c r="CR103" i="1"/>
  <c r="CS103" i="1"/>
  <c r="CT103" i="1"/>
  <c r="CU103" i="1"/>
  <c r="T103" i="1" s="1"/>
  <c r="CZ103" i="1"/>
  <c r="GL103" i="1"/>
  <c r="GN103" i="1"/>
  <c r="GO103" i="1"/>
  <c r="GP103" i="1"/>
  <c r="GV103" i="1"/>
  <c r="HC103" i="1"/>
  <c r="GX103" i="1" s="1"/>
  <c r="AC104" i="1"/>
  <c r="AD104" i="1"/>
  <c r="AE104" i="1"/>
  <c r="AF104" i="1"/>
  <c r="S104" i="1" s="1"/>
  <c r="AG104" i="1"/>
  <c r="AH104" i="1"/>
  <c r="AI104" i="1"/>
  <c r="AJ104" i="1"/>
  <c r="CT104" i="1"/>
  <c r="CU104" i="1"/>
  <c r="T104" i="1" s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GX104" i="1"/>
  <c r="HC104" i="1"/>
  <c r="Q105" i="1"/>
  <c r="S105" i="1"/>
  <c r="V105" i="1"/>
  <c r="X105" i="1"/>
  <c r="AC105" i="1"/>
  <c r="P105" i="1" s="1"/>
  <c r="AE105" i="1"/>
  <c r="AF105" i="1"/>
  <c r="AG105" i="1"/>
  <c r="CU105" i="1" s="1"/>
  <c r="T105" i="1" s="1"/>
  <c r="AH105" i="1"/>
  <c r="CV105" i="1" s="1"/>
  <c r="U105" i="1" s="1"/>
  <c r="AI105" i="1"/>
  <c r="AJ105" i="1"/>
  <c r="CR105" i="1"/>
  <c r="CT105" i="1"/>
  <c r="CW105" i="1"/>
  <c r="CX105" i="1"/>
  <c r="W105" i="1" s="1"/>
  <c r="CY105" i="1"/>
  <c r="GL105" i="1"/>
  <c r="GN105" i="1"/>
  <c r="GP105" i="1"/>
  <c r="GV105" i="1"/>
  <c r="HC105" i="1" s="1"/>
  <c r="GX105" i="1" s="1"/>
  <c r="P106" i="1"/>
  <c r="Q106" i="1"/>
  <c r="S106" i="1"/>
  <c r="T106" i="1"/>
  <c r="AC106" i="1"/>
  <c r="AD106" i="1"/>
  <c r="AB106" i="1" s="1"/>
  <c r="AE106" i="1"/>
  <c r="AF106" i="1"/>
  <c r="AG106" i="1"/>
  <c r="CU106" i="1" s="1"/>
  <c r="AH106" i="1"/>
  <c r="CV106" i="1" s="1"/>
  <c r="U106" i="1" s="1"/>
  <c r="AI106" i="1"/>
  <c r="CW106" i="1" s="1"/>
  <c r="V106" i="1" s="1"/>
  <c r="EA118" i="1" s="1"/>
  <c r="AJ106" i="1"/>
  <c r="CX106" i="1" s="1"/>
  <c r="W106" i="1" s="1"/>
  <c r="CQ106" i="1"/>
  <c r="CS106" i="1"/>
  <c r="CT106" i="1"/>
  <c r="GL106" i="1"/>
  <c r="GN106" i="1"/>
  <c r="GP106" i="1"/>
  <c r="GV106" i="1"/>
  <c r="GX106" i="1"/>
  <c r="HC106" i="1"/>
  <c r="P107" i="1"/>
  <c r="FR107" i="1" s="1"/>
  <c r="Q107" i="1"/>
  <c r="S107" i="1"/>
  <c r="X107" i="1" s="1"/>
  <c r="U107" i="1"/>
  <c r="W107" i="1"/>
  <c r="Y107" i="1"/>
  <c r="AB107" i="1"/>
  <c r="AC107" i="1"/>
  <c r="AD107" i="1"/>
  <c r="AE107" i="1"/>
  <c r="R107" i="1" s="1"/>
  <c r="AF107" i="1"/>
  <c r="CT107" i="1" s="1"/>
  <c r="AG107" i="1"/>
  <c r="CU107" i="1" s="1"/>
  <c r="T107" i="1" s="1"/>
  <c r="AH107" i="1"/>
  <c r="AI107" i="1"/>
  <c r="CW107" i="1" s="1"/>
  <c r="V107" i="1" s="1"/>
  <c r="AJ107" i="1"/>
  <c r="CP107" i="1"/>
  <c r="O107" i="1" s="1"/>
  <c r="CQ107" i="1"/>
  <c r="CR107" i="1"/>
  <c r="CS107" i="1"/>
  <c r="CV107" i="1"/>
  <c r="CX107" i="1"/>
  <c r="CY107" i="1"/>
  <c r="GL107" i="1"/>
  <c r="GN107" i="1"/>
  <c r="GO107" i="1"/>
  <c r="GP107" i="1"/>
  <c r="GV107" i="1"/>
  <c r="HC107" i="1" s="1"/>
  <c r="GX107" i="1" s="1"/>
  <c r="S108" i="1"/>
  <c r="AC108" i="1"/>
  <c r="AE108" i="1"/>
  <c r="AF108" i="1"/>
  <c r="AG108" i="1"/>
  <c r="AH108" i="1"/>
  <c r="AI108" i="1"/>
  <c r="CW108" i="1" s="1"/>
  <c r="V108" i="1" s="1"/>
  <c r="AJ108" i="1"/>
  <c r="CT108" i="1"/>
  <c r="CU108" i="1"/>
  <c r="T108" i="1" s="1"/>
  <c r="CV108" i="1"/>
  <c r="U108" i="1" s="1"/>
  <c r="CX108" i="1"/>
  <c r="W108" i="1" s="1"/>
  <c r="GL108" i="1"/>
  <c r="GN108" i="1"/>
  <c r="GO108" i="1"/>
  <c r="GP108" i="1"/>
  <c r="GV108" i="1"/>
  <c r="HC108" i="1" s="1"/>
  <c r="GX108" i="1" s="1"/>
  <c r="I109" i="1"/>
  <c r="K109" i="1"/>
  <c r="Y109" i="1"/>
  <c r="AC109" i="1"/>
  <c r="AD109" i="1"/>
  <c r="AE109" i="1"/>
  <c r="AF109" i="1"/>
  <c r="S109" i="1" s="1"/>
  <c r="AG109" i="1"/>
  <c r="AH109" i="1"/>
  <c r="CV109" i="1" s="1"/>
  <c r="U109" i="1" s="1"/>
  <c r="AI109" i="1"/>
  <c r="AJ109" i="1"/>
  <c r="CR109" i="1"/>
  <c r="CS109" i="1"/>
  <c r="CU109" i="1"/>
  <c r="T109" i="1" s="1"/>
  <c r="CW109" i="1"/>
  <c r="V109" i="1" s="1"/>
  <c r="CX109" i="1"/>
  <c r="W109" i="1" s="1"/>
  <c r="CY109" i="1"/>
  <c r="GL109" i="1"/>
  <c r="GN109" i="1"/>
  <c r="GP109" i="1"/>
  <c r="GV109" i="1"/>
  <c r="HC109" i="1" s="1"/>
  <c r="GX109" i="1"/>
  <c r="I110" i="1"/>
  <c r="K110" i="1"/>
  <c r="V110" i="1"/>
  <c r="AC110" i="1"/>
  <c r="AD110" i="1"/>
  <c r="AE110" i="1"/>
  <c r="AF110" i="1"/>
  <c r="AG110" i="1"/>
  <c r="AH110" i="1"/>
  <c r="AI110" i="1"/>
  <c r="AJ110" i="1"/>
  <c r="CX110" i="1" s="1"/>
  <c r="W110" i="1" s="1"/>
  <c r="CU110" i="1"/>
  <c r="CV110" i="1"/>
  <c r="U110" i="1" s="1"/>
  <c r="CW110" i="1"/>
  <c r="GL110" i="1"/>
  <c r="GN110" i="1"/>
  <c r="GP110" i="1"/>
  <c r="GV110" i="1"/>
  <c r="HC110" i="1"/>
  <c r="GX110" i="1" s="1"/>
  <c r="R111" i="1"/>
  <c r="S111" i="1"/>
  <c r="X111" i="1" s="1"/>
  <c r="AC111" i="1"/>
  <c r="P111" i="1" s="1"/>
  <c r="AE111" i="1"/>
  <c r="CR111" i="1" s="1"/>
  <c r="AF111" i="1"/>
  <c r="CT111" i="1" s="1"/>
  <c r="AG111" i="1"/>
  <c r="CU111" i="1" s="1"/>
  <c r="T111" i="1" s="1"/>
  <c r="AH111" i="1"/>
  <c r="CV111" i="1" s="1"/>
  <c r="U111" i="1" s="1"/>
  <c r="AI111" i="1"/>
  <c r="AJ111" i="1"/>
  <c r="CW111" i="1"/>
  <c r="V111" i="1" s="1"/>
  <c r="CX111" i="1"/>
  <c r="W111" i="1" s="1"/>
  <c r="FR111" i="1"/>
  <c r="GL111" i="1"/>
  <c r="GN111" i="1"/>
  <c r="GO111" i="1"/>
  <c r="GP111" i="1"/>
  <c r="GV111" i="1"/>
  <c r="GX111" i="1"/>
  <c r="HC111" i="1"/>
  <c r="P112" i="1"/>
  <c r="R112" i="1"/>
  <c r="S112" i="1"/>
  <c r="T112" i="1"/>
  <c r="Y112" i="1"/>
  <c r="AC112" i="1"/>
  <c r="CQ112" i="1" s="1"/>
  <c r="AD112" i="1"/>
  <c r="AE112" i="1"/>
  <c r="Q112" i="1" s="1"/>
  <c r="AF112" i="1"/>
  <c r="CT112" i="1" s="1"/>
  <c r="AG112" i="1"/>
  <c r="CU112" i="1" s="1"/>
  <c r="AH112" i="1"/>
  <c r="CV112" i="1" s="1"/>
  <c r="U112" i="1" s="1"/>
  <c r="AI112" i="1"/>
  <c r="CW112" i="1" s="1"/>
  <c r="V112" i="1" s="1"/>
  <c r="AJ112" i="1"/>
  <c r="CR112" i="1"/>
  <c r="CS112" i="1"/>
  <c r="CX112" i="1"/>
  <c r="W112" i="1" s="1"/>
  <c r="CY112" i="1"/>
  <c r="GL112" i="1"/>
  <c r="GN112" i="1"/>
  <c r="GO112" i="1"/>
  <c r="GP112" i="1"/>
  <c r="GV112" i="1"/>
  <c r="HC112" i="1" s="1"/>
  <c r="GX112" i="1" s="1"/>
  <c r="Q113" i="1"/>
  <c r="R113" i="1"/>
  <c r="S113" i="1"/>
  <c r="U113" i="1"/>
  <c r="AC113" i="1"/>
  <c r="AE113" i="1"/>
  <c r="CR113" i="1" s="1"/>
  <c r="AF113" i="1"/>
  <c r="CT113" i="1" s="1"/>
  <c r="AG113" i="1"/>
  <c r="AH113" i="1"/>
  <c r="AI113" i="1"/>
  <c r="AJ113" i="1"/>
  <c r="CX113" i="1" s="1"/>
  <c r="W113" i="1" s="1"/>
  <c r="CU113" i="1"/>
  <c r="T113" i="1" s="1"/>
  <c r="CV113" i="1"/>
  <c r="CW113" i="1"/>
  <c r="V113" i="1" s="1"/>
  <c r="GL113" i="1"/>
  <c r="GN113" i="1"/>
  <c r="GO113" i="1"/>
  <c r="GP113" i="1"/>
  <c r="GV113" i="1"/>
  <c r="HC113" i="1" s="1"/>
  <c r="GX113" i="1" s="1"/>
  <c r="Q114" i="1"/>
  <c r="R114" i="1"/>
  <c r="S114" i="1"/>
  <c r="T114" i="1"/>
  <c r="AC114" i="1"/>
  <c r="AE114" i="1"/>
  <c r="AF114" i="1"/>
  <c r="AG114" i="1"/>
  <c r="CU114" i="1" s="1"/>
  <c r="AH114" i="1"/>
  <c r="AI114" i="1"/>
  <c r="CW114" i="1" s="1"/>
  <c r="V114" i="1" s="1"/>
  <c r="AJ114" i="1"/>
  <c r="CR114" i="1"/>
  <c r="CT114" i="1"/>
  <c r="CV114" i="1"/>
  <c r="U114" i="1" s="1"/>
  <c r="CX114" i="1"/>
  <c r="W114" i="1" s="1"/>
  <c r="GL114" i="1"/>
  <c r="GN114" i="1"/>
  <c r="GO114" i="1"/>
  <c r="GP114" i="1"/>
  <c r="GV114" i="1"/>
  <c r="GX114" i="1"/>
  <c r="HC114" i="1"/>
  <c r="S115" i="1"/>
  <c r="W115" i="1"/>
  <c r="AC115" i="1"/>
  <c r="AE115" i="1"/>
  <c r="AF115" i="1"/>
  <c r="AG115" i="1"/>
  <c r="AH115" i="1"/>
  <c r="AI115" i="1"/>
  <c r="CW115" i="1" s="1"/>
  <c r="V115" i="1" s="1"/>
  <c r="AJ115" i="1"/>
  <c r="CT115" i="1"/>
  <c r="CU115" i="1"/>
  <c r="T115" i="1" s="1"/>
  <c r="CV115" i="1"/>
  <c r="U115" i="1" s="1"/>
  <c r="CX115" i="1"/>
  <c r="GL115" i="1"/>
  <c r="GN115" i="1"/>
  <c r="GO115" i="1"/>
  <c r="GP115" i="1"/>
  <c r="GV115" i="1"/>
  <c r="HC115" i="1" s="1"/>
  <c r="GX115" i="1"/>
  <c r="S116" i="1"/>
  <c r="U116" i="1"/>
  <c r="V116" i="1"/>
  <c r="X116" i="1"/>
  <c r="AC116" i="1"/>
  <c r="AE116" i="1"/>
  <c r="Q116" i="1" s="1"/>
  <c r="AF116" i="1"/>
  <c r="AG116" i="1"/>
  <c r="CU116" i="1" s="1"/>
  <c r="T116" i="1" s="1"/>
  <c r="AH116" i="1"/>
  <c r="AI116" i="1"/>
  <c r="CW116" i="1" s="1"/>
  <c r="AJ116" i="1"/>
  <c r="CX116" i="1" s="1"/>
  <c r="W116" i="1" s="1"/>
  <c r="CQ116" i="1"/>
  <c r="CR116" i="1"/>
  <c r="CT116" i="1"/>
  <c r="CV116" i="1"/>
  <c r="CZ116" i="1"/>
  <c r="GL116" i="1"/>
  <c r="GN116" i="1"/>
  <c r="GO116" i="1"/>
  <c r="GP116" i="1"/>
  <c r="GV116" i="1"/>
  <c r="HC116" i="1" s="1"/>
  <c r="GX116" i="1"/>
  <c r="B118" i="1"/>
  <c r="B81" i="1" s="1"/>
  <c r="C118" i="1"/>
  <c r="C81" i="1" s="1"/>
  <c r="D118" i="1"/>
  <c r="D81" i="1" s="1"/>
  <c r="F118" i="1"/>
  <c r="F81" i="1" s="1"/>
  <c r="G118" i="1"/>
  <c r="G81" i="1" s="1"/>
  <c r="AO118" i="1"/>
  <c r="BB118" i="1"/>
  <c r="BB81" i="1" s="1"/>
  <c r="BC118" i="1"/>
  <c r="BD118" i="1"/>
  <c r="BD81" i="1" s="1"/>
  <c r="BX118" i="1"/>
  <c r="BX81" i="1" s="1"/>
  <c r="CK118" i="1"/>
  <c r="CK81" i="1" s="1"/>
  <c r="CL118" i="1"/>
  <c r="CL81" i="1" s="1"/>
  <c r="CM118" i="1"/>
  <c r="CM81" i="1" s="1"/>
  <c r="FP118" i="1"/>
  <c r="FP81" i="1" s="1"/>
  <c r="FR118" i="1"/>
  <c r="FY118" i="1" s="1"/>
  <c r="GC118" i="1"/>
  <c r="GC81" i="1" s="1"/>
  <c r="GD118" i="1"/>
  <c r="GE118" i="1"/>
  <c r="F131" i="1"/>
  <c r="F143" i="1"/>
  <c r="D148" i="1"/>
  <c r="E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J150" i="1"/>
  <c r="CK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Q152" i="1"/>
  <c r="X152" i="1"/>
  <c r="AC152" i="1"/>
  <c r="AE152" i="1"/>
  <c r="AF152" i="1"/>
  <c r="S152" i="1" s="1"/>
  <c r="AG152" i="1"/>
  <c r="AH152" i="1"/>
  <c r="AI152" i="1"/>
  <c r="CW152" i="1" s="1"/>
  <c r="V152" i="1" s="1"/>
  <c r="AJ152" i="1"/>
  <c r="CX152" i="1" s="1"/>
  <c r="W152" i="1" s="1"/>
  <c r="CT152" i="1"/>
  <c r="CU152" i="1"/>
  <c r="T152" i="1" s="1"/>
  <c r="CV152" i="1"/>
  <c r="U152" i="1" s="1"/>
  <c r="GL152" i="1"/>
  <c r="GN152" i="1"/>
  <c r="GP152" i="1"/>
  <c r="GV152" i="1"/>
  <c r="GX152" i="1"/>
  <c r="HC152" i="1"/>
  <c r="P153" i="1"/>
  <c r="R153" i="1"/>
  <c r="T153" i="1"/>
  <c r="W153" i="1"/>
  <c r="AC153" i="1"/>
  <c r="CQ153" i="1" s="1"/>
  <c r="AD153" i="1"/>
  <c r="AE153" i="1"/>
  <c r="Q153" i="1" s="1"/>
  <c r="AF153" i="1"/>
  <c r="S153" i="1" s="1"/>
  <c r="AG153" i="1"/>
  <c r="AH153" i="1"/>
  <c r="CV153" i="1" s="1"/>
  <c r="U153" i="1" s="1"/>
  <c r="AI153" i="1"/>
  <c r="CW153" i="1" s="1"/>
  <c r="V153" i="1" s="1"/>
  <c r="AJ153" i="1"/>
  <c r="CR153" i="1"/>
  <c r="CS153" i="1"/>
  <c r="CT153" i="1"/>
  <c r="CU153" i="1"/>
  <c r="CX153" i="1"/>
  <c r="CZ153" i="1"/>
  <c r="GL153" i="1"/>
  <c r="GN153" i="1"/>
  <c r="GP153" i="1"/>
  <c r="GV153" i="1"/>
  <c r="HC153" i="1" s="1"/>
  <c r="GX153" i="1" s="1"/>
  <c r="P154" i="1"/>
  <c r="S154" i="1"/>
  <c r="V154" i="1"/>
  <c r="AC154" i="1"/>
  <c r="CQ154" i="1" s="1"/>
  <c r="AE154" i="1"/>
  <c r="AF154" i="1"/>
  <c r="AG154" i="1"/>
  <c r="AH154" i="1"/>
  <c r="CV154" i="1" s="1"/>
  <c r="U154" i="1" s="1"/>
  <c r="AI154" i="1"/>
  <c r="CW154" i="1" s="1"/>
  <c r="AJ154" i="1"/>
  <c r="CX154" i="1" s="1"/>
  <c r="W154" i="1" s="1"/>
  <c r="CT154" i="1"/>
  <c r="CU154" i="1"/>
  <c r="T154" i="1" s="1"/>
  <c r="GL154" i="1"/>
  <c r="GN154" i="1"/>
  <c r="CB161" i="1" s="1"/>
  <c r="GO154" i="1"/>
  <c r="GP154" i="1"/>
  <c r="GV154" i="1"/>
  <c r="HC154" i="1" s="1"/>
  <c r="GX154" i="1" s="1"/>
  <c r="P155" i="1"/>
  <c r="R155" i="1"/>
  <c r="U155" i="1"/>
  <c r="X155" i="1"/>
  <c r="Y155" i="1"/>
  <c r="AC155" i="1"/>
  <c r="AD155" i="1"/>
  <c r="AE155" i="1"/>
  <c r="CS155" i="1" s="1"/>
  <c r="AF155" i="1"/>
  <c r="S155" i="1" s="1"/>
  <c r="CY155" i="1" s="1"/>
  <c r="AG155" i="1"/>
  <c r="AH155" i="1"/>
  <c r="AI155" i="1"/>
  <c r="CW155" i="1" s="1"/>
  <c r="V155" i="1" s="1"/>
  <c r="AJ155" i="1"/>
  <c r="CX155" i="1" s="1"/>
  <c r="W155" i="1" s="1"/>
  <c r="CR155" i="1"/>
  <c r="CT155" i="1"/>
  <c r="CU155" i="1"/>
  <c r="T155" i="1" s="1"/>
  <c r="CV155" i="1"/>
  <c r="CZ155" i="1"/>
  <c r="FR155" i="1"/>
  <c r="FQ161" i="1" s="1"/>
  <c r="GL155" i="1"/>
  <c r="GN155" i="1"/>
  <c r="GO155" i="1"/>
  <c r="GP155" i="1"/>
  <c r="GV155" i="1"/>
  <c r="HC155" i="1" s="1"/>
  <c r="GX155" i="1" s="1"/>
  <c r="Q156" i="1"/>
  <c r="R156" i="1"/>
  <c r="AC156" i="1"/>
  <c r="P156" i="1" s="1"/>
  <c r="AE156" i="1"/>
  <c r="AF156" i="1"/>
  <c r="AG156" i="1"/>
  <c r="CU156" i="1" s="1"/>
  <c r="T156" i="1" s="1"/>
  <c r="AG161" i="1" s="1"/>
  <c r="T161" i="1" s="1"/>
  <c r="AH156" i="1"/>
  <c r="AI156" i="1"/>
  <c r="CW156" i="1" s="1"/>
  <c r="V156" i="1" s="1"/>
  <c r="AJ156" i="1"/>
  <c r="CQ156" i="1"/>
  <c r="CS156" i="1"/>
  <c r="CV156" i="1"/>
  <c r="U156" i="1" s="1"/>
  <c r="CX156" i="1"/>
  <c r="W156" i="1" s="1"/>
  <c r="AJ161" i="1" s="1"/>
  <c r="GL156" i="1"/>
  <c r="GN156" i="1"/>
  <c r="GP156" i="1"/>
  <c r="GV156" i="1"/>
  <c r="HC156" i="1"/>
  <c r="GX156" i="1" s="1"/>
  <c r="P157" i="1"/>
  <c r="Q157" i="1"/>
  <c r="R157" i="1"/>
  <c r="AC157" i="1"/>
  <c r="CQ157" i="1" s="1"/>
  <c r="AE157" i="1"/>
  <c r="CR157" i="1" s="1"/>
  <c r="AF157" i="1"/>
  <c r="AG157" i="1"/>
  <c r="AH157" i="1"/>
  <c r="CV157" i="1" s="1"/>
  <c r="U157" i="1" s="1"/>
  <c r="AI157" i="1"/>
  <c r="CW157" i="1" s="1"/>
  <c r="V157" i="1" s="1"/>
  <c r="AJ157" i="1"/>
  <c r="CX157" i="1" s="1"/>
  <c r="W157" i="1" s="1"/>
  <c r="CS157" i="1"/>
  <c r="CU157" i="1"/>
  <c r="T157" i="1" s="1"/>
  <c r="GL157" i="1"/>
  <c r="GN157" i="1"/>
  <c r="GP157" i="1"/>
  <c r="GV157" i="1"/>
  <c r="GX157" i="1"/>
  <c r="HC157" i="1"/>
  <c r="Q158" i="1"/>
  <c r="R158" i="1"/>
  <c r="W158" i="1"/>
  <c r="AC158" i="1"/>
  <c r="AE158" i="1"/>
  <c r="AD158" i="1" s="1"/>
  <c r="AF158" i="1"/>
  <c r="AG158" i="1"/>
  <c r="CU158" i="1" s="1"/>
  <c r="T158" i="1" s="1"/>
  <c r="AH158" i="1"/>
  <c r="AI158" i="1"/>
  <c r="AJ158" i="1"/>
  <c r="CQ158" i="1"/>
  <c r="CR158" i="1"/>
  <c r="CS158" i="1"/>
  <c r="CV158" i="1"/>
  <c r="U158" i="1" s="1"/>
  <c r="CW158" i="1"/>
  <c r="V158" i="1" s="1"/>
  <c r="CX158" i="1"/>
  <c r="GL158" i="1"/>
  <c r="GN158" i="1"/>
  <c r="GO158" i="1"/>
  <c r="GP158" i="1"/>
  <c r="GV158" i="1"/>
  <c r="GX158" i="1"/>
  <c r="HC158" i="1"/>
  <c r="P159" i="1"/>
  <c r="S159" i="1"/>
  <c r="X159" i="1" s="1"/>
  <c r="U159" i="1"/>
  <c r="Y159" i="1"/>
  <c r="AC159" i="1"/>
  <c r="CQ159" i="1" s="1"/>
  <c r="AD159" i="1"/>
  <c r="AB159" i="1" s="1"/>
  <c r="AE159" i="1"/>
  <c r="Q159" i="1" s="1"/>
  <c r="AF159" i="1"/>
  <c r="AG159" i="1"/>
  <c r="AH159" i="1"/>
  <c r="CV159" i="1" s="1"/>
  <c r="AI159" i="1"/>
  <c r="CW159" i="1" s="1"/>
  <c r="V159" i="1" s="1"/>
  <c r="AJ159" i="1"/>
  <c r="CR159" i="1"/>
  <c r="CS159" i="1"/>
  <c r="CT159" i="1"/>
  <c r="CU159" i="1"/>
  <c r="T159" i="1" s="1"/>
  <c r="CX159" i="1"/>
  <c r="W159" i="1" s="1"/>
  <c r="EB161" i="1" s="1"/>
  <c r="CY159" i="1"/>
  <c r="CZ159" i="1"/>
  <c r="FR159" i="1"/>
  <c r="GL159" i="1"/>
  <c r="GN159" i="1"/>
  <c r="GO159" i="1"/>
  <c r="GP159" i="1"/>
  <c r="GV159" i="1"/>
  <c r="HC159" i="1" s="1"/>
  <c r="GX159" i="1" s="1"/>
  <c r="B161" i="1"/>
  <c r="B150" i="1" s="1"/>
  <c r="C161" i="1"/>
  <c r="C150" i="1" s="1"/>
  <c r="D161" i="1"/>
  <c r="D150" i="1" s="1"/>
  <c r="F161" i="1"/>
  <c r="F150" i="1" s="1"/>
  <c r="G161" i="1"/>
  <c r="G150" i="1" s="1"/>
  <c r="BD161" i="1"/>
  <c r="BX161" i="1"/>
  <c r="BX150" i="1" s="1"/>
  <c r="BZ161" i="1"/>
  <c r="CG161" i="1" s="1"/>
  <c r="CD161" i="1"/>
  <c r="CJ161" i="1"/>
  <c r="BA161" i="1" s="1"/>
  <c r="CK161" i="1"/>
  <c r="BB161" i="1" s="1"/>
  <c r="CL161" i="1"/>
  <c r="CM161" i="1"/>
  <c r="CM150" i="1" s="1"/>
  <c r="DY161" i="1"/>
  <c r="EG161" i="1"/>
  <c r="EV161" i="1"/>
  <c r="EV150" i="1" s="1"/>
  <c r="FP161" i="1"/>
  <c r="FP150" i="1" s="1"/>
  <c r="FV161" i="1"/>
  <c r="GC161" i="1"/>
  <c r="GD161" i="1"/>
  <c r="GE161" i="1"/>
  <c r="GE150" i="1" s="1"/>
  <c r="D191" i="1"/>
  <c r="E193" i="1"/>
  <c r="Z193" i="1"/>
  <c r="AA193" i="1"/>
  <c r="AM193" i="1"/>
  <c r="AN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R193" i="1"/>
  <c r="DS193" i="1"/>
  <c r="EE193" i="1"/>
  <c r="EF193" i="1"/>
  <c r="EG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GT193" i="1"/>
  <c r="GU193" i="1"/>
  <c r="GV193" i="1"/>
  <c r="GW193" i="1"/>
  <c r="GX193" i="1"/>
  <c r="I195" i="1"/>
  <c r="K195" i="1"/>
  <c r="S195" i="1"/>
  <c r="U195" i="1"/>
  <c r="Y195" i="1"/>
  <c r="AC195" i="1"/>
  <c r="AE195" i="1"/>
  <c r="Q195" i="1" s="1"/>
  <c r="AF195" i="1"/>
  <c r="AG195" i="1"/>
  <c r="AH195" i="1"/>
  <c r="CV195" i="1" s="1"/>
  <c r="AI195" i="1"/>
  <c r="CW195" i="1" s="1"/>
  <c r="AJ195" i="1"/>
  <c r="CT195" i="1"/>
  <c r="CU195" i="1"/>
  <c r="T195" i="1" s="1"/>
  <c r="CX195" i="1"/>
  <c r="W195" i="1" s="1"/>
  <c r="CZ195" i="1"/>
  <c r="GL195" i="1"/>
  <c r="GN195" i="1"/>
  <c r="GP195" i="1"/>
  <c r="GV195" i="1"/>
  <c r="HC195" i="1" s="1"/>
  <c r="GX195" i="1" s="1"/>
  <c r="I196" i="1"/>
  <c r="K196" i="1"/>
  <c r="P196" i="1"/>
  <c r="Q196" i="1"/>
  <c r="R196" i="1"/>
  <c r="T196" i="1"/>
  <c r="W196" i="1"/>
  <c r="AC196" i="1"/>
  <c r="AD196" i="1"/>
  <c r="AB196" i="1" s="1"/>
  <c r="AE196" i="1"/>
  <c r="CR196" i="1" s="1"/>
  <c r="AF196" i="1"/>
  <c r="S196" i="1" s="1"/>
  <c r="Y196" i="1" s="1"/>
  <c r="AG196" i="1"/>
  <c r="AH196" i="1"/>
  <c r="AI196" i="1"/>
  <c r="CW196" i="1" s="1"/>
  <c r="V196" i="1" s="1"/>
  <c r="AJ196" i="1"/>
  <c r="CX196" i="1" s="1"/>
  <c r="CQ196" i="1"/>
  <c r="CS196" i="1"/>
  <c r="CU196" i="1"/>
  <c r="CV196" i="1"/>
  <c r="U196" i="1" s="1"/>
  <c r="GL196" i="1"/>
  <c r="GN196" i="1"/>
  <c r="GP196" i="1"/>
  <c r="GV196" i="1"/>
  <c r="HC196" i="1" s="1"/>
  <c r="GX196" i="1"/>
  <c r="AC197" i="1"/>
  <c r="AE197" i="1"/>
  <c r="AF197" i="1"/>
  <c r="AG197" i="1"/>
  <c r="CU197" i="1" s="1"/>
  <c r="AH197" i="1"/>
  <c r="CV197" i="1" s="1"/>
  <c r="AI197" i="1"/>
  <c r="CW197" i="1" s="1"/>
  <c r="AJ197" i="1"/>
  <c r="CQ197" i="1"/>
  <c r="CT197" i="1"/>
  <c r="CX197" i="1"/>
  <c r="GL197" i="1"/>
  <c r="GN197" i="1"/>
  <c r="GP197" i="1"/>
  <c r="GV197" i="1"/>
  <c r="HC197" i="1" s="1"/>
  <c r="I198" i="1"/>
  <c r="R198" i="1"/>
  <c r="U198" i="1"/>
  <c r="V198" i="1"/>
  <c r="AC198" i="1"/>
  <c r="P198" i="1" s="1"/>
  <c r="AD198" i="1"/>
  <c r="AE198" i="1"/>
  <c r="CS198" i="1" s="1"/>
  <c r="AF198" i="1"/>
  <c r="S198" i="1" s="1"/>
  <c r="CY198" i="1" s="1"/>
  <c r="AG198" i="1"/>
  <c r="AH198" i="1"/>
  <c r="CV198" i="1" s="1"/>
  <c r="AI198" i="1"/>
  <c r="CW198" i="1" s="1"/>
  <c r="AJ198" i="1"/>
  <c r="CX198" i="1" s="1"/>
  <c r="W198" i="1" s="1"/>
  <c r="CQ198" i="1"/>
  <c r="CR198" i="1"/>
  <c r="CU198" i="1"/>
  <c r="T198" i="1" s="1"/>
  <c r="GL198" i="1"/>
  <c r="FR210" i="1" s="1"/>
  <c r="GN198" i="1"/>
  <c r="GP198" i="1"/>
  <c r="GV198" i="1"/>
  <c r="HC198" i="1" s="1"/>
  <c r="GX198" i="1" s="1"/>
  <c r="I199" i="1"/>
  <c r="Q199" i="1" s="1"/>
  <c r="K199" i="1"/>
  <c r="P199" i="1"/>
  <c r="S199" i="1"/>
  <c r="Y199" i="1"/>
  <c r="AC199" i="1"/>
  <c r="CQ199" i="1" s="1"/>
  <c r="AD199" i="1"/>
  <c r="AB199" i="1" s="1"/>
  <c r="AE199" i="1"/>
  <c r="CS199" i="1" s="1"/>
  <c r="AF199" i="1"/>
  <c r="CT199" i="1" s="1"/>
  <c r="AG199" i="1"/>
  <c r="AH199" i="1"/>
  <c r="AI199" i="1"/>
  <c r="AJ199" i="1"/>
  <c r="CX199" i="1" s="1"/>
  <c r="W199" i="1" s="1"/>
  <c r="CU199" i="1"/>
  <c r="T199" i="1" s="1"/>
  <c r="CV199" i="1"/>
  <c r="U199" i="1" s="1"/>
  <c r="CW199" i="1"/>
  <c r="V199" i="1" s="1"/>
  <c r="GL199" i="1"/>
  <c r="GN199" i="1"/>
  <c r="GP199" i="1"/>
  <c r="GV199" i="1"/>
  <c r="HC199" i="1"/>
  <c r="GX199" i="1" s="1"/>
  <c r="I200" i="1"/>
  <c r="K200" i="1"/>
  <c r="AC200" i="1"/>
  <c r="AE200" i="1"/>
  <c r="AF200" i="1"/>
  <c r="AG200" i="1"/>
  <c r="CU200" i="1" s="1"/>
  <c r="T200" i="1" s="1"/>
  <c r="AH200" i="1"/>
  <c r="CV200" i="1" s="1"/>
  <c r="U200" i="1" s="1"/>
  <c r="AI200" i="1"/>
  <c r="AJ200" i="1"/>
  <c r="CX200" i="1" s="1"/>
  <c r="CW200" i="1"/>
  <c r="V200" i="1" s="1"/>
  <c r="GL200" i="1"/>
  <c r="GN200" i="1"/>
  <c r="GP200" i="1"/>
  <c r="GV200" i="1"/>
  <c r="HC200" i="1"/>
  <c r="I201" i="1"/>
  <c r="Q201" i="1" s="1"/>
  <c r="K201" i="1"/>
  <c r="R201" i="1"/>
  <c r="S201" i="1"/>
  <c r="T201" i="1"/>
  <c r="AC201" i="1"/>
  <c r="AD201" i="1"/>
  <c r="AE201" i="1"/>
  <c r="CS201" i="1" s="1"/>
  <c r="AF201" i="1"/>
  <c r="CT201" i="1" s="1"/>
  <c r="AG201" i="1"/>
  <c r="CU201" i="1" s="1"/>
  <c r="AH201" i="1"/>
  <c r="CV201" i="1" s="1"/>
  <c r="U201" i="1" s="1"/>
  <c r="AI201" i="1"/>
  <c r="CW201" i="1" s="1"/>
  <c r="V201" i="1" s="1"/>
  <c r="AJ201" i="1"/>
  <c r="CX201" i="1" s="1"/>
  <c r="W201" i="1" s="1"/>
  <c r="CQ201" i="1"/>
  <c r="CR201" i="1"/>
  <c r="GL201" i="1"/>
  <c r="GN201" i="1"/>
  <c r="GP201" i="1"/>
  <c r="GV201" i="1"/>
  <c r="HC201" i="1" s="1"/>
  <c r="GX201" i="1" s="1"/>
  <c r="I202" i="1"/>
  <c r="Q202" i="1" s="1"/>
  <c r="K202" i="1"/>
  <c r="AC202" i="1"/>
  <c r="AD202" i="1"/>
  <c r="AE202" i="1"/>
  <c r="CS202" i="1" s="1"/>
  <c r="AF202" i="1"/>
  <c r="AG202" i="1"/>
  <c r="AH202" i="1"/>
  <c r="AI202" i="1"/>
  <c r="CW202" i="1" s="1"/>
  <c r="AJ202" i="1"/>
  <c r="CR202" i="1"/>
  <c r="CT202" i="1"/>
  <c r="CU202" i="1"/>
  <c r="T202" i="1" s="1"/>
  <c r="CV202" i="1"/>
  <c r="U202" i="1" s="1"/>
  <c r="CX202" i="1"/>
  <c r="W202" i="1" s="1"/>
  <c r="GL202" i="1"/>
  <c r="GN202" i="1"/>
  <c r="GP202" i="1"/>
  <c r="GV202" i="1"/>
  <c r="GX202" i="1"/>
  <c r="HC202" i="1"/>
  <c r="P203" i="1"/>
  <c r="Q203" i="1"/>
  <c r="CP203" i="1" s="1"/>
  <c r="O203" i="1" s="1"/>
  <c r="S203" i="1"/>
  <c r="AC203" i="1"/>
  <c r="AE203" i="1"/>
  <c r="R203" i="1" s="1"/>
  <c r="AF203" i="1"/>
  <c r="CT203" i="1" s="1"/>
  <c r="AG203" i="1"/>
  <c r="CU203" i="1" s="1"/>
  <c r="T203" i="1" s="1"/>
  <c r="AH203" i="1"/>
  <c r="AI203" i="1"/>
  <c r="CW203" i="1" s="1"/>
  <c r="V203" i="1" s="1"/>
  <c r="AJ203" i="1"/>
  <c r="CX203" i="1" s="1"/>
  <c r="W203" i="1" s="1"/>
  <c r="CQ203" i="1"/>
  <c r="CV203" i="1"/>
  <c r="U203" i="1" s="1"/>
  <c r="GL203" i="1"/>
  <c r="GN203" i="1"/>
  <c r="GP203" i="1"/>
  <c r="GV203" i="1"/>
  <c r="GX203" i="1"/>
  <c r="HC203" i="1"/>
  <c r="P204" i="1"/>
  <c r="S204" i="1"/>
  <c r="V204" i="1"/>
  <c r="Y204" i="1"/>
  <c r="AB204" i="1"/>
  <c r="AC204" i="1"/>
  <c r="CQ204" i="1" s="1"/>
  <c r="AD204" i="1"/>
  <c r="AE204" i="1"/>
  <c r="CR204" i="1" s="1"/>
  <c r="AF204" i="1"/>
  <c r="CT204" i="1" s="1"/>
  <c r="AG204" i="1"/>
  <c r="AH204" i="1"/>
  <c r="AI204" i="1"/>
  <c r="CW204" i="1" s="1"/>
  <c r="AJ204" i="1"/>
  <c r="CX204" i="1" s="1"/>
  <c r="W204" i="1" s="1"/>
  <c r="CS204" i="1"/>
  <c r="CU204" i="1"/>
  <c r="T204" i="1" s="1"/>
  <c r="CV204" i="1"/>
  <c r="U204" i="1" s="1"/>
  <c r="CY204" i="1"/>
  <c r="GL204" i="1"/>
  <c r="GN204" i="1"/>
  <c r="GP204" i="1"/>
  <c r="GV204" i="1"/>
  <c r="GX204" i="1"/>
  <c r="HC204" i="1"/>
  <c r="P205" i="1"/>
  <c r="AC205" i="1"/>
  <c r="CQ205" i="1" s="1"/>
  <c r="AE205" i="1"/>
  <c r="AF205" i="1"/>
  <c r="AG205" i="1"/>
  <c r="CU205" i="1" s="1"/>
  <c r="T205" i="1" s="1"/>
  <c r="AH205" i="1"/>
  <c r="CV205" i="1" s="1"/>
  <c r="U205" i="1" s="1"/>
  <c r="AI205" i="1"/>
  <c r="AJ205" i="1"/>
  <c r="CW205" i="1"/>
  <c r="V205" i="1" s="1"/>
  <c r="CX205" i="1"/>
  <c r="W205" i="1" s="1"/>
  <c r="GL205" i="1"/>
  <c r="GO205" i="1"/>
  <c r="GP205" i="1"/>
  <c r="GV205" i="1"/>
  <c r="HC205" i="1"/>
  <c r="GX205" i="1" s="1"/>
  <c r="P206" i="1"/>
  <c r="Q206" i="1"/>
  <c r="CP206" i="1" s="1"/>
  <c r="O206" i="1" s="1"/>
  <c r="S206" i="1"/>
  <c r="AC206" i="1"/>
  <c r="CQ206" i="1" s="1"/>
  <c r="AE206" i="1"/>
  <c r="R206" i="1" s="1"/>
  <c r="AF206" i="1"/>
  <c r="AG206" i="1"/>
  <c r="CU206" i="1" s="1"/>
  <c r="T206" i="1" s="1"/>
  <c r="AH206" i="1"/>
  <c r="CV206" i="1" s="1"/>
  <c r="U206" i="1" s="1"/>
  <c r="AI206" i="1"/>
  <c r="CW206" i="1" s="1"/>
  <c r="V206" i="1" s="1"/>
  <c r="AJ206" i="1"/>
  <c r="CX206" i="1" s="1"/>
  <c r="W206" i="1" s="1"/>
  <c r="CT206" i="1"/>
  <c r="GL206" i="1"/>
  <c r="GO206" i="1"/>
  <c r="GP206" i="1"/>
  <c r="GV206" i="1"/>
  <c r="HC206" i="1" s="1"/>
  <c r="GX206" i="1" s="1"/>
  <c r="C207" i="1"/>
  <c r="D207" i="1"/>
  <c r="I207" i="1"/>
  <c r="K207" i="1"/>
  <c r="P207" i="1"/>
  <c r="R207" i="1"/>
  <c r="S207" i="1"/>
  <c r="CZ207" i="1" s="1"/>
  <c r="AC207" i="1"/>
  <c r="AB207" i="1" s="1"/>
  <c r="AD207" i="1"/>
  <c r="AE207" i="1"/>
  <c r="AF207" i="1"/>
  <c r="CT207" i="1" s="1"/>
  <c r="AG207" i="1"/>
  <c r="CU207" i="1" s="1"/>
  <c r="T207" i="1" s="1"/>
  <c r="AH207" i="1"/>
  <c r="CV207" i="1" s="1"/>
  <c r="U207" i="1" s="1"/>
  <c r="AI207" i="1"/>
  <c r="CW207" i="1" s="1"/>
  <c r="V207" i="1" s="1"/>
  <c r="AJ207" i="1"/>
  <c r="CX207" i="1" s="1"/>
  <c r="W207" i="1" s="1"/>
  <c r="CQ207" i="1"/>
  <c r="CR207" i="1"/>
  <c r="CS207" i="1"/>
  <c r="GL207" i="1"/>
  <c r="GN207" i="1"/>
  <c r="GP207" i="1"/>
  <c r="GV207" i="1"/>
  <c r="HC207" i="1" s="1"/>
  <c r="GX207" i="1" s="1"/>
  <c r="C208" i="1"/>
  <c r="D208" i="1"/>
  <c r="I208" i="1"/>
  <c r="CU9" i="3" s="1"/>
  <c r="K208" i="1"/>
  <c r="Q208" i="1"/>
  <c r="AC208" i="1"/>
  <c r="AE208" i="1"/>
  <c r="AF208" i="1"/>
  <c r="AG208" i="1"/>
  <c r="CU208" i="1" s="1"/>
  <c r="T208" i="1" s="1"/>
  <c r="AH208" i="1"/>
  <c r="AI208" i="1"/>
  <c r="AJ208" i="1"/>
  <c r="CV208" i="1"/>
  <c r="U208" i="1" s="1"/>
  <c r="CW208" i="1"/>
  <c r="V208" i="1" s="1"/>
  <c r="CX208" i="1"/>
  <c r="W208" i="1" s="1"/>
  <c r="GL208" i="1"/>
  <c r="GN208" i="1"/>
  <c r="GP208" i="1"/>
  <c r="GV208" i="1"/>
  <c r="HC208" i="1"/>
  <c r="GX208" i="1" s="1"/>
  <c r="B210" i="1"/>
  <c r="B193" i="1" s="1"/>
  <c r="C210" i="1"/>
  <c r="C193" i="1" s="1"/>
  <c r="D210" i="1"/>
  <c r="D193" i="1" s="1"/>
  <c r="F210" i="1"/>
  <c r="F193" i="1" s="1"/>
  <c r="G210" i="1"/>
  <c r="G193" i="1" s="1"/>
  <c r="AO210" i="1"/>
  <c r="AO193" i="1" s="1"/>
  <c r="AP210" i="1"/>
  <c r="BB210" i="1"/>
  <c r="BC210" i="1"/>
  <c r="BC193" i="1" s="1"/>
  <c r="BD210" i="1"/>
  <c r="BD193" i="1" s="1"/>
  <c r="BX210" i="1"/>
  <c r="BX193" i="1" s="1"/>
  <c r="BY210" i="1"/>
  <c r="BY193" i="1" s="1"/>
  <c r="CD210" i="1"/>
  <c r="CK210" i="1"/>
  <c r="CL210" i="1"/>
  <c r="CM210" i="1"/>
  <c r="EG210" i="1"/>
  <c r="EU210" i="1"/>
  <c r="EU193" i="1" s="1"/>
  <c r="FP210" i="1"/>
  <c r="FQ210" i="1"/>
  <c r="EH210" i="1" s="1"/>
  <c r="EH193" i="1" s="1"/>
  <c r="FV210" i="1"/>
  <c r="GC210" i="1"/>
  <c r="ET210" i="1" s="1"/>
  <c r="ET193" i="1" s="1"/>
  <c r="GD210" i="1"/>
  <c r="GD193" i="1" s="1"/>
  <c r="GE210" i="1"/>
  <c r="EV210" i="1" s="1"/>
  <c r="F214" i="1"/>
  <c r="P214" i="1"/>
  <c r="P219" i="1"/>
  <c r="F226" i="1"/>
  <c r="P226" i="1"/>
  <c r="B240" i="1"/>
  <c r="B22" i="1" s="1"/>
  <c r="C240" i="1"/>
  <c r="C22" i="1" s="1"/>
  <c r="D240" i="1"/>
  <c r="D22" i="1" s="1"/>
  <c r="F240" i="1"/>
  <c r="F22" i="1" s="1"/>
  <c r="G240" i="1"/>
  <c r="G22" i="1" s="1"/>
  <c r="B273" i="1"/>
  <c r="B18" i="1" s="1"/>
  <c r="C273" i="1"/>
  <c r="C18" i="1" s="1"/>
  <c r="D273" i="1"/>
  <c r="D18" i="1" s="1"/>
  <c r="F273" i="1"/>
  <c r="F18" i="1" s="1"/>
  <c r="G273" i="1"/>
  <c r="G18" i="1" s="1"/>
  <c r="F12" i="6"/>
  <c r="G12" i="6"/>
  <c r="J333" i="7" l="1"/>
  <c r="P205" i="7"/>
  <c r="O316" i="7"/>
  <c r="J46" i="7"/>
  <c r="H331" i="7"/>
  <c r="P48" i="7"/>
  <c r="P140" i="7"/>
  <c r="P263" i="7"/>
  <c r="O80" i="7"/>
  <c r="O89" i="7"/>
  <c r="P111" i="7"/>
  <c r="H190" i="7"/>
  <c r="H237" i="7"/>
  <c r="P333" i="7"/>
  <c r="P80" i="7"/>
  <c r="J89" i="7"/>
  <c r="P192" i="7"/>
  <c r="O221" i="7"/>
  <c r="J101" i="7"/>
  <c r="O173" i="7"/>
  <c r="H203" i="7"/>
  <c r="O101" i="7"/>
  <c r="J157" i="7"/>
  <c r="O299" i="7"/>
  <c r="J118" i="7"/>
  <c r="O130" i="7"/>
  <c r="H155" i="7"/>
  <c r="P299" i="7"/>
  <c r="J331" i="7"/>
  <c r="P89" i="7"/>
  <c r="P120" i="7"/>
  <c r="H109" i="7"/>
  <c r="P157" i="7"/>
  <c r="J58" i="7"/>
  <c r="H101" i="7"/>
  <c r="O157" i="7"/>
  <c r="J235" i="7"/>
  <c r="J314" i="7"/>
  <c r="O71" i="7"/>
  <c r="O192" i="7"/>
  <c r="H89" i="7"/>
  <c r="H87" i="7"/>
  <c r="O120" i="7"/>
  <c r="H276" i="7"/>
  <c r="O60" i="7"/>
  <c r="J71" i="7"/>
  <c r="J109" i="7"/>
  <c r="J171" i="7"/>
  <c r="J205" i="7"/>
  <c r="H263" i="7"/>
  <c r="J276" i="7"/>
  <c r="P276" i="7"/>
  <c r="J274" i="7"/>
  <c r="O48" i="7"/>
  <c r="P60" i="7"/>
  <c r="H138" i="7"/>
  <c r="J190" i="7"/>
  <c r="H221" i="7"/>
  <c r="P237" i="7"/>
  <c r="O263" i="7"/>
  <c r="J316" i="7"/>
  <c r="H58" i="7"/>
  <c r="P101" i="7"/>
  <c r="H118" i="7"/>
  <c r="P130" i="7"/>
  <c r="H173" i="7"/>
  <c r="J221" i="7"/>
  <c r="P221" i="7"/>
  <c r="J219" i="7"/>
  <c r="P71" i="7"/>
  <c r="J69" i="7"/>
  <c r="O140" i="7"/>
  <c r="H140" i="7"/>
  <c r="J173" i="7"/>
  <c r="O205" i="7"/>
  <c r="O276" i="7"/>
  <c r="O333" i="7"/>
  <c r="H111" i="7"/>
  <c r="J160" i="7"/>
  <c r="P173" i="7"/>
  <c r="J78" i="7"/>
  <c r="J138" i="7"/>
  <c r="J48" i="7"/>
  <c r="H60" i="7"/>
  <c r="J80" i="7"/>
  <c r="O111" i="7"/>
  <c r="J128" i="7"/>
  <c r="J140" i="7"/>
  <c r="H171" i="7"/>
  <c r="J179" i="7"/>
  <c r="J192" i="7"/>
  <c r="H205" i="7"/>
  <c r="H211" i="7"/>
  <c r="H219" i="7"/>
  <c r="J261" i="7"/>
  <c r="H274" i="7"/>
  <c r="J303" i="7"/>
  <c r="P316" i="7"/>
  <c r="J155" i="7"/>
  <c r="H160" i="7"/>
  <c r="J297" i="7"/>
  <c r="H314" i="7"/>
  <c r="H46" i="7"/>
  <c r="H78" i="7"/>
  <c r="J130" i="7"/>
  <c r="J263" i="7"/>
  <c r="H303" i="7"/>
  <c r="J99" i="7"/>
  <c r="H240" i="7"/>
  <c r="H246" i="7"/>
  <c r="J299" i="7"/>
  <c r="H316" i="7"/>
  <c r="H322" i="7"/>
  <c r="H48" i="7"/>
  <c r="J120" i="7"/>
  <c r="H128" i="7"/>
  <c r="H192" i="7"/>
  <c r="H261" i="7"/>
  <c r="H69" i="7"/>
  <c r="J237" i="7"/>
  <c r="H297" i="7"/>
  <c r="H130" i="7"/>
  <c r="J176" i="7"/>
  <c r="J203" i="7"/>
  <c r="J224" i="7"/>
  <c r="H333" i="7"/>
  <c r="H71" i="7"/>
  <c r="J87" i="7"/>
  <c r="H99" i="7"/>
  <c r="J111" i="7"/>
  <c r="H157" i="7"/>
  <c r="H235" i="7"/>
  <c r="J243" i="7"/>
  <c r="H299" i="7"/>
  <c r="O237" i="7"/>
  <c r="J60" i="7"/>
  <c r="H120" i="7"/>
  <c r="EB150" i="1"/>
  <c r="DO161" i="1"/>
  <c r="CT205" i="1"/>
  <c r="S205" i="1"/>
  <c r="CX1" i="3"/>
  <c r="CV1" i="3"/>
  <c r="Q205" i="1"/>
  <c r="CP205" i="1" s="1"/>
  <c r="O205" i="1" s="1"/>
  <c r="R205" i="1"/>
  <c r="CR205" i="1"/>
  <c r="CS205" i="1"/>
  <c r="AD205" i="1"/>
  <c r="AB205" i="1" s="1"/>
  <c r="AU210" i="1"/>
  <c r="CD193" i="1"/>
  <c r="BB150" i="1"/>
  <c r="F174" i="1"/>
  <c r="BB240" i="1"/>
  <c r="EH161" i="1"/>
  <c r="FQ150" i="1"/>
  <c r="CQ97" i="1"/>
  <c r="P97" i="1"/>
  <c r="AB97" i="1"/>
  <c r="EV193" i="1"/>
  <c r="P235" i="1"/>
  <c r="T197" i="1"/>
  <c r="AG210" i="1" s="1"/>
  <c r="F181" i="1"/>
  <c r="BA150" i="1"/>
  <c r="T150" i="1"/>
  <c r="F182" i="1"/>
  <c r="S200" i="1"/>
  <c r="CT200" i="1"/>
  <c r="CP199" i="1"/>
  <c r="O199" i="1" s="1"/>
  <c r="DX161" i="1"/>
  <c r="DY150" i="1"/>
  <c r="DL161" i="1"/>
  <c r="CQ202" i="1"/>
  <c r="P202" i="1"/>
  <c r="CR197" i="1"/>
  <c r="CS197" i="1"/>
  <c r="AD197" i="1"/>
  <c r="AB197" i="1" s="1"/>
  <c r="EM161" i="1"/>
  <c r="FV150" i="1"/>
  <c r="CG150" i="1"/>
  <c r="AX161" i="1"/>
  <c r="FR161" i="1"/>
  <c r="GA161" i="1" s="1"/>
  <c r="AD161" i="1"/>
  <c r="FV193" i="1"/>
  <c r="EM210" i="1"/>
  <c r="AB202" i="1"/>
  <c r="S157" i="1"/>
  <c r="CT157" i="1"/>
  <c r="AJ150" i="1"/>
  <c r="W161" i="1"/>
  <c r="AH161" i="1"/>
  <c r="AD200" i="1"/>
  <c r="CR200" i="1"/>
  <c r="CS200" i="1"/>
  <c r="BZ210" i="1"/>
  <c r="GE81" i="1"/>
  <c r="EV118" i="1"/>
  <c r="GA210" i="1"/>
  <c r="FR193" i="1"/>
  <c r="EI210" i="1"/>
  <c r="DY210" i="1"/>
  <c r="F223" i="1"/>
  <c r="BB193" i="1"/>
  <c r="S208" i="1"/>
  <c r="CT208" i="1"/>
  <c r="CZ206" i="1"/>
  <c r="X206" i="1"/>
  <c r="Y206" i="1"/>
  <c r="CY206" i="1"/>
  <c r="CY203" i="1"/>
  <c r="CZ203" i="1"/>
  <c r="X203" i="1"/>
  <c r="Y203" i="1"/>
  <c r="GM203" i="1" s="1"/>
  <c r="GO203" i="1" s="1"/>
  <c r="Q200" i="1"/>
  <c r="R200" i="1"/>
  <c r="DW210" i="1" s="1"/>
  <c r="W200" i="1"/>
  <c r="EB210" i="1" s="1"/>
  <c r="DZ210" i="1"/>
  <c r="AP193" i="1"/>
  <c r="F219" i="1"/>
  <c r="AD208" i="1"/>
  <c r="R208" i="1"/>
  <c r="CR208" i="1"/>
  <c r="CS208" i="1"/>
  <c r="EG150" i="1"/>
  <c r="P165" i="1"/>
  <c r="R154" i="1"/>
  <c r="AD154" i="1"/>
  <c r="Q154" i="1"/>
  <c r="CR154" i="1"/>
  <c r="CS154" i="1"/>
  <c r="Y154" i="1"/>
  <c r="CY154" i="1"/>
  <c r="X207" i="1"/>
  <c r="Y207" i="1"/>
  <c r="S158" i="1"/>
  <c r="CT158" i="1"/>
  <c r="X201" i="1"/>
  <c r="Y201" i="1"/>
  <c r="CY201" i="1"/>
  <c r="CZ201" i="1"/>
  <c r="CL150" i="1"/>
  <c r="BC161" i="1"/>
  <c r="P208" i="1"/>
  <c r="CP208" i="1" s="1"/>
  <c r="O208" i="1" s="1"/>
  <c r="CQ208" i="1"/>
  <c r="AB208" i="1"/>
  <c r="CY207" i="1"/>
  <c r="AG150" i="1"/>
  <c r="CP207" i="1"/>
  <c r="O207" i="1" s="1"/>
  <c r="P200" i="1"/>
  <c r="CR199" i="1"/>
  <c r="CP196" i="1"/>
  <c r="O196" i="1" s="1"/>
  <c r="X195" i="1"/>
  <c r="CY195" i="1"/>
  <c r="GE193" i="1"/>
  <c r="P158" i="1"/>
  <c r="AB158" i="1"/>
  <c r="CB150" i="1"/>
  <c r="AS161" i="1"/>
  <c r="X114" i="1"/>
  <c r="Y114" i="1"/>
  <c r="CY114" i="1"/>
  <c r="CZ114" i="1"/>
  <c r="CY97" i="1"/>
  <c r="X97" i="1"/>
  <c r="Y97" i="1"/>
  <c r="V202" i="1"/>
  <c r="EA210" i="1" s="1"/>
  <c r="AB200" i="1"/>
  <c r="CS195" i="1"/>
  <c r="GC193" i="1"/>
  <c r="AB154" i="1"/>
  <c r="R115" i="1"/>
  <c r="X115" i="1"/>
  <c r="Q115" i="1"/>
  <c r="CR115" i="1"/>
  <c r="Y115" i="1"/>
  <c r="CS115" i="1"/>
  <c r="CZ115" i="1"/>
  <c r="AD115" i="1"/>
  <c r="CY104" i="1"/>
  <c r="Y104" i="1"/>
  <c r="CZ104" i="1"/>
  <c r="X104" i="1"/>
  <c r="CZ199" i="1"/>
  <c r="X199" i="1"/>
  <c r="CD150" i="1"/>
  <c r="AU161" i="1"/>
  <c r="AI161" i="1"/>
  <c r="FY81" i="1"/>
  <c r="EP118" i="1"/>
  <c r="EA81" i="1"/>
  <c r="DN118" i="1"/>
  <c r="P223" i="1"/>
  <c r="CU7" i="3"/>
  <c r="CX8" i="3"/>
  <c r="CV7" i="3"/>
  <c r="CX7" i="3"/>
  <c r="Q207" i="1"/>
  <c r="AD206" i="1"/>
  <c r="AB206" i="1" s="1"/>
  <c r="AD203" i="1"/>
  <c r="AB203" i="1" s="1"/>
  <c r="S202" i="1"/>
  <c r="GX200" i="1"/>
  <c r="GB210" i="1" s="1"/>
  <c r="R199" i="1"/>
  <c r="CZ198" i="1"/>
  <c r="CZ196" i="1"/>
  <c r="BZ150" i="1"/>
  <c r="AQ161" i="1"/>
  <c r="CP159" i="1"/>
  <c r="O159" i="1" s="1"/>
  <c r="GM159" i="1" s="1"/>
  <c r="DU161" i="1"/>
  <c r="F235" i="1"/>
  <c r="X204" i="1"/>
  <c r="AB201" i="1"/>
  <c r="P201" i="1"/>
  <c r="CP201" i="1" s="1"/>
  <c r="O201" i="1" s="1"/>
  <c r="GM201" i="1" s="1"/>
  <c r="GO201" i="1" s="1"/>
  <c r="CQ200" i="1"/>
  <c r="CY196" i="1"/>
  <c r="R195" i="1"/>
  <c r="I197" i="1"/>
  <c r="W197" i="1" s="1"/>
  <c r="AJ210" i="1" s="1"/>
  <c r="V195" i="1"/>
  <c r="CP157" i="1"/>
  <c r="O157" i="1" s="1"/>
  <c r="CQ109" i="1"/>
  <c r="AB109" i="1"/>
  <c r="P109" i="1"/>
  <c r="FP193" i="1"/>
  <c r="FY210" i="1"/>
  <c r="CS203" i="1"/>
  <c r="AB198" i="1"/>
  <c r="CP154" i="1"/>
  <c r="O154" i="1" s="1"/>
  <c r="GM154" i="1" s="1"/>
  <c r="FR154" i="1"/>
  <c r="EA161" i="1"/>
  <c r="CS206" i="1"/>
  <c r="CZ204" i="1"/>
  <c r="CR203" i="1"/>
  <c r="CT198" i="1"/>
  <c r="Y198" i="1"/>
  <c r="P186" i="1"/>
  <c r="GD150" i="1"/>
  <c r="EU161" i="1"/>
  <c r="BD150" i="1"/>
  <c r="F186" i="1"/>
  <c r="DW161" i="1"/>
  <c r="GB161" i="1"/>
  <c r="DZ161" i="1"/>
  <c r="CQ110" i="1"/>
  <c r="AB110" i="1"/>
  <c r="P110" i="1"/>
  <c r="CR206" i="1"/>
  <c r="Q204" i="1"/>
  <c r="CP204" i="1" s="1"/>
  <c r="O204" i="1" s="1"/>
  <c r="GM204" i="1" s="1"/>
  <c r="GO204" i="1" s="1"/>
  <c r="R204" i="1"/>
  <c r="CY199" i="1"/>
  <c r="X198" i="1"/>
  <c r="CT196" i="1"/>
  <c r="X196" i="1"/>
  <c r="AD195" i="1"/>
  <c r="AB195" i="1" s="1"/>
  <c r="CR195" i="1"/>
  <c r="FQ193" i="1"/>
  <c r="GC150" i="1"/>
  <c r="ET161" i="1"/>
  <c r="CY113" i="1"/>
  <c r="Y113" i="1"/>
  <c r="X113" i="1"/>
  <c r="CZ113" i="1"/>
  <c r="R202" i="1"/>
  <c r="CQ195" i="1"/>
  <c r="P195" i="1"/>
  <c r="CT156" i="1"/>
  <c r="S156" i="1"/>
  <c r="FT161" i="1"/>
  <c r="CY153" i="1"/>
  <c r="X153" i="1"/>
  <c r="Y153" i="1"/>
  <c r="AD157" i="1"/>
  <c r="AB157" i="1" s="1"/>
  <c r="CY152" i="1"/>
  <c r="CZ152" i="1"/>
  <c r="Y152" i="1"/>
  <c r="CQ115" i="1"/>
  <c r="P115" i="1"/>
  <c r="AB115" i="1"/>
  <c r="FR103" i="1"/>
  <c r="CP103" i="1"/>
  <c r="O103" i="1" s="1"/>
  <c r="GM103" i="1" s="1"/>
  <c r="CZ154" i="1"/>
  <c r="X154" i="1"/>
  <c r="R152" i="1"/>
  <c r="AE161" i="1" s="1"/>
  <c r="CR152" i="1"/>
  <c r="CS152" i="1"/>
  <c r="CS99" i="1"/>
  <c r="AD99" i="1"/>
  <c r="AB99" i="1" s="1"/>
  <c r="R99" i="1"/>
  <c r="CZ99" i="1"/>
  <c r="Q99" i="1"/>
  <c r="CR99" i="1"/>
  <c r="X99" i="1"/>
  <c r="Q198" i="1"/>
  <c r="CP198" i="1" s="1"/>
  <c r="O198" i="1" s="1"/>
  <c r="GM198" i="1" s="1"/>
  <c r="GO198" i="1" s="1"/>
  <c r="AB155" i="1"/>
  <c r="AB153" i="1"/>
  <c r="AD152" i="1"/>
  <c r="P99" i="1"/>
  <c r="CP99" i="1" s="1"/>
  <c r="O99" i="1" s="1"/>
  <c r="GM99" i="1" s="1"/>
  <c r="GO99" i="1" s="1"/>
  <c r="CQ99" i="1"/>
  <c r="AB152" i="1"/>
  <c r="FR81" i="1"/>
  <c r="EI118" i="1"/>
  <c r="AJ118" i="1"/>
  <c r="EB118" i="1"/>
  <c r="FV118" i="1"/>
  <c r="CZ111" i="1"/>
  <c r="Y111" i="1"/>
  <c r="R108" i="1"/>
  <c r="Q108" i="1"/>
  <c r="CR108" i="1"/>
  <c r="CS108" i="1"/>
  <c r="CY101" i="1"/>
  <c r="X101" i="1"/>
  <c r="Y101" i="1"/>
  <c r="CZ101" i="1"/>
  <c r="AO161" i="1"/>
  <c r="CR156" i="1"/>
  <c r="AD156" i="1"/>
  <c r="AB156" i="1" s="1"/>
  <c r="CQ155" i="1"/>
  <c r="CP153" i="1"/>
  <c r="O153" i="1" s="1"/>
  <c r="CY111" i="1"/>
  <c r="AD108" i="1"/>
  <c r="AB108" i="1" s="1"/>
  <c r="Y106" i="1"/>
  <c r="X106" i="1"/>
  <c r="CY106" i="1"/>
  <c r="CZ106" i="1"/>
  <c r="CP106" i="1"/>
  <c r="O106" i="1" s="1"/>
  <c r="X112" i="1"/>
  <c r="CZ112" i="1"/>
  <c r="P108" i="1"/>
  <c r="CQ108" i="1"/>
  <c r="GM102" i="1"/>
  <c r="CT95" i="1"/>
  <c r="S95" i="1"/>
  <c r="CQ152" i="1"/>
  <c r="P152" i="1"/>
  <c r="Y108" i="1"/>
  <c r="R159" i="1"/>
  <c r="CY116" i="1"/>
  <c r="CP112" i="1"/>
  <c r="O112" i="1" s="1"/>
  <c r="GM112" i="1" s="1"/>
  <c r="Q111" i="1"/>
  <c r="T110" i="1"/>
  <c r="DY118" i="1" s="1"/>
  <c r="CT109" i="1"/>
  <c r="CR102" i="1"/>
  <c r="AB98" i="1"/>
  <c r="GX96" i="1"/>
  <c r="CT94" i="1"/>
  <c r="BZ118" i="1"/>
  <c r="CY102" i="1"/>
  <c r="CZ102" i="1"/>
  <c r="Y102" i="1"/>
  <c r="AB95" i="1"/>
  <c r="Q110" i="1"/>
  <c r="R110" i="1"/>
  <c r="CY108" i="1"/>
  <c r="CZ108" i="1"/>
  <c r="X108" i="1"/>
  <c r="P90" i="1"/>
  <c r="AB90" i="1"/>
  <c r="CQ90" i="1"/>
  <c r="P40" i="1"/>
  <c r="CQ40" i="1"/>
  <c r="Q155" i="1"/>
  <c r="AO81" i="1"/>
  <c r="F122" i="1"/>
  <c r="CS114" i="1"/>
  <c r="AD114" i="1"/>
  <c r="AB114" i="1" s="1"/>
  <c r="Q109" i="1"/>
  <c r="R109" i="1"/>
  <c r="AD105" i="1"/>
  <c r="AB105" i="1" s="1"/>
  <c r="R105" i="1"/>
  <c r="CS105" i="1"/>
  <c r="CR104" i="1"/>
  <c r="Q104" i="1"/>
  <c r="R104" i="1"/>
  <c r="CS104" i="1"/>
  <c r="Y100" i="1"/>
  <c r="X100" i="1"/>
  <c r="CY100" i="1"/>
  <c r="CZ100" i="1"/>
  <c r="S96" i="1"/>
  <c r="CY115" i="1"/>
  <c r="CQ114" i="1"/>
  <c r="P114" i="1"/>
  <c r="CP105" i="1"/>
  <c r="O105" i="1" s="1"/>
  <c r="GM105" i="1" s="1"/>
  <c r="GO105" i="1" s="1"/>
  <c r="CQ103" i="1"/>
  <c r="AB103" i="1"/>
  <c r="Q96" i="1"/>
  <c r="Q95" i="1"/>
  <c r="AD118" i="1" s="1"/>
  <c r="P95" i="1"/>
  <c r="R95" i="1"/>
  <c r="U95" i="1"/>
  <c r="AH118" i="1" s="1"/>
  <c r="GX95" i="1"/>
  <c r="CJ118" i="1" s="1"/>
  <c r="CS44" i="1"/>
  <c r="CR44" i="1"/>
  <c r="AD44" i="1"/>
  <c r="CS116" i="1"/>
  <c r="AD116" i="1"/>
  <c r="R116" i="1"/>
  <c r="GM107" i="1"/>
  <c r="P104" i="1"/>
  <c r="CQ104" i="1"/>
  <c r="GB118" i="1"/>
  <c r="AI118" i="1"/>
  <c r="GD81" i="1"/>
  <c r="EU118" i="1"/>
  <c r="ET118" i="1"/>
  <c r="BC81" i="1"/>
  <c r="F134" i="1"/>
  <c r="AB116" i="1"/>
  <c r="FR112" i="1"/>
  <c r="S110" i="1"/>
  <c r="CT110" i="1"/>
  <c r="AB104" i="1"/>
  <c r="CR101" i="1"/>
  <c r="Q101" i="1"/>
  <c r="R101" i="1"/>
  <c r="CS101" i="1"/>
  <c r="Y116" i="1"/>
  <c r="CQ113" i="1"/>
  <c r="P113" i="1"/>
  <c r="AD111" i="1"/>
  <c r="AB111" i="1" s="1"/>
  <c r="CS111" i="1"/>
  <c r="CR110" i="1"/>
  <c r="CS110" i="1"/>
  <c r="X109" i="1"/>
  <c r="CZ109" i="1"/>
  <c r="CZ105" i="1"/>
  <c r="Y105" i="1"/>
  <c r="CZ94" i="1"/>
  <c r="X94" i="1"/>
  <c r="CY94" i="1"/>
  <c r="AB85" i="1"/>
  <c r="P85" i="1"/>
  <c r="CQ85" i="1"/>
  <c r="CP111" i="1"/>
  <c r="O111" i="1" s="1"/>
  <c r="GM111" i="1" s="1"/>
  <c r="AD102" i="1"/>
  <c r="R102" i="1"/>
  <c r="CS102" i="1"/>
  <c r="CQ101" i="1"/>
  <c r="P101" i="1"/>
  <c r="AB101" i="1"/>
  <c r="CD118" i="1"/>
  <c r="X93" i="1"/>
  <c r="GM93" i="1" s="1"/>
  <c r="GO93" i="1" s="1"/>
  <c r="Y93" i="1"/>
  <c r="CY93" i="1"/>
  <c r="FR92" i="1"/>
  <c r="CP92" i="1"/>
  <c r="O92" i="1" s="1"/>
  <c r="GM92" i="1" s="1"/>
  <c r="CP88" i="1"/>
  <c r="O88" i="1" s="1"/>
  <c r="CY98" i="1"/>
  <c r="CR92" i="1"/>
  <c r="AU49" i="1"/>
  <c r="CD26" i="1"/>
  <c r="CV9" i="3"/>
  <c r="CR100" i="1"/>
  <c r="AD100" i="1"/>
  <c r="AB100" i="1" s="1"/>
  <c r="CR96" i="1"/>
  <c r="AD96" i="1"/>
  <c r="AB96" i="1" s="1"/>
  <c r="CP94" i="1"/>
  <c r="O94" i="1" s="1"/>
  <c r="R93" i="1"/>
  <c r="CS93" i="1"/>
  <c r="Y85" i="1"/>
  <c r="CY85" i="1"/>
  <c r="CZ85" i="1"/>
  <c r="X85" i="1"/>
  <c r="S83" i="1"/>
  <c r="CT83" i="1"/>
  <c r="GA49" i="1"/>
  <c r="DG4" i="3"/>
  <c r="DF4" i="3"/>
  <c r="DJ4" i="3" s="1"/>
  <c r="DH4" i="3"/>
  <c r="DI4" i="3"/>
  <c r="AD113" i="1"/>
  <c r="AB113" i="1" s="1"/>
  <c r="AB112" i="1"/>
  <c r="CZ107" i="1"/>
  <c r="CR106" i="1"/>
  <c r="R106" i="1"/>
  <c r="CP100" i="1"/>
  <c r="O100" i="1" s="1"/>
  <c r="GM100" i="1" s="1"/>
  <c r="GO100" i="1" s="1"/>
  <c r="CS97" i="1"/>
  <c r="P96" i="1"/>
  <c r="CP96" i="1" s="1"/>
  <c r="O96" i="1" s="1"/>
  <c r="AD93" i="1"/>
  <c r="AB93" i="1" s="1"/>
  <c r="CT91" i="1"/>
  <c r="ES49" i="1"/>
  <c r="GB26" i="1"/>
  <c r="CP34" i="1"/>
  <c r="O34" i="1" s="1"/>
  <c r="CZ42" i="1"/>
  <c r="CP42" i="1"/>
  <c r="O42" i="1" s="1"/>
  <c r="GM42" i="1" s="1"/>
  <c r="GO42" i="1" s="1"/>
  <c r="X42" i="1"/>
  <c r="Y42" i="1"/>
  <c r="EG118" i="1"/>
  <c r="P116" i="1"/>
  <c r="CQ111" i="1"/>
  <c r="CQ105" i="1"/>
  <c r="CY103" i="1"/>
  <c r="CT98" i="1"/>
  <c r="R97" i="1"/>
  <c r="EU26" i="1"/>
  <c r="P65" i="1"/>
  <c r="CQ37" i="1"/>
  <c r="AB37" i="1"/>
  <c r="P37" i="1"/>
  <c r="EM49" i="1"/>
  <c r="FV26" i="1"/>
  <c r="CS113" i="1"/>
  <c r="AB102" i="1"/>
  <c r="Q97" i="1"/>
  <c r="CR93" i="1"/>
  <c r="ET26" i="1"/>
  <c r="P62" i="1"/>
  <c r="CY42" i="1"/>
  <c r="CS100" i="1"/>
  <c r="Y98" i="1"/>
  <c r="GM98" i="1" s="1"/>
  <c r="GN98" i="1" s="1"/>
  <c r="FT118" i="1" s="1"/>
  <c r="CS96" i="1"/>
  <c r="CP83" i="1"/>
  <c r="O83" i="1" s="1"/>
  <c r="CY90" i="1"/>
  <c r="X90" i="1"/>
  <c r="CZ90" i="1"/>
  <c r="AD87" i="1"/>
  <c r="AB87" i="1" s="1"/>
  <c r="R87" i="1"/>
  <c r="X87" i="1"/>
  <c r="CS87" i="1"/>
  <c r="CS92" i="1"/>
  <c r="AD92" i="1"/>
  <c r="Q92" i="1"/>
  <c r="R92" i="1"/>
  <c r="S86" i="1"/>
  <c r="CT86" i="1"/>
  <c r="AB92" i="1"/>
  <c r="X91" i="1"/>
  <c r="CY91" i="1"/>
  <c r="CZ91" i="1"/>
  <c r="CY89" i="1"/>
  <c r="X89" i="1"/>
  <c r="GM89" i="1" s="1"/>
  <c r="T87" i="1"/>
  <c r="AG118" i="1" s="1"/>
  <c r="W45" i="1"/>
  <c r="CQ45" i="1"/>
  <c r="P45" i="1"/>
  <c r="AB45" i="1"/>
  <c r="CR43" i="1"/>
  <c r="CS43" i="1"/>
  <c r="CZ43" i="1"/>
  <c r="Q43" i="1"/>
  <c r="R43" i="1"/>
  <c r="GM35" i="1"/>
  <c r="GO35" i="1" s="1"/>
  <c r="U88" i="1"/>
  <c r="DZ118" i="1" s="1"/>
  <c r="CZ87" i="1"/>
  <c r="AB86" i="1"/>
  <c r="P86" i="1"/>
  <c r="AB83" i="1"/>
  <c r="CM26" i="1"/>
  <c r="BD49" i="1"/>
  <c r="CQ44" i="1"/>
  <c r="P44" i="1"/>
  <c r="AB44" i="1"/>
  <c r="X33" i="1"/>
  <c r="Y33" i="1"/>
  <c r="CY33" i="1"/>
  <c r="CZ33" i="1"/>
  <c r="CT32" i="1"/>
  <c r="S32" i="1"/>
  <c r="AJ26" i="1"/>
  <c r="W49" i="1"/>
  <c r="AB43" i="1"/>
  <c r="P43" i="1"/>
  <c r="CP43" i="1" s="1"/>
  <c r="O43" i="1" s="1"/>
  <c r="AH49" i="1"/>
  <c r="DF2" i="3"/>
  <c r="DJ2" i="3" s="1"/>
  <c r="DG2" i="3"/>
  <c r="DH2" i="3"/>
  <c r="DI2" i="3"/>
  <c r="S88" i="1"/>
  <c r="P87" i="1"/>
  <c r="CP87" i="1" s="1"/>
  <c r="O87" i="1" s="1"/>
  <c r="GM87" i="1" s="1"/>
  <c r="GO87" i="1" s="1"/>
  <c r="T44" i="1"/>
  <c r="CP28" i="1"/>
  <c r="O28" i="1" s="1"/>
  <c r="CT47" i="1"/>
  <c r="S47" i="1"/>
  <c r="Q45" i="1"/>
  <c r="CX3" i="3"/>
  <c r="R45" i="1"/>
  <c r="S45" i="1"/>
  <c r="FR49" i="1"/>
  <c r="X30" i="1"/>
  <c r="Y30" i="1"/>
  <c r="CY30" i="1"/>
  <c r="CZ30" i="1"/>
  <c r="CV5" i="3"/>
  <c r="CX5" i="3"/>
  <c r="CQ91" i="1"/>
  <c r="P91" i="1"/>
  <c r="CS90" i="1"/>
  <c r="CR85" i="1"/>
  <c r="CS85" i="1"/>
  <c r="R85" i="1"/>
  <c r="R47" i="1"/>
  <c r="CR47" i="1"/>
  <c r="AD47" i="1"/>
  <c r="AB47" i="1" s="1"/>
  <c r="R44" i="1"/>
  <c r="CU1" i="3"/>
  <c r="Q44" i="1"/>
  <c r="CY34" i="1"/>
  <c r="CZ34" i="1"/>
  <c r="X34" i="1"/>
  <c r="Y34" i="1"/>
  <c r="EA49" i="1"/>
  <c r="Q88" i="1"/>
  <c r="R88" i="1"/>
  <c r="DW118" i="1" s="1"/>
  <c r="CZ84" i="1"/>
  <c r="X84" i="1"/>
  <c r="S46" i="1"/>
  <c r="CT46" i="1"/>
  <c r="CQ43" i="1"/>
  <c r="CS36" i="1"/>
  <c r="Q36" i="1"/>
  <c r="AD49" i="1" s="1"/>
  <c r="R36" i="1"/>
  <c r="CR36" i="1"/>
  <c r="CV3" i="3"/>
  <c r="EH49" i="1"/>
  <c r="FQ26" i="1"/>
  <c r="S37" i="1"/>
  <c r="CT37" i="1"/>
  <c r="AI49" i="1"/>
  <c r="CU3" i="3"/>
  <c r="CY87" i="1"/>
  <c r="CY84" i="1"/>
  <c r="AO49" i="1"/>
  <c r="CG49" i="1"/>
  <c r="BX26" i="1"/>
  <c r="X38" i="1"/>
  <c r="Y38" i="1"/>
  <c r="CY38" i="1"/>
  <c r="P84" i="1"/>
  <c r="CQ84" i="1"/>
  <c r="F65" i="1"/>
  <c r="BC26" i="1"/>
  <c r="AB42" i="1"/>
  <c r="CT42" i="1"/>
  <c r="AD40" i="1"/>
  <c r="AB40" i="1" s="1"/>
  <c r="Q40" i="1"/>
  <c r="R40" i="1"/>
  <c r="CS40" i="1"/>
  <c r="CJ49" i="1"/>
  <c r="CU5" i="3"/>
  <c r="Q46" i="1"/>
  <c r="CP46" i="1" s="1"/>
  <c r="O46" i="1" s="1"/>
  <c r="CZ41" i="1"/>
  <c r="Y41" i="1"/>
  <c r="GM41" i="1" s="1"/>
  <c r="GO41" i="1" s="1"/>
  <c r="CY41" i="1"/>
  <c r="Y40" i="1"/>
  <c r="R39" i="1"/>
  <c r="Q38" i="1"/>
  <c r="Y36" i="1"/>
  <c r="CS32" i="1"/>
  <c r="AD32" i="1"/>
  <c r="AB32" i="1" s="1"/>
  <c r="W31" i="1"/>
  <c r="X29" i="1"/>
  <c r="CT43" i="1"/>
  <c r="X40" i="1"/>
  <c r="Q39" i="1"/>
  <c r="CP39" i="1" s="1"/>
  <c r="O39" i="1" s="1"/>
  <c r="P38" i="1"/>
  <c r="CP38" i="1" s="1"/>
  <c r="O38" i="1" s="1"/>
  <c r="GM38" i="1" s="1"/>
  <c r="GO38" i="1" s="1"/>
  <c r="BZ49" i="1"/>
  <c r="X28" i="1"/>
  <c r="CY28" i="1"/>
  <c r="CX10" i="3"/>
  <c r="P30" i="1"/>
  <c r="CQ30" i="1"/>
  <c r="CX9" i="3"/>
  <c r="Y39" i="1"/>
  <c r="AB34" i="1"/>
  <c r="CP33" i="1"/>
  <c r="O33" i="1" s="1"/>
  <c r="AB30" i="1"/>
  <c r="DY49" i="1"/>
  <c r="AD28" i="1"/>
  <c r="CR39" i="1"/>
  <c r="CS39" i="1"/>
  <c r="AG49" i="1"/>
  <c r="AD39" i="1"/>
  <c r="AB39" i="1" s="1"/>
  <c r="CY36" i="1"/>
  <c r="Q31" i="1"/>
  <c r="CP31" i="1" s="1"/>
  <c r="O31" i="1" s="1"/>
  <c r="R31" i="1"/>
  <c r="S31" i="1"/>
  <c r="DZ49" i="1"/>
  <c r="AB28" i="1"/>
  <c r="FP26" i="1"/>
  <c r="CS30" i="1"/>
  <c r="CS28" i="1"/>
  <c r="Y28" i="1"/>
  <c r="CZ40" i="1"/>
  <c r="X39" i="1"/>
  <c r="CR30" i="1"/>
  <c r="CR28" i="1"/>
  <c r="BY26" i="1"/>
  <c r="P74" i="1"/>
  <c r="EV26" i="1"/>
  <c r="S44" i="1"/>
  <c r="AF49" i="1" s="1"/>
  <c r="Y43" i="1"/>
  <c r="CZ36" i="1"/>
  <c r="R34" i="1"/>
  <c r="R32" i="1"/>
  <c r="AE49" i="1" s="1"/>
  <c r="CY29" i="1"/>
  <c r="DG6" i="3"/>
  <c r="DH6" i="3"/>
  <c r="DI6" i="3"/>
  <c r="DJ6" i="3" s="1"/>
  <c r="Q29" i="1"/>
  <c r="R35" i="1"/>
  <c r="J282" i="7" l="1"/>
  <c r="J249" i="7"/>
  <c r="J336" i="7"/>
  <c r="J143" i="7"/>
  <c r="J340" i="7"/>
  <c r="H336" i="7"/>
  <c r="J347" i="7"/>
  <c r="H143" i="7"/>
  <c r="H340" i="7"/>
  <c r="H347" i="7"/>
  <c r="H282" i="7"/>
  <c r="H249" i="7"/>
  <c r="AJ193" i="1"/>
  <c r="W210" i="1"/>
  <c r="DW81" i="1"/>
  <c r="DJ118" i="1"/>
  <c r="EA193" i="1"/>
  <c r="DN210" i="1"/>
  <c r="GA150" i="1"/>
  <c r="ER161" i="1"/>
  <c r="AD26" i="1"/>
  <c r="Q49" i="1"/>
  <c r="GB193" i="1"/>
  <c r="ES210" i="1"/>
  <c r="T210" i="1"/>
  <c r="AG193" i="1"/>
  <c r="AE26" i="1"/>
  <c r="R49" i="1"/>
  <c r="DW193" i="1"/>
  <c r="DJ210" i="1"/>
  <c r="CJ81" i="1"/>
  <c r="BA118" i="1"/>
  <c r="S49" i="1"/>
  <c r="AF26" i="1"/>
  <c r="AH81" i="1"/>
  <c r="U118" i="1"/>
  <c r="DY81" i="1"/>
  <c r="DL118" i="1"/>
  <c r="AC161" i="1"/>
  <c r="CP152" i="1"/>
  <c r="O152" i="1" s="1"/>
  <c r="GM39" i="1"/>
  <c r="GO39" i="1" s="1"/>
  <c r="AI26" i="1"/>
  <c r="V49" i="1"/>
  <c r="Y46" i="1"/>
  <c r="CY46" i="1"/>
  <c r="CZ46" i="1"/>
  <c r="X46" i="1"/>
  <c r="F73" i="1"/>
  <c r="W26" i="1"/>
  <c r="GM94" i="1"/>
  <c r="GO94" i="1" s="1"/>
  <c r="AI81" i="1"/>
  <c r="V118" i="1"/>
  <c r="CP90" i="1"/>
  <c r="O90" i="1" s="1"/>
  <c r="GM90" i="1" s="1"/>
  <c r="FR90" i="1"/>
  <c r="FT150" i="1"/>
  <c r="EK161" i="1"/>
  <c r="AQ150" i="1"/>
  <c r="F171" i="1"/>
  <c r="DI8" i="3"/>
  <c r="DF8" i="3"/>
  <c r="DJ8" i="3" s="1"/>
  <c r="DG8" i="3"/>
  <c r="DH8" i="3"/>
  <c r="EB193" i="1"/>
  <c r="DO210" i="1"/>
  <c r="V197" i="1"/>
  <c r="BZ81" i="1"/>
  <c r="AQ118" i="1"/>
  <c r="CG118" i="1"/>
  <c r="EI81" i="1"/>
  <c r="P128" i="1"/>
  <c r="EM193" i="1"/>
  <c r="P229" i="1"/>
  <c r="DZ26" i="1"/>
  <c r="DM49" i="1"/>
  <c r="GM33" i="1"/>
  <c r="GO33" i="1" s="1"/>
  <c r="DV49" i="1"/>
  <c r="CP29" i="1"/>
  <c r="O29" i="1" s="1"/>
  <c r="Y31" i="1"/>
  <c r="CY31" i="1"/>
  <c r="CZ31" i="1"/>
  <c r="DX49" i="1"/>
  <c r="X31" i="1"/>
  <c r="GM28" i="1"/>
  <c r="CP45" i="1"/>
  <c r="O45" i="1" s="1"/>
  <c r="GB81" i="1"/>
  <c r="ES118" i="1"/>
  <c r="Y96" i="1"/>
  <c r="X96" i="1"/>
  <c r="GM96" i="1" s="1"/>
  <c r="GO96" i="1" s="1"/>
  <c r="CY96" i="1"/>
  <c r="CZ96" i="1"/>
  <c r="CY95" i="1"/>
  <c r="X95" i="1"/>
  <c r="Y95" i="1"/>
  <c r="CZ95" i="1"/>
  <c r="FR115" i="1"/>
  <c r="CP115" i="1"/>
  <c r="O115" i="1" s="1"/>
  <c r="GM115" i="1" s="1"/>
  <c r="Y156" i="1"/>
  <c r="AL161" i="1" s="1"/>
  <c r="CY156" i="1"/>
  <c r="X156" i="1"/>
  <c r="AK161" i="1" s="1"/>
  <c r="CZ156" i="1"/>
  <c r="DM161" i="1"/>
  <c r="DZ150" i="1"/>
  <c r="AI210" i="1"/>
  <c r="AS150" i="1"/>
  <c r="F178" i="1"/>
  <c r="CZ158" i="1"/>
  <c r="X158" i="1"/>
  <c r="Y158" i="1"/>
  <c r="CY158" i="1"/>
  <c r="CY208" i="1"/>
  <c r="CZ208" i="1"/>
  <c r="X208" i="1"/>
  <c r="GM208" i="1" s="1"/>
  <c r="GO208" i="1" s="1"/>
  <c r="Y208" i="1"/>
  <c r="BZ193" i="1"/>
  <c r="AQ210" i="1"/>
  <c r="CG210" i="1"/>
  <c r="CI210" i="1"/>
  <c r="AD150" i="1"/>
  <c r="Q161" i="1"/>
  <c r="DL150" i="1"/>
  <c r="P182" i="1"/>
  <c r="BB22" i="1"/>
  <c r="BB273" i="1"/>
  <c r="F253" i="1"/>
  <c r="DF5" i="3"/>
  <c r="DG5" i="3"/>
  <c r="DH5" i="3"/>
  <c r="DI5" i="3"/>
  <c r="DJ5" i="3" s="1"/>
  <c r="ES26" i="1"/>
  <c r="P69" i="1"/>
  <c r="GM88" i="1"/>
  <c r="GO88" i="1" s="1"/>
  <c r="GM207" i="1"/>
  <c r="GO207" i="1" s="1"/>
  <c r="EH150" i="1"/>
  <c r="P170" i="1"/>
  <c r="DW49" i="1"/>
  <c r="GM46" i="1"/>
  <c r="GN46" i="1" s="1"/>
  <c r="CP84" i="1"/>
  <c r="O84" i="1" s="1"/>
  <c r="DU118" i="1"/>
  <c r="X37" i="1"/>
  <c r="Y37" i="1"/>
  <c r="CY37" i="1"/>
  <c r="CZ37" i="1"/>
  <c r="CY32" i="1"/>
  <c r="X32" i="1"/>
  <c r="AK49" i="1" s="1"/>
  <c r="Y32" i="1"/>
  <c r="CZ32" i="1"/>
  <c r="FR86" i="1"/>
  <c r="FQ118" i="1" s="1"/>
  <c r="CP86" i="1"/>
  <c r="O86" i="1" s="1"/>
  <c r="GM86" i="1" s="1"/>
  <c r="CZ86" i="1"/>
  <c r="X86" i="1"/>
  <c r="EC118" i="1" s="1"/>
  <c r="Y86" i="1"/>
  <c r="CY86" i="1"/>
  <c r="DX118" i="1"/>
  <c r="P68" i="1"/>
  <c r="EM26" i="1"/>
  <c r="FR116" i="1"/>
  <c r="CP116" i="1"/>
  <c r="O116" i="1" s="1"/>
  <c r="GM116" i="1" s="1"/>
  <c r="CP95" i="1"/>
  <c r="O95" i="1" s="1"/>
  <c r="GM95" i="1" s="1"/>
  <c r="GO95" i="1" s="1"/>
  <c r="GB150" i="1"/>
  <c r="ES161" i="1"/>
  <c r="ES240" i="1" s="1"/>
  <c r="EA150" i="1"/>
  <c r="DN161" i="1"/>
  <c r="Q197" i="1"/>
  <c r="AD210" i="1" s="1"/>
  <c r="P197" i="1"/>
  <c r="R197" i="1"/>
  <c r="S197" i="1"/>
  <c r="FR150" i="1"/>
  <c r="EI161" i="1"/>
  <c r="FY161" i="1"/>
  <c r="DV210" i="1"/>
  <c r="CZ47" i="1"/>
  <c r="Y47" i="1"/>
  <c r="X47" i="1"/>
  <c r="CY47" i="1"/>
  <c r="AE210" i="1"/>
  <c r="EB49" i="1"/>
  <c r="BA49" i="1"/>
  <c r="CJ26" i="1"/>
  <c r="EH26" i="1"/>
  <c r="P58" i="1"/>
  <c r="DV118" i="1"/>
  <c r="CZ88" i="1"/>
  <c r="CY88" i="1"/>
  <c r="X88" i="1"/>
  <c r="Y88" i="1"/>
  <c r="AG81" i="1"/>
  <c r="T118" i="1"/>
  <c r="FT81" i="1"/>
  <c r="EK118" i="1"/>
  <c r="CP36" i="1"/>
  <c r="O36" i="1" s="1"/>
  <c r="GM36" i="1" s="1"/>
  <c r="GO36" i="1" s="1"/>
  <c r="X110" i="1"/>
  <c r="Y110" i="1"/>
  <c r="CZ110" i="1"/>
  <c r="CY110" i="1"/>
  <c r="GM153" i="1"/>
  <c r="AF161" i="1"/>
  <c r="FR158" i="1"/>
  <c r="BY161" i="1" s="1"/>
  <c r="CP158" i="1"/>
  <c r="O158" i="1" s="1"/>
  <c r="GM158" i="1" s="1"/>
  <c r="DY193" i="1"/>
  <c r="DL210" i="1"/>
  <c r="CP156" i="1"/>
  <c r="O156" i="1" s="1"/>
  <c r="GM156" i="1" s="1"/>
  <c r="GO156" i="1" s="1"/>
  <c r="U197" i="1"/>
  <c r="AH210" i="1" s="1"/>
  <c r="DF1" i="3"/>
  <c r="DG1" i="3"/>
  <c r="DH1" i="3"/>
  <c r="DI1" i="3"/>
  <c r="DJ1" i="3" s="1"/>
  <c r="BD26" i="1"/>
  <c r="F74" i="1"/>
  <c r="BD240" i="1"/>
  <c r="ER49" i="1"/>
  <c r="GA26" i="1"/>
  <c r="CP195" i="1"/>
  <c r="O195" i="1" s="1"/>
  <c r="AC210" i="1"/>
  <c r="DX150" i="1"/>
  <c r="DK161" i="1"/>
  <c r="CP30" i="1"/>
  <c r="O30" i="1" s="1"/>
  <c r="GM30" i="1" s="1"/>
  <c r="GO30" i="1" s="1"/>
  <c r="AC49" i="1"/>
  <c r="DN49" i="1"/>
  <c r="EA26" i="1"/>
  <c r="AE118" i="1"/>
  <c r="DZ81" i="1"/>
  <c r="DM118" i="1"/>
  <c r="CY83" i="1"/>
  <c r="X83" i="1"/>
  <c r="AK118" i="1" s="1"/>
  <c r="Y83" i="1"/>
  <c r="AL118" i="1" s="1"/>
  <c r="CZ83" i="1"/>
  <c r="AF118" i="1"/>
  <c r="CD81" i="1"/>
  <c r="AU118" i="1"/>
  <c r="FR113" i="1"/>
  <c r="CP113" i="1"/>
  <c r="O113" i="1" s="1"/>
  <c r="GM113" i="1" s="1"/>
  <c r="EP81" i="1"/>
  <c r="P125" i="1"/>
  <c r="BC150" i="1"/>
  <c r="F177" i="1"/>
  <c r="BC240" i="1"/>
  <c r="U161" i="1"/>
  <c r="AH150" i="1"/>
  <c r="GX197" i="1"/>
  <c r="CJ210" i="1" s="1"/>
  <c r="CZ205" i="1"/>
  <c r="X205" i="1"/>
  <c r="GM205" i="1" s="1"/>
  <c r="GN205" i="1" s="1"/>
  <c r="CB210" i="1" s="1"/>
  <c r="Y205" i="1"/>
  <c r="CY205" i="1"/>
  <c r="FR104" i="1"/>
  <c r="CP104" i="1"/>
  <c r="O104" i="1" s="1"/>
  <c r="GM104" i="1" s="1"/>
  <c r="AG26" i="1"/>
  <c r="T49" i="1"/>
  <c r="CP32" i="1"/>
  <c r="O32" i="1" s="1"/>
  <c r="GM32" i="1" s="1"/>
  <c r="GO32" i="1" s="1"/>
  <c r="FR26" i="1"/>
  <c r="EI49" i="1"/>
  <c r="FY49" i="1"/>
  <c r="CP47" i="1"/>
  <c r="O47" i="1" s="1"/>
  <c r="GM47" i="1" s="1"/>
  <c r="GN47" i="1" s="1"/>
  <c r="CP108" i="1"/>
  <c r="O108" i="1" s="1"/>
  <c r="GM108" i="1" s="1"/>
  <c r="FR108" i="1"/>
  <c r="P177" i="1"/>
  <c r="EU150" i="1"/>
  <c r="CZ202" i="1"/>
  <c r="X202" i="1"/>
  <c r="CY202" i="1"/>
  <c r="Y202" i="1"/>
  <c r="ED210" i="1" s="1"/>
  <c r="EI193" i="1"/>
  <c r="P220" i="1"/>
  <c r="W150" i="1"/>
  <c r="F185" i="1"/>
  <c r="P180" i="1"/>
  <c r="EM150" i="1"/>
  <c r="GM199" i="1"/>
  <c r="GO199" i="1" s="1"/>
  <c r="DF9" i="3"/>
  <c r="DG9" i="3"/>
  <c r="DH9" i="3"/>
  <c r="DI9" i="3"/>
  <c r="DJ9" i="3" s="1"/>
  <c r="AD81" i="1"/>
  <c r="Q118" i="1"/>
  <c r="DF10" i="3"/>
  <c r="DJ10" i="3" s="1"/>
  <c r="DG10" i="3"/>
  <c r="DH10" i="3"/>
  <c r="DI10" i="3"/>
  <c r="AX49" i="1"/>
  <c r="CG26" i="1"/>
  <c r="R161" i="1"/>
  <c r="AE150" i="1"/>
  <c r="FY193" i="1"/>
  <c r="EP210" i="1"/>
  <c r="AI150" i="1"/>
  <c r="V161" i="1"/>
  <c r="FV81" i="1"/>
  <c r="EM118" i="1"/>
  <c r="EM240" i="1" s="1"/>
  <c r="F53" i="1"/>
  <c r="AO26" i="1"/>
  <c r="AO240" i="1"/>
  <c r="AU26" i="1"/>
  <c r="F68" i="1"/>
  <c r="AU240" i="1"/>
  <c r="FR114" i="1"/>
  <c r="CP114" i="1"/>
  <c r="O114" i="1" s="1"/>
  <c r="GM114" i="1" s="1"/>
  <c r="AO150" i="1"/>
  <c r="F165" i="1"/>
  <c r="EB81" i="1"/>
  <c r="DO118" i="1"/>
  <c r="AU150" i="1"/>
  <c r="F180" i="1"/>
  <c r="GM196" i="1"/>
  <c r="GA193" i="1"/>
  <c r="ER210" i="1"/>
  <c r="CZ200" i="1"/>
  <c r="X200" i="1"/>
  <c r="Y200" i="1"/>
  <c r="DX210" i="1"/>
  <c r="CY200" i="1"/>
  <c r="CP97" i="1"/>
  <c r="O97" i="1" s="1"/>
  <c r="GM97" i="1" s="1"/>
  <c r="GN97" i="1" s="1"/>
  <c r="CB118" i="1" s="1"/>
  <c r="AU193" i="1"/>
  <c r="F229" i="1"/>
  <c r="EG81" i="1"/>
  <c r="P122" i="1"/>
  <c r="EG240" i="1"/>
  <c r="FR85" i="1"/>
  <c r="CP85" i="1"/>
  <c r="O85" i="1" s="1"/>
  <c r="GM85" i="1" s="1"/>
  <c r="AC118" i="1"/>
  <c r="DW150" i="1"/>
  <c r="DJ161" i="1"/>
  <c r="DN81" i="1"/>
  <c r="P141" i="1"/>
  <c r="AX150" i="1"/>
  <c r="F168" i="1"/>
  <c r="X45" i="1"/>
  <c r="EC49" i="1" s="1"/>
  <c r="CZ45" i="1"/>
  <c r="Y45" i="1"/>
  <c r="CY45" i="1"/>
  <c r="CP155" i="1"/>
  <c r="O155" i="1" s="1"/>
  <c r="GM155" i="1" s="1"/>
  <c r="DV161" i="1"/>
  <c r="CP91" i="1"/>
  <c r="O91" i="1" s="1"/>
  <c r="GM91" i="1" s="1"/>
  <c r="FR91" i="1"/>
  <c r="DH3" i="3"/>
  <c r="DF3" i="3"/>
  <c r="DG3" i="3"/>
  <c r="DI3" i="3"/>
  <c r="DJ3" i="3" s="1"/>
  <c r="AH26" i="1"/>
  <c r="U49" i="1"/>
  <c r="CP44" i="1"/>
  <c r="O44" i="1" s="1"/>
  <c r="GM44" i="1" s="1"/>
  <c r="GN44" i="1" s="1"/>
  <c r="CB49" i="1" s="1"/>
  <c r="GM34" i="1"/>
  <c r="GO34" i="1" s="1"/>
  <c r="ET81" i="1"/>
  <c r="ET240" i="1"/>
  <c r="P131" i="1"/>
  <c r="CP40" i="1"/>
  <c r="O40" i="1" s="1"/>
  <c r="GM40" i="1" s="1"/>
  <c r="GO40" i="1" s="1"/>
  <c r="GM106" i="1"/>
  <c r="GO106" i="1" s="1"/>
  <c r="ED161" i="1"/>
  <c r="CP109" i="1"/>
  <c r="O109" i="1" s="1"/>
  <c r="GM109" i="1" s="1"/>
  <c r="GO109" i="1" s="1"/>
  <c r="DZ193" i="1"/>
  <c r="DM210" i="1"/>
  <c r="EV81" i="1"/>
  <c r="P143" i="1"/>
  <c r="EV240" i="1"/>
  <c r="X157" i="1"/>
  <c r="GM157" i="1" s="1"/>
  <c r="GO157" i="1" s="1"/>
  <c r="Y157" i="1"/>
  <c r="CY157" i="1"/>
  <c r="CZ157" i="1"/>
  <c r="P185" i="1"/>
  <c r="DO150" i="1"/>
  <c r="CP37" i="1"/>
  <c r="O37" i="1" s="1"/>
  <c r="GM37" i="1" s="1"/>
  <c r="GO37" i="1" s="1"/>
  <c r="DU49" i="1"/>
  <c r="EC210" i="1"/>
  <c r="FR101" i="1"/>
  <c r="CP101" i="1"/>
  <c r="O101" i="1" s="1"/>
  <c r="GM101" i="1" s="1"/>
  <c r="X44" i="1"/>
  <c r="CZ44" i="1"/>
  <c r="Y44" i="1"/>
  <c r="AL49" i="1" s="1"/>
  <c r="CY44" i="1"/>
  <c r="DL49" i="1"/>
  <c r="DY26" i="1"/>
  <c r="BZ26" i="1"/>
  <c r="CI49" i="1"/>
  <c r="AQ49" i="1"/>
  <c r="GM43" i="1"/>
  <c r="GO43" i="1" s="1"/>
  <c r="EU81" i="1"/>
  <c r="P134" i="1"/>
  <c r="EU240" i="1"/>
  <c r="AJ81" i="1"/>
  <c r="W118" i="1"/>
  <c r="W240" i="1" s="1"/>
  <c r="EC161" i="1"/>
  <c r="ET150" i="1"/>
  <c r="P174" i="1"/>
  <c r="CP110" i="1"/>
  <c r="O110" i="1" s="1"/>
  <c r="FZ161" i="1"/>
  <c r="DU150" i="1"/>
  <c r="FX161" i="1"/>
  <c r="DH161" i="1"/>
  <c r="FW161" i="1"/>
  <c r="DF7" i="3"/>
  <c r="DG7" i="3"/>
  <c r="DH7" i="3"/>
  <c r="DI7" i="3"/>
  <c r="DJ7" i="3" s="1"/>
  <c r="CP200" i="1"/>
  <c r="O200" i="1" s="1"/>
  <c r="GM200" i="1" s="1"/>
  <c r="GO200" i="1" s="1"/>
  <c r="DU210" i="1"/>
  <c r="GM206" i="1"/>
  <c r="GN206" i="1" s="1"/>
  <c r="FT210" i="1" s="1"/>
  <c r="CP202" i="1"/>
  <c r="O202" i="1" s="1"/>
  <c r="CB193" i="1" l="1"/>
  <c r="AS210" i="1"/>
  <c r="AL150" i="1"/>
  <c r="Y161" i="1"/>
  <c r="AK26" i="1"/>
  <c r="X49" i="1"/>
  <c r="EM22" i="1"/>
  <c r="P259" i="1"/>
  <c r="H16" i="2" s="1"/>
  <c r="EM273" i="1"/>
  <c r="ED193" i="1"/>
  <c r="DQ210" i="1"/>
  <c r="EC26" i="1"/>
  <c r="DP49" i="1"/>
  <c r="Y49" i="1"/>
  <c r="AL26" i="1"/>
  <c r="EC81" i="1"/>
  <c r="DP118" i="1"/>
  <c r="AK150" i="1"/>
  <c r="X161" i="1"/>
  <c r="W22" i="1"/>
  <c r="F264" i="1"/>
  <c r="W273" i="1"/>
  <c r="BY150" i="1"/>
  <c r="AP161" i="1"/>
  <c r="CI161" i="1"/>
  <c r="ES22" i="1"/>
  <c r="ES273" i="1"/>
  <c r="P260" i="1"/>
  <c r="F71" i="1"/>
  <c r="U26" i="1"/>
  <c r="P210" i="1"/>
  <c r="AC193" i="1"/>
  <c r="CE210" i="1"/>
  <c r="CF210" i="1"/>
  <c r="CH210" i="1"/>
  <c r="Q26" i="1"/>
  <c r="F61" i="1"/>
  <c r="Q240" i="1"/>
  <c r="GM195" i="1"/>
  <c r="ED49" i="1"/>
  <c r="BA81" i="1"/>
  <c r="F138" i="1"/>
  <c r="GM202" i="1"/>
  <c r="GO202" i="1" s="1"/>
  <c r="AZ49" i="1"/>
  <c r="CI26" i="1"/>
  <c r="GO196" i="1"/>
  <c r="FU210" i="1" s="1"/>
  <c r="FS210" i="1"/>
  <c r="EK81" i="1"/>
  <c r="P135" i="1"/>
  <c r="CZ197" i="1"/>
  <c r="X197" i="1"/>
  <c r="AK210" i="1" s="1"/>
  <c r="AF210" i="1"/>
  <c r="Y197" i="1"/>
  <c r="AL210" i="1" s="1"/>
  <c r="CY197" i="1"/>
  <c r="BB18" i="1"/>
  <c r="F286" i="1"/>
  <c r="GM29" i="1"/>
  <c r="DT49" i="1"/>
  <c r="F72" i="1"/>
  <c r="V26" i="1"/>
  <c r="DM193" i="1"/>
  <c r="P232" i="1"/>
  <c r="AU22" i="1"/>
  <c r="F259" i="1"/>
  <c r="AU273" i="1"/>
  <c r="T26" i="1"/>
  <c r="F70" i="1"/>
  <c r="T240" i="1"/>
  <c r="AQ81" i="1"/>
  <c r="F128" i="1"/>
  <c r="FQ81" i="1"/>
  <c r="GA118" i="1"/>
  <c r="EH118" i="1"/>
  <c r="FZ150" i="1"/>
  <c r="EQ161" i="1"/>
  <c r="FT193" i="1"/>
  <c r="EK210" i="1"/>
  <c r="GM110" i="1"/>
  <c r="GO110" i="1" s="1"/>
  <c r="DT210" i="1"/>
  <c r="AO22" i="1"/>
  <c r="F244" i="1"/>
  <c r="AO273" i="1"/>
  <c r="R150" i="1"/>
  <c r="F175" i="1"/>
  <c r="DM81" i="1"/>
  <c r="P140" i="1"/>
  <c r="ER26" i="1"/>
  <c r="P60" i="1"/>
  <c r="BA26" i="1"/>
  <c r="F69" i="1"/>
  <c r="ES81" i="1"/>
  <c r="P138" i="1"/>
  <c r="DV26" i="1"/>
  <c r="DI49" i="1"/>
  <c r="DO193" i="1"/>
  <c r="P234" i="1"/>
  <c r="P224" i="1"/>
  <c r="DJ193" i="1"/>
  <c r="ER150" i="1"/>
  <c r="P172" i="1"/>
  <c r="DM150" i="1"/>
  <c r="P183" i="1"/>
  <c r="S26" i="1"/>
  <c r="F64" i="1"/>
  <c r="F59" i="1"/>
  <c r="AQ26" i="1"/>
  <c r="AQ240" i="1"/>
  <c r="BD22" i="1"/>
  <c r="BD273" i="1"/>
  <c r="F265" i="1"/>
  <c r="T81" i="1"/>
  <c r="F139" i="1"/>
  <c r="EB26" i="1"/>
  <c r="DO49" i="1"/>
  <c r="CP197" i="1"/>
  <c r="O197" i="1" s="1"/>
  <c r="GM197" i="1" s="1"/>
  <c r="GO197" i="1" s="1"/>
  <c r="V81" i="1"/>
  <c r="F141" i="1"/>
  <c r="EO161" i="1"/>
  <c r="FX150" i="1"/>
  <c r="AK81" i="1"/>
  <c r="X118" i="1"/>
  <c r="ED150" i="1"/>
  <c r="DQ161" i="1"/>
  <c r="DL26" i="1"/>
  <c r="P70" i="1"/>
  <c r="DL240" i="1"/>
  <c r="R210" i="1"/>
  <c r="AE193" i="1"/>
  <c r="AD193" i="1"/>
  <c r="Q210" i="1"/>
  <c r="AB118" i="1"/>
  <c r="GM45" i="1"/>
  <c r="GN45" i="1" s="1"/>
  <c r="FT49" i="1" s="1"/>
  <c r="DM26" i="1"/>
  <c r="P71" i="1"/>
  <c r="DM240" i="1"/>
  <c r="GM152" i="1"/>
  <c r="AB161" i="1"/>
  <c r="R26" i="1"/>
  <c r="F63" i="1"/>
  <c r="P233" i="1"/>
  <c r="DN193" i="1"/>
  <c r="AL81" i="1"/>
  <c r="Y118" i="1"/>
  <c r="DW26" i="1"/>
  <c r="DJ49" i="1"/>
  <c r="CB81" i="1"/>
  <c r="AS118" i="1"/>
  <c r="DO81" i="1"/>
  <c r="P142" i="1"/>
  <c r="EM81" i="1"/>
  <c r="P137" i="1"/>
  <c r="AF150" i="1"/>
  <c r="S161" i="1"/>
  <c r="DN150" i="1"/>
  <c r="P184" i="1"/>
  <c r="GM83" i="1"/>
  <c r="Q150" i="1"/>
  <c r="F173" i="1"/>
  <c r="CA49" i="1"/>
  <c r="GO28" i="1"/>
  <c r="CC49" i="1" s="1"/>
  <c r="CH161" i="1"/>
  <c r="AC150" i="1"/>
  <c r="P161" i="1"/>
  <c r="CE161" i="1"/>
  <c r="CF161" i="1"/>
  <c r="DP210" i="1"/>
  <c r="EC193" i="1"/>
  <c r="P221" i="1"/>
  <c r="ER193" i="1"/>
  <c r="FX49" i="1"/>
  <c r="DU26" i="1"/>
  <c r="FW49" i="1"/>
  <c r="DH49" i="1"/>
  <c r="FZ49" i="1"/>
  <c r="DU193" i="1"/>
  <c r="FZ210" i="1"/>
  <c r="DH210" i="1"/>
  <c r="FW210" i="1"/>
  <c r="FX210" i="1"/>
  <c r="EC150" i="1"/>
  <c r="DP161" i="1"/>
  <c r="DJ150" i="1"/>
  <c r="P175" i="1"/>
  <c r="DN26" i="1"/>
  <c r="P72" i="1"/>
  <c r="DN240" i="1"/>
  <c r="DT161" i="1"/>
  <c r="DX81" i="1"/>
  <c r="DK118" i="1"/>
  <c r="AB49" i="1"/>
  <c r="DL81" i="1"/>
  <c r="P139" i="1"/>
  <c r="DJ81" i="1"/>
  <c r="P132" i="1"/>
  <c r="EP193" i="1"/>
  <c r="P217" i="1"/>
  <c r="F56" i="1"/>
  <c r="AX26" i="1"/>
  <c r="AX240" i="1"/>
  <c r="ET22" i="1"/>
  <c r="ET273" i="1"/>
  <c r="P253" i="1"/>
  <c r="DX193" i="1"/>
  <c r="DK210" i="1"/>
  <c r="EP49" i="1"/>
  <c r="FY26" i="1"/>
  <c r="AU81" i="1"/>
  <c r="F137" i="1"/>
  <c r="CF49" i="1"/>
  <c r="AC26" i="1"/>
  <c r="CE49" i="1"/>
  <c r="CH49" i="1"/>
  <c r="P49" i="1"/>
  <c r="GO153" i="1"/>
  <c r="FU161" i="1" s="1"/>
  <c r="FS161" i="1"/>
  <c r="ES150" i="1"/>
  <c r="P181" i="1"/>
  <c r="CI193" i="1"/>
  <c r="AZ210" i="1"/>
  <c r="T193" i="1"/>
  <c r="F231" i="1"/>
  <c r="EG22" i="1"/>
  <c r="P244" i="1"/>
  <c r="EG273" i="1"/>
  <c r="EI150" i="1"/>
  <c r="P171" i="1"/>
  <c r="BC22" i="1"/>
  <c r="F256" i="1"/>
  <c r="BC273" i="1"/>
  <c r="DL193" i="1"/>
  <c r="P231" i="1"/>
  <c r="AE81" i="1"/>
  <c r="R118" i="1"/>
  <c r="F142" i="1"/>
  <c r="W81" i="1"/>
  <c r="EU22" i="1"/>
  <c r="P256" i="1"/>
  <c r="EU273" i="1"/>
  <c r="EV22" i="1"/>
  <c r="EV273" i="1"/>
  <c r="P265" i="1"/>
  <c r="DV150" i="1"/>
  <c r="DI161" i="1"/>
  <c r="AC81" i="1"/>
  <c r="P118" i="1"/>
  <c r="CE118" i="1"/>
  <c r="EI26" i="1"/>
  <c r="P59" i="1"/>
  <c r="EI240" i="1"/>
  <c r="ED118" i="1"/>
  <c r="AX210" i="1"/>
  <c r="CG193" i="1"/>
  <c r="U81" i="1"/>
  <c r="F140" i="1"/>
  <c r="W193" i="1"/>
  <c r="F234" i="1"/>
  <c r="U150" i="1"/>
  <c r="F183" i="1"/>
  <c r="EK150" i="1"/>
  <c r="P178" i="1"/>
  <c r="FW150" i="1"/>
  <c r="EN161" i="1"/>
  <c r="V150" i="1"/>
  <c r="F184" i="1"/>
  <c r="Q81" i="1"/>
  <c r="F130" i="1"/>
  <c r="CJ193" i="1"/>
  <c r="BA210" i="1"/>
  <c r="AF81" i="1"/>
  <c r="S118" i="1"/>
  <c r="P176" i="1"/>
  <c r="DK150" i="1"/>
  <c r="DV81" i="1"/>
  <c r="DI118" i="1"/>
  <c r="DI210" i="1"/>
  <c r="DV193" i="1"/>
  <c r="DU81" i="1"/>
  <c r="FX118" i="1"/>
  <c r="FZ118" i="1"/>
  <c r="DH118" i="1"/>
  <c r="FW118" i="1"/>
  <c r="AQ193" i="1"/>
  <c r="F220" i="1"/>
  <c r="AI193" i="1"/>
  <c r="V210" i="1"/>
  <c r="DK49" i="1"/>
  <c r="DX26" i="1"/>
  <c r="ES193" i="1"/>
  <c r="P230" i="1"/>
  <c r="P164" i="1"/>
  <c r="DH150" i="1"/>
  <c r="CB26" i="1"/>
  <c r="AS49" i="1"/>
  <c r="BY118" i="1"/>
  <c r="AH193" i="1"/>
  <c r="U210" i="1"/>
  <c r="U240" i="1" s="1"/>
  <c r="FY150" i="1"/>
  <c r="EP161" i="1"/>
  <c r="GM84" i="1"/>
  <c r="DT118" i="1"/>
  <c r="CG81" i="1"/>
  <c r="AX118" i="1"/>
  <c r="GM31" i="1"/>
  <c r="GO31" i="1" s="1"/>
  <c r="U22" i="1" l="1"/>
  <c r="F262" i="1"/>
  <c r="U273" i="1"/>
  <c r="BA193" i="1"/>
  <c r="F230" i="1"/>
  <c r="P81" i="1"/>
  <c r="F121" i="1"/>
  <c r="CF26" i="1"/>
  <c r="AW49" i="1"/>
  <c r="DH26" i="1"/>
  <c r="P52" i="1"/>
  <c r="DH240" i="1"/>
  <c r="DL22" i="1"/>
  <c r="P261" i="1"/>
  <c r="DL273" i="1"/>
  <c r="CH193" i="1"/>
  <c r="AY210" i="1"/>
  <c r="AP150" i="1"/>
  <c r="F170" i="1"/>
  <c r="FX81" i="1"/>
  <c r="EO118" i="1"/>
  <c r="EN49" i="1"/>
  <c r="FW26" i="1"/>
  <c r="CC26" i="1"/>
  <c r="AT49" i="1"/>
  <c r="O161" i="1"/>
  <c r="AB150" i="1"/>
  <c r="BA240" i="1"/>
  <c r="T22" i="1"/>
  <c r="F261" i="1"/>
  <c r="T273" i="1"/>
  <c r="FS49" i="1"/>
  <c r="GO29" i="1"/>
  <c r="FU49" i="1" s="1"/>
  <c r="CF193" i="1"/>
  <c r="AW210" i="1"/>
  <c r="DQ193" i="1"/>
  <c r="P237" i="1"/>
  <c r="P173" i="1"/>
  <c r="DI150" i="1"/>
  <c r="F221" i="1"/>
  <c r="AZ193" i="1"/>
  <c r="CA26" i="1"/>
  <c r="AR49" i="1"/>
  <c r="AS81" i="1"/>
  <c r="F135" i="1"/>
  <c r="CA161" i="1"/>
  <c r="GO152" i="1"/>
  <c r="CC161" i="1" s="1"/>
  <c r="DT193" i="1"/>
  <c r="DG210" i="1"/>
  <c r="AZ26" i="1"/>
  <c r="F60" i="1"/>
  <c r="AV210" i="1"/>
  <c r="CE193" i="1"/>
  <c r="W18" i="1"/>
  <c r="F297" i="1"/>
  <c r="DH81" i="1"/>
  <c r="P121" i="1"/>
  <c r="R81" i="1"/>
  <c r="F132" i="1"/>
  <c r="CH150" i="1"/>
  <c r="AY161" i="1"/>
  <c r="DO26" i="1"/>
  <c r="P73" i="1"/>
  <c r="DO240" i="1"/>
  <c r="CE81" i="1"/>
  <c r="AV118" i="1"/>
  <c r="DT26" i="1"/>
  <c r="DG49" i="1"/>
  <c r="AX81" i="1"/>
  <c r="F125" i="1"/>
  <c r="DM22" i="1"/>
  <c r="DM273" i="1"/>
  <c r="P262" i="1"/>
  <c r="DQ150" i="1"/>
  <c r="P188" i="1"/>
  <c r="EM18" i="1"/>
  <c r="P292" i="1"/>
  <c r="GO84" i="1"/>
  <c r="FU118" i="1" s="1"/>
  <c r="FS118" i="1"/>
  <c r="P222" i="1"/>
  <c r="DI193" i="1"/>
  <c r="AX193" i="1"/>
  <c r="F217" i="1"/>
  <c r="BC18" i="1"/>
  <c r="F289" i="1"/>
  <c r="P56" i="1"/>
  <c r="EP26" i="1"/>
  <c r="EP240" i="1"/>
  <c r="DP150" i="1"/>
  <c r="P187" i="1"/>
  <c r="DJ26" i="1"/>
  <c r="P63" i="1"/>
  <c r="DJ240" i="1"/>
  <c r="P227" i="1"/>
  <c r="EK193" i="1"/>
  <c r="AU18" i="1"/>
  <c r="F292" i="1"/>
  <c r="F213" i="1"/>
  <c r="P193" i="1"/>
  <c r="FU193" i="1"/>
  <c r="EL210" i="1"/>
  <c r="DT81" i="1"/>
  <c r="DG118" i="1"/>
  <c r="FX26" i="1"/>
  <c r="EO49" i="1"/>
  <c r="EP150" i="1"/>
  <c r="P168" i="1"/>
  <c r="DK26" i="1"/>
  <c r="P64" i="1"/>
  <c r="DK240" i="1"/>
  <c r="DI81" i="1"/>
  <c r="P130" i="1"/>
  <c r="EN150" i="1"/>
  <c r="P166" i="1"/>
  <c r="ED81" i="1"/>
  <c r="DQ118" i="1"/>
  <c r="EV18" i="1"/>
  <c r="P298" i="1"/>
  <c r="P225" i="1"/>
  <c r="DK193" i="1"/>
  <c r="GO83" i="1"/>
  <c r="CC118" i="1" s="1"/>
  <c r="CA118" i="1"/>
  <c r="X81" i="1"/>
  <c r="F144" i="1"/>
  <c r="BD18" i="1"/>
  <c r="F298" i="1"/>
  <c r="AL193" i="1"/>
  <c r="Y210" i="1"/>
  <c r="F187" i="1"/>
  <c r="X150" i="1"/>
  <c r="FT26" i="1"/>
  <c r="EK49" i="1"/>
  <c r="EQ150" i="1"/>
  <c r="P169" i="1"/>
  <c r="DQ49" i="1"/>
  <c r="ED26" i="1"/>
  <c r="X26" i="1"/>
  <c r="F75" i="1"/>
  <c r="EI22" i="1"/>
  <c r="P250" i="1"/>
  <c r="EI273" i="1"/>
  <c r="FX193" i="1"/>
  <c r="EO210" i="1"/>
  <c r="Y81" i="1"/>
  <c r="F145" i="1"/>
  <c r="U193" i="1"/>
  <c r="F232" i="1"/>
  <c r="EU18" i="1"/>
  <c r="P289" i="1"/>
  <c r="EQ49" i="1"/>
  <c r="FZ26" i="1"/>
  <c r="AO18" i="1"/>
  <c r="F277" i="1"/>
  <c r="FZ81" i="1"/>
  <c r="EQ118" i="1"/>
  <c r="V193" i="1"/>
  <c r="F233" i="1"/>
  <c r="FS150" i="1"/>
  <c r="EJ161" i="1"/>
  <c r="AF193" i="1"/>
  <c r="S210" i="1"/>
  <c r="FU150" i="1"/>
  <c r="EL161" i="1"/>
  <c r="AB26" i="1"/>
  <c r="O49" i="1"/>
  <c r="FW193" i="1"/>
  <c r="EN210" i="1"/>
  <c r="P236" i="1"/>
  <c r="DP193" i="1"/>
  <c r="AB81" i="1"/>
  <c r="O118" i="1"/>
  <c r="AQ22" i="1"/>
  <c r="F250" i="1"/>
  <c r="AQ273" i="1"/>
  <c r="AK193" i="1"/>
  <c r="X210" i="1"/>
  <c r="AB210" i="1"/>
  <c r="DP81" i="1"/>
  <c r="P144" i="1"/>
  <c r="P26" i="1"/>
  <c r="F52" i="1"/>
  <c r="P240" i="1"/>
  <c r="ET18" i="1"/>
  <c r="P286" i="1"/>
  <c r="DK81" i="1"/>
  <c r="P133" i="1"/>
  <c r="DH193" i="1"/>
  <c r="P213" i="1"/>
  <c r="CF150" i="1"/>
  <c r="AW161" i="1"/>
  <c r="S150" i="1"/>
  <c r="F176" i="1"/>
  <c r="Q193" i="1"/>
  <c r="F222" i="1"/>
  <c r="EO150" i="1"/>
  <c r="P167" i="1"/>
  <c r="EH81" i="1"/>
  <c r="P127" i="1"/>
  <c r="EH240" i="1"/>
  <c r="CA210" i="1"/>
  <c r="GO195" i="1"/>
  <c r="CC210" i="1" s="1"/>
  <c r="Y150" i="1"/>
  <c r="F188" i="1"/>
  <c r="BY81" i="1"/>
  <c r="AP118" i="1"/>
  <c r="CI118" i="1"/>
  <c r="S81" i="1"/>
  <c r="F133" i="1"/>
  <c r="CH118" i="1"/>
  <c r="EG18" i="1"/>
  <c r="P277" i="1"/>
  <c r="AY49" i="1"/>
  <c r="CH26" i="1"/>
  <c r="FZ193" i="1"/>
  <c r="EQ210" i="1"/>
  <c r="AV161" i="1"/>
  <c r="CE150" i="1"/>
  <c r="DI26" i="1"/>
  <c r="P61" i="1"/>
  <c r="DI240" i="1"/>
  <c r="GA81" i="1"/>
  <c r="ER118" i="1"/>
  <c r="V240" i="1"/>
  <c r="Q22" i="1"/>
  <c r="F252" i="1"/>
  <c r="Q273" i="1"/>
  <c r="ES18" i="1"/>
  <c r="P293" i="1"/>
  <c r="F66" i="1"/>
  <c r="AS26" i="1"/>
  <c r="AS240" i="1"/>
  <c r="FW81" i="1"/>
  <c r="EN118" i="1"/>
  <c r="CF118" i="1"/>
  <c r="CE26" i="1"/>
  <c r="AV49" i="1"/>
  <c r="AX22" i="1"/>
  <c r="AX273" i="1"/>
  <c r="F247" i="1"/>
  <c r="DT150" i="1"/>
  <c r="DG161" i="1"/>
  <c r="P150" i="1"/>
  <c r="F164" i="1"/>
  <c r="R240" i="1"/>
  <c r="S240" i="1"/>
  <c r="Y26" i="1"/>
  <c r="F76" i="1"/>
  <c r="Y240" i="1"/>
  <c r="AS193" i="1"/>
  <c r="F227" i="1"/>
  <c r="DN22" i="1"/>
  <c r="DN273" i="1"/>
  <c r="P263" i="1"/>
  <c r="F224" i="1"/>
  <c r="R193" i="1"/>
  <c r="FS193" i="1"/>
  <c r="EJ210" i="1"/>
  <c r="AZ161" i="1"/>
  <c r="CI150" i="1"/>
  <c r="DP26" i="1"/>
  <c r="P75" i="1"/>
  <c r="DP240" i="1"/>
  <c r="O26" i="1" l="1"/>
  <c r="F51" i="1"/>
  <c r="O240" i="1"/>
  <c r="Y22" i="1"/>
  <c r="F267" i="1"/>
  <c r="Y273" i="1"/>
  <c r="X193" i="1"/>
  <c r="F236" i="1"/>
  <c r="EL150" i="1"/>
  <c r="P179" i="1"/>
  <c r="Y193" i="1"/>
  <c r="F237" i="1"/>
  <c r="CA150" i="1"/>
  <c r="AR161" i="1"/>
  <c r="EN26" i="1"/>
  <c r="P54" i="1"/>
  <c r="EN240" i="1"/>
  <c r="F172" i="1"/>
  <c r="AZ150" i="1"/>
  <c r="CF81" i="1"/>
  <c r="AW118" i="1"/>
  <c r="ER81" i="1"/>
  <c r="P129" i="1"/>
  <c r="ER240" i="1"/>
  <c r="AQ18" i="1"/>
  <c r="F283" i="1"/>
  <c r="EQ26" i="1"/>
  <c r="P57" i="1"/>
  <c r="EQ240" i="1"/>
  <c r="X240" i="1"/>
  <c r="DQ81" i="1"/>
  <c r="P145" i="1"/>
  <c r="DG26" i="1"/>
  <c r="P51" i="1"/>
  <c r="DG240" i="1"/>
  <c r="FU26" i="1"/>
  <c r="EL49" i="1"/>
  <c r="EO81" i="1"/>
  <c r="P124" i="1"/>
  <c r="AW26" i="1"/>
  <c r="F55" i="1"/>
  <c r="AW240" i="1"/>
  <c r="F57" i="1"/>
  <c r="AY26" i="1"/>
  <c r="DJ22" i="1"/>
  <c r="P254" i="1"/>
  <c r="DJ273" i="1"/>
  <c r="EN81" i="1"/>
  <c r="P123" i="1"/>
  <c r="DG81" i="1"/>
  <c r="P120" i="1"/>
  <c r="FS81" i="1"/>
  <c r="EJ118" i="1"/>
  <c r="FS26" i="1"/>
  <c r="EJ49" i="1"/>
  <c r="AV26" i="1"/>
  <c r="F54" i="1"/>
  <c r="AV240" i="1"/>
  <c r="EO26" i="1"/>
  <c r="P55" i="1"/>
  <c r="EO240" i="1"/>
  <c r="S22" i="1"/>
  <c r="F255" i="1"/>
  <c r="S273" i="1"/>
  <c r="S193" i="1"/>
  <c r="F225" i="1"/>
  <c r="FU81" i="1"/>
  <c r="EL118" i="1"/>
  <c r="AV81" i="1"/>
  <c r="F123" i="1"/>
  <c r="AR26" i="1"/>
  <c r="F77" i="1"/>
  <c r="AR240" i="1"/>
  <c r="T18" i="1"/>
  <c r="F294" i="1"/>
  <c r="EI18" i="1"/>
  <c r="P283" i="1"/>
  <c r="EH22" i="1"/>
  <c r="P249" i="1"/>
  <c r="G16" i="2" s="1"/>
  <c r="EH273" i="1"/>
  <c r="EJ193" i="1"/>
  <c r="P238" i="1"/>
  <c r="CH81" i="1"/>
  <c r="AY118" i="1"/>
  <c r="R22" i="1"/>
  <c r="R273" i="1"/>
  <c r="F254" i="1"/>
  <c r="DI22" i="1"/>
  <c r="P252" i="1"/>
  <c r="DI273" i="1"/>
  <c r="AS22" i="1"/>
  <c r="F257" i="1"/>
  <c r="T16" i="2" s="1"/>
  <c r="AS273" i="1"/>
  <c r="O81" i="1"/>
  <c r="F120" i="1"/>
  <c r="EJ150" i="1"/>
  <c r="P189" i="1"/>
  <c r="EL193" i="1"/>
  <c r="P228" i="1"/>
  <c r="CC150" i="1"/>
  <c r="AT161" i="1"/>
  <c r="AT240" i="1" s="1"/>
  <c r="P22" i="1"/>
  <c r="F243" i="1"/>
  <c r="P273" i="1"/>
  <c r="DO22" i="1"/>
  <c r="DO273" i="1"/>
  <c r="P264" i="1"/>
  <c r="AV193" i="1"/>
  <c r="F215" i="1"/>
  <c r="AY193" i="1"/>
  <c r="F218" i="1"/>
  <c r="AR210" i="1"/>
  <c r="CA193" i="1"/>
  <c r="F216" i="1"/>
  <c r="AW193" i="1"/>
  <c r="V22" i="1"/>
  <c r="F263" i="1"/>
  <c r="V273" i="1"/>
  <c r="P163" i="1"/>
  <c r="DG150" i="1"/>
  <c r="BA22" i="1"/>
  <c r="BA273" i="1"/>
  <c r="F260" i="1"/>
  <c r="W16" i="2" s="1"/>
  <c r="CC193" i="1"/>
  <c r="AT210" i="1"/>
  <c r="CI81" i="1"/>
  <c r="AZ118" i="1"/>
  <c r="DQ26" i="1"/>
  <c r="P76" i="1"/>
  <c r="DQ240" i="1"/>
  <c r="EP22" i="1"/>
  <c r="EP273" i="1"/>
  <c r="P247" i="1"/>
  <c r="AP81" i="1"/>
  <c r="F127" i="1"/>
  <c r="AP240" i="1"/>
  <c r="DN18" i="1"/>
  <c r="P296" i="1"/>
  <c r="F166" i="1"/>
  <c r="AV150" i="1"/>
  <c r="CA81" i="1"/>
  <c r="AR118" i="1"/>
  <c r="DK22" i="1"/>
  <c r="P255" i="1"/>
  <c r="J16" i="2" s="1"/>
  <c r="DK273" i="1"/>
  <c r="DL18" i="1"/>
  <c r="P294" i="1"/>
  <c r="U18" i="1"/>
  <c r="F295" i="1"/>
  <c r="O210" i="1"/>
  <c r="AB193" i="1"/>
  <c r="CC81" i="1"/>
  <c r="AT118" i="1"/>
  <c r="AY150" i="1"/>
  <c r="F169" i="1"/>
  <c r="F163" i="1"/>
  <c r="O150" i="1"/>
  <c r="DH22" i="1"/>
  <c r="P243" i="1"/>
  <c r="DH273" i="1"/>
  <c r="EQ193" i="1"/>
  <c r="P218" i="1"/>
  <c r="EN193" i="1"/>
  <c r="P215" i="1"/>
  <c r="EQ81" i="1"/>
  <c r="P126" i="1"/>
  <c r="EO193" i="1"/>
  <c r="P216" i="1"/>
  <c r="EK26" i="1"/>
  <c r="P66" i="1"/>
  <c r="EK240" i="1"/>
  <c r="DP22" i="1"/>
  <c r="DP273" i="1"/>
  <c r="P266" i="1"/>
  <c r="AX18" i="1"/>
  <c r="F280" i="1"/>
  <c r="Q18" i="1"/>
  <c r="F285" i="1"/>
  <c r="AW150" i="1"/>
  <c r="F167" i="1"/>
  <c r="DM18" i="1"/>
  <c r="P295" i="1"/>
  <c r="DG193" i="1"/>
  <c r="P212" i="1"/>
  <c r="F67" i="1"/>
  <c r="AT26" i="1"/>
  <c r="AT22" i="1" l="1"/>
  <c r="F258" i="1"/>
  <c r="U16" i="2" s="1"/>
  <c r="AT273" i="1"/>
  <c r="AR150" i="1"/>
  <c r="F189" i="1"/>
  <c r="EP18" i="1"/>
  <c r="P280" i="1"/>
  <c r="EL26" i="1"/>
  <c r="P67" i="1"/>
  <c r="EL240" i="1"/>
  <c r="DJ18" i="1"/>
  <c r="P287" i="1"/>
  <c r="ER22" i="1"/>
  <c r="ER273" i="1"/>
  <c r="P251" i="1"/>
  <c r="AR81" i="1"/>
  <c r="F146" i="1"/>
  <c r="DQ22" i="1"/>
  <c r="P267" i="1"/>
  <c r="DQ273" i="1"/>
  <c r="V18" i="1"/>
  <c r="F296" i="1"/>
  <c r="DO18" i="1"/>
  <c r="P297" i="1"/>
  <c r="AV22" i="1"/>
  <c r="F245" i="1"/>
  <c r="AV273" i="1"/>
  <c r="DG22" i="1"/>
  <c r="DG273" i="1"/>
  <c r="P242" i="1"/>
  <c r="AT81" i="1"/>
  <c r="F136" i="1"/>
  <c r="AS18" i="1"/>
  <c r="F290" i="1"/>
  <c r="AY81" i="1"/>
  <c r="F126" i="1"/>
  <c r="EH18" i="1"/>
  <c r="P282" i="1"/>
  <c r="AY240" i="1"/>
  <c r="AW81" i="1"/>
  <c r="F124" i="1"/>
  <c r="EJ26" i="1"/>
  <c r="P77" i="1"/>
  <c r="EJ240" i="1"/>
  <c r="R18" i="1"/>
  <c r="F287" i="1"/>
  <c r="EO22" i="1"/>
  <c r="EO273" i="1"/>
  <c r="P246" i="1"/>
  <c r="P18" i="1"/>
  <c r="F276" i="1"/>
  <c r="EL81" i="1"/>
  <c r="P136" i="1"/>
  <c r="AZ81" i="1"/>
  <c r="F129" i="1"/>
  <c r="AZ240" i="1"/>
  <c r="F212" i="1"/>
  <c r="O193" i="1"/>
  <c r="DI18" i="1"/>
  <c r="P285" i="1"/>
  <c r="BA18" i="1"/>
  <c r="F293" i="1"/>
  <c r="AR22" i="1"/>
  <c r="F268" i="1"/>
  <c r="F269" i="1" s="1"/>
  <c r="AR273" i="1"/>
  <c r="DP18" i="1"/>
  <c r="P299" i="1"/>
  <c r="F228" i="1"/>
  <c r="AT193" i="1"/>
  <c r="F179" i="1"/>
  <c r="AT150" i="1"/>
  <c r="EJ81" i="1"/>
  <c r="P146" i="1"/>
  <c r="AW22" i="1"/>
  <c r="F246" i="1"/>
  <c r="AW273" i="1"/>
  <c r="X22" i="1"/>
  <c r="X273" i="1"/>
  <c r="F266" i="1"/>
  <c r="Y18" i="1"/>
  <c r="F300" i="1"/>
  <c r="DH18" i="1"/>
  <c r="P276" i="1"/>
  <c r="AP22" i="1"/>
  <c r="F249" i="1"/>
  <c r="V16" i="2" s="1"/>
  <c r="X16" i="2" s="1"/>
  <c r="AC16" i="2" s="1"/>
  <c r="AP273" i="1"/>
  <c r="AR193" i="1"/>
  <c r="F238" i="1"/>
  <c r="S18" i="1"/>
  <c r="F288" i="1"/>
  <c r="EQ22" i="1"/>
  <c r="EQ273" i="1"/>
  <c r="P248" i="1"/>
  <c r="EN22" i="1"/>
  <c r="EN273" i="1"/>
  <c r="P245" i="1"/>
  <c r="EK22" i="1"/>
  <c r="P257" i="1"/>
  <c r="E16" i="2" s="1"/>
  <c r="EK273" i="1"/>
  <c r="Y16" i="2"/>
  <c r="O22" i="1"/>
  <c r="O273" i="1"/>
  <c r="F242" i="1"/>
  <c r="DK18" i="1"/>
  <c r="P288" i="1"/>
  <c r="EO18" i="1" l="1"/>
  <c r="P279" i="1"/>
  <c r="EL22" i="1"/>
  <c r="P258" i="1"/>
  <c r="F16" i="2" s="1"/>
  <c r="EL273" i="1"/>
  <c r="EQ18" i="1"/>
  <c r="P281" i="1"/>
  <c r="AZ22" i="1"/>
  <c r="AZ273" i="1"/>
  <c r="F251" i="1"/>
  <c r="EJ22" i="1"/>
  <c r="P268" i="1"/>
  <c r="P269" i="1" s="1"/>
  <c r="EJ273" i="1"/>
  <c r="DQ18" i="1"/>
  <c r="P300" i="1"/>
  <c r="X18" i="1"/>
  <c r="F299" i="1"/>
  <c r="EN18" i="1"/>
  <c r="P278" i="1"/>
  <c r="AW18" i="1"/>
  <c r="F279" i="1"/>
  <c r="F270" i="1"/>
  <c r="F271" i="1"/>
  <c r="DG18" i="1"/>
  <c r="P275" i="1"/>
  <c r="EK18" i="1"/>
  <c r="P290" i="1"/>
  <c r="O18" i="1"/>
  <c r="F275" i="1"/>
  <c r="I16" i="2"/>
  <c r="N16" i="2" s="1"/>
  <c r="AP18" i="1"/>
  <c r="F282" i="1"/>
  <c r="AY22" i="1"/>
  <c r="AY273" i="1"/>
  <c r="F248" i="1"/>
  <c r="AV18" i="1"/>
  <c r="F278" i="1"/>
  <c r="AT18" i="1"/>
  <c r="F291" i="1"/>
  <c r="AR18" i="1"/>
  <c r="F301" i="1"/>
  <c r="ER18" i="1"/>
  <c r="P284" i="1"/>
  <c r="P270" i="1" l="1"/>
  <c r="P271" i="1"/>
  <c r="AZ18" i="1"/>
  <c r="F284" i="1"/>
  <c r="EL18" i="1"/>
  <c r="P291" i="1"/>
  <c r="AY18" i="1"/>
  <c r="F281" i="1"/>
  <c r="EJ18" i="1"/>
  <c r="P301" i="1"/>
</calcChain>
</file>

<file path=xl/sharedStrings.xml><?xml version="1.0" encoding="utf-8"?>
<sst xmlns="http://schemas.openxmlformats.org/spreadsheetml/2006/main" count="6638" uniqueCount="417">
  <si>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</si>
  <si>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</si>
  <si>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</si>
  <si>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</si>
  <si>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</si>
  <si>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02-01-17</t>
  </si>
  <si>
    <t>02-01-17 СДС</t>
  </si>
  <si>
    <t>2024-00375-01-0-ИОС5.10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</si>
  <si>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</si>
  <si>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</si>
  <si>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Гришечкина О.А.</t>
  </si>
  <si>
    <t>Ведущий инженер-сметчик</t>
  </si>
  <si>
    <t>Феденко И.В.</t>
  </si>
  <si>
    <t>Руководитель отдела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</si>
  <si>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</si>
  <si>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</si>
  <si>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</si>
  <si>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</si>
  <si>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</si>
  <si>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</si>
  <si>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</si>
  <si>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</si>
  <si>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двухсторонней связи</t>
  </si>
  <si>
    <t>Новый раздел</t>
  </si>
  <si>
    <t>Демонтажные работы</t>
  </si>
  <si>
    <t>1</t>
  </si>
  <si>
    <t>4.11-7-1</t>
  </si>
  <si>
    <t>Установка аппарата настольного массой до 0,015 т / демонтаж пульта диспетчера</t>
  </si>
  <si>
    <t>1ШТ.</t>
  </si>
  <si>
    <t>ТСН-2001.4 Доп. 68, Сб. 11, т. 7, поз. 1</t>
  </si>
  <si>
    <t>*1)*0</t>
  </si>
  <si>
    <t>*1,2)*0,3</t>
  </si>
  <si>
    <t>1  ШТ.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</si>
  <si>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</si>
  <si>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</si>
  <si>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</si>
  <si>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</si>
  <si>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</si>
  <si>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4.10-34-5</t>
  </si>
  <si>
    <t>Монтаж коммутатора служебной связи / демонтаж блока коммутации</t>
  </si>
  <si>
    <t>ТСН-2001.4 Доп. 80, Сб. 10, т. 34, поз. 5</t>
  </si>
  <si>
    <t>ТСН-2001.4-10. Прокладка и монтаж сетей связи</t>
  </si>
  <si>
    <t>ТСН-2001.4-10-1</t>
  </si>
  <si>
    <t>3</t>
  </si>
  <si>
    <t>4.11-1-4</t>
  </si>
  <si>
    <t>Монтаж конструкции для установки приборов и средств автоматизации массой до 5 кг  / демонтаж стойки считывателя</t>
  </si>
  <si>
    <t>ТСН-2001.4 Доп. 79, Сб. 11, т. 1, поз. 4</t>
  </si>
  <si>
    <t>4</t>
  </si>
  <si>
    <t>4.10-76-10</t>
  </si>
  <si>
    <t>Монтаж ключа или кнопки на панели / демонтаж кнопки вызова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</si>
  <si>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</si>
  <si>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</si>
  <si>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</si>
  <si>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5</t>
  </si>
  <si>
    <t>4.10-76-15</t>
  </si>
  <si>
    <t>Монтаж транспаранта светового (табло) / демонтаж светозвукового сигнализитора</t>
  </si>
  <si>
    <t>ТСН-2001.4 Доп. 67, Сб. 10, т. 76, поз. 15</t>
  </si>
  <si>
    <t>6</t>
  </si>
  <si>
    <t>4.10-177-1</t>
  </si>
  <si>
    <t>Монтаж устройства связи с согласующим устройством (вызывная панель) / демонтаж абонентского переговорного устройства</t>
  </si>
  <si>
    <t>10 шт.</t>
  </si>
  <si>
    <t>ТСН-2001.4 Доп. 80, Сб. 10, т. 177, поз. 1</t>
  </si>
  <si>
    <t>7</t>
  </si>
  <si>
    <t>4.10-167-1</t>
  </si>
  <si>
    <t>Монтаж блока питания сети (БПС) в диспетчерской / демонтаж источника электропитания</t>
  </si>
  <si>
    <t>ТСН-2001.4 Доп. 69, Сб. 10, т. 167, поз. 1</t>
  </si>
  <si>
    <t>8</t>
  </si>
  <si>
    <t>4.8-70-1</t>
  </si>
  <si>
    <t>Монтаж аккумулятора кислотного стационарного типа С-1, СК-1 / демонтаж аккумуляторной батареи</t>
  </si>
  <si>
    <t>ТСН-2001.4 Доп. 80, Сб. 8, т. 70, поз. 1</t>
  </si>
  <si>
    <t>ТСН-2001.4-8. Электротехнические установки</t>
  </si>
  <si>
    <t>ТСН-2001.4-8-1</t>
  </si>
  <si>
    <t>9</t>
  </si>
  <si>
    <t>6.67-5-12</t>
  </si>
  <si>
    <t>Демонтаж трубных проводок, трубы в борозде диаметром 25 мм / ПВХ</t>
  </si>
  <si>
    <t>100 м</t>
  </si>
  <si>
    <t>ТСН-2001.6. Доп. 1-42. Сб. 67, т. 5, поз. 12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</si>
  <si>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</si>
  <si>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</si>
  <si>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</si>
  <si>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</si>
  <si>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</si>
  <si>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</si>
  <si>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10</t>
  </si>
  <si>
    <t>6.67-6-1</t>
  </si>
  <si>
    <t>Демонтаж кабеля</t>
  </si>
  <si>
    <t>ТСН-2001.6. Доп. 1-42. Сб. 67, т. 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</si>
  <si>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</si>
  <si>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</si>
  <si>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</si>
  <si>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</si>
  <si>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</si>
  <si>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</si>
  <si>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</si>
  <si>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</si>
  <si>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</si>
  <si>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</si>
  <si>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</si>
  <si>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</si>
  <si>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</si>
  <si>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</si>
  <si>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</si>
  <si>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</si>
  <si>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</si>
  <si>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</si>
  <si>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</si>
  <si>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</si>
  <si>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</si>
  <si>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</si>
  <si>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</si>
  <si>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</si>
  <si>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</si>
  <si>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</si>
  <si>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</si>
  <si>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</si>
  <si>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</si>
  <si>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</si>
  <si>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</si>
  <si>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</si>
  <si>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</si>
  <si>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</si>
  <si>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</si>
  <si>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</si>
  <si>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</si>
  <si>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</si>
  <si>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</si>
  <si>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</si>
  <si>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</si>
  <si>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</si>
  <si>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</si>
  <si>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</si>
  <si>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</si>
  <si>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</si>
  <si>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</si>
  <si>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</si>
  <si>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</si>
  <si>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</si>
  <si>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</si>
  <si>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</si>
  <si>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</si>
  <si>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</si>
  <si>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 системы двусторонней связи</t>
  </si>
  <si>
    <t>11</t>
  </si>
  <si>
    <t>Установка аппарата настольного массой до 0,015 т</t>
  </si>
  <si>
    <t>12</t>
  </si>
  <si>
    <t>КА, п.1</t>
  </si>
  <si>
    <t>Пульт диспетчера (32 абонента) AN-CO32</t>
  </si>
  <si>
    <t>ШТ</t>
  </si>
  <si>
    <t>Оборудование, отсутствующие в СНБ</t>
  </si>
  <si>
    <t>Оборуд. КА</t>
  </si>
  <si>
    <t>[124 784 / 1,22 /  7,57] +  3% Трансп +  1,2% Заг.скл</t>
  </si>
  <si>
    <t>1,2</t>
  </si>
  <si>
    <t>13</t>
  </si>
  <si>
    <t>Монтаж коммутатора служебной связи</t>
  </si>
  <si>
    <t>14</t>
  </si>
  <si>
    <t>КА, п.2</t>
  </si>
  <si>
    <t>Блок коммутации (не более 4-х для одного пульта AN-CO32, 8 линий) AN-X8</t>
  </si>
  <si>
    <t>[96 682 / 1,22 /  7,57]</t>
  </si>
  <si>
    <t>0</t>
  </si>
  <si>
    <t>15</t>
  </si>
  <si>
    <t>КА, п.3</t>
  </si>
  <si>
    <t>Блок коммутации абонентских линий AN-X8 MGN</t>
  </si>
  <si>
    <t>[139 111 / 1,22 /  7,57]</t>
  </si>
  <si>
    <t>16</t>
  </si>
  <si>
    <t>Монтаж конструкции для установки приборов и средств автоматизации массой до 5 кг</t>
  </si>
  <si>
    <t>16,1</t>
  </si>
  <si>
    <t>1.1-1-57</t>
  </si>
  <si>
    <t>Болты строительные с гайками и шайбами, черные, М10х100 мм</t>
  </si>
  <si>
    <t>т</t>
  </si>
  <si>
    <t>ТСН-2001.1 Доп. 79, Р. 1, о. 1, поз. 57</t>
  </si>
  <si>
    <t>17</t>
  </si>
  <si>
    <t>КА, п.10</t>
  </si>
  <si>
    <t>Стойка для считывателя Stolz (Штольц) 150х150 мм</t>
  </si>
  <si>
    <t>Материалы, отсутствующие в СНБ (Строительные)</t>
  </si>
  <si>
    <t>МР КА Строительные</t>
  </si>
  <si>
    <t>[5 448,84 / 1,22 /  9,84] +  2% Заг.скл</t>
  </si>
  <si>
    <t>18</t>
  </si>
  <si>
    <t>Монтаж ключа или кнопки на панели</t>
  </si>
  <si>
    <t>19</t>
  </si>
  <si>
    <t>КА, п.4</t>
  </si>
  <si>
    <t>Устройство вызова AL-RB</t>
  </si>
  <si>
    <t>[8 900 / 1,22 /  7,57]</t>
  </si>
  <si>
    <t>20</t>
  </si>
  <si>
    <t>КА, п.5</t>
  </si>
  <si>
    <t>Устройство отмены вызова AL-CB</t>
  </si>
  <si>
    <t>[17 500 / 1,22 /  7,57]</t>
  </si>
  <si>
    <t>21</t>
  </si>
  <si>
    <t>Монтаж транспаранта светового (табло)</t>
  </si>
  <si>
    <t>22</t>
  </si>
  <si>
    <t>КА, п.6</t>
  </si>
  <si>
    <t>Светозвуковой сигнализатор AL-DI</t>
  </si>
  <si>
    <t>[9 890 / 1,22 /  7,57]</t>
  </si>
  <si>
    <t>23</t>
  </si>
  <si>
    <t>Монтаж устройства связи с согласующим устройством (вызывная панель)</t>
  </si>
  <si>
    <t>24</t>
  </si>
  <si>
    <t>КА, п.7</t>
  </si>
  <si>
    <t>Абонентское переговорное устроство с лицевой поверхностью зелёного цвета для поверхностного монтажа и защитой IP65 AN-BG-WP</t>
  </si>
  <si>
    <t>[45 312 / 1,22 /  7,57]</t>
  </si>
  <si>
    <t>25</t>
  </si>
  <si>
    <t>КА, п.8</t>
  </si>
  <si>
    <t>Абонентское переговорное устроство с лицевой панелью красного цвета для встроенного монтажа AN-BR1</t>
  </si>
  <si>
    <t>[53 426 / 1,22 /  7,57]</t>
  </si>
  <si>
    <t>26</t>
  </si>
  <si>
    <t>КА, п.9</t>
  </si>
  <si>
    <t>Абонентское переговорное устроство с лицевой панелью зеленого цвета для встроенного монтажа AN-BG1</t>
  </si>
  <si>
    <t>Электрооборудование</t>
  </si>
  <si>
    <t>27</t>
  </si>
  <si>
    <t>Монтаж блока питания сети (БПС) в диспетчерской/РИП-24 ИСП.01 (РИП-24-3/7М4 )</t>
  </si>
  <si>
    <t>28</t>
  </si>
  <si>
    <t>13.1-1-60</t>
  </si>
  <si>
    <t>Источник бесперебойного питания, напольный, мощность 550 ВА/330 Вт. Внутренние АКБ, номинальное напряжение 230 В, время автономной работы до 10 мин., диапазон рабочих температур от 0 до +40°C, габаритные размеры 140х335х86 мм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</si>
  <si>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</si>
  <si>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</si>
  <si>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</si>
  <si>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</si>
  <si>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29</t>
  </si>
  <si>
    <t>Монтаж аккумулятора кислотного стационарного типа С-1, СК-1</t>
  </si>
  <si>
    <t>30</t>
  </si>
  <si>
    <t>КА, п.11</t>
  </si>
  <si>
    <t>Аккумуляторная батарея, 12В, 26Ач (АБ 1226С)</t>
  </si>
  <si>
    <t>[16 112,17 / 1,22 /  7,57]</t>
  </si>
  <si>
    <t>Огнестойкая кабельная линия "ПАРЛАЙН+ДКС" ОКЛ-15</t>
  </si>
  <si>
    <t>31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</si>
  <si>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</si>
  <si>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</si>
  <si>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</si>
  <si>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31,1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</si>
  <si>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</si>
  <si>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</si>
  <si>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</si>
  <si>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</si>
  <si>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32</t>
  </si>
  <si>
    <t>1.21-5-1475</t>
  </si>
  <si>
    <t>Скоба двухлапковая стальная оцинкованная, для кабелей диаметром от 19 до 20 мм</t>
  </si>
  <si>
    <t>1000 шт.</t>
  </si>
  <si>
    <t>ТСН-2001.1 Доп. 79, Р. 21, о. 5, поз. 1475</t>
  </si>
  <si>
    <t>Материалы монтажные</t>
  </si>
  <si>
    <t>ТСН-2001.1 Материалы монтажные</t>
  </si>
  <si>
    <t>ТСН-2001.1-2</t>
  </si>
  <si>
    <t>33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</si>
  <si>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</si>
  <si>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</si>
  <si>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</si>
  <si>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34</t>
  </si>
  <si>
    <t>1.23-3-242</t>
  </si>
  <si>
    <t>Кабель симметричный парной скрутки для систем цифровой связи, огнестойкий, марка ParLan F/UTP Cat5e PVC/PE 4х2х0,52</t>
  </si>
  <si>
    <t>км</t>
  </si>
  <si>
    <t>ТСН-2001.1 Доп. 79, Р. 23, о. 3, поз. 242</t>
  </si>
  <si>
    <t>35</t>
  </si>
  <si>
    <t>КА, п.12</t>
  </si>
  <si>
    <t>Кабель сигнальный, огнестойкий, низкотоксичный КСРВнг(А)-FRLSLTx 1x2x0.97</t>
  </si>
  <si>
    <t>ПМ</t>
  </si>
  <si>
    <t>[110,85 / 1,22 /  9,84]</t>
  </si>
  <si>
    <t>36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</si>
  <si>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</si>
  <si>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</si>
  <si>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</si>
  <si>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</si>
  <si>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</si>
  <si>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</si>
  <si>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</si>
  <si>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</si>
  <si>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</si>
  <si>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</si>
  <si>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</si>
  <si>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</si>
  <si>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</si>
  <si>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</si>
  <si>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</si>
  <si>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</si>
  <si>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</si>
  <si>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</si>
  <si>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</si>
  <si>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</si>
  <si>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</si>
  <si>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</si>
  <si>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</si>
  <si>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</si>
  <si>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</si>
  <si>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</si>
  <si>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</si>
  <si>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</si>
  <si>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</si>
  <si>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</si>
  <si>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</si>
  <si>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</si>
  <si>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</si>
  <si>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</si>
  <si>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9999990001</t>
  </si>
  <si>
    <t>Масса мусора</t>
  </si>
  <si>
    <t>1.1-1-7994</t>
  </si>
  <si>
    <t>ТСН-2001.1 Доп. 79, Р. 1, о. 1, поз. 7994</t>
  </si>
  <si>
    <t>Шнур асбестовый, общего назначения, типа ШАОН, диаметр от 3 до 5 мм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</si>
  <si>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</si>
  <si>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</si>
  <si>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</si>
  <si>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</si>
  <si>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</si>
  <si>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</si>
  <si>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</si>
  <si>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</si>
  <si>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</si>
  <si>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</si>
  <si>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"НПП "ОМЕГА САУНД"</t>
  </si>
  <si>
    <t>7802113403</t>
  </si>
  <si>
    <t>Том 02-01-18 СДС КАЦ, скрины л.2-4</t>
  </si>
  <si>
    <t>1.2</t>
  </si>
  <si>
    <t>ООО ТД "ТИНКО"</t>
  </si>
  <si>
    <t>7729586386</t>
  </si>
  <si>
    <t>1.3</t>
  </si>
  <si>
    <t>АО «ТД ЭЛЕКТРОТЕХМОНТАЖ»</t>
  </si>
  <si>
    <t>7842224734</t>
  </si>
  <si>
    <t>2.1</t>
  </si>
  <si>
    <t>2.2</t>
  </si>
  <si>
    <t>2.3</t>
  </si>
  <si>
    <t>3.1</t>
  </si>
  <si>
    <t>стр. п.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</si>
  <si>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</si>
  <si>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</si>
  <si>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</si>
  <si>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</si>
  <si>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</si>
  <si>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</si>
  <si>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</si>
  <si>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</si>
  <si>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</si>
  <si>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</si>
  <si>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</si>
  <si>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</si>
  <si>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</si>
  <si>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</si>
  <si>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</si>
  <si>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</si>
  <si>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</si>
  <si>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</si>
  <si>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</si>
  <si>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</si>
  <si>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</si>
  <si>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</si>
  <si>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</si>
  <si>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</si>
  <si>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ООО "ЛУИС+"</t>
  </si>
  <si>
    <t>7714334756</t>
  </si>
  <si>
    <t>11.2</t>
  </si>
  <si>
    <t>11.3</t>
  </si>
  <si>
    <t>ООО «М-Инвест»</t>
  </si>
  <si>
    <t>7743553167</t>
  </si>
  <si>
    <t>12.1</t>
  </si>
  <si>
    <t>12.2</t>
  </si>
  <si>
    <t>12.3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</si>
  <si>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</si>
  <si>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</si>
  <si>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</si>
  <si>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</si>
  <si>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</si>
  <si>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</si>
  <si>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</si>
  <si>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</si>
  <si>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</si>
  <si>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</si>
  <si>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</si>
  <si>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</si>
  <si>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</si>
  <si>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</si>
  <si>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</si>
  <si>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</si>
  <si>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</si>
  <si>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</si>
  <si>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</si>
  <si>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</si>
  <si>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</si>
  <si>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</si>
  <si>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</si>
  <si>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</si>
  <si>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</si>
  <si>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</si>
  <si>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</si>
  <si>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</si>
  <si>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02-01-17 СДС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</si>
  <si>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</si>
  <si>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</si>
  <si>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</si>
  <si>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</si>
  <si>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</si>
  <si>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</si>
  <si>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</si>
  <si>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</si>
  <si>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</si>
  <si>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</si>
  <si>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</si>
  <si>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</si>
  <si>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</si>
  <si>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</si>
  <si>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</si>
  <si>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</si>
  <si>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</si>
  <si>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</si>
  <si>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Стойка для считывателя Stolz (Штольц) 150х150 мм</t>
    </r>
    <r>
      <rPr>
        <i/>
        <sz val="10"/>
        <rFont val="Arial"/>
        <family val="2"/>
        <charset val="204"/>
      </rPr>
      <t xml:space="preserve">
462,97 = [5 448,84 / 1,22 /  9,84] +  2% Заг.скл</t>
    </r>
  </si>
  <si>
    <t>ОБОРУДОВАНИЕ:_x000D_
Источник бесперебойного питания, напольный, мощность 550 ВА/330 Вт. Внутренние АКБ, номинальное напряжение 230 В, время автономной работы до 10 мин., диапазон рабочих температур от 0 до +40°C, габаритные размеры 140х335х86 мм</t>
  </si>
  <si>
    <r>
      <t>Кабель сигнальный, огнестойкий, низкотоксичный КСРВнг(А)-FRLSLTx 1x2x0.97</t>
    </r>
    <r>
      <rPr>
        <i/>
        <sz val="10"/>
        <rFont val="Arial"/>
        <family val="2"/>
        <charset val="204"/>
      </rPr>
      <t xml:space="preserve">
9,23 = [110,85 / 1,22 /  9,84]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</si>
  <si>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</si>
  <si>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</si>
  <si>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</si>
  <si>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</si>
  <si>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</si>
  <si>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+</t>
  </si>
  <si>
    <r>
      <t>ОБОРУДОВАНИЕ:
Пульт диспетчера (32 абонента) AN-CO32</t>
    </r>
    <r>
      <rPr>
        <i/>
        <sz val="10"/>
        <color rgb="FF821E82"/>
        <rFont val="Arial"/>
        <family val="2"/>
        <charset val="204"/>
      </rPr>
      <t xml:space="preserve">
14 083,83 = [124 784 / 1,22 /  7,57] +  3% Трансп +  1,2% Заг.скл</t>
    </r>
  </si>
  <si>
    <r>
      <t>ОБОРУДОВАНИЕ:
Блок коммутации (не более 4-х для одного пульта AN-CO32, 8 линий) AN-X8</t>
    </r>
    <r>
      <rPr>
        <i/>
        <sz val="10"/>
        <color rgb="FF821E82"/>
        <rFont val="Arial"/>
        <family val="2"/>
        <charset val="204"/>
      </rPr>
      <t xml:space="preserve">
10 468,63 = [96 682 / 1,22 /  7,57]</t>
    </r>
  </si>
  <si>
    <r>
      <t>ОБОРУДОВАНИЕ:
Блок коммутации абонентских линий AN-X8 MGN</t>
    </r>
    <r>
      <rPr>
        <i/>
        <sz val="10"/>
        <color rgb="FF821E82"/>
        <rFont val="Arial"/>
        <family val="2"/>
        <charset val="204"/>
      </rPr>
      <t xml:space="preserve">
15 062,80 = [139 111 / 1,22 /  7,57]</t>
    </r>
  </si>
  <si>
    <r>
      <t>ОБОРУДОВАНИЕ:
Устройство вызова AL-RB</t>
    </r>
    <r>
      <rPr>
        <i/>
        <sz val="10"/>
        <color rgb="FF821E82"/>
        <rFont val="Arial"/>
        <family val="2"/>
        <charset val="204"/>
      </rPr>
      <t xml:space="preserve">
963,68 = [8 900 / 1,22 /  7,57]</t>
    </r>
  </si>
  <si>
    <r>
      <t>ОБОРУДОВАНИЕ:
Устройство отмены вызова AL-CB</t>
    </r>
    <r>
      <rPr>
        <i/>
        <sz val="10"/>
        <color rgb="FF821E82"/>
        <rFont val="Arial"/>
        <family val="2"/>
        <charset val="204"/>
      </rPr>
      <t xml:space="preserve">
1 894,88 = [17 500 / 1,22 /  7,57]</t>
    </r>
  </si>
  <si>
    <r>
      <t>ОБОРУДОВАНИЕ:
Светозвуковой сигнализатор AL-DI</t>
    </r>
    <r>
      <rPr>
        <i/>
        <sz val="10"/>
        <color rgb="FF821E82"/>
        <rFont val="Arial"/>
        <family val="2"/>
        <charset val="204"/>
      </rPr>
      <t xml:space="preserve">
1 070,88 = [9 890 / 1,22 /  7,57]</t>
    </r>
  </si>
  <si>
    <r>
      <t>ОБОРУДОВАНИЕ:
Абонентское переговорное устроство с лицевой поверхностью зелёного цвета для поверхностного монтажа и защитой IP65 AN-BG-WP</t>
    </r>
    <r>
      <rPr>
        <i/>
        <sz val="10"/>
        <color rgb="FF821E82"/>
        <rFont val="Arial"/>
        <family val="2"/>
        <charset val="204"/>
      </rPr>
      <t xml:space="preserve">
4 906,34 = [45 312 / 1,22 /  7,57]</t>
    </r>
  </si>
  <si>
    <r>
      <t>ОБОРУДОВАНИЕ:
Абонентское переговорное устроство с лицевой панелью красного цвета для встроенного монтажа AN-BR1</t>
    </r>
    <r>
      <rPr>
        <i/>
        <sz val="10"/>
        <color rgb="FF821E82"/>
        <rFont val="Arial"/>
        <family val="2"/>
        <charset val="204"/>
      </rPr>
      <t xml:space="preserve">
5 784,91 = [53 426 / 1,22 /  7,57]</t>
    </r>
  </si>
  <si>
    <r>
      <t>ОБОРУДОВАНИЕ:
Абонентское переговорное устроство с лицевой панелью зеленого цвета для встроенного монтажа AN-BG1</t>
    </r>
    <r>
      <rPr>
        <i/>
        <sz val="10"/>
        <color rgb="FF821E82"/>
        <rFont val="Arial"/>
        <family val="2"/>
        <charset val="204"/>
      </rPr>
      <t xml:space="preserve">
5 784,91 = [53 426 / 1,22 /  7,57]</t>
    </r>
  </si>
  <si>
    <r>
      <t>ОБОРУДОВАНИЕ:
Аккумуляторная батарея, 12В, 26Ач (АБ 1226С)</t>
    </r>
    <r>
      <rPr>
        <i/>
        <sz val="10"/>
        <color rgb="FF821E82"/>
        <rFont val="Arial"/>
        <family val="2"/>
        <charset val="204"/>
      </rPr>
      <t xml:space="preserve">
1 744,61 = [16 112,17 / 1,22 /  7,57]</t>
    </r>
  </si>
  <si>
    <t>СОГЛ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</si>
</sst>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6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7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25" fillId="0" borderId="0" xfId="0" applyFont="1" applyAlignment="1">
      <alignment vertical="top"/>
    </xf>
    <xf numFmtId="0" fontId="25" fillId="0" borderId="0" xfId="0" applyFont="1"/>
  </cellXfs>
  <cellStyles count="2">
    <cellStyle name="Обычный" xfId="0" builtinId="0"/>
    <cellStyle name="Обычный 4" xfId="1" xr:uid="{06F8E197-68F8-4E59-9553-ECF1208BF3CD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DDB2-6297-4692-B57C-1BC27D561C1E}">
  <sheetPr filterMode="1">
    <pageSetUpPr fitToPage="1"/>
  </sheetPr>
  <dimension ref="A1:AQ356"/>
  <sheetViews>
    <sheetView tabSelected="1" view="pageBreakPreview" topLeftCell="A10" zoomScaleNormal="100" zoomScaleSheetLayoutView="100" workbookViewId="0">
      <selection activeCell="M27" sqref="M27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8.5703125" bestFit="1" customWidth="1"/>
    <col min="6" max="6" width="10.5703125" customWidth="1"/>
    <col min="7" max="7" width="8.42578125" bestFit="1" customWidth="1"/>
    <col min="8" max="8" width="9.5703125" bestFit="1" customWidth="1"/>
    <col min="9" max="9" width="13" customWidth="1"/>
    <col min="10" max="10" width="9.85546875" bestFit="1" customWidth="1"/>
    <col min="11" max="11" width="13.85546875" customWidth="1"/>
    <col min="12" max="12" width="9.140625" style="81"/>
    <col min="15" max="41" width="0" hidden="1" customWidth="1"/>
    <col min="42" max="42" width="127.28515625" hidden="1" customWidth="1"/>
    <col min="43" max="43" width="9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55" t="s">
        <v>354</v>
      </c>
      <c r="K2" s="55"/>
      <c r="L2"/>
    </row>
    <row r="3" spans="1:42" ht="16.5" hidden="1" x14ac:dyDescent="0.25">
      <c r="A3" s="18"/>
      <c r="B3" s="56" t="s">
        <v>352</v>
      </c>
      <c r="C3" s="56"/>
      <c r="D3" s="56"/>
      <c r="E3" s="56"/>
      <c r="F3" s="17"/>
      <c r="G3" s="56" t="s">
        <v>353</v>
      </c>
      <c r="H3" s="56"/>
      <c r="I3" s="56"/>
      <c r="J3" s="56"/>
      <c r="K3" s="56"/>
      <c r="L3"/>
    </row>
    <row r="4" spans="1:42" ht="14.25" hidden="1" x14ac:dyDescent="0.2">
      <c r="A4" s="17"/>
      <c r="B4" s="45"/>
      <c r="C4" s="45"/>
      <c r="D4" s="45"/>
      <c r="E4" s="45"/>
      <c r="F4" s="17"/>
      <c r="G4" s="45"/>
      <c r="H4" s="45"/>
      <c r="I4" s="45"/>
      <c r="J4" s="45"/>
      <c r="K4" s="45"/>
      <c r="L4"/>
    </row>
    <row r="5" spans="1:42" ht="14.25" hidden="1" x14ac:dyDescent="0.2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  <c r="L5"/>
    </row>
    <row r="6" spans="1:42" ht="14.25" hidden="1" x14ac:dyDescent="0.2">
      <c r="A6" s="19"/>
      <c r="B6" s="45" t="str">
        <f>CONCATENATE("______________________ ", IF(Source!AL12&lt;&gt;"", Source!AL12, ""))</f>
        <v xml:space="preserve">______________________ </v>
      </c>
      <c r="C6" s="45"/>
      <c r="D6" s="45"/>
      <c r="E6" s="45"/>
      <c r="F6" s="17"/>
      <c r="G6" s="45" t="str">
        <f>CONCATENATE("______________________ ", IF(Source!AH12&lt;&gt;"", Source!AH12, ""))</f>
        <v xml:space="preserve">______________________ </v>
      </c>
      <c r="H6" s="45"/>
      <c r="I6" s="45"/>
      <c r="J6" s="45"/>
      <c r="K6" s="45"/>
      <c r="L6"/>
    </row>
    <row r="7" spans="1:42" ht="14.25" hidden="1" x14ac:dyDescent="0.2">
      <c r="A7" s="20"/>
      <c r="B7" s="47" t="s">
        <v>355</v>
      </c>
      <c r="C7" s="47"/>
      <c r="D7" s="47"/>
      <c r="E7" s="47"/>
      <c r="F7" s="17"/>
      <c r="G7" s="47" t="s">
        <v>355</v>
      </c>
      <c r="H7" s="47"/>
      <c r="I7" s="47"/>
      <c r="J7" s="47"/>
      <c r="K7" s="47"/>
      <c r="L7"/>
    </row>
    <row r="8" spans="1:42" hidden="1" x14ac:dyDescent="0.2">
      <c r="L8"/>
    </row>
    <row r="9" spans="1:42" ht="14.25" hidden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</row>
    <row r="10" spans="1:42" ht="47.25" x14ac:dyDescent="0.25">
      <c r="A10" s="57" t="s">
        <v>404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82"/>
      <c r="AP10" s="21" t="s">
        <v>378</v>
      </c>
    </row>
    <row r="11" spans="1:42" x14ac:dyDescent="0.2">
      <c r="A11" s="58" t="s">
        <v>356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82"/>
    </row>
    <row r="12" spans="1:42" ht="14.25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82"/>
    </row>
    <row r="13" spans="1:42" ht="15.75" x14ac:dyDescent="0.25">
      <c r="A13" s="57" t="str">
        <f>CONCATENATE( "ЛОКАЛЬНАЯ СМЕТА № ",IF(Source!F12&lt;&gt;"Новый объект", Source!F12, ""))</f>
        <v>ЛОКАЛЬНАЯ СМЕТА № 02-01-17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82"/>
    </row>
    <row r="14" spans="1:42" ht="14.25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82"/>
    </row>
    <row r="15" spans="1:42" ht="18" x14ac:dyDescent="0.25">
      <c r="A15" s="61" t="str">
        <f>Source!G20</f>
        <v>Система двухсторонней связи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82"/>
    </row>
    <row r="16" spans="1:42" x14ac:dyDescent="0.2">
      <c r="A16" s="62" t="s">
        <v>357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82"/>
    </row>
    <row r="17" spans="1:42" ht="14.25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82"/>
    </row>
    <row r="18" spans="1:42" ht="14.25" x14ac:dyDescent="0.2">
      <c r="A18" s="64" t="str">
        <f>CONCATENATE( "Основание: чертежи № ", Source!J12)</f>
        <v>Основание: чертежи № 2024-00375-01-0-ИОС5.10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82"/>
    </row>
    <row r="19" spans="1:42" ht="14.25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82"/>
    </row>
    <row r="20" spans="1:42" ht="57" x14ac:dyDescent="0.2">
      <c r="A20" s="59"/>
      <c r="B20" s="59"/>
      <c r="C20" s="59"/>
      <c r="D20" s="59"/>
      <c r="E20" s="59"/>
      <c r="F20" s="59"/>
      <c r="G20" s="59"/>
      <c r="H20" s="59"/>
      <c r="I20" s="66" t="s">
        <v>358</v>
      </c>
      <c r="J20" s="66" t="s">
        <v>359</v>
      </c>
      <c r="K20" s="59"/>
      <c r="L20" s="82"/>
    </row>
    <row r="21" spans="1:42" ht="15" x14ac:dyDescent="0.25">
      <c r="A21" s="59"/>
      <c r="B21" s="59"/>
      <c r="C21" s="59"/>
      <c r="D21" s="59"/>
      <c r="E21" s="67" t="s">
        <v>360</v>
      </c>
      <c r="F21" s="67"/>
      <c r="G21" s="67"/>
      <c r="H21" s="67"/>
      <c r="I21" s="68">
        <f>I22+I23+I24+I25</f>
        <v>407.41999999999996</v>
      </c>
      <c r="J21" s="68">
        <f>J22+J23+J24+J25</f>
        <v>7732.0300000000007</v>
      </c>
      <c r="K21" s="69" t="s">
        <v>400</v>
      </c>
      <c r="L21" s="82"/>
    </row>
    <row r="22" spans="1:42" ht="14.25" x14ac:dyDescent="0.2">
      <c r="A22" s="59"/>
      <c r="B22" s="59"/>
      <c r="C22" s="59"/>
      <c r="D22" s="59"/>
      <c r="E22" s="70" t="s">
        <v>361</v>
      </c>
      <c r="F22" s="70"/>
      <c r="G22" s="70"/>
      <c r="H22" s="70"/>
      <c r="I22" s="71">
        <f>ROUND((Source!F290)/1000, 2)</f>
        <v>54.18</v>
      </c>
      <c r="J22" s="71">
        <f>ROUND((Source!P290)/1000, 2)</f>
        <v>3001.07</v>
      </c>
      <c r="K22" s="59" t="s">
        <v>400</v>
      </c>
      <c r="L22" s="82"/>
    </row>
    <row r="23" spans="1:42" ht="14.25" x14ac:dyDescent="0.2">
      <c r="A23" s="59"/>
      <c r="B23" s="59"/>
      <c r="C23" s="59"/>
      <c r="D23" s="59"/>
      <c r="E23" s="70" t="s">
        <v>362</v>
      </c>
      <c r="F23" s="70"/>
      <c r="G23" s="70"/>
      <c r="H23" s="70"/>
      <c r="I23" s="71">
        <f>ROUND((Source!F291)/1000, 2)</f>
        <v>91.98</v>
      </c>
      <c r="J23" s="71">
        <f>ROUND((Source!P291)/1000, 2)</f>
        <v>2751.29</v>
      </c>
      <c r="K23" s="59" t="s">
        <v>400</v>
      </c>
      <c r="L23" s="82"/>
    </row>
    <row r="24" spans="1:42" ht="14.25" x14ac:dyDescent="0.2">
      <c r="A24" s="59"/>
      <c r="B24" s="59"/>
      <c r="C24" s="59"/>
      <c r="D24" s="59"/>
      <c r="E24" s="70" t="s">
        <v>363</v>
      </c>
      <c r="F24" s="70"/>
      <c r="G24" s="70"/>
      <c r="H24" s="70"/>
      <c r="I24" s="71">
        <f>ROUND((Source!F282)/1000, 2)</f>
        <v>261.26</v>
      </c>
      <c r="J24" s="71">
        <f>ROUND((Source!P282)/1000, 2)</f>
        <v>1979.67</v>
      </c>
      <c r="K24" s="59" t="s">
        <v>400</v>
      </c>
      <c r="L24" s="82" t="s">
        <v>416</v>
      </c>
    </row>
    <row r="25" spans="1:42" ht="14.25" x14ac:dyDescent="0.2">
      <c r="A25" s="59"/>
      <c r="B25" s="59"/>
      <c r="C25" s="59"/>
      <c r="D25" s="59"/>
      <c r="E25" s="70" t="s">
        <v>364</v>
      </c>
      <c r="F25" s="70"/>
      <c r="G25" s="70"/>
      <c r="H25" s="70"/>
      <c r="I25" s="71">
        <f>ROUND((Source!F292+Source!F293)/1000, 2)</f>
        <v>0</v>
      </c>
      <c r="J25" s="71">
        <f>ROUND((Source!P292+Source!P293)/1000, 2)</f>
        <v>0</v>
      </c>
      <c r="K25" s="59" t="s">
        <v>400</v>
      </c>
      <c r="L25" s="82"/>
    </row>
    <row r="26" spans="1:42" ht="14.25" x14ac:dyDescent="0.2">
      <c r="A26" s="59"/>
      <c r="B26" s="59"/>
      <c r="C26" s="59"/>
      <c r="D26" s="59"/>
      <c r="E26" s="70" t="s">
        <v>365</v>
      </c>
      <c r="F26" s="70"/>
      <c r="G26" s="70"/>
      <c r="H26" s="70"/>
      <c r="I26" s="71">
        <f>(Source!F288+ Source!F287)/1000</f>
        <v>38.44482</v>
      </c>
      <c r="J26" s="71">
        <f>((Source!P288 + Source!P287)/1000)</f>
        <v>2166.3656299999998</v>
      </c>
      <c r="K26" s="59" t="s">
        <v>400</v>
      </c>
      <c r="L26" s="82"/>
    </row>
    <row r="27" spans="1:42" ht="14.25" x14ac:dyDescent="0.2">
      <c r="A27" s="59"/>
      <c r="B27" s="59"/>
      <c r="C27" s="59"/>
      <c r="D27" s="59"/>
      <c r="E27" s="70" t="s">
        <v>366</v>
      </c>
      <c r="F27" s="70"/>
      <c r="G27" s="70"/>
      <c r="H27" s="70"/>
      <c r="I27" s="71">
        <f>Source!F295</f>
        <v>3360.6184687199998</v>
      </c>
      <c r="J27" s="71"/>
      <c r="K27" s="59" t="s">
        <v>287</v>
      </c>
      <c r="L27" s="82"/>
    </row>
    <row r="28" spans="1:42" ht="14.25" x14ac:dyDescent="0.2">
      <c r="A28" s="59"/>
      <c r="B28" s="59"/>
      <c r="C28" s="59"/>
      <c r="D28" s="59"/>
      <c r="E28" s="70" t="s">
        <v>367</v>
      </c>
      <c r="F28" s="70"/>
      <c r="G28" s="70"/>
      <c r="H28" s="70"/>
      <c r="I28" s="71"/>
      <c r="J28" s="71"/>
      <c r="K28" s="59"/>
      <c r="L28" s="82"/>
    </row>
    <row r="29" spans="1:42" ht="14.25" x14ac:dyDescent="0.2">
      <c r="A29" s="59"/>
      <c r="B29" s="59"/>
      <c r="C29" s="59"/>
      <c r="D29" s="59"/>
      <c r="E29" s="72" t="s">
        <v>126</v>
      </c>
      <c r="F29" s="72"/>
      <c r="G29" s="72"/>
      <c r="H29" s="72"/>
      <c r="I29" s="71">
        <f>SUM(Y1:Y349)/1000</f>
        <v>0</v>
      </c>
      <c r="J29" s="71">
        <f>SUM(Z1:Z349)/1000</f>
        <v>0</v>
      </c>
      <c r="K29" s="59" t="s">
        <v>400</v>
      </c>
      <c r="L29" s="82"/>
    </row>
    <row r="30" spans="1:42" ht="14.25" x14ac:dyDescent="0.2">
      <c r="A30" s="59"/>
      <c r="B30" s="59"/>
      <c r="C30" s="59"/>
      <c r="D30" s="59"/>
      <c r="E30" s="59"/>
      <c r="F30" s="73"/>
      <c r="G30" s="73"/>
      <c r="H30" s="73"/>
      <c r="I30" s="71"/>
      <c r="J30" s="71"/>
      <c r="K30" s="59"/>
      <c r="L30" s="82"/>
    </row>
    <row r="31" spans="1:42" ht="14.25" x14ac:dyDescent="0.2">
      <c r="A31" s="59" t="s">
        <v>379</v>
      </c>
      <c r="B31" s="59"/>
      <c r="C31" s="59"/>
      <c r="D31" s="59"/>
      <c r="E31" s="59"/>
      <c r="F31" s="73"/>
      <c r="G31" s="73"/>
      <c r="H31" s="73"/>
      <c r="I31" s="71"/>
      <c r="J31" s="71"/>
      <c r="K31" s="59"/>
      <c r="L31" s="82"/>
    </row>
    <row r="32" spans="1:42" ht="28.5" x14ac:dyDescent="0.2">
      <c r="A32" s="64" t="s">
        <v>380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82"/>
      <c r="AP32" s="22" t="s">
        <v>380</v>
      </c>
    </row>
    <row r="33" spans="1:29" ht="99.75" x14ac:dyDescent="0.2">
      <c r="A33" s="74" t="s">
        <v>368</v>
      </c>
      <c r="B33" s="74" t="s">
        <v>369</v>
      </c>
      <c r="C33" s="74" t="s">
        <v>370</v>
      </c>
      <c r="D33" s="74" t="s">
        <v>371</v>
      </c>
      <c r="E33" s="74" t="s">
        <v>372</v>
      </c>
      <c r="F33" s="74" t="s">
        <v>373</v>
      </c>
      <c r="G33" s="75" t="s">
        <v>374</v>
      </c>
      <c r="H33" s="75" t="s">
        <v>375</v>
      </c>
      <c r="I33" s="74" t="s">
        <v>381</v>
      </c>
      <c r="J33" s="74" t="s">
        <v>376</v>
      </c>
      <c r="K33" s="74" t="s">
        <v>377</v>
      </c>
      <c r="L33" s="82"/>
    </row>
    <row r="34" spans="1:29" ht="14.25" x14ac:dyDescent="0.2">
      <c r="A34" s="74">
        <v>1</v>
      </c>
      <c r="B34" s="74">
        <v>2</v>
      </c>
      <c r="C34" s="74">
        <v>3</v>
      </c>
      <c r="D34" s="74">
        <v>4</v>
      </c>
      <c r="E34" s="74">
        <v>5</v>
      </c>
      <c r="F34" s="74">
        <v>6</v>
      </c>
      <c r="G34" s="74">
        <v>7</v>
      </c>
      <c r="H34" s="74">
        <v>8</v>
      </c>
      <c r="I34" s="74">
        <v>9</v>
      </c>
      <c r="J34" s="74">
        <v>10</v>
      </c>
      <c r="K34" s="74">
        <v>11</v>
      </c>
      <c r="L34" s="82"/>
    </row>
    <row r="35" spans="1:29" hidden="1" x14ac:dyDescent="0.2">
      <c r="L35"/>
    </row>
    <row r="36" spans="1:29" ht="16.5" hidden="1" x14ac:dyDescent="0.2">
      <c r="A36" s="53" t="str">
        <f>CONCATENATE("Локальная смета: ",IF(Source!G20&lt;&gt;"Новая локальная смета", Source!G20, ""))</f>
        <v>Локальная смета: Система двухсторонней связи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/>
    </row>
    <row r="37" spans="1:29" hidden="1" x14ac:dyDescent="0.2">
      <c r="L37"/>
    </row>
    <row r="38" spans="1:29" ht="16.5" hidden="1" x14ac:dyDescent="0.2">
      <c r="A38" s="53" t="str">
        <f>CONCATENATE("Раздел: ",IF(Source!G24&lt;&gt;"Новый раздел", Source!G24, ""))</f>
        <v>Раздел: Демонтажные работы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/>
    </row>
    <row r="39" spans="1:29" ht="42.75" hidden="1" x14ac:dyDescent="0.2">
      <c r="A39" s="23">
        <v>1</v>
      </c>
      <c r="B39" s="23" t="str">
        <f>Source!F28</f>
        <v>4.11-7-1</v>
      </c>
      <c r="C39" s="23" t="s">
        <v>27</v>
      </c>
      <c r="D39" s="25" t="str">
        <f>Source!H28</f>
        <v>1ШТ.</v>
      </c>
      <c r="E39" s="24">
        <f>Source!I28</f>
        <v>1</v>
      </c>
      <c r="F39" s="27"/>
      <c r="G39" s="26"/>
      <c r="H39" s="24"/>
      <c r="I39" s="27"/>
      <c r="J39" s="24"/>
      <c r="K39" s="27"/>
      <c r="L39"/>
      <c r="Q39">
        <f>Source!X28</f>
        <v>4.59</v>
      </c>
      <c r="R39">
        <f>Source!X29</f>
        <v>258.64999999999998</v>
      </c>
      <c r="S39">
        <f>Source!Y28</f>
        <v>2.35</v>
      </c>
      <c r="T39">
        <f>Source!Y29</f>
        <v>132.19999999999999</v>
      </c>
      <c r="U39">
        <f>ROUND((175/100)*ROUND(Source!R28, 2), 2)</f>
        <v>1.33</v>
      </c>
      <c r="V39">
        <f>ROUND((0/100)*ROUND(Source!R29, 2), 2)</f>
        <v>0</v>
      </c>
      <c r="AC39">
        <v>0</v>
      </c>
    </row>
    <row r="40" spans="1:29" ht="14.25" hidden="1" x14ac:dyDescent="0.2">
      <c r="A40" s="23"/>
      <c r="B40" s="23"/>
      <c r="C40" s="23" t="s">
        <v>382</v>
      </c>
      <c r="D40" s="25"/>
      <c r="E40" s="24"/>
      <c r="F40" s="27">
        <f>Source!AO28</f>
        <v>11.52</v>
      </c>
      <c r="G40" s="26" t="s">
        <v>383</v>
      </c>
      <c r="H40" s="24">
        <f>Source!AV29</f>
        <v>1.0469999999999999</v>
      </c>
      <c r="I40" s="27">
        <f>Source!S28</f>
        <v>4.34</v>
      </c>
      <c r="J40" s="24">
        <f>IF(Source!BA29&lt;&gt; 0, Source!BA29, 1)</f>
        <v>56.35</v>
      </c>
      <c r="K40" s="27">
        <f>Source!S29</f>
        <v>244.56</v>
      </c>
      <c r="L40"/>
    </row>
    <row r="41" spans="1:29" ht="14.25" hidden="1" x14ac:dyDescent="0.2">
      <c r="A41" s="23"/>
      <c r="B41" s="23"/>
      <c r="C41" s="23" t="s">
        <v>384</v>
      </c>
      <c r="D41" s="25"/>
      <c r="E41" s="24"/>
      <c r="F41" s="27">
        <f>Source!AM28</f>
        <v>13.3</v>
      </c>
      <c r="G41" s="26" t="s">
        <v>383</v>
      </c>
      <c r="H41" s="24">
        <f>Source!AV29</f>
        <v>1.0469999999999999</v>
      </c>
      <c r="I41" s="27">
        <f>Source!Q28</f>
        <v>5.01</v>
      </c>
      <c r="J41" s="24">
        <f>IF(Source!BB29&lt;&gt; 0, Source!BB29, 1)</f>
        <v>17.059999999999999</v>
      </c>
      <c r="K41" s="27">
        <f>Source!Q29</f>
        <v>85.47</v>
      </c>
      <c r="L41"/>
    </row>
    <row r="42" spans="1:29" ht="14.25" hidden="1" x14ac:dyDescent="0.2">
      <c r="A42" s="23"/>
      <c r="B42" s="23"/>
      <c r="C42" s="23" t="s">
        <v>385</v>
      </c>
      <c r="D42" s="25"/>
      <c r="E42" s="24"/>
      <c r="F42" s="27">
        <f>Source!AN28</f>
        <v>2.02</v>
      </c>
      <c r="G42" s="26" t="s">
        <v>383</v>
      </c>
      <c r="H42" s="24">
        <f>Source!AV29</f>
        <v>1.0469999999999999</v>
      </c>
      <c r="I42" s="28">
        <f>Source!R28</f>
        <v>0.76</v>
      </c>
      <c r="J42" s="24">
        <f>IF(Source!BS29&lt;&gt; 0, Source!BS29, 1)</f>
        <v>56.35</v>
      </c>
      <c r="K42" s="28">
        <f>Source!R29</f>
        <v>42.83</v>
      </c>
      <c r="L42"/>
    </row>
    <row r="43" spans="1:29" ht="14.25" hidden="1" x14ac:dyDescent="0.2">
      <c r="A43" s="23"/>
      <c r="B43" s="23"/>
      <c r="C43" s="23" t="s">
        <v>386</v>
      </c>
      <c r="D43" s="25" t="s">
        <v>387</v>
      </c>
      <c r="E43" s="24">
        <f>Source!BZ29</f>
        <v>90</v>
      </c>
      <c r="F43" s="27"/>
      <c r="G43" s="26"/>
      <c r="H43" s="24"/>
      <c r="I43" s="27">
        <f>SUM(Q39:Q42)</f>
        <v>4.59</v>
      </c>
      <c r="J43" s="24">
        <f>Source!AT29</f>
        <v>90</v>
      </c>
      <c r="K43" s="27">
        <f>SUM(R39:R42)</f>
        <v>258.64999999999998</v>
      </c>
      <c r="L43"/>
    </row>
    <row r="44" spans="1:29" ht="14.25" hidden="1" x14ac:dyDescent="0.2">
      <c r="A44" s="23"/>
      <c r="B44" s="23"/>
      <c r="C44" s="23" t="s">
        <v>388</v>
      </c>
      <c r="D44" s="25" t="s">
        <v>387</v>
      </c>
      <c r="E44" s="24">
        <f>Source!CA29</f>
        <v>46</v>
      </c>
      <c r="F44" s="27"/>
      <c r="G44" s="26"/>
      <c r="H44" s="24"/>
      <c r="I44" s="27">
        <f>SUM(S39:S43)</f>
        <v>2.35</v>
      </c>
      <c r="J44" s="24">
        <f>Source!AU29</f>
        <v>46</v>
      </c>
      <c r="K44" s="27">
        <f>SUM(T39:T43)</f>
        <v>132.19999999999999</v>
      </c>
      <c r="L44"/>
    </row>
    <row r="45" spans="1:29" ht="14.25" hidden="1" x14ac:dyDescent="0.2">
      <c r="A45" s="29"/>
      <c r="B45" s="29"/>
      <c r="C45" s="29" t="s">
        <v>389</v>
      </c>
      <c r="D45" s="30" t="s">
        <v>390</v>
      </c>
      <c r="E45" s="31">
        <f>Source!AQ28</f>
        <v>1.03</v>
      </c>
      <c r="F45" s="32"/>
      <c r="G45" s="33" t="s">
        <v>383</v>
      </c>
      <c r="H45" s="31">
        <f>Source!AV29</f>
        <v>1.0469999999999999</v>
      </c>
      <c r="I45" s="32">
        <f>Source!U28</f>
        <v>0.38822759999999995</v>
      </c>
      <c r="J45" s="31"/>
      <c r="K45" s="32"/>
      <c r="L45"/>
    </row>
    <row r="46" spans="1:29" ht="15" hidden="1" x14ac:dyDescent="0.2">
      <c r="C46" s="34" t="s">
        <v>391</v>
      </c>
      <c r="H46" s="52">
        <f>I40+I41+I43+I44+0-0-0</f>
        <v>16.29</v>
      </c>
      <c r="I46" s="52"/>
      <c r="J46" s="52">
        <f>K40+K41+K43+K44+0-0-0</f>
        <v>720.87999999999988</v>
      </c>
      <c r="K46" s="52"/>
      <c r="L46"/>
    </row>
    <row r="47" spans="1:29" ht="15" hidden="1" x14ac:dyDescent="0.2">
      <c r="C47" s="34" t="s">
        <v>392</v>
      </c>
      <c r="H47" s="49">
        <f>0+0</f>
        <v>0</v>
      </c>
      <c r="I47" s="49"/>
      <c r="J47" s="49">
        <f>0+0</f>
        <v>0</v>
      </c>
      <c r="K47" s="49"/>
      <c r="L47"/>
    </row>
    <row r="48" spans="1:29" ht="15" hidden="1" x14ac:dyDescent="0.2">
      <c r="C48" s="34" t="s">
        <v>393</v>
      </c>
      <c r="H48" s="49">
        <f>I40+I41+I43+I44+0</f>
        <v>16.29</v>
      </c>
      <c r="I48" s="49"/>
      <c r="J48" s="49">
        <f>K40+K41+K43+K44+0</f>
        <v>720.87999999999988</v>
      </c>
      <c r="K48" s="49"/>
      <c r="L48"/>
      <c r="O48" s="35">
        <f>I40+I41+I43+I44+0</f>
        <v>16.29</v>
      </c>
      <c r="P48" s="35">
        <f>K40+K41+K43+K44+0</f>
        <v>720.87999999999988</v>
      </c>
    </row>
    <row r="49" spans="1:29" hidden="1" x14ac:dyDescent="0.2">
      <c r="L49"/>
    </row>
    <row r="50" spans="1:29" ht="28.5" hidden="1" x14ac:dyDescent="0.2">
      <c r="A50" s="23">
        <v>2</v>
      </c>
      <c r="B50" s="23" t="str">
        <f>Source!F30</f>
        <v>4.10-34-5</v>
      </c>
      <c r="C50" s="23" t="s">
        <v>39</v>
      </c>
      <c r="D50" s="25" t="str">
        <f>Source!H30</f>
        <v>1  ШТ.</v>
      </c>
      <c r="E50" s="24">
        <f>Source!I30</f>
        <v>5</v>
      </c>
      <c r="F50" s="27"/>
      <c r="G50" s="26"/>
      <c r="H50" s="24"/>
      <c r="I50" s="27"/>
      <c r="J50" s="24"/>
      <c r="K50" s="27"/>
      <c r="L50"/>
      <c r="Q50">
        <f>Source!X30</f>
        <v>138.07</v>
      </c>
      <c r="R50">
        <f>Source!X31</f>
        <v>7780.19</v>
      </c>
      <c r="S50">
        <f>Source!Y30</f>
        <v>70.569999999999993</v>
      </c>
      <c r="T50">
        <f>Source!Y31</f>
        <v>3976.54</v>
      </c>
      <c r="U50">
        <f>ROUND((175/100)*ROUND(Source!R30, 2), 2)</f>
        <v>10.43</v>
      </c>
      <c r="V50">
        <f>ROUND((0/100)*ROUND(Source!R31, 2), 2)</f>
        <v>0</v>
      </c>
      <c r="AC50">
        <v>0</v>
      </c>
    </row>
    <row r="51" spans="1:29" hidden="1" x14ac:dyDescent="0.2">
      <c r="C51" s="36" t="str">
        <f>"Объем: "&amp;Source!I30&amp;"=4+"&amp;"1"</f>
        <v>Объем: 5=4+1</v>
      </c>
      <c r="L51"/>
    </row>
    <row r="52" spans="1:29" ht="14.25" hidden="1" x14ac:dyDescent="0.2">
      <c r="A52" s="23"/>
      <c r="B52" s="23"/>
      <c r="C52" s="23" t="s">
        <v>382</v>
      </c>
      <c r="D52" s="25"/>
      <c r="E52" s="24"/>
      <c r="F52" s="27">
        <f>Source!AO30</f>
        <v>78.239999999999995</v>
      </c>
      <c r="G52" s="26" t="s">
        <v>383</v>
      </c>
      <c r="H52" s="24">
        <f>Source!AV31</f>
        <v>1.0469999999999999</v>
      </c>
      <c r="I52" s="27">
        <f>Source!S30</f>
        <v>147.44999999999999</v>
      </c>
      <c r="J52" s="24">
        <f>IF(Source!BA31&lt;&gt; 0, Source!BA31, 1)</f>
        <v>56.35</v>
      </c>
      <c r="K52" s="27">
        <f>Source!S31</f>
        <v>8308.81</v>
      </c>
      <c r="L52"/>
    </row>
    <row r="53" spans="1:29" ht="14.25" hidden="1" x14ac:dyDescent="0.2">
      <c r="A53" s="23"/>
      <c r="B53" s="23"/>
      <c r="C53" s="23" t="s">
        <v>384</v>
      </c>
      <c r="D53" s="25"/>
      <c r="E53" s="24"/>
      <c r="F53" s="27">
        <f>Source!AM30</f>
        <v>28.71</v>
      </c>
      <c r="G53" s="26" t="s">
        <v>383</v>
      </c>
      <c r="H53" s="24">
        <f>Source!AV31</f>
        <v>1.0469999999999999</v>
      </c>
      <c r="I53" s="27">
        <f>Source!Q30</f>
        <v>54.11</v>
      </c>
      <c r="J53" s="24">
        <f>IF(Source!BB31&lt;&gt; 0, Source!BB31, 1)</f>
        <v>16.16</v>
      </c>
      <c r="K53" s="27">
        <f>Source!Q31</f>
        <v>874.42</v>
      </c>
      <c r="L53"/>
    </row>
    <row r="54" spans="1:29" ht="14.25" hidden="1" x14ac:dyDescent="0.2">
      <c r="A54" s="23"/>
      <c r="B54" s="23"/>
      <c r="C54" s="23" t="s">
        <v>385</v>
      </c>
      <c r="D54" s="25"/>
      <c r="E54" s="24"/>
      <c r="F54" s="27">
        <f>Source!AN30</f>
        <v>3.16</v>
      </c>
      <c r="G54" s="26" t="s">
        <v>383</v>
      </c>
      <c r="H54" s="24">
        <f>Source!AV31</f>
        <v>1.0469999999999999</v>
      </c>
      <c r="I54" s="28">
        <f>Source!R30</f>
        <v>5.96</v>
      </c>
      <c r="J54" s="24">
        <f>IF(Source!BS31&lt;&gt; 0, Source!BS31, 1)</f>
        <v>56.35</v>
      </c>
      <c r="K54" s="28">
        <f>Source!R31</f>
        <v>335.85</v>
      </c>
      <c r="L54"/>
    </row>
    <row r="55" spans="1:29" ht="14.25" hidden="1" x14ac:dyDescent="0.2">
      <c r="A55" s="23"/>
      <c r="B55" s="23"/>
      <c r="C55" s="23" t="s">
        <v>386</v>
      </c>
      <c r="D55" s="25" t="s">
        <v>387</v>
      </c>
      <c r="E55" s="24">
        <f>Source!BZ31</f>
        <v>90</v>
      </c>
      <c r="F55" s="27"/>
      <c r="G55" s="26"/>
      <c r="H55" s="24"/>
      <c r="I55" s="27">
        <f>SUM(Q50:Q54)</f>
        <v>138.07</v>
      </c>
      <c r="J55" s="24">
        <f>Source!AT31</f>
        <v>90</v>
      </c>
      <c r="K55" s="27">
        <f>SUM(R50:R54)</f>
        <v>7780.19</v>
      </c>
      <c r="L55"/>
    </row>
    <row r="56" spans="1:29" ht="14.25" hidden="1" x14ac:dyDescent="0.2">
      <c r="A56" s="23"/>
      <c r="B56" s="23"/>
      <c r="C56" s="23" t="s">
        <v>388</v>
      </c>
      <c r="D56" s="25" t="s">
        <v>387</v>
      </c>
      <c r="E56" s="24">
        <f>Source!CA31</f>
        <v>46</v>
      </c>
      <c r="F56" s="27"/>
      <c r="G56" s="26"/>
      <c r="H56" s="24"/>
      <c r="I56" s="27">
        <f>SUM(S50:S55)</f>
        <v>70.569999999999993</v>
      </c>
      <c r="J56" s="24">
        <f>Source!AU31</f>
        <v>46</v>
      </c>
      <c r="K56" s="27">
        <f>SUM(T50:T55)</f>
        <v>3976.54</v>
      </c>
      <c r="L56"/>
    </row>
    <row r="57" spans="1:29" ht="14.25" hidden="1" x14ac:dyDescent="0.2">
      <c r="A57" s="29"/>
      <c r="B57" s="29"/>
      <c r="C57" s="29" t="s">
        <v>389</v>
      </c>
      <c r="D57" s="30" t="s">
        <v>390</v>
      </c>
      <c r="E57" s="31">
        <f>Source!AQ30</f>
        <v>6.2</v>
      </c>
      <c r="F57" s="32"/>
      <c r="G57" s="33" t="s">
        <v>383</v>
      </c>
      <c r="H57" s="31">
        <f>Source!AV31</f>
        <v>1.0469999999999999</v>
      </c>
      <c r="I57" s="32">
        <f>Source!U30</f>
        <v>11.684519999999999</v>
      </c>
      <c r="J57" s="31"/>
      <c r="K57" s="32"/>
      <c r="L57"/>
    </row>
    <row r="58" spans="1:29" ht="15" hidden="1" x14ac:dyDescent="0.2">
      <c r="C58" s="34" t="s">
        <v>391</v>
      </c>
      <c r="H58" s="52">
        <f>I52+I53+I55+I56+0-0-0</f>
        <v>410.2</v>
      </c>
      <c r="I58" s="52"/>
      <c r="J58" s="52">
        <f>K52+K53+K55+K56+0-0-0</f>
        <v>20939.96</v>
      </c>
      <c r="K58" s="52"/>
      <c r="L58"/>
    </row>
    <row r="59" spans="1:29" ht="15" hidden="1" x14ac:dyDescent="0.2">
      <c r="C59" s="34" t="s">
        <v>392</v>
      </c>
      <c r="H59" s="49">
        <f>0+0</f>
        <v>0</v>
      </c>
      <c r="I59" s="49"/>
      <c r="J59" s="49">
        <f>0+0</f>
        <v>0</v>
      </c>
      <c r="K59" s="49"/>
      <c r="L59"/>
    </row>
    <row r="60" spans="1:29" ht="15" hidden="1" x14ac:dyDescent="0.2">
      <c r="C60" s="34" t="s">
        <v>393</v>
      </c>
      <c r="H60" s="49">
        <f>I52+I53+I55+I56+0</f>
        <v>410.2</v>
      </c>
      <c r="I60" s="49"/>
      <c r="J60" s="49">
        <f>K52+K53+K55+K56+0</f>
        <v>20939.96</v>
      </c>
      <c r="K60" s="49"/>
      <c r="L60"/>
      <c r="O60" s="35">
        <f>I52+I53+I55+I56+0</f>
        <v>410.2</v>
      </c>
      <c r="P60" s="35">
        <f>K52+K53+K55+K56+0</f>
        <v>20939.96</v>
      </c>
    </row>
    <row r="61" spans="1:29" hidden="1" x14ac:dyDescent="0.2">
      <c r="L61"/>
    </row>
    <row r="62" spans="1:29" ht="57" hidden="1" x14ac:dyDescent="0.2">
      <c r="A62" s="23">
        <v>3</v>
      </c>
      <c r="B62" s="23" t="str">
        <f>Source!F32</f>
        <v>4.11-1-4</v>
      </c>
      <c r="C62" s="23" t="s">
        <v>45</v>
      </c>
      <c r="D62" s="25" t="str">
        <f>Source!H32</f>
        <v>1ШТ.</v>
      </c>
      <c r="E62" s="24">
        <f>Source!I32</f>
        <v>2</v>
      </c>
      <c r="F62" s="27"/>
      <c r="G62" s="26"/>
      <c r="H62" s="24"/>
      <c r="I62" s="27"/>
      <c r="J62" s="24"/>
      <c r="K62" s="27"/>
      <c r="L62"/>
      <c r="Q62">
        <f>Source!X32</f>
        <v>8.84</v>
      </c>
      <c r="R62">
        <f>Source!X33</f>
        <v>498.02</v>
      </c>
      <c r="S62">
        <f>Source!Y32</f>
        <v>4.5199999999999996</v>
      </c>
      <c r="T62">
        <f>Source!Y33</f>
        <v>254.55</v>
      </c>
      <c r="U62">
        <f>ROUND((175/100)*ROUND(Source!R32, 2), 2)</f>
        <v>1.63</v>
      </c>
      <c r="V62">
        <f>ROUND((0/100)*ROUND(Source!R33, 2), 2)</f>
        <v>0</v>
      </c>
      <c r="AC62">
        <v>0</v>
      </c>
    </row>
    <row r="63" spans="1:29" ht="14.25" hidden="1" x14ac:dyDescent="0.2">
      <c r="A63" s="23"/>
      <c r="B63" s="23"/>
      <c r="C63" s="23" t="s">
        <v>382</v>
      </c>
      <c r="D63" s="25"/>
      <c r="E63" s="24"/>
      <c r="F63" s="27">
        <f>Source!AO32</f>
        <v>11.79</v>
      </c>
      <c r="G63" s="26" t="s">
        <v>383</v>
      </c>
      <c r="H63" s="24">
        <f>Source!AV33</f>
        <v>1.0469999999999999</v>
      </c>
      <c r="I63" s="27">
        <f>Source!S32</f>
        <v>8.89</v>
      </c>
      <c r="J63" s="24">
        <f>IF(Source!BA33&lt;&gt; 0, Source!BA33, 1)</f>
        <v>56.35</v>
      </c>
      <c r="K63" s="27">
        <f>Source!S33</f>
        <v>500.95</v>
      </c>
      <c r="L63"/>
    </row>
    <row r="64" spans="1:29" ht="14.25" hidden="1" x14ac:dyDescent="0.2">
      <c r="A64" s="23"/>
      <c r="B64" s="23"/>
      <c r="C64" s="23" t="s">
        <v>384</v>
      </c>
      <c r="D64" s="25"/>
      <c r="E64" s="24"/>
      <c r="F64" s="27">
        <f>Source!AM32</f>
        <v>5.37</v>
      </c>
      <c r="G64" s="26" t="s">
        <v>383</v>
      </c>
      <c r="H64" s="24">
        <f>Source!AV33</f>
        <v>1.0469999999999999</v>
      </c>
      <c r="I64" s="27">
        <f>Source!Q32</f>
        <v>4.05</v>
      </c>
      <c r="J64" s="24">
        <f>IF(Source!BB33&lt;&gt; 0, Source!BB33, 1)</f>
        <v>22.63</v>
      </c>
      <c r="K64" s="27">
        <f>Source!Q33</f>
        <v>91.65</v>
      </c>
      <c r="L64"/>
    </row>
    <row r="65" spans="1:29" ht="14.25" hidden="1" x14ac:dyDescent="0.2">
      <c r="A65" s="23"/>
      <c r="B65" s="23"/>
      <c r="C65" s="23" t="s">
        <v>385</v>
      </c>
      <c r="D65" s="25"/>
      <c r="E65" s="24"/>
      <c r="F65" s="27">
        <f>Source!AN32</f>
        <v>1.23</v>
      </c>
      <c r="G65" s="26" t="s">
        <v>383</v>
      </c>
      <c r="H65" s="24">
        <f>Source!AV33</f>
        <v>1.0469999999999999</v>
      </c>
      <c r="I65" s="28">
        <f>Source!R32</f>
        <v>0.93</v>
      </c>
      <c r="J65" s="24">
        <f>IF(Source!BS33&lt;&gt; 0, Source!BS33, 1)</f>
        <v>56.35</v>
      </c>
      <c r="K65" s="28">
        <f>Source!R33</f>
        <v>52.41</v>
      </c>
      <c r="L65"/>
    </row>
    <row r="66" spans="1:29" ht="14.25" hidden="1" x14ac:dyDescent="0.2">
      <c r="A66" s="23"/>
      <c r="B66" s="23"/>
      <c r="C66" s="23" t="s">
        <v>386</v>
      </c>
      <c r="D66" s="25" t="s">
        <v>387</v>
      </c>
      <c r="E66" s="24">
        <f>Source!BZ33</f>
        <v>90</v>
      </c>
      <c r="F66" s="27"/>
      <c r="G66" s="26"/>
      <c r="H66" s="24"/>
      <c r="I66" s="27">
        <f>SUM(Q62:Q65)</f>
        <v>8.84</v>
      </c>
      <c r="J66" s="24">
        <f>Source!AT33</f>
        <v>90</v>
      </c>
      <c r="K66" s="27">
        <f>SUM(R62:R65)</f>
        <v>498.02</v>
      </c>
      <c r="L66"/>
    </row>
    <row r="67" spans="1:29" ht="14.25" hidden="1" x14ac:dyDescent="0.2">
      <c r="A67" s="23"/>
      <c r="B67" s="23"/>
      <c r="C67" s="23" t="s">
        <v>388</v>
      </c>
      <c r="D67" s="25" t="s">
        <v>387</v>
      </c>
      <c r="E67" s="24">
        <f>Source!CA33</f>
        <v>46</v>
      </c>
      <c r="F67" s="27"/>
      <c r="G67" s="26"/>
      <c r="H67" s="24"/>
      <c r="I67" s="27">
        <f>SUM(S62:S66)</f>
        <v>4.5199999999999996</v>
      </c>
      <c r="J67" s="24">
        <f>Source!AU33</f>
        <v>46</v>
      </c>
      <c r="K67" s="27">
        <f>SUM(T62:T66)</f>
        <v>254.55</v>
      </c>
      <c r="L67"/>
    </row>
    <row r="68" spans="1:29" ht="14.25" hidden="1" x14ac:dyDescent="0.2">
      <c r="A68" s="29"/>
      <c r="B68" s="29"/>
      <c r="C68" s="29" t="s">
        <v>389</v>
      </c>
      <c r="D68" s="30" t="s">
        <v>390</v>
      </c>
      <c r="E68" s="31">
        <f>Source!AQ32</f>
        <v>1.03</v>
      </c>
      <c r="F68" s="32"/>
      <c r="G68" s="33" t="s">
        <v>383</v>
      </c>
      <c r="H68" s="31">
        <f>Source!AV33</f>
        <v>1.0469999999999999</v>
      </c>
      <c r="I68" s="32">
        <f>Source!U32</f>
        <v>0.7764551999999999</v>
      </c>
      <c r="J68" s="31"/>
      <c r="K68" s="32"/>
      <c r="L68"/>
    </row>
    <row r="69" spans="1:29" ht="15" hidden="1" x14ac:dyDescent="0.2">
      <c r="C69" s="34" t="s">
        <v>391</v>
      </c>
      <c r="H69" s="52">
        <f>I63+I64+I66+I67+0-0-0</f>
        <v>26.3</v>
      </c>
      <c r="I69" s="52"/>
      <c r="J69" s="52">
        <f>K63+K64+K66+K67+0-0-0</f>
        <v>1345.1699999999998</v>
      </c>
      <c r="K69" s="52"/>
      <c r="L69"/>
    </row>
    <row r="70" spans="1:29" ht="15" hidden="1" x14ac:dyDescent="0.2">
      <c r="C70" s="34" t="s">
        <v>392</v>
      </c>
      <c r="H70" s="49">
        <f>0+0</f>
        <v>0</v>
      </c>
      <c r="I70" s="49"/>
      <c r="J70" s="49">
        <f>0+0</f>
        <v>0</v>
      </c>
      <c r="K70" s="49"/>
      <c r="L70"/>
    </row>
    <row r="71" spans="1:29" ht="15" hidden="1" x14ac:dyDescent="0.2">
      <c r="C71" s="34" t="s">
        <v>393</v>
      </c>
      <c r="H71" s="49">
        <f>I63+I64+I66+I67+0</f>
        <v>26.3</v>
      </c>
      <c r="I71" s="49"/>
      <c r="J71" s="49">
        <f>K63+K64+K66+K67+0</f>
        <v>1345.1699999999998</v>
      </c>
      <c r="K71" s="49"/>
      <c r="L71"/>
      <c r="O71" s="35">
        <f>I63+I64+I66+I67+0</f>
        <v>26.3</v>
      </c>
      <c r="P71" s="35">
        <f>K63+K64+K66+K67+0</f>
        <v>1345.1699999999998</v>
      </c>
    </row>
    <row r="72" spans="1:29" hidden="1" x14ac:dyDescent="0.2">
      <c r="L72"/>
    </row>
    <row r="73" spans="1:29" ht="28.5" hidden="1" x14ac:dyDescent="0.2">
      <c r="A73" s="23">
        <v>4</v>
      </c>
      <c r="B73" s="23" t="str">
        <f>Source!F34</f>
        <v>4.10-76-10</v>
      </c>
      <c r="C73" s="23" t="s">
        <v>49</v>
      </c>
      <c r="D73" s="25" t="str">
        <f>Source!H34</f>
        <v>1ШТ.</v>
      </c>
      <c r="E73" s="24">
        <f>Source!I34</f>
        <v>2</v>
      </c>
      <c r="F73" s="27"/>
      <c r="G73" s="26"/>
      <c r="H73" s="24"/>
      <c r="I73" s="27"/>
      <c r="J73" s="24"/>
      <c r="K73" s="27"/>
      <c r="L73"/>
      <c r="Q73">
        <f>Source!X34</f>
        <v>8.51</v>
      </c>
      <c r="R73">
        <f>Source!X35</f>
        <v>479.66</v>
      </c>
      <c r="S73">
        <f>Source!Y34</f>
        <v>4.75</v>
      </c>
      <c r="T73">
        <f>Source!Y35</f>
        <v>267.60000000000002</v>
      </c>
      <c r="U73">
        <f>ROUND((175/100)*ROUND(Source!R34, 2), 2)</f>
        <v>0</v>
      </c>
      <c r="V73">
        <f>ROUND((0/100)*ROUND(Source!R35, 2), 2)</f>
        <v>0</v>
      </c>
      <c r="AC73">
        <v>0</v>
      </c>
    </row>
    <row r="74" spans="1:29" ht="14.25" hidden="1" x14ac:dyDescent="0.2">
      <c r="A74" s="23"/>
      <c r="B74" s="23"/>
      <c r="C74" s="23" t="s">
        <v>382</v>
      </c>
      <c r="D74" s="25"/>
      <c r="E74" s="24"/>
      <c r="F74" s="27">
        <f>Source!AO34</f>
        <v>11.89</v>
      </c>
      <c r="G74" s="26" t="s">
        <v>383</v>
      </c>
      <c r="H74" s="24">
        <f>Source!AV35</f>
        <v>1.0469999999999999</v>
      </c>
      <c r="I74" s="27">
        <f>Source!S34</f>
        <v>8.9600000000000009</v>
      </c>
      <c r="J74" s="24">
        <f>IF(Source!BA35&lt;&gt; 0, Source!BA35, 1)</f>
        <v>56.35</v>
      </c>
      <c r="K74" s="27">
        <f>Source!S35</f>
        <v>504.9</v>
      </c>
      <c r="L74"/>
    </row>
    <row r="75" spans="1:29" ht="14.25" hidden="1" x14ac:dyDescent="0.2">
      <c r="A75" s="23"/>
      <c r="B75" s="23"/>
      <c r="C75" s="23" t="s">
        <v>386</v>
      </c>
      <c r="D75" s="25" t="s">
        <v>387</v>
      </c>
      <c r="E75" s="24">
        <f>Source!BZ35</f>
        <v>95</v>
      </c>
      <c r="F75" s="27"/>
      <c r="G75" s="26"/>
      <c r="H75" s="24"/>
      <c r="I75" s="27">
        <f>SUM(Q73:Q74)</f>
        <v>8.51</v>
      </c>
      <c r="J75" s="24">
        <f>Source!AT35</f>
        <v>95</v>
      </c>
      <c r="K75" s="27">
        <f>SUM(R73:R74)</f>
        <v>479.66</v>
      </c>
      <c r="L75"/>
    </row>
    <row r="76" spans="1:29" ht="14.25" hidden="1" x14ac:dyDescent="0.2">
      <c r="A76" s="23"/>
      <c r="B76" s="23"/>
      <c r="C76" s="23" t="s">
        <v>388</v>
      </c>
      <c r="D76" s="25" t="s">
        <v>387</v>
      </c>
      <c r="E76" s="24">
        <f>Source!CA35</f>
        <v>53</v>
      </c>
      <c r="F76" s="27"/>
      <c r="G76" s="26"/>
      <c r="H76" s="24"/>
      <c r="I76" s="27">
        <f>SUM(S73:S75)</f>
        <v>4.75</v>
      </c>
      <c r="J76" s="24">
        <f>Source!AU35</f>
        <v>53</v>
      </c>
      <c r="K76" s="27">
        <f>SUM(T73:T75)</f>
        <v>267.60000000000002</v>
      </c>
      <c r="L76"/>
    </row>
    <row r="77" spans="1:29" ht="14.25" hidden="1" x14ac:dyDescent="0.2">
      <c r="A77" s="29"/>
      <c r="B77" s="29"/>
      <c r="C77" s="29" t="s">
        <v>389</v>
      </c>
      <c r="D77" s="30" t="s">
        <v>390</v>
      </c>
      <c r="E77" s="31">
        <f>Source!AQ34</f>
        <v>1</v>
      </c>
      <c r="F77" s="32"/>
      <c r="G77" s="33" t="s">
        <v>383</v>
      </c>
      <c r="H77" s="31">
        <f>Source!AV35</f>
        <v>1.0469999999999999</v>
      </c>
      <c r="I77" s="32">
        <f>Source!U34</f>
        <v>0.75383999999999995</v>
      </c>
      <c r="J77" s="31"/>
      <c r="K77" s="32"/>
      <c r="L77"/>
    </row>
    <row r="78" spans="1:29" ht="15" hidden="1" x14ac:dyDescent="0.2">
      <c r="C78" s="34" t="s">
        <v>391</v>
      </c>
      <c r="H78" s="52">
        <f>I74+I75+I76+0-0-0</f>
        <v>22.22</v>
      </c>
      <c r="I78" s="52"/>
      <c r="J78" s="52">
        <f>K74+K75+K76+0-0-0</f>
        <v>1252.1599999999999</v>
      </c>
      <c r="K78" s="52"/>
      <c r="L78"/>
    </row>
    <row r="79" spans="1:29" ht="15" hidden="1" x14ac:dyDescent="0.2">
      <c r="C79" s="34" t="s">
        <v>392</v>
      </c>
      <c r="H79" s="49">
        <f>0+0</f>
        <v>0</v>
      </c>
      <c r="I79" s="49"/>
      <c r="J79" s="49">
        <f>0+0</f>
        <v>0</v>
      </c>
      <c r="K79" s="49"/>
      <c r="L79"/>
    </row>
    <row r="80" spans="1:29" ht="15" hidden="1" x14ac:dyDescent="0.2">
      <c r="C80" s="34" t="s">
        <v>393</v>
      </c>
      <c r="H80" s="49">
        <f>I74+I75+I76+0</f>
        <v>22.22</v>
      </c>
      <c r="I80" s="49"/>
      <c r="J80" s="49">
        <f>K74+K75+K76+0</f>
        <v>1252.1599999999999</v>
      </c>
      <c r="K80" s="49"/>
      <c r="L80"/>
      <c r="O80" s="35">
        <f>I74+I75+I76+0</f>
        <v>22.22</v>
      </c>
      <c r="P80" s="35">
        <f>K74+K75+K76+0</f>
        <v>1252.1599999999999</v>
      </c>
    </row>
    <row r="81" spans="1:29" hidden="1" x14ac:dyDescent="0.2">
      <c r="L81"/>
    </row>
    <row r="82" spans="1:29" ht="42.75" hidden="1" x14ac:dyDescent="0.2">
      <c r="A82" s="23">
        <v>5</v>
      </c>
      <c r="B82" s="23" t="str">
        <f>Source!F36</f>
        <v>4.10-76-15</v>
      </c>
      <c r="C82" s="23" t="s">
        <v>55</v>
      </c>
      <c r="D82" s="25" t="str">
        <f>Source!H36</f>
        <v>1ШТ.</v>
      </c>
      <c r="E82" s="24">
        <f>Source!I36</f>
        <v>1</v>
      </c>
      <c r="F82" s="27"/>
      <c r="G82" s="26"/>
      <c r="H82" s="24"/>
      <c r="I82" s="27"/>
      <c r="J82" s="24"/>
      <c r="K82" s="27"/>
      <c r="L82"/>
      <c r="Q82">
        <f>Source!X36</f>
        <v>9.0299999999999994</v>
      </c>
      <c r="R82">
        <f>Source!X37</f>
        <v>509.1</v>
      </c>
      <c r="S82">
        <f>Source!Y36</f>
        <v>5.04</v>
      </c>
      <c r="T82">
        <f>Source!Y37</f>
        <v>284.02</v>
      </c>
      <c r="U82">
        <f>ROUND((175/100)*ROUND(Source!R36, 2), 2)</f>
        <v>0</v>
      </c>
      <c r="V82">
        <f>ROUND((0/100)*ROUND(Source!R37, 2), 2)</f>
        <v>0</v>
      </c>
      <c r="AC82">
        <v>0</v>
      </c>
    </row>
    <row r="83" spans="1:29" ht="14.25" hidden="1" x14ac:dyDescent="0.2">
      <c r="A83" s="23"/>
      <c r="B83" s="23"/>
      <c r="C83" s="23" t="s">
        <v>382</v>
      </c>
      <c r="D83" s="25"/>
      <c r="E83" s="24"/>
      <c r="F83" s="27">
        <f>Source!AO36</f>
        <v>25.24</v>
      </c>
      <c r="G83" s="26" t="s">
        <v>383</v>
      </c>
      <c r="H83" s="24">
        <f>Source!AV37</f>
        <v>1.0469999999999999</v>
      </c>
      <c r="I83" s="27">
        <f>Source!S36</f>
        <v>9.51</v>
      </c>
      <c r="J83" s="24">
        <f>IF(Source!BA37&lt;&gt; 0, Source!BA37, 1)</f>
        <v>56.35</v>
      </c>
      <c r="K83" s="27">
        <f>Source!S37</f>
        <v>535.89</v>
      </c>
      <c r="L83"/>
    </row>
    <row r="84" spans="1:29" ht="14.25" hidden="1" x14ac:dyDescent="0.2">
      <c r="A84" s="23"/>
      <c r="B84" s="23"/>
      <c r="C84" s="23" t="s">
        <v>386</v>
      </c>
      <c r="D84" s="25" t="s">
        <v>387</v>
      </c>
      <c r="E84" s="24">
        <f>Source!BZ37</f>
        <v>95</v>
      </c>
      <c r="F84" s="27"/>
      <c r="G84" s="26"/>
      <c r="H84" s="24"/>
      <c r="I84" s="27">
        <f>SUM(Q82:Q83)</f>
        <v>9.0299999999999994</v>
      </c>
      <c r="J84" s="24">
        <f>Source!AT37</f>
        <v>95</v>
      </c>
      <c r="K84" s="27">
        <f>SUM(R82:R83)</f>
        <v>509.1</v>
      </c>
      <c r="L84"/>
    </row>
    <row r="85" spans="1:29" ht="14.25" hidden="1" x14ac:dyDescent="0.2">
      <c r="A85" s="23"/>
      <c r="B85" s="23"/>
      <c r="C85" s="23" t="s">
        <v>388</v>
      </c>
      <c r="D85" s="25" t="s">
        <v>387</v>
      </c>
      <c r="E85" s="24">
        <f>Source!CA37</f>
        <v>53</v>
      </c>
      <c r="F85" s="27"/>
      <c r="G85" s="26"/>
      <c r="H85" s="24"/>
      <c r="I85" s="27">
        <f>SUM(S82:S84)</f>
        <v>5.04</v>
      </c>
      <c r="J85" s="24">
        <f>Source!AU37</f>
        <v>53</v>
      </c>
      <c r="K85" s="27">
        <f>SUM(T82:T84)</f>
        <v>284.02</v>
      </c>
      <c r="L85"/>
    </row>
    <row r="86" spans="1:29" ht="14.25" hidden="1" x14ac:dyDescent="0.2">
      <c r="A86" s="29"/>
      <c r="B86" s="29"/>
      <c r="C86" s="29" t="s">
        <v>389</v>
      </c>
      <c r="D86" s="30" t="s">
        <v>390</v>
      </c>
      <c r="E86" s="31">
        <f>Source!AQ36</f>
        <v>2</v>
      </c>
      <c r="F86" s="32"/>
      <c r="G86" s="33" t="s">
        <v>383</v>
      </c>
      <c r="H86" s="31">
        <f>Source!AV37</f>
        <v>1.0469999999999999</v>
      </c>
      <c r="I86" s="32">
        <f>Source!U36</f>
        <v>0.75383999999999995</v>
      </c>
      <c r="J86" s="31"/>
      <c r="K86" s="32"/>
      <c r="L86"/>
    </row>
    <row r="87" spans="1:29" ht="15" hidden="1" x14ac:dyDescent="0.2">
      <c r="C87" s="34" t="s">
        <v>391</v>
      </c>
      <c r="H87" s="52">
        <f>I83+I84+I85+0-0-0</f>
        <v>23.58</v>
      </c>
      <c r="I87" s="52"/>
      <c r="J87" s="52">
        <f>K83+K84+K85+0-0-0</f>
        <v>1329.01</v>
      </c>
      <c r="K87" s="52"/>
      <c r="L87"/>
    </row>
    <row r="88" spans="1:29" ht="15" hidden="1" x14ac:dyDescent="0.2">
      <c r="C88" s="34" t="s">
        <v>392</v>
      </c>
      <c r="H88" s="49">
        <f>0+0</f>
        <v>0</v>
      </c>
      <c r="I88" s="49"/>
      <c r="J88" s="49">
        <f>0+0</f>
        <v>0</v>
      </c>
      <c r="K88" s="49"/>
      <c r="L88"/>
    </row>
    <row r="89" spans="1:29" ht="15" hidden="1" x14ac:dyDescent="0.2">
      <c r="C89" s="34" t="s">
        <v>393</v>
      </c>
      <c r="H89" s="49">
        <f>I83+I84+I85+0</f>
        <v>23.58</v>
      </c>
      <c r="I89" s="49"/>
      <c r="J89" s="49">
        <f>K83+K84+K85+0</f>
        <v>1329.01</v>
      </c>
      <c r="K89" s="49"/>
      <c r="L89"/>
      <c r="O89" s="35">
        <f>I83+I84+I85+0</f>
        <v>23.58</v>
      </c>
      <c r="P89" s="35">
        <f>K83+K84+K85+0</f>
        <v>1329.01</v>
      </c>
    </row>
    <row r="90" spans="1:29" hidden="1" x14ac:dyDescent="0.2">
      <c r="L90"/>
    </row>
    <row r="91" spans="1:29" ht="57" hidden="1" x14ac:dyDescent="0.2">
      <c r="A91" s="23">
        <v>6</v>
      </c>
      <c r="B91" s="23" t="str">
        <f>Source!F38</f>
        <v>4.10-177-1</v>
      </c>
      <c r="C91" s="23" t="s">
        <v>59</v>
      </c>
      <c r="D91" s="25" t="str">
        <f>Source!H38</f>
        <v>10 шт.</v>
      </c>
      <c r="E91" s="24">
        <f>Source!I38</f>
        <v>3.1</v>
      </c>
      <c r="F91" s="27"/>
      <c r="G91" s="26"/>
      <c r="H91" s="24"/>
      <c r="I91" s="27"/>
      <c r="J91" s="24"/>
      <c r="K91" s="27"/>
      <c r="L91"/>
      <c r="Q91">
        <f>Source!X38</f>
        <v>239.98</v>
      </c>
      <c r="R91">
        <f>Source!X39</f>
        <v>13522.64</v>
      </c>
      <c r="S91">
        <f>Source!Y38</f>
        <v>122.65</v>
      </c>
      <c r="T91">
        <f>Source!Y39</f>
        <v>6911.57</v>
      </c>
      <c r="U91">
        <f>ROUND((175/100)*ROUND(Source!R38, 2), 2)</f>
        <v>1.56</v>
      </c>
      <c r="V91">
        <f>ROUND((0/100)*ROUND(Source!R39, 2), 2)</f>
        <v>0</v>
      </c>
      <c r="AC91">
        <v>0</v>
      </c>
    </row>
    <row r="92" spans="1:29" hidden="1" x14ac:dyDescent="0.2">
      <c r="C92" s="36" t="str">
        <f>"Объем: "&amp;Source!I38&amp;"=31/"&amp;"10"</f>
        <v>Объем: 3,1=31/10</v>
      </c>
      <c r="L92"/>
    </row>
    <row r="93" spans="1:29" ht="14.25" hidden="1" x14ac:dyDescent="0.2">
      <c r="A93" s="23"/>
      <c r="B93" s="23"/>
      <c r="C93" s="23" t="s">
        <v>382</v>
      </c>
      <c r="D93" s="25"/>
      <c r="E93" s="24"/>
      <c r="F93" s="27">
        <f>Source!AO38</f>
        <v>227.44</v>
      </c>
      <c r="G93" s="26" t="s">
        <v>383</v>
      </c>
      <c r="H93" s="24">
        <f>Source!AV39</f>
        <v>1.0469999999999999</v>
      </c>
      <c r="I93" s="27">
        <f>Source!S38</f>
        <v>265.75</v>
      </c>
      <c r="J93" s="24">
        <f>IF(Source!BA39&lt;&gt; 0, Source!BA39, 1)</f>
        <v>56.35</v>
      </c>
      <c r="K93" s="27">
        <f>Source!S39</f>
        <v>14975.01</v>
      </c>
      <c r="L93"/>
    </row>
    <row r="94" spans="1:29" ht="14.25" hidden="1" x14ac:dyDescent="0.2">
      <c r="A94" s="23"/>
      <c r="B94" s="23"/>
      <c r="C94" s="23" t="s">
        <v>384</v>
      </c>
      <c r="D94" s="25"/>
      <c r="E94" s="24"/>
      <c r="F94" s="27">
        <f>Source!AM38</f>
        <v>6.07</v>
      </c>
      <c r="G94" s="26" t="s">
        <v>383</v>
      </c>
      <c r="H94" s="24">
        <f>Source!AV39</f>
        <v>1.0469999999999999</v>
      </c>
      <c r="I94" s="27">
        <f>Source!Q38</f>
        <v>7.09</v>
      </c>
      <c r="J94" s="24">
        <f>IF(Source!BB39&lt;&gt; 0, Source!BB39, 1)</f>
        <v>15.73</v>
      </c>
      <c r="K94" s="27">
        <f>Source!Q39</f>
        <v>111.53</v>
      </c>
      <c r="L94"/>
    </row>
    <row r="95" spans="1:29" ht="14.25" hidden="1" x14ac:dyDescent="0.2">
      <c r="A95" s="23"/>
      <c r="B95" s="23"/>
      <c r="C95" s="23" t="s">
        <v>385</v>
      </c>
      <c r="D95" s="25"/>
      <c r="E95" s="24"/>
      <c r="F95" s="27">
        <f>Source!AN38</f>
        <v>0.76</v>
      </c>
      <c r="G95" s="26" t="s">
        <v>383</v>
      </c>
      <c r="H95" s="24">
        <f>Source!AV39</f>
        <v>1.0469999999999999</v>
      </c>
      <c r="I95" s="28">
        <f>Source!R38</f>
        <v>0.89</v>
      </c>
      <c r="J95" s="24">
        <f>IF(Source!BS39&lt;&gt; 0, Source!BS39, 1)</f>
        <v>56.35</v>
      </c>
      <c r="K95" s="28">
        <f>Source!R39</f>
        <v>50.15</v>
      </c>
      <c r="L95"/>
    </row>
    <row r="96" spans="1:29" ht="14.25" hidden="1" x14ac:dyDescent="0.2">
      <c r="A96" s="23"/>
      <c r="B96" s="23"/>
      <c r="C96" s="23" t="s">
        <v>386</v>
      </c>
      <c r="D96" s="25" t="s">
        <v>387</v>
      </c>
      <c r="E96" s="24">
        <f>Source!BZ39</f>
        <v>90</v>
      </c>
      <c r="F96" s="27"/>
      <c r="G96" s="26"/>
      <c r="H96" s="24"/>
      <c r="I96" s="27">
        <f>SUM(Q91:Q95)</f>
        <v>239.98</v>
      </c>
      <c r="J96" s="24">
        <f>Source!AT39</f>
        <v>90</v>
      </c>
      <c r="K96" s="27">
        <f>SUM(R91:R95)</f>
        <v>13522.64</v>
      </c>
      <c r="L96"/>
    </row>
    <row r="97" spans="1:29" ht="14.25" hidden="1" x14ac:dyDescent="0.2">
      <c r="A97" s="23"/>
      <c r="B97" s="23"/>
      <c r="C97" s="23" t="s">
        <v>388</v>
      </c>
      <c r="D97" s="25" t="s">
        <v>387</v>
      </c>
      <c r="E97" s="24">
        <f>Source!CA39</f>
        <v>46</v>
      </c>
      <c r="F97" s="27"/>
      <c r="G97" s="26"/>
      <c r="H97" s="24"/>
      <c r="I97" s="27">
        <f>SUM(S91:S96)</f>
        <v>122.65</v>
      </c>
      <c r="J97" s="24">
        <f>Source!AU39</f>
        <v>46</v>
      </c>
      <c r="K97" s="27">
        <f>SUM(T91:T96)</f>
        <v>6911.57</v>
      </c>
      <c r="L97"/>
    </row>
    <row r="98" spans="1:29" ht="14.25" hidden="1" x14ac:dyDescent="0.2">
      <c r="A98" s="29"/>
      <c r="B98" s="29"/>
      <c r="C98" s="29" t="s">
        <v>389</v>
      </c>
      <c r="D98" s="30" t="s">
        <v>390</v>
      </c>
      <c r="E98" s="31">
        <f>Source!AQ38</f>
        <v>14.64</v>
      </c>
      <c r="F98" s="32"/>
      <c r="G98" s="33" t="s">
        <v>383</v>
      </c>
      <c r="H98" s="31">
        <f>Source!AV39</f>
        <v>1.0469999999999999</v>
      </c>
      <c r="I98" s="32">
        <f>Source!U38</f>
        <v>17.106137280000002</v>
      </c>
      <c r="J98" s="31"/>
      <c r="K98" s="32"/>
      <c r="L98"/>
    </row>
    <row r="99" spans="1:29" ht="15" hidden="1" x14ac:dyDescent="0.2">
      <c r="C99" s="34" t="s">
        <v>391</v>
      </c>
      <c r="H99" s="52">
        <f>I93+I94+I96+I97+0-0-0</f>
        <v>635.46999999999991</v>
      </c>
      <c r="I99" s="52"/>
      <c r="J99" s="52">
        <f>K93+K94+K96+K97+0-0-0</f>
        <v>35520.75</v>
      </c>
      <c r="K99" s="52"/>
      <c r="L99"/>
    </row>
    <row r="100" spans="1:29" ht="15" hidden="1" x14ac:dyDescent="0.2">
      <c r="C100" s="34" t="s">
        <v>392</v>
      </c>
      <c r="H100" s="49">
        <f>0+0</f>
        <v>0</v>
      </c>
      <c r="I100" s="49"/>
      <c r="J100" s="49">
        <f>0+0</f>
        <v>0</v>
      </c>
      <c r="K100" s="49"/>
      <c r="L100"/>
    </row>
    <row r="101" spans="1:29" ht="15" hidden="1" x14ac:dyDescent="0.2">
      <c r="C101" s="34" t="s">
        <v>393</v>
      </c>
      <c r="H101" s="49">
        <f>I93+I94+I96+I97+0</f>
        <v>635.46999999999991</v>
      </c>
      <c r="I101" s="49"/>
      <c r="J101" s="49">
        <f>K93+K94+K96+K97+0</f>
        <v>35520.75</v>
      </c>
      <c r="K101" s="49"/>
      <c r="L101"/>
      <c r="O101" s="35">
        <f>I93+I94+I96+I97+0</f>
        <v>635.46999999999991</v>
      </c>
      <c r="P101" s="35">
        <f>K93+K94+K96+K97+0</f>
        <v>35520.75</v>
      </c>
    </row>
    <row r="102" spans="1:29" hidden="1" x14ac:dyDescent="0.2">
      <c r="L102"/>
    </row>
    <row r="103" spans="1:29" ht="42.75" hidden="1" x14ac:dyDescent="0.2">
      <c r="A103" s="23">
        <v>7</v>
      </c>
      <c r="B103" s="23" t="str">
        <f>Source!F40</f>
        <v>4.10-167-1</v>
      </c>
      <c r="C103" s="23" t="s">
        <v>64</v>
      </c>
      <c r="D103" s="25" t="str">
        <f>Source!H40</f>
        <v>1ШТ.</v>
      </c>
      <c r="E103" s="24">
        <f>Source!I40</f>
        <v>2</v>
      </c>
      <c r="F103" s="27"/>
      <c r="G103" s="26"/>
      <c r="H103" s="24"/>
      <c r="I103" s="27"/>
      <c r="J103" s="24"/>
      <c r="K103" s="27"/>
      <c r="L103"/>
      <c r="Q103">
        <f>Source!X40</f>
        <v>12.85</v>
      </c>
      <c r="R103">
        <f>Source!X41</f>
        <v>724.21</v>
      </c>
      <c r="S103">
        <f>Source!Y40</f>
        <v>6.57</v>
      </c>
      <c r="T103">
        <f>Source!Y41</f>
        <v>370.15</v>
      </c>
      <c r="U103">
        <f>ROUND((175/100)*ROUND(Source!R40, 2), 2)</f>
        <v>0</v>
      </c>
      <c r="V103">
        <f>ROUND((0/100)*ROUND(Source!R41, 2), 2)</f>
        <v>0</v>
      </c>
      <c r="AC103">
        <v>0</v>
      </c>
    </row>
    <row r="104" spans="1:29" ht="14.25" hidden="1" x14ac:dyDescent="0.2">
      <c r="A104" s="23"/>
      <c r="B104" s="23"/>
      <c r="C104" s="23" t="s">
        <v>382</v>
      </c>
      <c r="D104" s="25"/>
      <c r="E104" s="24"/>
      <c r="F104" s="27">
        <f>Source!AO40</f>
        <v>18.940000000000001</v>
      </c>
      <c r="G104" s="26" t="s">
        <v>383</v>
      </c>
      <c r="H104" s="24">
        <f>Source!AV41</f>
        <v>1.0469999999999999</v>
      </c>
      <c r="I104" s="27">
        <f>Source!S40</f>
        <v>14.28</v>
      </c>
      <c r="J104" s="24">
        <f>IF(Source!BA41&lt;&gt; 0, Source!BA41, 1)</f>
        <v>56.35</v>
      </c>
      <c r="K104" s="27">
        <f>Source!S41</f>
        <v>804.68</v>
      </c>
      <c r="L104"/>
    </row>
    <row r="105" spans="1:29" ht="14.25" hidden="1" x14ac:dyDescent="0.2">
      <c r="A105" s="23"/>
      <c r="B105" s="23"/>
      <c r="C105" s="23" t="s">
        <v>384</v>
      </c>
      <c r="D105" s="25"/>
      <c r="E105" s="24"/>
      <c r="F105" s="27">
        <f>Source!AM40</f>
        <v>0.02</v>
      </c>
      <c r="G105" s="26" t="s">
        <v>383</v>
      </c>
      <c r="H105" s="24">
        <f>Source!AV41</f>
        <v>1.0469999999999999</v>
      </c>
      <c r="I105" s="27">
        <f>Source!Q40</f>
        <v>0.02</v>
      </c>
      <c r="J105" s="24">
        <f>IF(Source!BB41&lt;&gt; 0, Source!BB41, 1)</f>
        <v>11</v>
      </c>
      <c r="K105" s="27">
        <f>Source!Q41</f>
        <v>0.22</v>
      </c>
      <c r="L105"/>
    </row>
    <row r="106" spans="1:29" ht="14.25" hidden="1" x14ac:dyDescent="0.2">
      <c r="A106" s="23"/>
      <c r="B106" s="23"/>
      <c r="C106" s="23" t="s">
        <v>386</v>
      </c>
      <c r="D106" s="25" t="s">
        <v>387</v>
      </c>
      <c r="E106" s="24">
        <f>Source!BZ41</f>
        <v>90</v>
      </c>
      <c r="F106" s="27"/>
      <c r="G106" s="26"/>
      <c r="H106" s="24"/>
      <c r="I106" s="27">
        <f>SUM(Q103:Q105)</f>
        <v>12.85</v>
      </c>
      <c r="J106" s="24">
        <f>Source!AT41</f>
        <v>90</v>
      </c>
      <c r="K106" s="27">
        <f>SUM(R103:R105)</f>
        <v>724.21</v>
      </c>
      <c r="L106"/>
    </row>
    <row r="107" spans="1:29" ht="14.25" hidden="1" x14ac:dyDescent="0.2">
      <c r="A107" s="23"/>
      <c r="B107" s="23"/>
      <c r="C107" s="23" t="s">
        <v>388</v>
      </c>
      <c r="D107" s="25" t="s">
        <v>387</v>
      </c>
      <c r="E107" s="24">
        <f>Source!CA41</f>
        <v>46</v>
      </c>
      <c r="F107" s="27"/>
      <c r="G107" s="26"/>
      <c r="H107" s="24"/>
      <c r="I107" s="27">
        <f>SUM(S103:S106)</f>
        <v>6.57</v>
      </c>
      <c r="J107" s="24">
        <f>Source!AU41</f>
        <v>46</v>
      </c>
      <c r="K107" s="27">
        <f>SUM(T103:T106)</f>
        <v>370.15</v>
      </c>
      <c r="L107"/>
    </row>
    <row r="108" spans="1:29" ht="14.25" hidden="1" x14ac:dyDescent="0.2">
      <c r="A108" s="29"/>
      <c r="B108" s="29"/>
      <c r="C108" s="29" t="s">
        <v>389</v>
      </c>
      <c r="D108" s="30" t="s">
        <v>390</v>
      </c>
      <c r="E108" s="31">
        <f>Source!AQ40</f>
        <v>1.36</v>
      </c>
      <c r="F108" s="32"/>
      <c r="G108" s="33" t="s">
        <v>383</v>
      </c>
      <c r="H108" s="31">
        <f>Source!AV41</f>
        <v>1.0469999999999999</v>
      </c>
      <c r="I108" s="32">
        <f>Source!U40</f>
        <v>1.0252224000000001</v>
      </c>
      <c r="J108" s="31"/>
      <c r="K108" s="32"/>
      <c r="L108"/>
    </row>
    <row r="109" spans="1:29" ht="15" hidden="1" x14ac:dyDescent="0.2">
      <c r="C109" s="34" t="s">
        <v>391</v>
      </c>
      <c r="H109" s="52">
        <f>I104+I105+I106+I107+0-0-0</f>
        <v>33.72</v>
      </c>
      <c r="I109" s="52"/>
      <c r="J109" s="52">
        <f>K104+K105+K106+K107+0-0-0</f>
        <v>1899.2600000000002</v>
      </c>
      <c r="K109" s="52"/>
      <c r="L109"/>
    </row>
    <row r="110" spans="1:29" ht="15" hidden="1" x14ac:dyDescent="0.2">
      <c r="C110" s="34" t="s">
        <v>392</v>
      </c>
      <c r="H110" s="49">
        <f>0+0</f>
        <v>0</v>
      </c>
      <c r="I110" s="49"/>
      <c r="J110" s="49">
        <f>0+0</f>
        <v>0</v>
      </c>
      <c r="K110" s="49"/>
      <c r="L110"/>
    </row>
    <row r="111" spans="1:29" ht="15" hidden="1" x14ac:dyDescent="0.2">
      <c r="C111" s="34" t="s">
        <v>393</v>
      </c>
      <c r="H111" s="49">
        <f>I104+I105+I106+I107+0</f>
        <v>33.72</v>
      </c>
      <c r="I111" s="49"/>
      <c r="J111" s="49">
        <f>K104+K105+K106+K107+0</f>
        <v>1899.2600000000002</v>
      </c>
      <c r="K111" s="49"/>
      <c r="L111"/>
      <c r="O111" s="35">
        <f>I104+I105+I106+I107+0</f>
        <v>33.72</v>
      </c>
      <c r="P111" s="35">
        <f>K104+K105+K106+K107+0</f>
        <v>1899.2600000000002</v>
      </c>
    </row>
    <row r="112" spans="1:29" hidden="1" x14ac:dyDescent="0.2">
      <c r="L112"/>
    </row>
    <row r="113" spans="1:29" ht="42.75" hidden="1" x14ac:dyDescent="0.2">
      <c r="A113" s="23">
        <v>8</v>
      </c>
      <c r="B113" s="23" t="str">
        <f>Source!F42</f>
        <v>4.8-70-1</v>
      </c>
      <c r="C113" s="23" t="s">
        <v>68</v>
      </c>
      <c r="D113" s="25" t="str">
        <f>Source!H42</f>
        <v>1ШТ.</v>
      </c>
      <c r="E113" s="24">
        <f>Source!I42</f>
        <v>4</v>
      </c>
      <c r="F113" s="27"/>
      <c r="G113" s="26"/>
      <c r="H113" s="24"/>
      <c r="I113" s="27"/>
      <c r="J113" s="24"/>
      <c r="K113" s="27"/>
      <c r="L113"/>
      <c r="Q113">
        <f>Source!X42</f>
        <v>38.020000000000003</v>
      </c>
      <c r="R113">
        <f>Source!X43</f>
        <v>2142.65</v>
      </c>
      <c r="S113">
        <f>Source!Y42</f>
        <v>19.989999999999998</v>
      </c>
      <c r="T113">
        <f>Source!Y43</f>
        <v>1126.55</v>
      </c>
      <c r="U113">
        <f>ROUND((175/100)*ROUND(Source!R42, 2), 2)</f>
        <v>0</v>
      </c>
      <c r="V113">
        <f>ROUND((0/100)*ROUND(Source!R43, 2), 2)</f>
        <v>0</v>
      </c>
      <c r="AC113">
        <v>0</v>
      </c>
    </row>
    <row r="114" spans="1:29" ht="14.25" hidden="1" x14ac:dyDescent="0.2">
      <c r="A114" s="23"/>
      <c r="B114" s="23"/>
      <c r="C114" s="23" t="s">
        <v>382</v>
      </c>
      <c r="D114" s="25"/>
      <c r="E114" s="24"/>
      <c r="F114" s="27">
        <f>Source!AO42</f>
        <v>26</v>
      </c>
      <c r="G114" s="26" t="s">
        <v>383</v>
      </c>
      <c r="H114" s="24">
        <f>Source!AV43</f>
        <v>1.0469999999999999</v>
      </c>
      <c r="I114" s="27">
        <f>Source!S42</f>
        <v>39.200000000000003</v>
      </c>
      <c r="J114" s="24">
        <f>IF(Source!BA43&lt;&gt; 0, Source!BA43, 1)</f>
        <v>56.35</v>
      </c>
      <c r="K114" s="27">
        <f>Source!S43</f>
        <v>2208.92</v>
      </c>
      <c r="L114"/>
    </row>
    <row r="115" spans="1:29" ht="14.25" hidden="1" x14ac:dyDescent="0.2">
      <c r="A115" s="23"/>
      <c r="B115" s="23"/>
      <c r="C115" s="23" t="s">
        <v>386</v>
      </c>
      <c r="D115" s="25" t="s">
        <v>387</v>
      </c>
      <c r="E115" s="24">
        <f>Source!BZ43</f>
        <v>97</v>
      </c>
      <c r="F115" s="27"/>
      <c r="G115" s="26"/>
      <c r="H115" s="24"/>
      <c r="I115" s="27">
        <f>SUM(Q113:Q114)</f>
        <v>38.020000000000003</v>
      </c>
      <c r="J115" s="24">
        <f>Source!AT43</f>
        <v>97</v>
      </c>
      <c r="K115" s="27">
        <f>SUM(R113:R114)</f>
        <v>2142.65</v>
      </c>
      <c r="L115"/>
    </row>
    <row r="116" spans="1:29" ht="14.25" hidden="1" x14ac:dyDescent="0.2">
      <c r="A116" s="23"/>
      <c r="B116" s="23"/>
      <c r="C116" s="23" t="s">
        <v>388</v>
      </c>
      <c r="D116" s="25" t="s">
        <v>387</v>
      </c>
      <c r="E116" s="24">
        <f>Source!CA43</f>
        <v>51</v>
      </c>
      <c r="F116" s="27"/>
      <c r="G116" s="26"/>
      <c r="H116" s="24"/>
      <c r="I116" s="27">
        <f>SUM(S113:S115)</f>
        <v>19.989999999999998</v>
      </c>
      <c r="J116" s="24">
        <f>Source!AU43</f>
        <v>51</v>
      </c>
      <c r="K116" s="27">
        <f>SUM(T113:T115)</f>
        <v>1126.55</v>
      </c>
      <c r="L116"/>
    </row>
    <row r="117" spans="1:29" ht="14.25" hidden="1" x14ac:dyDescent="0.2">
      <c r="A117" s="29"/>
      <c r="B117" s="29"/>
      <c r="C117" s="29" t="s">
        <v>389</v>
      </c>
      <c r="D117" s="30" t="s">
        <v>390</v>
      </c>
      <c r="E117" s="31">
        <f>Source!AQ42</f>
        <v>2.06</v>
      </c>
      <c r="F117" s="32"/>
      <c r="G117" s="33" t="s">
        <v>383</v>
      </c>
      <c r="H117" s="31">
        <f>Source!AV43</f>
        <v>1.0469999999999999</v>
      </c>
      <c r="I117" s="32">
        <f>Source!U42</f>
        <v>3.1058207999999996</v>
      </c>
      <c r="J117" s="31"/>
      <c r="K117" s="32"/>
      <c r="L117"/>
    </row>
    <row r="118" spans="1:29" ht="15" hidden="1" x14ac:dyDescent="0.2">
      <c r="C118" s="34" t="s">
        <v>391</v>
      </c>
      <c r="H118" s="52">
        <f>I114+I115+I116+0-0-0</f>
        <v>97.21</v>
      </c>
      <c r="I118" s="52"/>
      <c r="J118" s="52">
        <f>K114+K115+K116+0-0-0</f>
        <v>5478.12</v>
      </c>
      <c r="K118" s="52"/>
      <c r="L118"/>
    </row>
    <row r="119" spans="1:29" ht="15" hidden="1" x14ac:dyDescent="0.2">
      <c r="C119" s="34" t="s">
        <v>392</v>
      </c>
      <c r="H119" s="49">
        <f>0+0</f>
        <v>0</v>
      </c>
      <c r="I119" s="49"/>
      <c r="J119" s="49">
        <f>0+0</f>
        <v>0</v>
      </c>
      <c r="K119" s="49"/>
      <c r="L119"/>
    </row>
    <row r="120" spans="1:29" ht="15" hidden="1" x14ac:dyDescent="0.2">
      <c r="C120" s="34" t="s">
        <v>393</v>
      </c>
      <c r="H120" s="49">
        <f>I114+I115+I116+0</f>
        <v>97.21</v>
      </c>
      <c r="I120" s="49"/>
      <c r="J120" s="49">
        <f>K114+K115+K116+0</f>
        <v>5478.12</v>
      </c>
      <c r="K120" s="49"/>
      <c r="L120"/>
      <c r="O120" s="35">
        <f>I114+I115+I116+0</f>
        <v>97.21</v>
      </c>
      <c r="P120" s="35">
        <f>K114+K115+K116+0</f>
        <v>5478.12</v>
      </c>
    </row>
    <row r="121" spans="1:29" hidden="1" x14ac:dyDescent="0.2">
      <c r="L121"/>
    </row>
    <row r="122" spans="1:29" ht="28.5" hidden="1" x14ac:dyDescent="0.2">
      <c r="A122" s="23">
        <v>9</v>
      </c>
      <c r="B122" s="23" t="str">
        <f>Source!F44</f>
        <v>6.67-5-12</v>
      </c>
      <c r="C122" s="23" t="s">
        <v>74</v>
      </c>
      <c r="D122" s="25" t="str">
        <f>Source!H44</f>
        <v>100 м</v>
      </c>
      <c r="E122" s="24">
        <f>Source!I44</f>
        <v>42.2</v>
      </c>
      <c r="F122" s="27"/>
      <c r="G122" s="26"/>
      <c r="H122" s="24"/>
      <c r="I122" s="27"/>
      <c r="J122" s="24"/>
      <c r="K122" s="27"/>
      <c r="L122"/>
      <c r="Q122">
        <f>Source!X44</f>
        <v>15450.54</v>
      </c>
      <c r="R122">
        <f>Source!X45</f>
        <v>870638.17</v>
      </c>
      <c r="S122">
        <f>Source!Y44</f>
        <v>8149.74</v>
      </c>
      <c r="T122">
        <f>Source!Y45</f>
        <v>459237.72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hidden="1" x14ac:dyDescent="0.2">
      <c r="C123" s="36" t="str">
        <f>"Объем: "&amp;Source!I44&amp;"=4220/"&amp;"100"</f>
        <v>Объем: 42,2=4220/100</v>
      </c>
      <c r="L123"/>
    </row>
    <row r="124" spans="1:29" ht="14.25" hidden="1" x14ac:dyDescent="0.2">
      <c r="A124" s="23"/>
      <c r="B124" s="23"/>
      <c r="C124" s="23" t="s">
        <v>382</v>
      </c>
      <c r="D124" s="25"/>
      <c r="E124" s="24"/>
      <c r="F124" s="27">
        <f>Source!AO44</f>
        <v>320.23</v>
      </c>
      <c r="G124" s="26" t="s">
        <v>151</v>
      </c>
      <c r="H124" s="24">
        <f>Source!AV45</f>
        <v>1.0469999999999999</v>
      </c>
      <c r="I124" s="27">
        <f>Source!S44</f>
        <v>16978.62</v>
      </c>
      <c r="J124" s="24">
        <f>IF(Source!BA45&lt;&gt; 0, Source!BA45, 1)</f>
        <v>56.35</v>
      </c>
      <c r="K124" s="27">
        <f>Source!S45</f>
        <v>956745.24</v>
      </c>
      <c r="L124"/>
    </row>
    <row r="125" spans="1:29" ht="14.25" hidden="1" x14ac:dyDescent="0.2">
      <c r="A125" s="23"/>
      <c r="B125" s="23"/>
      <c r="C125" s="23" t="s">
        <v>386</v>
      </c>
      <c r="D125" s="25" t="s">
        <v>387</v>
      </c>
      <c r="E125" s="24">
        <f>Source!BZ45</f>
        <v>91</v>
      </c>
      <c r="F125" s="27"/>
      <c r="G125" s="26"/>
      <c r="H125" s="24"/>
      <c r="I125" s="27">
        <f>SUM(Q122:Q124)</f>
        <v>15450.54</v>
      </c>
      <c r="J125" s="24">
        <f>Source!AT45</f>
        <v>91</v>
      </c>
      <c r="K125" s="27">
        <f>SUM(R122:R124)</f>
        <v>870638.17</v>
      </c>
      <c r="L125"/>
    </row>
    <row r="126" spans="1:29" ht="14.25" hidden="1" x14ac:dyDescent="0.2">
      <c r="A126" s="23"/>
      <c r="B126" s="23"/>
      <c r="C126" s="23" t="s">
        <v>388</v>
      </c>
      <c r="D126" s="25" t="s">
        <v>387</v>
      </c>
      <c r="E126" s="24">
        <f>Source!CA45</f>
        <v>48</v>
      </c>
      <c r="F126" s="27"/>
      <c r="G126" s="26"/>
      <c r="H126" s="24"/>
      <c r="I126" s="27">
        <f>SUM(S122:S125)</f>
        <v>8149.74</v>
      </c>
      <c r="J126" s="24">
        <f>Source!AU45</f>
        <v>48</v>
      </c>
      <c r="K126" s="27">
        <f>SUM(T122:T125)</f>
        <v>459237.72</v>
      </c>
      <c r="L126"/>
    </row>
    <row r="127" spans="1:29" ht="14.25" hidden="1" x14ac:dyDescent="0.2">
      <c r="A127" s="29"/>
      <c r="B127" s="29"/>
      <c r="C127" s="29" t="s">
        <v>389</v>
      </c>
      <c r="D127" s="30" t="s">
        <v>390</v>
      </c>
      <c r="E127" s="31">
        <f>Source!AQ44</f>
        <v>30.44</v>
      </c>
      <c r="F127" s="32"/>
      <c r="G127" s="33" t="s">
        <v>151</v>
      </c>
      <c r="H127" s="31">
        <f>Source!AV45</f>
        <v>1.0469999999999999</v>
      </c>
      <c r="I127" s="32">
        <f>Source!U44</f>
        <v>1613.9312351999997</v>
      </c>
      <c r="J127" s="31"/>
      <c r="K127" s="32"/>
      <c r="L127"/>
    </row>
    <row r="128" spans="1:29" ht="15" hidden="1" x14ac:dyDescent="0.2">
      <c r="C128" s="34" t="s">
        <v>391</v>
      </c>
      <c r="H128" s="52">
        <f>I124+I125+I126+0-0-0</f>
        <v>40578.9</v>
      </c>
      <c r="I128" s="52"/>
      <c r="J128" s="52">
        <f>K124+K125+K126+0-0-0</f>
        <v>2286621.13</v>
      </c>
      <c r="K128" s="52"/>
      <c r="L128"/>
    </row>
    <row r="129" spans="1:29" ht="15" hidden="1" x14ac:dyDescent="0.2">
      <c r="C129" s="34" t="s">
        <v>392</v>
      </c>
      <c r="H129" s="49">
        <f>0+0</f>
        <v>0</v>
      </c>
      <c r="I129" s="49"/>
      <c r="J129" s="49">
        <f>0+0</f>
        <v>0</v>
      </c>
      <c r="K129" s="49"/>
      <c r="L129"/>
    </row>
    <row r="130" spans="1:29" ht="15" hidden="1" x14ac:dyDescent="0.2">
      <c r="C130" s="34" t="s">
        <v>393</v>
      </c>
      <c r="H130" s="49">
        <f>I124+I125+I126+0</f>
        <v>40578.9</v>
      </c>
      <c r="I130" s="49"/>
      <c r="J130" s="49">
        <f>K124+K125+K126+0</f>
        <v>2286621.13</v>
      </c>
      <c r="K130" s="49"/>
      <c r="L130"/>
      <c r="O130" s="35">
        <f>I124+I125+I126+0</f>
        <v>40578.9</v>
      </c>
      <c r="P130" s="35">
        <f>K124+K125+K126+0</f>
        <v>2286621.13</v>
      </c>
    </row>
    <row r="131" spans="1:29" hidden="1" x14ac:dyDescent="0.2">
      <c r="L131"/>
    </row>
    <row r="132" spans="1:29" ht="14.25" hidden="1" x14ac:dyDescent="0.2">
      <c r="A132" s="23">
        <v>10</v>
      </c>
      <c r="B132" s="23" t="str">
        <f>Source!F46</f>
        <v>6.67-6-1</v>
      </c>
      <c r="C132" s="23" t="s">
        <v>85</v>
      </c>
      <c r="D132" s="25" t="str">
        <f>Source!H46</f>
        <v>100 м</v>
      </c>
      <c r="E132" s="24">
        <f>Source!I46</f>
        <v>42.2</v>
      </c>
      <c r="F132" s="27"/>
      <c r="G132" s="26"/>
      <c r="H132" s="24"/>
      <c r="I132" s="27"/>
      <c r="J132" s="24"/>
      <c r="K132" s="27"/>
      <c r="L132"/>
      <c r="Q132">
        <f>Source!X46</f>
        <v>4753.42</v>
      </c>
      <c r="R132">
        <f>Source!X47</f>
        <v>267855.3</v>
      </c>
      <c r="S132">
        <f>Source!Y46</f>
        <v>2507.3000000000002</v>
      </c>
      <c r="T132">
        <f>Source!Y47</f>
        <v>141286.31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hidden="1" x14ac:dyDescent="0.2">
      <c r="C133" s="36" t="str">
        <f>"Объем: "&amp;Source!I46&amp;"=4220/"&amp;"100"</f>
        <v>Объем: 42,2=4220/100</v>
      </c>
      <c r="L133"/>
    </row>
    <row r="134" spans="1:29" ht="14.25" hidden="1" x14ac:dyDescent="0.2">
      <c r="A134" s="23"/>
      <c r="B134" s="23"/>
      <c r="C134" s="23" t="s">
        <v>382</v>
      </c>
      <c r="D134" s="25"/>
      <c r="E134" s="24"/>
      <c r="F134" s="27">
        <f>Source!AO46</f>
        <v>98.52</v>
      </c>
      <c r="G134" s="26" t="s">
        <v>151</v>
      </c>
      <c r="H134" s="24">
        <f>Source!AV47</f>
        <v>1.0469999999999999</v>
      </c>
      <c r="I134" s="27">
        <f>Source!S46</f>
        <v>5223.54</v>
      </c>
      <c r="J134" s="24">
        <f>IF(Source!BA47&lt;&gt; 0, Source!BA47, 1)</f>
        <v>56.35</v>
      </c>
      <c r="K134" s="27">
        <f>Source!S47</f>
        <v>294346.48</v>
      </c>
      <c r="L134"/>
    </row>
    <row r="135" spans="1:29" ht="14.25" hidden="1" x14ac:dyDescent="0.2">
      <c r="A135" s="23"/>
      <c r="B135" s="23"/>
      <c r="C135" s="23" t="s">
        <v>386</v>
      </c>
      <c r="D135" s="25" t="s">
        <v>387</v>
      </c>
      <c r="E135" s="24">
        <f>Source!BZ47</f>
        <v>91</v>
      </c>
      <c r="F135" s="27"/>
      <c r="G135" s="26"/>
      <c r="H135" s="24"/>
      <c r="I135" s="27">
        <f>SUM(Q132:Q134)</f>
        <v>4753.42</v>
      </c>
      <c r="J135" s="24">
        <f>Source!AT47</f>
        <v>91</v>
      </c>
      <c r="K135" s="27">
        <f>SUM(R132:R134)</f>
        <v>267855.3</v>
      </c>
      <c r="L135"/>
    </row>
    <row r="136" spans="1:29" ht="14.25" hidden="1" x14ac:dyDescent="0.2">
      <c r="A136" s="23"/>
      <c r="B136" s="23"/>
      <c r="C136" s="23" t="s">
        <v>388</v>
      </c>
      <c r="D136" s="25" t="s">
        <v>387</v>
      </c>
      <c r="E136" s="24">
        <f>Source!CA47</f>
        <v>48</v>
      </c>
      <c r="F136" s="27"/>
      <c r="G136" s="26"/>
      <c r="H136" s="24"/>
      <c r="I136" s="27">
        <f>SUM(S132:S135)</f>
        <v>2507.3000000000002</v>
      </c>
      <c r="J136" s="24">
        <f>Source!AU47</f>
        <v>48</v>
      </c>
      <c r="K136" s="27">
        <f>SUM(T132:T135)</f>
        <v>141286.31</v>
      </c>
      <c r="L136"/>
    </row>
    <row r="137" spans="1:29" ht="14.25" hidden="1" x14ac:dyDescent="0.2">
      <c r="A137" s="29"/>
      <c r="B137" s="29"/>
      <c r="C137" s="29" t="s">
        <v>389</v>
      </c>
      <c r="D137" s="30" t="s">
        <v>390</v>
      </c>
      <c r="E137" s="31">
        <f>Source!AQ46</f>
        <v>9.64</v>
      </c>
      <c r="F137" s="32"/>
      <c r="G137" s="33" t="s">
        <v>151</v>
      </c>
      <c r="H137" s="31">
        <f>Source!AV47</f>
        <v>1.0469999999999999</v>
      </c>
      <c r="I137" s="32">
        <f>Source!U46</f>
        <v>511.11357119999997</v>
      </c>
      <c r="J137" s="31"/>
      <c r="K137" s="32"/>
      <c r="L137"/>
    </row>
    <row r="138" spans="1:29" ht="15" hidden="1" x14ac:dyDescent="0.2">
      <c r="C138" s="34" t="s">
        <v>391</v>
      </c>
      <c r="H138" s="52">
        <f>I134+I135+I136+0-0-0</f>
        <v>12484.259999999998</v>
      </c>
      <c r="I138" s="52"/>
      <c r="J138" s="52">
        <f>K134+K135+K136+0-0-0</f>
        <v>703488.09000000008</v>
      </c>
      <c r="K138" s="52"/>
      <c r="L138"/>
    </row>
    <row r="139" spans="1:29" ht="15" hidden="1" x14ac:dyDescent="0.2">
      <c r="C139" s="34" t="s">
        <v>392</v>
      </c>
      <c r="H139" s="49">
        <f>0+0</f>
        <v>0</v>
      </c>
      <c r="I139" s="49"/>
      <c r="J139" s="49">
        <f>0+0</f>
        <v>0</v>
      </c>
      <c r="K139" s="49"/>
      <c r="L139"/>
    </row>
    <row r="140" spans="1:29" ht="15" hidden="1" x14ac:dyDescent="0.2">
      <c r="C140" s="34" t="s">
        <v>393</v>
      </c>
      <c r="H140" s="49">
        <f>I134+I135+I136+0</f>
        <v>12484.259999999998</v>
      </c>
      <c r="I140" s="49"/>
      <c r="J140" s="49">
        <f>K134+K135+K136+0</f>
        <v>703488.09000000008</v>
      </c>
      <c r="K140" s="49"/>
      <c r="L140"/>
      <c r="O140" s="35">
        <f>I134+I135+I136+0</f>
        <v>12484.259999999998</v>
      </c>
      <c r="P140" s="35">
        <f>K134+K135+K136+0</f>
        <v>703488.09000000008</v>
      </c>
    </row>
    <row r="141" spans="1:29" hidden="1" x14ac:dyDescent="0.2">
      <c r="L141"/>
    </row>
    <row r="142" spans="1:29" hidden="1" x14ac:dyDescent="0.2">
      <c r="L142"/>
    </row>
    <row r="143" spans="1:29" ht="15" hidden="1" x14ac:dyDescent="0.25">
      <c r="A143" s="51" t="str">
        <f>CONCATENATE("Итого по разделу: ",IF(Source!G49&lt;&gt;"Новый раздел", Source!G49, ""))</f>
        <v>Итого по разделу: Демонтажные работы</v>
      </c>
      <c r="B143" s="51"/>
      <c r="C143" s="51"/>
      <c r="D143" s="51"/>
      <c r="E143" s="51"/>
      <c r="F143" s="51"/>
      <c r="G143" s="51"/>
      <c r="H143" s="49">
        <f>SUM(O38:O142)</f>
        <v>54328.149999999994</v>
      </c>
      <c r="I143" s="50"/>
      <c r="J143" s="49">
        <f>SUM(P38:P142)</f>
        <v>3058594.5300000003</v>
      </c>
      <c r="K143" s="50"/>
      <c r="L143"/>
    </row>
    <row r="144" spans="1:29" hidden="1" x14ac:dyDescent="0.2">
      <c r="A144" t="s">
        <v>394</v>
      </c>
      <c r="I144">
        <f>SUM(W38:W143)</f>
        <v>0</v>
      </c>
      <c r="J144">
        <f>SUM(X38:X143)</f>
        <v>0</v>
      </c>
      <c r="L144"/>
    </row>
    <row r="145" spans="1:29" hidden="1" x14ac:dyDescent="0.2">
      <c r="A145" t="s">
        <v>395</v>
      </c>
      <c r="I145">
        <f>SUM(Y38:Y144)</f>
        <v>0</v>
      </c>
      <c r="J145">
        <f>SUM(Z38:Z144)</f>
        <v>0</v>
      </c>
      <c r="L145"/>
    </row>
    <row r="146" spans="1:29" hidden="1" x14ac:dyDescent="0.2">
      <c r="L146"/>
    </row>
    <row r="147" spans="1:29" ht="16.5" hidden="1" x14ac:dyDescent="0.2">
      <c r="A147" s="53" t="str">
        <f>CONCATENATE("Раздел: ",IF(Source!G79&lt;&gt;"Новый раздел", Source!G79, ""))</f>
        <v>Раздел: Оборудование системы двусторонней связи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/>
    </row>
    <row r="148" spans="1:29" ht="28.5" hidden="1" x14ac:dyDescent="0.2">
      <c r="A148" s="23">
        <v>11</v>
      </c>
      <c r="B148" s="23" t="str">
        <f>Source!F83</f>
        <v>4.11-7-1</v>
      </c>
      <c r="C148" s="23" t="s">
        <v>143</v>
      </c>
      <c r="D148" s="25" t="str">
        <f>Source!H83</f>
        <v>1ШТ.</v>
      </c>
      <c r="E148" s="24">
        <f>Source!I83</f>
        <v>1</v>
      </c>
      <c r="F148" s="27"/>
      <c r="G148" s="26"/>
      <c r="H148" s="24"/>
      <c r="I148" s="27"/>
      <c r="J148" s="24"/>
      <c r="K148" s="27"/>
      <c r="L148"/>
      <c r="Q148">
        <f>Source!X83</f>
        <v>15.31</v>
      </c>
      <c r="R148">
        <f>Source!X84</f>
        <v>862.66</v>
      </c>
      <c r="S148">
        <f>Source!Y83</f>
        <v>7.82</v>
      </c>
      <c r="T148">
        <f>Source!Y84</f>
        <v>440.91</v>
      </c>
      <c r="U148">
        <f>ROUND((175/100)*ROUND(Source!R83, 2), 2)</f>
        <v>4.45</v>
      </c>
      <c r="V148">
        <f>ROUND((0/100)*ROUND(Source!R84, 2), 2)</f>
        <v>0</v>
      </c>
      <c r="AC148">
        <v>0</v>
      </c>
    </row>
    <row r="149" spans="1:29" ht="14.25" hidden="1" x14ac:dyDescent="0.2">
      <c r="A149" s="23"/>
      <c r="B149" s="23"/>
      <c r="C149" s="23" t="s">
        <v>382</v>
      </c>
      <c r="D149" s="25"/>
      <c r="E149" s="24"/>
      <c r="F149" s="27">
        <f>Source!AO83</f>
        <v>11.52</v>
      </c>
      <c r="G149" s="26" t="s">
        <v>151</v>
      </c>
      <c r="H149" s="24">
        <f>Source!AV84</f>
        <v>1.0469999999999999</v>
      </c>
      <c r="I149" s="27">
        <f>Source!S83</f>
        <v>14.47</v>
      </c>
      <c r="J149" s="24">
        <f>IF(Source!BA84&lt;&gt; 0, Source!BA84, 1)</f>
        <v>56.35</v>
      </c>
      <c r="K149" s="27">
        <f>Source!S84</f>
        <v>815.38</v>
      </c>
      <c r="L149"/>
    </row>
    <row r="150" spans="1:29" ht="14.25" hidden="1" x14ac:dyDescent="0.2">
      <c r="A150" s="23"/>
      <c r="B150" s="23"/>
      <c r="C150" s="23" t="s">
        <v>384</v>
      </c>
      <c r="D150" s="25"/>
      <c r="E150" s="24"/>
      <c r="F150" s="27">
        <f>Source!AM83</f>
        <v>13.3</v>
      </c>
      <c r="G150" s="26" t="s">
        <v>151</v>
      </c>
      <c r="H150" s="24">
        <f>Source!AV84</f>
        <v>1.0469999999999999</v>
      </c>
      <c r="I150" s="27">
        <f>Source!Q83</f>
        <v>16.71</v>
      </c>
      <c r="J150" s="24">
        <f>IF(Source!BB84&lt;&gt; 0, Source!BB84, 1)</f>
        <v>17.059999999999999</v>
      </c>
      <c r="K150" s="27">
        <f>Source!Q84</f>
        <v>285.07</v>
      </c>
      <c r="L150"/>
    </row>
    <row r="151" spans="1:29" ht="14.25" hidden="1" x14ac:dyDescent="0.2">
      <c r="A151" s="23"/>
      <c r="B151" s="23"/>
      <c r="C151" s="23" t="s">
        <v>385</v>
      </c>
      <c r="D151" s="25"/>
      <c r="E151" s="24"/>
      <c r="F151" s="27">
        <f>Source!AN83</f>
        <v>2.02</v>
      </c>
      <c r="G151" s="26" t="s">
        <v>151</v>
      </c>
      <c r="H151" s="24">
        <f>Source!AV84</f>
        <v>1.0469999999999999</v>
      </c>
      <c r="I151" s="28">
        <f>Source!R83</f>
        <v>2.54</v>
      </c>
      <c r="J151" s="24">
        <f>IF(Source!BS84&lt;&gt; 0, Source!BS84, 1)</f>
        <v>56.35</v>
      </c>
      <c r="K151" s="28">
        <f>Source!R84</f>
        <v>143.13</v>
      </c>
      <c r="L151"/>
    </row>
    <row r="152" spans="1:29" ht="14.25" hidden="1" x14ac:dyDescent="0.2">
      <c r="A152" s="23"/>
      <c r="B152" s="23"/>
      <c r="C152" s="23" t="s">
        <v>386</v>
      </c>
      <c r="D152" s="25" t="s">
        <v>387</v>
      </c>
      <c r="E152" s="24">
        <f>Source!BZ84</f>
        <v>90</v>
      </c>
      <c r="F152" s="27"/>
      <c r="G152" s="26"/>
      <c r="H152" s="24"/>
      <c r="I152" s="27">
        <f>SUM(Q148:Q151)</f>
        <v>15.31</v>
      </c>
      <c r="J152" s="24">
        <f>Source!AT84</f>
        <v>90</v>
      </c>
      <c r="K152" s="27">
        <f>SUM(R148:R151)</f>
        <v>862.66</v>
      </c>
      <c r="L152"/>
    </row>
    <row r="153" spans="1:29" ht="14.25" hidden="1" x14ac:dyDescent="0.2">
      <c r="A153" s="23"/>
      <c r="B153" s="23"/>
      <c r="C153" s="23" t="s">
        <v>388</v>
      </c>
      <c r="D153" s="25" t="s">
        <v>387</v>
      </c>
      <c r="E153" s="24">
        <f>Source!CA84</f>
        <v>46</v>
      </c>
      <c r="F153" s="27"/>
      <c r="G153" s="26"/>
      <c r="H153" s="24"/>
      <c r="I153" s="27">
        <f>SUM(S148:S152)</f>
        <v>7.82</v>
      </c>
      <c r="J153" s="24">
        <f>Source!AU84</f>
        <v>46</v>
      </c>
      <c r="K153" s="27">
        <f>SUM(T148:T152)</f>
        <v>440.91</v>
      </c>
      <c r="L153"/>
    </row>
    <row r="154" spans="1:29" ht="14.25" hidden="1" x14ac:dyDescent="0.2">
      <c r="A154" s="29"/>
      <c r="B154" s="29"/>
      <c r="C154" s="29" t="s">
        <v>389</v>
      </c>
      <c r="D154" s="30" t="s">
        <v>390</v>
      </c>
      <c r="E154" s="31">
        <f>Source!AQ83</f>
        <v>1.03</v>
      </c>
      <c r="F154" s="32"/>
      <c r="G154" s="33" t="s">
        <v>151</v>
      </c>
      <c r="H154" s="31">
        <f>Source!AV84</f>
        <v>1.0469999999999999</v>
      </c>
      <c r="I154" s="32">
        <f>Source!U83</f>
        <v>1.2940919999999998</v>
      </c>
      <c r="J154" s="31"/>
      <c r="K154" s="32"/>
      <c r="L154"/>
    </row>
    <row r="155" spans="1:29" ht="15" hidden="1" x14ac:dyDescent="0.2">
      <c r="C155" s="34" t="s">
        <v>391</v>
      </c>
      <c r="H155" s="52">
        <f>I149+I150+I152+I153+0-0-0</f>
        <v>54.31</v>
      </c>
      <c r="I155" s="52"/>
      <c r="J155" s="52">
        <f>K149+K150+K152+K153+0-0-0</f>
        <v>2404.02</v>
      </c>
      <c r="K155" s="52"/>
      <c r="L155"/>
    </row>
    <row r="156" spans="1:29" ht="15" hidden="1" x14ac:dyDescent="0.2">
      <c r="C156" s="34" t="s">
        <v>392</v>
      </c>
      <c r="H156" s="49">
        <f>0+0</f>
        <v>0</v>
      </c>
      <c r="I156" s="49"/>
      <c r="J156" s="49">
        <f>0+0</f>
        <v>0</v>
      </c>
      <c r="K156" s="49"/>
      <c r="L156"/>
    </row>
    <row r="157" spans="1:29" ht="15" hidden="1" x14ac:dyDescent="0.2">
      <c r="C157" s="34" t="s">
        <v>393</v>
      </c>
      <c r="H157" s="49">
        <f>I149+I150+I152+I153+0</f>
        <v>54.31</v>
      </c>
      <c r="I157" s="49"/>
      <c r="J157" s="49">
        <f>K149+K150+K152+K153+0</f>
        <v>2404.02</v>
      </c>
      <c r="K157" s="49"/>
      <c r="L157"/>
      <c r="O157" s="35">
        <f>I149+I150+I152+I153+0</f>
        <v>54.31</v>
      </c>
      <c r="P157" s="35">
        <f>K149+K150+K152+K153+0</f>
        <v>2404.02</v>
      </c>
    </row>
    <row r="158" spans="1:29" hidden="1" x14ac:dyDescent="0.2">
      <c r="L158"/>
    </row>
    <row r="159" spans="1:29" ht="68.25" x14ac:dyDescent="0.2">
      <c r="A159" s="76">
        <v>12</v>
      </c>
      <c r="B159" s="76" t="str">
        <f>Source!F85</f>
        <v>КА, п.1</v>
      </c>
      <c r="C159" s="76" t="s">
        <v>406</v>
      </c>
      <c r="D159" s="77" t="str">
        <f>Source!H85</f>
        <v>ШТ</v>
      </c>
      <c r="E159" s="78">
        <f>Source!I85</f>
        <v>1</v>
      </c>
      <c r="F159" s="79">
        <f>Source!AL85</f>
        <v>14083.83</v>
      </c>
      <c r="G159" s="80"/>
      <c r="H159" s="78">
        <f>Source!AW86</f>
        <v>1</v>
      </c>
      <c r="I159" s="79">
        <f>Source!P85</f>
        <v>14083.83</v>
      </c>
      <c r="J159" s="78">
        <f>IF(Source!BC86&lt;&gt; 0, Source!BC86, 1)</f>
        <v>7.57</v>
      </c>
      <c r="K159" s="79">
        <f>Source!P86</f>
        <v>106614.59</v>
      </c>
      <c r="L159" s="81" t="s">
        <v>405</v>
      </c>
      <c r="Q159">
        <f>Source!X85</f>
        <v>0</v>
      </c>
      <c r="R159">
        <f>Source!X86</f>
        <v>0</v>
      </c>
      <c r="S159">
        <f>Source!Y85</f>
        <v>0</v>
      </c>
      <c r="T159">
        <f>Source!Y86</f>
        <v>0</v>
      </c>
      <c r="U159">
        <f>ROUND((175/100)*ROUND(Source!R85, 2), 2)</f>
        <v>0</v>
      </c>
      <c r="V159">
        <f>ROUND((0/100)*ROUND(Source!R86, 2), 2)</f>
        <v>0</v>
      </c>
      <c r="AC159">
        <v>5</v>
      </c>
    </row>
    <row r="160" spans="1:29" ht="15" hidden="1" x14ac:dyDescent="0.2">
      <c r="A160" s="37"/>
      <c r="B160" s="37"/>
      <c r="C160" s="38" t="s">
        <v>393</v>
      </c>
      <c r="D160" s="37"/>
      <c r="E160" s="37"/>
      <c r="F160" s="37"/>
      <c r="G160" s="37"/>
      <c r="H160" s="54">
        <f>I159+0</f>
        <v>14083.83</v>
      </c>
      <c r="I160" s="54"/>
      <c r="J160" s="54">
        <f>K159+0</f>
        <v>106614.59</v>
      </c>
      <c r="K160" s="54"/>
      <c r="L160"/>
      <c r="O160" s="35">
        <f>I159+0</f>
        <v>14083.83</v>
      </c>
      <c r="P160" s="35">
        <f>K159+0</f>
        <v>106614.59</v>
      </c>
    </row>
    <row r="161" spans="1:29" hidden="1" x14ac:dyDescent="0.2">
      <c r="L161"/>
    </row>
    <row r="162" spans="1:29" ht="14.25" hidden="1" x14ac:dyDescent="0.2">
      <c r="A162" s="23">
        <v>13</v>
      </c>
      <c r="B162" s="23" t="str">
        <f>Source!F87</f>
        <v>4.10-34-5</v>
      </c>
      <c r="C162" s="23" t="s">
        <v>153</v>
      </c>
      <c r="D162" s="25" t="str">
        <f>Source!H87</f>
        <v>1  ШТ.</v>
      </c>
      <c r="E162" s="24">
        <f>Source!I87</f>
        <v>5</v>
      </c>
      <c r="F162" s="27"/>
      <c r="G162" s="26"/>
      <c r="H162" s="24"/>
      <c r="I162" s="27"/>
      <c r="J162" s="24"/>
      <c r="K162" s="27"/>
      <c r="L162"/>
      <c r="Q162">
        <f>Source!X87</f>
        <v>460.22</v>
      </c>
      <c r="R162">
        <f>Source!X88</f>
        <v>25933.119999999999</v>
      </c>
      <c r="S162">
        <f>Source!Y87</f>
        <v>235.22</v>
      </c>
      <c r="T162">
        <f>Source!Y88</f>
        <v>13254.71</v>
      </c>
      <c r="U162">
        <f>ROUND((175/100)*ROUND(Source!R87, 2), 2)</f>
        <v>34.74</v>
      </c>
      <c r="V162">
        <f>ROUND((0/100)*ROUND(Source!R88, 2), 2)</f>
        <v>0</v>
      </c>
      <c r="AC162">
        <v>0</v>
      </c>
    </row>
    <row r="163" spans="1:29" hidden="1" x14ac:dyDescent="0.2">
      <c r="C163" s="36" t="str">
        <f>"Объем: "&amp;Source!I87&amp;"=4+"&amp;"1"</f>
        <v>Объем: 5=4+1</v>
      </c>
      <c r="L163"/>
    </row>
    <row r="164" spans="1:29" ht="14.25" hidden="1" x14ac:dyDescent="0.2">
      <c r="A164" s="23"/>
      <c r="B164" s="23"/>
      <c r="C164" s="23" t="s">
        <v>382</v>
      </c>
      <c r="D164" s="25"/>
      <c r="E164" s="24"/>
      <c r="F164" s="27">
        <f>Source!AO87</f>
        <v>78.239999999999995</v>
      </c>
      <c r="G164" s="26" t="s">
        <v>151</v>
      </c>
      <c r="H164" s="24">
        <f>Source!AV88</f>
        <v>1.0469999999999999</v>
      </c>
      <c r="I164" s="27">
        <f>Source!S87</f>
        <v>491.5</v>
      </c>
      <c r="J164" s="24">
        <f>IF(Source!BA88&lt;&gt; 0, Source!BA88, 1)</f>
        <v>56.35</v>
      </c>
      <c r="K164" s="27">
        <f>Source!S88</f>
        <v>27696.03</v>
      </c>
      <c r="L164"/>
    </row>
    <row r="165" spans="1:29" ht="14.25" hidden="1" x14ac:dyDescent="0.2">
      <c r="A165" s="23"/>
      <c r="B165" s="23"/>
      <c r="C165" s="23" t="s">
        <v>384</v>
      </c>
      <c r="D165" s="25"/>
      <c r="E165" s="24"/>
      <c r="F165" s="27">
        <f>Source!AM87</f>
        <v>28.71</v>
      </c>
      <c r="G165" s="26" t="s">
        <v>151</v>
      </c>
      <c r="H165" s="24">
        <f>Source!AV88</f>
        <v>1.0469999999999999</v>
      </c>
      <c r="I165" s="27">
        <f>Source!Q87</f>
        <v>180.36</v>
      </c>
      <c r="J165" s="24">
        <f>IF(Source!BB88&lt;&gt; 0, Source!BB88, 1)</f>
        <v>16.16</v>
      </c>
      <c r="K165" s="27">
        <f>Source!Q88</f>
        <v>2914.62</v>
      </c>
      <c r="L165"/>
    </row>
    <row r="166" spans="1:29" ht="14.25" hidden="1" x14ac:dyDescent="0.2">
      <c r="A166" s="23"/>
      <c r="B166" s="23"/>
      <c r="C166" s="23" t="s">
        <v>385</v>
      </c>
      <c r="D166" s="25"/>
      <c r="E166" s="24"/>
      <c r="F166" s="27">
        <f>Source!AN87</f>
        <v>3.16</v>
      </c>
      <c r="G166" s="26" t="s">
        <v>151</v>
      </c>
      <c r="H166" s="24">
        <f>Source!AV88</f>
        <v>1.0469999999999999</v>
      </c>
      <c r="I166" s="28">
        <f>Source!R87</f>
        <v>19.850000000000001</v>
      </c>
      <c r="J166" s="24">
        <f>IF(Source!BS88&lt;&gt; 0, Source!BS88, 1)</f>
        <v>56.35</v>
      </c>
      <c r="K166" s="28">
        <f>Source!R88</f>
        <v>1118.55</v>
      </c>
      <c r="L166"/>
    </row>
    <row r="167" spans="1:29" ht="14.25" hidden="1" x14ac:dyDescent="0.2">
      <c r="A167" s="23"/>
      <c r="B167" s="23"/>
      <c r="C167" s="23" t="s">
        <v>396</v>
      </c>
      <c r="D167" s="25"/>
      <c r="E167" s="24"/>
      <c r="F167" s="27">
        <f>Source!AL87</f>
        <v>12.35</v>
      </c>
      <c r="G167" s="26"/>
      <c r="H167" s="24">
        <f>Source!AW88</f>
        <v>1</v>
      </c>
      <c r="I167" s="27">
        <f>Source!P87</f>
        <v>61.75</v>
      </c>
      <c r="J167" s="24">
        <f>IF(Source!BC88&lt;&gt; 0, Source!BC88, 1)</f>
        <v>14.7</v>
      </c>
      <c r="K167" s="27">
        <f>Source!P88</f>
        <v>907.73</v>
      </c>
      <c r="L167"/>
    </row>
    <row r="168" spans="1:29" ht="14.25" hidden="1" x14ac:dyDescent="0.2">
      <c r="A168" s="23"/>
      <c r="B168" s="23"/>
      <c r="C168" s="23" t="s">
        <v>386</v>
      </c>
      <c r="D168" s="25" t="s">
        <v>387</v>
      </c>
      <c r="E168" s="24">
        <f>Source!BZ88</f>
        <v>90</v>
      </c>
      <c r="F168" s="27"/>
      <c r="G168" s="26"/>
      <c r="H168" s="24"/>
      <c r="I168" s="27">
        <f>SUM(Q162:Q167)</f>
        <v>460.22</v>
      </c>
      <c r="J168" s="24">
        <f>Source!AT88</f>
        <v>90</v>
      </c>
      <c r="K168" s="27">
        <f>SUM(R162:R167)</f>
        <v>25933.119999999999</v>
      </c>
      <c r="L168"/>
    </row>
    <row r="169" spans="1:29" ht="14.25" hidden="1" x14ac:dyDescent="0.2">
      <c r="A169" s="23"/>
      <c r="B169" s="23"/>
      <c r="C169" s="23" t="s">
        <v>388</v>
      </c>
      <c r="D169" s="25" t="s">
        <v>387</v>
      </c>
      <c r="E169" s="24">
        <f>Source!CA88</f>
        <v>46</v>
      </c>
      <c r="F169" s="27"/>
      <c r="G169" s="26"/>
      <c r="H169" s="24"/>
      <c r="I169" s="27">
        <f>SUM(S162:S168)</f>
        <v>235.22</v>
      </c>
      <c r="J169" s="24">
        <f>Source!AU88</f>
        <v>46</v>
      </c>
      <c r="K169" s="27">
        <f>SUM(T162:T168)</f>
        <v>13254.71</v>
      </c>
      <c r="L169"/>
    </row>
    <row r="170" spans="1:29" ht="14.25" hidden="1" x14ac:dyDescent="0.2">
      <c r="A170" s="29"/>
      <c r="B170" s="29"/>
      <c r="C170" s="29" t="s">
        <v>389</v>
      </c>
      <c r="D170" s="30" t="s">
        <v>390</v>
      </c>
      <c r="E170" s="31">
        <f>Source!AQ87</f>
        <v>6.2</v>
      </c>
      <c r="F170" s="32"/>
      <c r="G170" s="33" t="s">
        <v>151</v>
      </c>
      <c r="H170" s="31">
        <f>Source!AV88</f>
        <v>1.0469999999999999</v>
      </c>
      <c r="I170" s="32">
        <f>Source!U87</f>
        <v>38.948399999999992</v>
      </c>
      <c r="J170" s="31"/>
      <c r="K170" s="32"/>
      <c r="L170"/>
    </row>
    <row r="171" spans="1:29" ht="15" hidden="1" x14ac:dyDescent="0.2">
      <c r="C171" s="34" t="s">
        <v>391</v>
      </c>
      <c r="H171" s="52">
        <f>I164+I165+I167+I168+I169+0-0-0</f>
        <v>1429.05</v>
      </c>
      <c r="I171" s="52"/>
      <c r="J171" s="52">
        <f>K164+K165+K167+K168+K169+0-0-0</f>
        <v>70706.209999999992</v>
      </c>
      <c r="K171" s="52"/>
      <c r="L171"/>
    </row>
    <row r="172" spans="1:29" ht="15" hidden="1" x14ac:dyDescent="0.2">
      <c r="C172" s="34" t="s">
        <v>392</v>
      </c>
      <c r="H172" s="49">
        <f>0+0</f>
        <v>0</v>
      </c>
      <c r="I172" s="49"/>
      <c r="J172" s="49">
        <f>0+0</f>
        <v>0</v>
      </c>
      <c r="K172" s="49"/>
      <c r="L172"/>
    </row>
    <row r="173" spans="1:29" ht="15" hidden="1" x14ac:dyDescent="0.2">
      <c r="C173" s="34" t="s">
        <v>393</v>
      </c>
      <c r="H173" s="49">
        <f>I164+I165+I167+I168+I169+0</f>
        <v>1429.05</v>
      </c>
      <c r="I173" s="49"/>
      <c r="J173" s="49">
        <f>K164+K165+K167+K168+K169+0</f>
        <v>70706.209999999992</v>
      </c>
      <c r="K173" s="49"/>
      <c r="L173"/>
      <c r="O173" s="35">
        <f>I164+I165+I167+I168+I169+0</f>
        <v>1429.05</v>
      </c>
      <c r="P173" s="35">
        <f>K164+K165+K167+K168+K169+0</f>
        <v>70706.209999999992</v>
      </c>
    </row>
    <row r="174" spans="1:29" hidden="1" x14ac:dyDescent="0.2">
      <c r="L174"/>
    </row>
    <row r="175" spans="1:29" ht="69.75" x14ac:dyDescent="0.2">
      <c r="A175" s="76">
        <v>14</v>
      </c>
      <c r="B175" s="76" t="str">
        <f>Source!F89</f>
        <v>КА, п.2</v>
      </c>
      <c r="C175" s="76" t="s">
        <v>407</v>
      </c>
      <c r="D175" s="77" t="str">
        <f>Source!H89</f>
        <v>ШТ</v>
      </c>
      <c r="E175" s="78">
        <f>Source!I89</f>
        <v>4</v>
      </c>
      <c r="F175" s="79">
        <f>Source!AL89</f>
        <v>10468.629999999999</v>
      </c>
      <c r="G175" s="80"/>
      <c r="H175" s="78">
        <f>Source!AW90</f>
        <v>1</v>
      </c>
      <c r="I175" s="79">
        <f>Source!P89</f>
        <v>41874.519999999997</v>
      </c>
      <c r="J175" s="78">
        <f>IF(Source!BC90&lt;&gt; 0, Source!BC90, 1)</f>
        <v>7.57</v>
      </c>
      <c r="K175" s="79">
        <f>Source!P90</f>
        <v>316990.12</v>
      </c>
      <c r="L175" s="81" t="s">
        <v>405</v>
      </c>
      <c r="Q175">
        <f>Source!X89</f>
        <v>0</v>
      </c>
      <c r="R175">
        <f>Source!X90</f>
        <v>0</v>
      </c>
      <c r="S175">
        <f>Source!Y89</f>
        <v>0</v>
      </c>
      <c r="T175">
        <f>Source!Y90</f>
        <v>0</v>
      </c>
      <c r="U175">
        <f>ROUND((175/100)*ROUND(Source!R89, 2), 2)</f>
        <v>0</v>
      </c>
      <c r="V175">
        <f>ROUND((0/100)*ROUND(Source!R90, 2), 2)</f>
        <v>0</v>
      </c>
      <c r="AC175">
        <v>5</v>
      </c>
    </row>
    <row r="176" spans="1:29" ht="15" hidden="1" x14ac:dyDescent="0.2">
      <c r="A176" s="37"/>
      <c r="B176" s="37"/>
      <c r="C176" s="38" t="s">
        <v>393</v>
      </c>
      <c r="D176" s="37"/>
      <c r="E176" s="37"/>
      <c r="F176" s="37"/>
      <c r="G176" s="37"/>
      <c r="H176" s="54">
        <f>I175+0</f>
        <v>41874.519999999997</v>
      </c>
      <c r="I176" s="54"/>
      <c r="J176" s="54">
        <f>K175+0</f>
        <v>316990.12</v>
      </c>
      <c r="K176" s="54"/>
      <c r="L176"/>
      <c r="O176" s="35">
        <f>I175+0</f>
        <v>41874.519999999997</v>
      </c>
      <c r="P176" s="35">
        <f>K175+0</f>
        <v>316990.12</v>
      </c>
    </row>
    <row r="177" spans="1:29" hidden="1" x14ac:dyDescent="0.2">
      <c r="L177"/>
    </row>
    <row r="178" spans="1:29" ht="55.5" x14ac:dyDescent="0.2">
      <c r="A178" s="76">
        <v>15</v>
      </c>
      <c r="B178" s="76" t="str">
        <f>Source!F91</f>
        <v>КА, п.3</v>
      </c>
      <c r="C178" s="76" t="s">
        <v>408</v>
      </c>
      <c r="D178" s="77" t="str">
        <f>Source!H91</f>
        <v>ШТ</v>
      </c>
      <c r="E178" s="78">
        <f>Source!I91</f>
        <v>1</v>
      </c>
      <c r="F178" s="79">
        <f>Source!AL91</f>
        <v>15062.8</v>
      </c>
      <c r="G178" s="80"/>
      <c r="H178" s="78">
        <f>Source!AW92</f>
        <v>1</v>
      </c>
      <c r="I178" s="79">
        <f>Source!P91</f>
        <v>15062.8</v>
      </c>
      <c r="J178" s="78">
        <f>IF(Source!BC92&lt;&gt; 0, Source!BC92, 1)</f>
        <v>7.57</v>
      </c>
      <c r="K178" s="79">
        <f>Source!P92</f>
        <v>114025.4</v>
      </c>
      <c r="L178" s="81" t="s">
        <v>405</v>
      </c>
      <c r="Q178">
        <f>Source!X91</f>
        <v>0</v>
      </c>
      <c r="R178">
        <f>Source!X92</f>
        <v>0</v>
      </c>
      <c r="S178">
        <f>Source!Y91</f>
        <v>0</v>
      </c>
      <c r="T178">
        <f>Source!Y92</f>
        <v>0</v>
      </c>
      <c r="U178">
        <f>ROUND((175/100)*ROUND(Source!R91, 2), 2)</f>
        <v>0</v>
      </c>
      <c r="V178">
        <f>ROUND((0/100)*ROUND(Source!R92, 2), 2)</f>
        <v>0</v>
      </c>
      <c r="AC178">
        <v>5</v>
      </c>
    </row>
    <row r="179" spans="1:29" ht="15" hidden="1" x14ac:dyDescent="0.2">
      <c r="A179" s="37"/>
      <c r="B179" s="37"/>
      <c r="C179" s="38" t="s">
        <v>393</v>
      </c>
      <c r="D179" s="37"/>
      <c r="E179" s="37"/>
      <c r="F179" s="37"/>
      <c r="G179" s="37"/>
      <c r="H179" s="54">
        <f>I178+0</f>
        <v>15062.8</v>
      </c>
      <c r="I179" s="54"/>
      <c r="J179" s="54">
        <f>K178+0</f>
        <v>114025.4</v>
      </c>
      <c r="K179" s="54"/>
      <c r="L179"/>
      <c r="O179" s="35">
        <f>I178+0</f>
        <v>15062.8</v>
      </c>
      <c r="P179" s="35">
        <f>K178+0</f>
        <v>114025.4</v>
      </c>
    </row>
    <row r="180" spans="1:29" hidden="1" x14ac:dyDescent="0.2">
      <c r="L180"/>
    </row>
    <row r="181" spans="1:29" ht="42.75" hidden="1" x14ac:dyDescent="0.2">
      <c r="A181" s="23">
        <v>16</v>
      </c>
      <c r="B181" s="23" t="str">
        <f>Source!F93</f>
        <v>4.11-1-4</v>
      </c>
      <c r="C181" s="23" t="s">
        <v>164</v>
      </c>
      <c r="D181" s="25" t="str">
        <f>Source!H93</f>
        <v>1ШТ.</v>
      </c>
      <c r="E181" s="24">
        <f>Source!I93</f>
        <v>2</v>
      </c>
      <c r="F181" s="27"/>
      <c r="G181" s="26"/>
      <c r="H181" s="24"/>
      <c r="I181" s="27"/>
      <c r="J181" s="24"/>
      <c r="K181" s="27"/>
      <c r="L181"/>
      <c r="Q181">
        <f>Source!X93</f>
        <v>29.45</v>
      </c>
      <c r="R181">
        <f>Source!X94</f>
        <v>1659.39</v>
      </c>
      <c r="S181">
        <f>Source!Y93</f>
        <v>15.05</v>
      </c>
      <c r="T181">
        <f>Source!Y94</f>
        <v>848.13</v>
      </c>
      <c r="U181">
        <f>ROUND((175/100)*ROUND(Source!R93, 2), 2)</f>
        <v>5.41</v>
      </c>
      <c r="V181">
        <f>ROUND((0/100)*ROUND(Source!R94, 2), 2)</f>
        <v>0</v>
      </c>
      <c r="AC181">
        <v>0</v>
      </c>
    </row>
    <row r="182" spans="1:29" ht="14.25" hidden="1" x14ac:dyDescent="0.2">
      <c r="A182" s="23"/>
      <c r="B182" s="23"/>
      <c r="C182" s="23" t="s">
        <v>382</v>
      </c>
      <c r="D182" s="25"/>
      <c r="E182" s="24"/>
      <c r="F182" s="27">
        <f>Source!AO93</f>
        <v>11.79</v>
      </c>
      <c r="G182" s="26" t="s">
        <v>151</v>
      </c>
      <c r="H182" s="24">
        <f>Source!AV94</f>
        <v>1.0469999999999999</v>
      </c>
      <c r="I182" s="27">
        <f>Source!S93</f>
        <v>29.63</v>
      </c>
      <c r="J182" s="24">
        <f>IF(Source!BA94&lt;&gt; 0, Source!BA94, 1)</f>
        <v>56.35</v>
      </c>
      <c r="K182" s="27">
        <f>Source!S94</f>
        <v>1669.65</v>
      </c>
      <c r="L182"/>
    </row>
    <row r="183" spans="1:29" ht="14.25" hidden="1" x14ac:dyDescent="0.2">
      <c r="A183" s="23"/>
      <c r="B183" s="23"/>
      <c r="C183" s="23" t="s">
        <v>384</v>
      </c>
      <c r="D183" s="25"/>
      <c r="E183" s="24"/>
      <c r="F183" s="27">
        <f>Source!AM93</f>
        <v>5.37</v>
      </c>
      <c r="G183" s="26" t="s">
        <v>151</v>
      </c>
      <c r="H183" s="24">
        <f>Source!AV94</f>
        <v>1.0469999999999999</v>
      </c>
      <c r="I183" s="27">
        <f>Source!Q93</f>
        <v>13.49</v>
      </c>
      <c r="J183" s="24">
        <f>IF(Source!BB94&lt;&gt; 0, Source!BB94, 1)</f>
        <v>22.63</v>
      </c>
      <c r="K183" s="27">
        <f>Source!Q94</f>
        <v>305.27999999999997</v>
      </c>
      <c r="L183"/>
    </row>
    <row r="184" spans="1:29" ht="14.25" hidden="1" x14ac:dyDescent="0.2">
      <c r="A184" s="23"/>
      <c r="B184" s="23"/>
      <c r="C184" s="23" t="s">
        <v>385</v>
      </c>
      <c r="D184" s="25"/>
      <c r="E184" s="24"/>
      <c r="F184" s="27">
        <f>Source!AN93</f>
        <v>1.23</v>
      </c>
      <c r="G184" s="26" t="s">
        <v>151</v>
      </c>
      <c r="H184" s="24">
        <f>Source!AV94</f>
        <v>1.0469999999999999</v>
      </c>
      <c r="I184" s="28">
        <f>Source!R93</f>
        <v>3.09</v>
      </c>
      <c r="J184" s="24">
        <f>IF(Source!BS94&lt;&gt; 0, Source!BS94, 1)</f>
        <v>56.35</v>
      </c>
      <c r="K184" s="28">
        <f>Source!R94</f>
        <v>174.12</v>
      </c>
      <c r="L184"/>
    </row>
    <row r="185" spans="1:29" ht="14.25" hidden="1" x14ac:dyDescent="0.2">
      <c r="A185" s="23"/>
      <c r="B185" s="23"/>
      <c r="C185" s="23" t="s">
        <v>396</v>
      </c>
      <c r="D185" s="25"/>
      <c r="E185" s="24"/>
      <c r="F185" s="27">
        <f>Source!AL93</f>
        <v>51.03</v>
      </c>
      <c r="G185" s="26"/>
      <c r="H185" s="24">
        <f>Source!AW94</f>
        <v>1</v>
      </c>
      <c r="I185" s="27">
        <f>Source!P93</f>
        <v>102.06</v>
      </c>
      <c r="J185" s="24">
        <f>IF(Source!BC94&lt;&gt; 0, Source!BC94, 1)</f>
        <v>8.9499999999999993</v>
      </c>
      <c r="K185" s="27">
        <f>Source!P94</f>
        <v>913.44</v>
      </c>
      <c r="L185"/>
    </row>
    <row r="186" spans="1:29" ht="28.5" hidden="1" x14ac:dyDescent="0.2">
      <c r="A186" s="23" t="s">
        <v>165</v>
      </c>
      <c r="B186" s="23" t="str">
        <f>Source!F95</f>
        <v>1.1-1-57</v>
      </c>
      <c r="C186" s="23" t="s">
        <v>167</v>
      </c>
      <c r="D186" s="25" t="str">
        <f>Source!H95</f>
        <v>т</v>
      </c>
      <c r="E186" s="24">
        <f>Source!I95</f>
        <v>2.0000000000000002E-5</v>
      </c>
      <c r="F186" s="27">
        <f>Source!AK95</f>
        <v>17868.28</v>
      </c>
      <c r="G186" s="39" t="s">
        <v>3</v>
      </c>
      <c r="H186" s="24">
        <f>Source!AW96</f>
        <v>1</v>
      </c>
      <c r="I186" s="27">
        <f>Source!O95</f>
        <v>0.36</v>
      </c>
      <c r="J186" s="24">
        <f>IF(Source!BC96&lt;&gt; 0, Source!BC96, 1)</f>
        <v>6.81</v>
      </c>
      <c r="K186" s="27">
        <f>Source!O96</f>
        <v>2.4500000000000002</v>
      </c>
      <c r="L186"/>
      <c r="Q186">
        <f>Source!X95</f>
        <v>0</v>
      </c>
      <c r="R186">
        <f>Source!X96</f>
        <v>0</v>
      </c>
      <c r="S186">
        <f>Source!Y95</f>
        <v>0</v>
      </c>
      <c r="T186">
        <f>Source!Y96</f>
        <v>0</v>
      </c>
      <c r="U186">
        <f>ROUND((175/100)*ROUND(Source!R95, 2), 2)</f>
        <v>0</v>
      </c>
      <c r="V186">
        <f>ROUND((0/100)*ROUND(Source!R96, 2), 2)</f>
        <v>0</v>
      </c>
      <c r="AC186">
        <v>3</v>
      </c>
    </row>
    <row r="187" spans="1:29" ht="14.25" hidden="1" x14ac:dyDescent="0.2">
      <c r="A187" s="23"/>
      <c r="B187" s="23"/>
      <c r="C187" s="23" t="s">
        <v>386</v>
      </c>
      <c r="D187" s="25" t="s">
        <v>387</v>
      </c>
      <c r="E187" s="24">
        <f>Source!BZ94</f>
        <v>90</v>
      </c>
      <c r="F187" s="27"/>
      <c r="G187" s="26"/>
      <c r="H187" s="24"/>
      <c r="I187" s="27">
        <f>SUM(Q181:Q186)</f>
        <v>29.45</v>
      </c>
      <c r="J187" s="24">
        <f>Source!AT94</f>
        <v>90</v>
      </c>
      <c r="K187" s="27">
        <f>SUM(R181:R186)</f>
        <v>1659.39</v>
      </c>
      <c r="L187"/>
    </row>
    <row r="188" spans="1:29" ht="14.25" hidden="1" x14ac:dyDescent="0.2">
      <c r="A188" s="23"/>
      <c r="B188" s="23"/>
      <c r="C188" s="23" t="s">
        <v>388</v>
      </c>
      <c r="D188" s="25" t="s">
        <v>387</v>
      </c>
      <c r="E188" s="24">
        <f>Source!CA94</f>
        <v>46</v>
      </c>
      <c r="F188" s="27"/>
      <c r="G188" s="26"/>
      <c r="H188" s="24"/>
      <c r="I188" s="27">
        <f>SUM(S181:S187)</f>
        <v>15.05</v>
      </c>
      <c r="J188" s="24">
        <f>Source!AU94</f>
        <v>46</v>
      </c>
      <c r="K188" s="27">
        <f>SUM(T181:T187)</f>
        <v>848.13</v>
      </c>
      <c r="L188"/>
    </row>
    <row r="189" spans="1:29" ht="14.25" hidden="1" x14ac:dyDescent="0.2">
      <c r="A189" s="29"/>
      <c r="B189" s="29"/>
      <c r="C189" s="29" t="s">
        <v>389</v>
      </c>
      <c r="D189" s="30" t="s">
        <v>390</v>
      </c>
      <c r="E189" s="31">
        <f>Source!AQ93</f>
        <v>1.03</v>
      </c>
      <c r="F189" s="32"/>
      <c r="G189" s="33" t="s">
        <v>151</v>
      </c>
      <c r="H189" s="31">
        <f>Source!AV94</f>
        <v>1.0469999999999999</v>
      </c>
      <c r="I189" s="32">
        <f>Source!U93</f>
        <v>2.5881839999999996</v>
      </c>
      <c r="J189" s="31"/>
      <c r="K189" s="32"/>
      <c r="L189"/>
    </row>
    <row r="190" spans="1:29" ht="15" hidden="1" x14ac:dyDescent="0.2">
      <c r="C190" s="34" t="s">
        <v>391</v>
      </c>
      <c r="H190" s="52">
        <f>I182+I183+I185+I187+I188+SUM(I186:I186)-SUMIF(AC186:AC186, 5, I186:I186)-SUMIF(AC186:AC186, 6, I186:I186)</f>
        <v>190.04000000000002</v>
      </c>
      <c r="I190" s="52"/>
      <c r="J190" s="52">
        <f>K182+K183+K185+K187+K188+SUM(K186:K186)-SUMIF(AC186:AC186, 5, K186:K186)-SUMIF(AC186:AC186, 6, K186:K186)</f>
        <v>5398.34</v>
      </c>
      <c r="K190" s="52"/>
      <c r="L190"/>
    </row>
    <row r="191" spans="1:29" ht="15" hidden="1" x14ac:dyDescent="0.2">
      <c r="C191" s="34" t="s">
        <v>392</v>
      </c>
      <c r="H191" s="49">
        <f>SUMIF(AC186:AC186, 5, I186:I186)+SUMIF(AC186:AC186, 6, I186:I186)</f>
        <v>0</v>
      </c>
      <c r="I191" s="49"/>
      <c r="J191" s="49">
        <f>SUMIF(AC186:AC186, 5, K186:K186)+SUMIF(AC186:AC186, 6, K186:K186)</f>
        <v>0</v>
      </c>
      <c r="K191" s="49"/>
      <c r="L191"/>
    </row>
    <row r="192" spans="1:29" ht="15" hidden="1" x14ac:dyDescent="0.2">
      <c r="C192" s="34" t="s">
        <v>393</v>
      </c>
      <c r="H192" s="49">
        <f>I182+I183+I185+I187+I188+SUM(I186:I186)</f>
        <v>190.04000000000002</v>
      </c>
      <c r="I192" s="49"/>
      <c r="J192" s="49">
        <f>K182+K183+K185+K187+K188+SUM(K186:K186)</f>
        <v>5398.34</v>
      </c>
      <c r="K192" s="49"/>
      <c r="L192"/>
      <c r="O192" s="35">
        <f>I182+I183+I185+I187+I188+SUM(I186:I186)</f>
        <v>190.04000000000002</v>
      </c>
      <c r="P192" s="35">
        <f>K182+K183+K185+K187+K188+SUM(K186:K186)</f>
        <v>5398.34</v>
      </c>
    </row>
    <row r="193" spans="1:29" hidden="1" x14ac:dyDescent="0.2">
      <c r="L193"/>
    </row>
    <row r="194" spans="1:29" ht="54" hidden="1" x14ac:dyDescent="0.2">
      <c r="A194" s="29">
        <v>17</v>
      </c>
      <c r="B194" s="29" t="str">
        <f>Source!F97</f>
        <v>КА, п.10</v>
      </c>
      <c r="C194" s="29" t="s">
        <v>397</v>
      </c>
      <c r="D194" s="30" t="str">
        <f>Source!H97</f>
        <v>ШТ</v>
      </c>
      <c r="E194" s="31">
        <f>Source!I97</f>
        <v>2</v>
      </c>
      <c r="F194" s="32">
        <f>Source!AL97</f>
        <v>462.96999999999997</v>
      </c>
      <c r="G194" s="33"/>
      <c r="H194" s="31">
        <f>Source!AW98</f>
        <v>1</v>
      </c>
      <c r="I194" s="32">
        <f>Source!P97</f>
        <v>925.94</v>
      </c>
      <c r="J194" s="31">
        <f>IF(Source!BC98&lt;&gt; 0, Source!BC98, 1)</f>
        <v>9.84</v>
      </c>
      <c r="K194" s="32">
        <f>Source!P98</f>
        <v>9111.25</v>
      </c>
      <c r="L194"/>
      <c r="Q194">
        <f>Source!X97</f>
        <v>0</v>
      </c>
      <c r="R194">
        <f>Source!X98</f>
        <v>0</v>
      </c>
      <c r="S194">
        <f>Source!Y97</f>
        <v>0</v>
      </c>
      <c r="T194">
        <f>Source!Y98</f>
        <v>0</v>
      </c>
      <c r="U194">
        <f>ROUND((175/100)*ROUND(Source!R97, 2), 2)</f>
        <v>0</v>
      </c>
      <c r="V194">
        <f>ROUND((0/100)*ROUND(Source!R98, 2), 2)</f>
        <v>0</v>
      </c>
      <c r="AC194">
        <v>3</v>
      </c>
    </row>
    <row r="195" spans="1:29" ht="15" hidden="1" x14ac:dyDescent="0.2">
      <c r="C195" s="34" t="s">
        <v>393</v>
      </c>
      <c r="H195" s="52">
        <f>I194+0</f>
        <v>925.94</v>
      </c>
      <c r="I195" s="52"/>
      <c r="J195" s="52">
        <f>K194+0</f>
        <v>9111.25</v>
      </c>
      <c r="K195" s="52"/>
      <c r="L195"/>
      <c r="O195" s="35">
        <f>I194+0</f>
        <v>925.94</v>
      </c>
      <c r="P195" s="35">
        <f>K194+0</f>
        <v>9111.25</v>
      </c>
    </row>
    <row r="196" spans="1:29" hidden="1" x14ac:dyDescent="0.2">
      <c r="L196"/>
    </row>
    <row r="197" spans="1:29" ht="14.25" hidden="1" x14ac:dyDescent="0.2">
      <c r="A197" s="23">
        <v>18</v>
      </c>
      <c r="B197" s="23" t="str">
        <f>Source!F99</f>
        <v>4.10-76-10</v>
      </c>
      <c r="C197" s="23" t="s">
        <v>177</v>
      </c>
      <c r="D197" s="25" t="str">
        <f>Source!H99</f>
        <v>1ШТ.</v>
      </c>
      <c r="E197" s="24">
        <f>Source!I99</f>
        <v>2</v>
      </c>
      <c r="F197" s="27"/>
      <c r="G197" s="26"/>
      <c r="H197" s="24"/>
      <c r="I197" s="27"/>
      <c r="J197" s="24"/>
      <c r="K197" s="27"/>
      <c r="L197"/>
      <c r="Q197">
        <f>Source!X99</f>
        <v>28.39</v>
      </c>
      <c r="R197">
        <f>Source!X100</f>
        <v>1599.55</v>
      </c>
      <c r="S197">
        <f>Source!Y99</f>
        <v>15.84</v>
      </c>
      <c r="T197">
        <f>Source!Y100</f>
        <v>892.38</v>
      </c>
      <c r="U197">
        <f>ROUND((175/100)*ROUND(Source!R99, 2), 2)</f>
        <v>0</v>
      </c>
      <c r="V197">
        <f>ROUND((0/100)*ROUND(Source!R100, 2), 2)</f>
        <v>0</v>
      </c>
      <c r="AC197">
        <v>0</v>
      </c>
    </row>
    <row r="198" spans="1:29" ht="14.25" hidden="1" x14ac:dyDescent="0.2">
      <c r="A198" s="23"/>
      <c r="B198" s="23"/>
      <c r="C198" s="23" t="s">
        <v>382</v>
      </c>
      <c r="D198" s="25"/>
      <c r="E198" s="24"/>
      <c r="F198" s="27">
        <f>Source!AO99</f>
        <v>11.89</v>
      </c>
      <c r="G198" s="26" t="s">
        <v>151</v>
      </c>
      <c r="H198" s="24">
        <f>Source!AV100</f>
        <v>1.0469999999999999</v>
      </c>
      <c r="I198" s="27">
        <f>Source!S99</f>
        <v>29.88</v>
      </c>
      <c r="J198" s="24">
        <f>IF(Source!BA100&lt;&gt; 0, Source!BA100, 1)</f>
        <v>56.35</v>
      </c>
      <c r="K198" s="27">
        <f>Source!S100</f>
        <v>1683.74</v>
      </c>
      <c r="L198"/>
    </row>
    <row r="199" spans="1:29" ht="14.25" hidden="1" x14ac:dyDescent="0.2">
      <c r="A199" s="23"/>
      <c r="B199" s="23"/>
      <c r="C199" s="23" t="s">
        <v>396</v>
      </c>
      <c r="D199" s="25"/>
      <c r="E199" s="24"/>
      <c r="F199" s="27">
        <f>Source!AL99</f>
        <v>1.67</v>
      </c>
      <c r="G199" s="26"/>
      <c r="H199" s="24">
        <f>Source!AW100</f>
        <v>1</v>
      </c>
      <c r="I199" s="27">
        <f>Source!P99</f>
        <v>3.34</v>
      </c>
      <c r="J199" s="24">
        <f>IF(Source!BC100&lt;&gt; 0, Source!BC100, 1)</f>
        <v>17.87</v>
      </c>
      <c r="K199" s="27">
        <f>Source!P100</f>
        <v>59.69</v>
      </c>
      <c r="L199"/>
    </row>
    <row r="200" spans="1:29" ht="14.25" hidden="1" x14ac:dyDescent="0.2">
      <c r="A200" s="23"/>
      <c r="B200" s="23"/>
      <c r="C200" s="23" t="s">
        <v>386</v>
      </c>
      <c r="D200" s="25" t="s">
        <v>387</v>
      </c>
      <c r="E200" s="24">
        <f>Source!BZ100</f>
        <v>95</v>
      </c>
      <c r="F200" s="27"/>
      <c r="G200" s="26"/>
      <c r="H200" s="24"/>
      <c r="I200" s="27">
        <f>SUM(Q197:Q199)</f>
        <v>28.39</v>
      </c>
      <c r="J200" s="24">
        <f>Source!AT100</f>
        <v>95</v>
      </c>
      <c r="K200" s="27">
        <f>SUM(R197:R199)</f>
        <v>1599.55</v>
      </c>
      <c r="L200"/>
    </row>
    <row r="201" spans="1:29" ht="14.25" hidden="1" x14ac:dyDescent="0.2">
      <c r="A201" s="23"/>
      <c r="B201" s="23"/>
      <c r="C201" s="23" t="s">
        <v>388</v>
      </c>
      <c r="D201" s="25" t="s">
        <v>387</v>
      </c>
      <c r="E201" s="24">
        <f>Source!CA100</f>
        <v>53</v>
      </c>
      <c r="F201" s="27"/>
      <c r="G201" s="26"/>
      <c r="H201" s="24"/>
      <c r="I201" s="27">
        <f>SUM(S197:S200)</f>
        <v>15.84</v>
      </c>
      <c r="J201" s="24">
        <f>Source!AU100</f>
        <v>53</v>
      </c>
      <c r="K201" s="27">
        <f>SUM(T197:T200)</f>
        <v>892.38</v>
      </c>
      <c r="L201"/>
    </row>
    <row r="202" spans="1:29" ht="14.25" hidden="1" x14ac:dyDescent="0.2">
      <c r="A202" s="29"/>
      <c r="B202" s="29"/>
      <c r="C202" s="29" t="s">
        <v>389</v>
      </c>
      <c r="D202" s="30" t="s">
        <v>390</v>
      </c>
      <c r="E202" s="31">
        <f>Source!AQ99</f>
        <v>1</v>
      </c>
      <c r="F202" s="32"/>
      <c r="G202" s="33" t="s">
        <v>151</v>
      </c>
      <c r="H202" s="31">
        <f>Source!AV100</f>
        <v>1.0469999999999999</v>
      </c>
      <c r="I202" s="32">
        <f>Source!U99</f>
        <v>2.5127999999999999</v>
      </c>
      <c r="J202" s="31"/>
      <c r="K202" s="32"/>
      <c r="L202"/>
    </row>
    <row r="203" spans="1:29" ht="15" hidden="1" x14ac:dyDescent="0.2">
      <c r="C203" s="34" t="s">
        <v>391</v>
      </c>
      <c r="H203" s="52">
        <f>I198+I199+I200+I201+0-0-0</f>
        <v>77.45</v>
      </c>
      <c r="I203" s="52"/>
      <c r="J203" s="52">
        <f>K198+K199+K200+K201+0-0-0</f>
        <v>4235.3599999999997</v>
      </c>
      <c r="K203" s="52"/>
      <c r="L203"/>
    </row>
    <row r="204" spans="1:29" ht="15" hidden="1" x14ac:dyDescent="0.2">
      <c r="C204" s="34" t="s">
        <v>392</v>
      </c>
      <c r="H204" s="49">
        <f>0+0</f>
        <v>0</v>
      </c>
      <c r="I204" s="49"/>
      <c r="J204" s="49">
        <f>0+0</f>
        <v>0</v>
      </c>
      <c r="K204" s="49"/>
      <c r="L204"/>
    </row>
    <row r="205" spans="1:29" ht="15" hidden="1" x14ac:dyDescent="0.2">
      <c r="C205" s="34" t="s">
        <v>393</v>
      </c>
      <c r="H205" s="49">
        <f>I198+I199+I200+I201+0</f>
        <v>77.45</v>
      </c>
      <c r="I205" s="49"/>
      <c r="J205" s="49">
        <f>K198+K199+K200+K201+0</f>
        <v>4235.3599999999997</v>
      </c>
      <c r="K205" s="49"/>
      <c r="L205"/>
      <c r="O205" s="35">
        <f>I198+I199+I200+I201+0</f>
        <v>77.45</v>
      </c>
      <c r="P205" s="35">
        <f>K198+K199+K200+K201+0</f>
        <v>4235.3599999999997</v>
      </c>
    </row>
    <row r="206" spans="1:29" hidden="1" x14ac:dyDescent="0.2">
      <c r="L206"/>
    </row>
    <row r="207" spans="1:29" ht="41.25" x14ac:dyDescent="0.2">
      <c r="A207" s="76">
        <v>19</v>
      </c>
      <c r="B207" s="76" t="str">
        <f>Source!F101</f>
        <v>КА, п.4</v>
      </c>
      <c r="C207" s="76" t="s">
        <v>409</v>
      </c>
      <c r="D207" s="77" t="str">
        <f>Source!H101</f>
        <v>ШТ</v>
      </c>
      <c r="E207" s="78">
        <f>Source!I101</f>
        <v>1</v>
      </c>
      <c r="F207" s="79">
        <f>Source!AL101</f>
        <v>963.68</v>
      </c>
      <c r="G207" s="80"/>
      <c r="H207" s="78">
        <f>Source!AW102</f>
        <v>1</v>
      </c>
      <c r="I207" s="79">
        <f>Source!P101</f>
        <v>963.68</v>
      </c>
      <c r="J207" s="78">
        <f>IF(Source!BC102&lt;&gt; 0, Source!BC102, 1)</f>
        <v>7.57</v>
      </c>
      <c r="K207" s="79">
        <f>Source!P102</f>
        <v>7295.06</v>
      </c>
      <c r="L207" s="81" t="s">
        <v>405</v>
      </c>
      <c r="Q207">
        <f>Source!X101</f>
        <v>0</v>
      </c>
      <c r="R207">
        <f>Source!X102</f>
        <v>0</v>
      </c>
      <c r="S207">
        <f>Source!Y101</f>
        <v>0</v>
      </c>
      <c r="T207">
        <f>Source!Y102</f>
        <v>0</v>
      </c>
      <c r="U207">
        <f>ROUND((175/100)*ROUND(Source!R101, 2), 2)</f>
        <v>0</v>
      </c>
      <c r="V207">
        <f>ROUND((0/100)*ROUND(Source!R102, 2), 2)</f>
        <v>0</v>
      </c>
      <c r="AC207">
        <v>5</v>
      </c>
    </row>
    <row r="208" spans="1:29" ht="15" hidden="1" x14ac:dyDescent="0.2">
      <c r="A208" s="37"/>
      <c r="B208" s="37"/>
      <c r="C208" s="38" t="s">
        <v>393</v>
      </c>
      <c r="D208" s="37"/>
      <c r="E208" s="37"/>
      <c r="F208" s="37"/>
      <c r="G208" s="37"/>
      <c r="H208" s="54">
        <f>I207+0</f>
        <v>963.68</v>
      </c>
      <c r="I208" s="54"/>
      <c r="J208" s="54">
        <f>K207+0</f>
        <v>7295.06</v>
      </c>
      <c r="K208" s="54"/>
      <c r="L208"/>
      <c r="O208" s="35">
        <f>I207+0</f>
        <v>963.68</v>
      </c>
      <c r="P208" s="35">
        <f>K207+0</f>
        <v>7295.06</v>
      </c>
    </row>
    <row r="209" spans="1:29" hidden="1" x14ac:dyDescent="0.2">
      <c r="L209"/>
    </row>
    <row r="210" spans="1:29" ht="41.25" x14ac:dyDescent="0.2">
      <c r="A210" s="76">
        <v>20</v>
      </c>
      <c r="B210" s="76" t="str">
        <f>Source!F103</f>
        <v>КА, п.5</v>
      </c>
      <c r="C210" s="76" t="s">
        <v>410</v>
      </c>
      <c r="D210" s="77" t="str">
        <f>Source!H103</f>
        <v>ШТ</v>
      </c>
      <c r="E210" s="78">
        <f>Source!I103</f>
        <v>1</v>
      </c>
      <c r="F210" s="79">
        <f>Source!AL103</f>
        <v>1894.88</v>
      </c>
      <c r="G210" s="80"/>
      <c r="H210" s="78">
        <f>Source!AW104</f>
        <v>1</v>
      </c>
      <c r="I210" s="79">
        <f>Source!P103</f>
        <v>1894.88</v>
      </c>
      <c r="J210" s="78">
        <f>IF(Source!BC104&lt;&gt; 0, Source!BC104, 1)</f>
        <v>7.57</v>
      </c>
      <c r="K210" s="79">
        <f>Source!P104</f>
        <v>14344.24</v>
      </c>
      <c r="L210" s="81" t="s">
        <v>405</v>
      </c>
      <c r="Q210">
        <f>Source!X103</f>
        <v>0</v>
      </c>
      <c r="R210">
        <f>Source!X104</f>
        <v>0</v>
      </c>
      <c r="S210">
        <f>Source!Y103</f>
        <v>0</v>
      </c>
      <c r="T210">
        <f>Source!Y104</f>
        <v>0</v>
      </c>
      <c r="U210">
        <f>ROUND((175/100)*ROUND(Source!R103, 2), 2)</f>
        <v>0</v>
      </c>
      <c r="V210">
        <f>ROUND((0/100)*ROUND(Source!R104, 2), 2)</f>
        <v>0</v>
      </c>
      <c r="AC210">
        <v>5</v>
      </c>
    </row>
    <row r="211" spans="1:29" ht="15" hidden="1" x14ac:dyDescent="0.2">
      <c r="A211" s="37"/>
      <c r="B211" s="37"/>
      <c r="C211" s="38" t="s">
        <v>393</v>
      </c>
      <c r="D211" s="37"/>
      <c r="E211" s="37"/>
      <c r="F211" s="37"/>
      <c r="G211" s="37"/>
      <c r="H211" s="54">
        <f>I210+0</f>
        <v>1894.88</v>
      </c>
      <c r="I211" s="54"/>
      <c r="J211" s="54">
        <f>K210+0</f>
        <v>14344.24</v>
      </c>
      <c r="K211" s="54"/>
      <c r="L211"/>
      <c r="O211" s="35">
        <f>I210+0</f>
        <v>1894.88</v>
      </c>
      <c r="P211" s="35">
        <f>K210+0</f>
        <v>14344.24</v>
      </c>
    </row>
    <row r="212" spans="1:29" hidden="1" x14ac:dyDescent="0.2">
      <c r="L212"/>
    </row>
    <row r="213" spans="1:29" ht="28.5" hidden="1" x14ac:dyDescent="0.2">
      <c r="A213" s="23">
        <v>21</v>
      </c>
      <c r="B213" s="23" t="str">
        <f>Source!F105</f>
        <v>4.10-76-15</v>
      </c>
      <c r="C213" s="23" t="s">
        <v>187</v>
      </c>
      <c r="D213" s="25" t="str">
        <f>Source!H105</f>
        <v>1ШТ.</v>
      </c>
      <c r="E213" s="24">
        <f>Source!I105</f>
        <v>1</v>
      </c>
      <c r="F213" s="27"/>
      <c r="G213" s="26"/>
      <c r="H213" s="24"/>
      <c r="I213" s="27"/>
      <c r="J213" s="24"/>
      <c r="K213" s="27"/>
      <c r="L213"/>
      <c r="Q213">
        <f>Source!X105</f>
        <v>30.12</v>
      </c>
      <c r="R213">
        <f>Source!X106</f>
        <v>1697.52</v>
      </c>
      <c r="S213">
        <f>Source!Y105</f>
        <v>16.809999999999999</v>
      </c>
      <c r="T213">
        <f>Source!Y106</f>
        <v>947.04</v>
      </c>
      <c r="U213">
        <f>ROUND((175/100)*ROUND(Source!R105, 2), 2)</f>
        <v>0</v>
      </c>
      <c r="V213">
        <f>ROUND((0/100)*ROUND(Source!R106, 2), 2)</f>
        <v>0</v>
      </c>
      <c r="AC213">
        <v>0</v>
      </c>
    </row>
    <row r="214" spans="1:29" ht="14.25" hidden="1" x14ac:dyDescent="0.2">
      <c r="A214" s="23"/>
      <c r="B214" s="23"/>
      <c r="C214" s="23" t="s">
        <v>382</v>
      </c>
      <c r="D214" s="25"/>
      <c r="E214" s="24"/>
      <c r="F214" s="27">
        <f>Source!AO105</f>
        <v>25.24</v>
      </c>
      <c r="G214" s="26" t="s">
        <v>151</v>
      </c>
      <c r="H214" s="24">
        <f>Source!AV106</f>
        <v>1.0469999999999999</v>
      </c>
      <c r="I214" s="27">
        <f>Source!S105</f>
        <v>31.71</v>
      </c>
      <c r="J214" s="24">
        <f>IF(Source!BA106&lt;&gt; 0, Source!BA106, 1)</f>
        <v>56.35</v>
      </c>
      <c r="K214" s="27">
        <f>Source!S106</f>
        <v>1786.86</v>
      </c>
      <c r="L214"/>
    </row>
    <row r="215" spans="1:29" ht="14.25" hidden="1" x14ac:dyDescent="0.2">
      <c r="A215" s="23"/>
      <c r="B215" s="23"/>
      <c r="C215" s="23" t="s">
        <v>396</v>
      </c>
      <c r="D215" s="25"/>
      <c r="E215" s="24"/>
      <c r="F215" s="27">
        <f>Source!AL105</f>
        <v>7.72</v>
      </c>
      <c r="G215" s="26"/>
      <c r="H215" s="24">
        <f>Source!AW106</f>
        <v>1</v>
      </c>
      <c r="I215" s="27">
        <f>Source!P105</f>
        <v>7.72</v>
      </c>
      <c r="J215" s="24">
        <f>IF(Source!BC106&lt;&gt; 0, Source!BC106, 1)</f>
        <v>7.17</v>
      </c>
      <c r="K215" s="27">
        <f>Source!P106</f>
        <v>55.35</v>
      </c>
      <c r="L215"/>
    </row>
    <row r="216" spans="1:29" ht="14.25" hidden="1" x14ac:dyDescent="0.2">
      <c r="A216" s="23"/>
      <c r="B216" s="23"/>
      <c r="C216" s="23" t="s">
        <v>386</v>
      </c>
      <c r="D216" s="25" t="s">
        <v>387</v>
      </c>
      <c r="E216" s="24">
        <f>Source!BZ106</f>
        <v>95</v>
      </c>
      <c r="F216" s="27"/>
      <c r="G216" s="26"/>
      <c r="H216" s="24"/>
      <c r="I216" s="27">
        <f>SUM(Q213:Q215)</f>
        <v>30.12</v>
      </c>
      <c r="J216" s="24">
        <f>Source!AT106</f>
        <v>95</v>
      </c>
      <c r="K216" s="27">
        <f>SUM(R213:R215)</f>
        <v>1697.52</v>
      </c>
      <c r="L216"/>
    </row>
    <row r="217" spans="1:29" ht="14.25" hidden="1" x14ac:dyDescent="0.2">
      <c r="A217" s="23"/>
      <c r="B217" s="23"/>
      <c r="C217" s="23" t="s">
        <v>388</v>
      </c>
      <c r="D217" s="25" t="s">
        <v>387</v>
      </c>
      <c r="E217" s="24">
        <f>Source!CA106</f>
        <v>53</v>
      </c>
      <c r="F217" s="27"/>
      <c r="G217" s="26"/>
      <c r="H217" s="24"/>
      <c r="I217" s="27">
        <f>SUM(S213:S216)</f>
        <v>16.809999999999999</v>
      </c>
      <c r="J217" s="24">
        <f>Source!AU106</f>
        <v>53</v>
      </c>
      <c r="K217" s="27">
        <f>SUM(T213:T216)</f>
        <v>947.04</v>
      </c>
      <c r="L217"/>
    </row>
    <row r="218" spans="1:29" ht="14.25" hidden="1" x14ac:dyDescent="0.2">
      <c r="A218" s="29"/>
      <c r="B218" s="29"/>
      <c r="C218" s="29" t="s">
        <v>389</v>
      </c>
      <c r="D218" s="30" t="s">
        <v>390</v>
      </c>
      <c r="E218" s="31">
        <f>Source!AQ105</f>
        <v>2</v>
      </c>
      <c r="F218" s="32"/>
      <c r="G218" s="33" t="s">
        <v>151</v>
      </c>
      <c r="H218" s="31">
        <f>Source!AV106</f>
        <v>1.0469999999999999</v>
      </c>
      <c r="I218" s="32">
        <f>Source!U105</f>
        <v>2.5127999999999999</v>
      </c>
      <c r="J218" s="31"/>
      <c r="K218" s="32"/>
      <c r="L218"/>
    </row>
    <row r="219" spans="1:29" ht="15" hidden="1" x14ac:dyDescent="0.2">
      <c r="C219" s="34" t="s">
        <v>391</v>
      </c>
      <c r="H219" s="52">
        <f>I214+I215+I216+I217+0-0-0</f>
        <v>86.36</v>
      </c>
      <c r="I219" s="52"/>
      <c r="J219" s="52">
        <f>K214+K215+K216+K217+0-0-0</f>
        <v>4486.7699999999995</v>
      </c>
      <c r="K219" s="52"/>
      <c r="L219"/>
    </row>
    <row r="220" spans="1:29" ht="15" hidden="1" x14ac:dyDescent="0.2">
      <c r="C220" s="34" t="s">
        <v>392</v>
      </c>
      <c r="H220" s="49">
        <f>0+0</f>
        <v>0</v>
      </c>
      <c r="I220" s="49"/>
      <c r="J220" s="49">
        <f>0+0</f>
        <v>0</v>
      </c>
      <c r="K220" s="49"/>
      <c r="L220"/>
    </row>
    <row r="221" spans="1:29" ht="15" hidden="1" x14ac:dyDescent="0.2">
      <c r="C221" s="34" t="s">
        <v>393</v>
      </c>
      <c r="H221" s="49">
        <f>I214+I215+I216+I217+0</f>
        <v>86.36</v>
      </c>
      <c r="I221" s="49"/>
      <c r="J221" s="49">
        <f>K214+K215+K216+K217+0</f>
        <v>4486.7699999999995</v>
      </c>
      <c r="K221" s="49"/>
      <c r="L221"/>
      <c r="O221" s="35">
        <f>I214+I215+I216+I217+0</f>
        <v>86.36</v>
      </c>
      <c r="P221" s="35">
        <f>K214+K215+K216+K217+0</f>
        <v>4486.7699999999995</v>
      </c>
    </row>
    <row r="222" spans="1:29" hidden="1" x14ac:dyDescent="0.2">
      <c r="L222"/>
    </row>
    <row r="223" spans="1:29" ht="41.25" x14ac:dyDescent="0.2">
      <c r="A223" s="76">
        <v>22</v>
      </c>
      <c r="B223" s="76" t="str">
        <f>Source!F107</f>
        <v>КА, п.6</v>
      </c>
      <c r="C223" s="76" t="s">
        <v>411</v>
      </c>
      <c r="D223" s="77" t="str">
        <f>Source!H107</f>
        <v>ШТ</v>
      </c>
      <c r="E223" s="78">
        <f>Source!I107</f>
        <v>1</v>
      </c>
      <c r="F223" s="79">
        <f>Source!AL107</f>
        <v>1070.8800000000001</v>
      </c>
      <c r="G223" s="80"/>
      <c r="H223" s="78">
        <f>Source!AW108</f>
        <v>1</v>
      </c>
      <c r="I223" s="79">
        <f>Source!P107</f>
        <v>1070.8800000000001</v>
      </c>
      <c r="J223" s="78">
        <f>IF(Source!BC108&lt;&gt; 0, Source!BC108, 1)</f>
        <v>7.57</v>
      </c>
      <c r="K223" s="79">
        <f>Source!P108</f>
        <v>8106.56</v>
      </c>
      <c r="L223" s="81" t="s">
        <v>405</v>
      </c>
      <c r="Q223">
        <f>Source!X107</f>
        <v>0</v>
      </c>
      <c r="R223">
        <f>Source!X108</f>
        <v>0</v>
      </c>
      <c r="S223">
        <f>Source!Y107</f>
        <v>0</v>
      </c>
      <c r="T223">
        <f>Source!Y108</f>
        <v>0</v>
      </c>
      <c r="U223">
        <f>ROUND((175/100)*ROUND(Source!R107, 2), 2)</f>
        <v>0</v>
      </c>
      <c r="V223">
        <f>ROUND((0/100)*ROUND(Source!R108, 2), 2)</f>
        <v>0</v>
      </c>
      <c r="AC223">
        <v>5</v>
      </c>
    </row>
    <row r="224" spans="1:29" ht="15" hidden="1" x14ac:dyDescent="0.2">
      <c r="A224" s="37"/>
      <c r="B224" s="37"/>
      <c r="C224" s="38" t="s">
        <v>393</v>
      </c>
      <c r="D224" s="37"/>
      <c r="E224" s="37"/>
      <c r="F224" s="37"/>
      <c r="G224" s="37"/>
      <c r="H224" s="54">
        <f>I223+0</f>
        <v>1070.8800000000001</v>
      </c>
      <c r="I224" s="54"/>
      <c r="J224" s="54">
        <f>K223+0</f>
        <v>8106.56</v>
      </c>
      <c r="K224" s="54"/>
      <c r="L224"/>
      <c r="O224" s="35">
        <f>I223+0</f>
        <v>1070.8800000000001</v>
      </c>
      <c r="P224" s="35">
        <f>K223+0</f>
        <v>8106.56</v>
      </c>
    </row>
    <row r="225" spans="1:29" hidden="1" x14ac:dyDescent="0.2">
      <c r="L225"/>
    </row>
    <row r="226" spans="1:29" ht="42.75" hidden="1" x14ac:dyDescent="0.2">
      <c r="A226" s="23">
        <v>23</v>
      </c>
      <c r="B226" s="23" t="str">
        <f>Source!F109</f>
        <v>4.10-177-1</v>
      </c>
      <c r="C226" s="23" t="s">
        <v>193</v>
      </c>
      <c r="D226" s="25" t="str">
        <f>Source!H109</f>
        <v>10 шт.</v>
      </c>
      <c r="E226" s="24">
        <f>Source!I109</f>
        <v>3.1</v>
      </c>
      <c r="F226" s="27"/>
      <c r="G226" s="26"/>
      <c r="H226" s="24"/>
      <c r="I226" s="27"/>
      <c r="J226" s="24"/>
      <c r="K226" s="27"/>
      <c r="L226"/>
      <c r="Q226">
        <f>Source!X109</f>
        <v>799.92</v>
      </c>
      <c r="R226">
        <f>Source!X110</f>
        <v>45075.49</v>
      </c>
      <c r="S226">
        <f>Source!Y109</f>
        <v>408.85</v>
      </c>
      <c r="T226">
        <f>Source!Y110</f>
        <v>23038.58</v>
      </c>
      <c r="U226">
        <f>ROUND((175/100)*ROUND(Source!R109, 2), 2)</f>
        <v>5.18</v>
      </c>
      <c r="V226">
        <f>ROUND((0/100)*ROUND(Source!R110, 2), 2)</f>
        <v>0</v>
      </c>
      <c r="AC226">
        <v>0</v>
      </c>
    </row>
    <row r="227" spans="1:29" hidden="1" x14ac:dyDescent="0.2">
      <c r="C227" s="36" t="str">
        <f>"Объем: "&amp;Source!I109&amp;"=31/"&amp;"10"</f>
        <v>Объем: 3,1=31/10</v>
      </c>
      <c r="L227"/>
    </row>
    <row r="228" spans="1:29" ht="14.25" hidden="1" x14ac:dyDescent="0.2">
      <c r="A228" s="23"/>
      <c r="B228" s="23"/>
      <c r="C228" s="23" t="s">
        <v>382</v>
      </c>
      <c r="D228" s="25"/>
      <c r="E228" s="24"/>
      <c r="F228" s="27">
        <f>Source!AO109</f>
        <v>227.44</v>
      </c>
      <c r="G228" s="26" t="s">
        <v>151</v>
      </c>
      <c r="H228" s="24">
        <f>Source!AV110</f>
        <v>1.0469999999999999</v>
      </c>
      <c r="I228" s="27">
        <f>Source!S109</f>
        <v>885.84</v>
      </c>
      <c r="J228" s="24">
        <f>IF(Source!BA110&lt;&gt; 0, Source!BA110, 1)</f>
        <v>56.35</v>
      </c>
      <c r="K228" s="27">
        <f>Source!S110</f>
        <v>49917.08</v>
      </c>
      <c r="L228"/>
    </row>
    <row r="229" spans="1:29" ht="14.25" hidden="1" x14ac:dyDescent="0.2">
      <c r="A229" s="23"/>
      <c r="B229" s="23"/>
      <c r="C229" s="23" t="s">
        <v>384</v>
      </c>
      <c r="D229" s="25"/>
      <c r="E229" s="24"/>
      <c r="F229" s="27">
        <f>Source!AM109</f>
        <v>6.07</v>
      </c>
      <c r="G229" s="26" t="s">
        <v>151</v>
      </c>
      <c r="H229" s="24">
        <f>Source!AV110</f>
        <v>1.0469999999999999</v>
      </c>
      <c r="I229" s="27">
        <f>Source!Q109</f>
        <v>23.64</v>
      </c>
      <c r="J229" s="24">
        <f>IF(Source!BB110&lt;&gt; 0, Source!BB110, 1)</f>
        <v>15.73</v>
      </c>
      <c r="K229" s="27">
        <f>Source!Q110</f>
        <v>371.86</v>
      </c>
      <c r="L229"/>
    </row>
    <row r="230" spans="1:29" ht="14.25" hidden="1" x14ac:dyDescent="0.2">
      <c r="A230" s="23"/>
      <c r="B230" s="23"/>
      <c r="C230" s="23" t="s">
        <v>385</v>
      </c>
      <c r="D230" s="25"/>
      <c r="E230" s="24"/>
      <c r="F230" s="27">
        <f>Source!AN109</f>
        <v>0.76</v>
      </c>
      <c r="G230" s="26" t="s">
        <v>151</v>
      </c>
      <c r="H230" s="24">
        <f>Source!AV110</f>
        <v>1.0469999999999999</v>
      </c>
      <c r="I230" s="28">
        <f>Source!R109</f>
        <v>2.96</v>
      </c>
      <c r="J230" s="24">
        <f>IF(Source!BS110&lt;&gt; 0, Source!BS110, 1)</f>
        <v>56.35</v>
      </c>
      <c r="K230" s="28">
        <f>Source!R110</f>
        <v>166.8</v>
      </c>
      <c r="L230"/>
    </row>
    <row r="231" spans="1:29" ht="14.25" hidden="1" x14ac:dyDescent="0.2">
      <c r="A231" s="23"/>
      <c r="B231" s="23"/>
      <c r="C231" s="23" t="s">
        <v>396</v>
      </c>
      <c r="D231" s="25"/>
      <c r="E231" s="24"/>
      <c r="F231" s="27">
        <f>Source!AL109</f>
        <v>2.44</v>
      </c>
      <c r="G231" s="26"/>
      <c r="H231" s="24">
        <f>Source!AW110</f>
        <v>1</v>
      </c>
      <c r="I231" s="27">
        <f>Source!P109</f>
        <v>7.56</v>
      </c>
      <c r="J231" s="24">
        <f>IF(Source!BC110&lt;&gt; 0, Source!BC110, 1)</f>
        <v>7.61</v>
      </c>
      <c r="K231" s="27">
        <f>Source!P110</f>
        <v>57.53</v>
      </c>
      <c r="L231"/>
    </row>
    <row r="232" spans="1:29" ht="14.25" hidden="1" x14ac:dyDescent="0.2">
      <c r="A232" s="23"/>
      <c r="B232" s="23"/>
      <c r="C232" s="23" t="s">
        <v>386</v>
      </c>
      <c r="D232" s="25" t="s">
        <v>387</v>
      </c>
      <c r="E232" s="24">
        <f>Source!BZ110</f>
        <v>90</v>
      </c>
      <c r="F232" s="27"/>
      <c r="G232" s="26"/>
      <c r="H232" s="24"/>
      <c r="I232" s="27">
        <f>SUM(Q226:Q231)</f>
        <v>799.92</v>
      </c>
      <c r="J232" s="24">
        <f>Source!AT110</f>
        <v>90</v>
      </c>
      <c r="K232" s="27">
        <f>SUM(R226:R231)</f>
        <v>45075.49</v>
      </c>
      <c r="L232"/>
    </row>
    <row r="233" spans="1:29" ht="14.25" hidden="1" x14ac:dyDescent="0.2">
      <c r="A233" s="23"/>
      <c r="B233" s="23"/>
      <c r="C233" s="23" t="s">
        <v>388</v>
      </c>
      <c r="D233" s="25" t="s">
        <v>387</v>
      </c>
      <c r="E233" s="24">
        <f>Source!CA110</f>
        <v>46</v>
      </c>
      <c r="F233" s="27"/>
      <c r="G233" s="26"/>
      <c r="H233" s="24"/>
      <c r="I233" s="27">
        <f>SUM(S226:S232)</f>
        <v>408.85</v>
      </c>
      <c r="J233" s="24">
        <f>Source!AU110</f>
        <v>46</v>
      </c>
      <c r="K233" s="27">
        <f>SUM(T226:T232)</f>
        <v>23038.58</v>
      </c>
      <c r="L233"/>
    </row>
    <row r="234" spans="1:29" ht="14.25" hidden="1" x14ac:dyDescent="0.2">
      <c r="A234" s="29"/>
      <c r="B234" s="29"/>
      <c r="C234" s="29" t="s">
        <v>389</v>
      </c>
      <c r="D234" s="30" t="s">
        <v>390</v>
      </c>
      <c r="E234" s="31">
        <f>Source!AQ109</f>
        <v>14.64</v>
      </c>
      <c r="F234" s="32"/>
      <c r="G234" s="33" t="s">
        <v>151</v>
      </c>
      <c r="H234" s="31">
        <f>Source!AV110</f>
        <v>1.0469999999999999</v>
      </c>
      <c r="I234" s="32">
        <f>Source!U109</f>
        <v>57.0204576</v>
      </c>
      <c r="J234" s="31"/>
      <c r="K234" s="32"/>
      <c r="L234"/>
    </row>
    <row r="235" spans="1:29" ht="15" hidden="1" x14ac:dyDescent="0.2">
      <c r="C235" s="34" t="s">
        <v>391</v>
      </c>
      <c r="H235" s="52">
        <f>I228+I229+I231+I232+I233+0-0-0</f>
        <v>2125.81</v>
      </c>
      <c r="I235" s="52"/>
      <c r="J235" s="52">
        <f>K228+K229+K231+K232+K233+0-0-0</f>
        <v>118460.54</v>
      </c>
      <c r="K235" s="52"/>
      <c r="L235"/>
    </row>
    <row r="236" spans="1:29" ht="15" hidden="1" x14ac:dyDescent="0.2">
      <c r="C236" s="34" t="s">
        <v>392</v>
      </c>
      <c r="H236" s="49">
        <f>0+0</f>
        <v>0</v>
      </c>
      <c r="I236" s="49"/>
      <c r="J236" s="49">
        <f>0+0</f>
        <v>0</v>
      </c>
      <c r="K236" s="49"/>
      <c r="L236"/>
    </row>
    <row r="237" spans="1:29" ht="15" hidden="1" x14ac:dyDescent="0.2">
      <c r="C237" s="34" t="s">
        <v>393</v>
      </c>
      <c r="H237" s="49">
        <f>I228+I229+I231+I232+I233+0</f>
        <v>2125.81</v>
      </c>
      <c r="I237" s="49"/>
      <c r="J237" s="49">
        <f>K228+K229+K231+K232+K233+0</f>
        <v>118460.54</v>
      </c>
      <c r="K237" s="49"/>
      <c r="L237"/>
      <c r="O237" s="35">
        <f>I228+I229+I231+I232+I233+0</f>
        <v>2125.81</v>
      </c>
      <c r="P237" s="35">
        <f>K228+K229+K231+K232+K233+0</f>
        <v>118460.54</v>
      </c>
    </row>
    <row r="238" spans="1:29" hidden="1" x14ac:dyDescent="0.2">
      <c r="L238"/>
    </row>
    <row r="239" spans="1:29" ht="84" x14ac:dyDescent="0.2">
      <c r="A239" s="76">
        <v>24</v>
      </c>
      <c r="B239" s="76" t="str">
        <f>Source!F111</f>
        <v>КА, п.7</v>
      </c>
      <c r="C239" s="76" t="s">
        <v>412</v>
      </c>
      <c r="D239" s="77" t="str">
        <f>Source!H111</f>
        <v>ШТ</v>
      </c>
      <c r="E239" s="78">
        <f>Source!I111</f>
        <v>2</v>
      </c>
      <c r="F239" s="79">
        <f>Source!AL111</f>
        <v>4906.34</v>
      </c>
      <c r="G239" s="80"/>
      <c r="H239" s="78">
        <f>Source!AW112</f>
        <v>1</v>
      </c>
      <c r="I239" s="79">
        <f>Source!P111</f>
        <v>9812.68</v>
      </c>
      <c r="J239" s="78">
        <f>IF(Source!BC112&lt;&gt; 0, Source!BC112, 1)</f>
        <v>7.57</v>
      </c>
      <c r="K239" s="79">
        <f>Source!P112</f>
        <v>74281.990000000005</v>
      </c>
      <c r="L239" s="81" t="s">
        <v>405</v>
      </c>
      <c r="Q239">
        <f>Source!X111</f>
        <v>0</v>
      </c>
      <c r="R239">
        <f>Source!X112</f>
        <v>0</v>
      </c>
      <c r="S239">
        <f>Source!Y111</f>
        <v>0</v>
      </c>
      <c r="T239">
        <f>Source!Y112</f>
        <v>0</v>
      </c>
      <c r="U239">
        <f>ROUND((175/100)*ROUND(Source!R111, 2), 2)</f>
        <v>0</v>
      </c>
      <c r="V239">
        <f>ROUND((0/100)*ROUND(Source!R112, 2), 2)</f>
        <v>0</v>
      </c>
      <c r="AC239">
        <v>5</v>
      </c>
    </row>
    <row r="240" spans="1:29" ht="15" hidden="1" x14ac:dyDescent="0.2">
      <c r="A240" s="37"/>
      <c r="B240" s="37"/>
      <c r="C240" s="38" t="s">
        <v>393</v>
      </c>
      <c r="D240" s="37"/>
      <c r="E240" s="37"/>
      <c r="F240" s="37"/>
      <c r="G240" s="37"/>
      <c r="H240" s="54">
        <f>I239+0</f>
        <v>9812.68</v>
      </c>
      <c r="I240" s="54"/>
      <c r="J240" s="54">
        <f>K239+0</f>
        <v>74281.990000000005</v>
      </c>
      <c r="K240" s="54"/>
      <c r="L240"/>
      <c r="O240" s="35">
        <f>I239+0</f>
        <v>9812.68</v>
      </c>
      <c r="P240" s="35">
        <f>K239+0</f>
        <v>74281.990000000005</v>
      </c>
    </row>
    <row r="241" spans="1:29" hidden="1" x14ac:dyDescent="0.2">
      <c r="L241"/>
    </row>
    <row r="242" spans="1:29" ht="69.75" x14ac:dyDescent="0.2">
      <c r="A242" s="76">
        <v>25</v>
      </c>
      <c r="B242" s="76" t="str">
        <f>Source!F113</f>
        <v>КА, п.8</v>
      </c>
      <c r="C242" s="76" t="s">
        <v>413</v>
      </c>
      <c r="D242" s="77" t="str">
        <f>Source!H113</f>
        <v>ШТ</v>
      </c>
      <c r="E242" s="78">
        <f>Source!I113</f>
        <v>20</v>
      </c>
      <c r="F242" s="79">
        <f>Source!AL113</f>
        <v>5784.91</v>
      </c>
      <c r="G242" s="80"/>
      <c r="H242" s="78">
        <f>Source!AW114</f>
        <v>1</v>
      </c>
      <c r="I242" s="79">
        <f>Source!P113</f>
        <v>115698.2</v>
      </c>
      <c r="J242" s="78">
        <f>IF(Source!BC114&lt;&gt; 0, Source!BC114, 1)</f>
        <v>7.57</v>
      </c>
      <c r="K242" s="79">
        <f>Source!P114</f>
        <v>875835.37</v>
      </c>
      <c r="L242" s="81" t="s">
        <v>405</v>
      </c>
      <c r="Q242">
        <f>Source!X113</f>
        <v>0</v>
      </c>
      <c r="R242">
        <f>Source!X114</f>
        <v>0</v>
      </c>
      <c r="S242">
        <f>Source!Y113</f>
        <v>0</v>
      </c>
      <c r="T242">
        <f>Source!Y114</f>
        <v>0</v>
      </c>
      <c r="U242">
        <f>ROUND((175/100)*ROUND(Source!R113, 2), 2)</f>
        <v>0</v>
      </c>
      <c r="V242">
        <f>ROUND((0/100)*ROUND(Source!R114, 2), 2)</f>
        <v>0</v>
      </c>
      <c r="AC242">
        <v>5</v>
      </c>
    </row>
    <row r="243" spans="1:29" ht="15" hidden="1" x14ac:dyDescent="0.2">
      <c r="A243" s="37"/>
      <c r="B243" s="37"/>
      <c r="C243" s="38" t="s">
        <v>393</v>
      </c>
      <c r="D243" s="37"/>
      <c r="E243" s="37"/>
      <c r="F243" s="37"/>
      <c r="G243" s="37"/>
      <c r="H243" s="54">
        <f>I242+0</f>
        <v>115698.2</v>
      </c>
      <c r="I243" s="54"/>
      <c r="J243" s="54">
        <f>K242+0</f>
        <v>875835.37</v>
      </c>
      <c r="K243" s="54"/>
      <c r="L243"/>
      <c r="O243" s="35">
        <f>I242+0</f>
        <v>115698.2</v>
      </c>
      <c r="P243" s="35">
        <f>K242+0</f>
        <v>875835.37</v>
      </c>
    </row>
    <row r="244" spans="1:29" hidden="1" x14ac:dyDescent="0.2">
      <c r="L244"/>
    </row>
    <row r="245" spans="1:29" ht="69.75" x14ac:dyDescent="0.2">
      <c r="A245" s="76">
        <v>26</v>
      </c>
      <c r="B245" s="76" t="str">
        <f>Source!F115</f>
        <v>КА, п.9</v>
      </c>
      <c r="C245" s="76" t="s">
        <v>414</v>
      </c>
      <c r="D245" s="77" t="str">
        <f>Source!H115</f>
        <v>ШТ</v>
      </c>
      <c r="E245" s="78">
        <f>Source!I115</f>
        <v>9</v>
      </c>
      <c r="F245" s="79">
        <f>Source!AL115</f>
        <v>5784.91</v>
      </c>
      <c r="G245" s="80"/>
      <c r="H245" s="78">
        <f>Source!AW116</f>
        <v>1</v>
      </c>
      <c r="I245" s="79">
        <f>Source!P115</f>
        <v>52064.19</v>
      </c>
      <c r="J245" s="78">
        <f>IF(Source!BC116&lt;&gt; 0, Source!BC116, 1)</f>
        <v>7.57</v>
      </c>
      <c r="K245" s="79">
        <f>Source!P116</f>
        <v>394125.92</v>
      </c>
      <c r="L245" s="81" t="s">
        <v>405</v>
      </c>
      <c r="Q245">
        <f>Source!X115</f>
        <v>0</v>
      </c>
      <c r="R245">
        <f>Source!X116</f>
        <v>0</v>
      </c>
      <c r="S245">
        <f>Source!Y115</f>
        <v>0</v>
      </c>
      <c r="T245">
        <f>Source!Y116</f>
        <v>0</v>
      </c>
      <c r="U245">
        <f>ROUND((175/100)*ROUND(Source!R115, 2), 2)</f>
        <v>0</v>
      </c>
      <c r="V245">
        <f>ROUND((0/100)*ROUND(Source!R116, 2), 2)</f>
        <v>0</v>
      </c>
      <c r="AC245">
        <v>5</v>
      </c>
    </row>
    <row r="246" spans="1:29" ht="15" hidden="1" x14ac:dyDescent="0.2">
      <c r="A246" s="37"/>
      <c r="B246" s="37"/>
      <c r="C246" s="38" t="s">
        <v>393</v>
      </c>
      <c r="D246" s="37"/>
      <c r="E246" s="37"/>
      <c r="F246" s="37"/>
      <c r="G246" s="37"/>
      <c r="H246" s="54">
        <f>I245+0</f>
        <v>52064.19</v>
      </c>
      <c r="I246" s="54"/>
      <c r="J246" s="54">
        <f>K245+0</f>
        <v>394125.92</v>
      </c>
      <c r="K246" s="54"/>
      <c r="L246"/>
      <c r="O246" s="35">
        <f>I245+0</f>
        <v>52064.19</v>
      </c>
      <c r="P246" s="35">
        <f>K245+0</f>
        <v>394125.92</v>
      </c>
    </row>
    <row r="247" spans="1:29" hidden="1" x14ac:dyDescent="0.2">
      <c r="L247"/>
    </row>
    <row r="248" spans="1:29" hidden="1" x14ac:dyDescent="0.2">
      <c r="L248"/>
    </row>
    <row r="249" spans="1:29" ht="15" hidden="1" x14ac:dyDescent="0.25">
      <c r="A249" s="51" t="str">
        <f>CONCATENATE("Итого по разделу: ",IF(Source!G118&lt;&gt;"Новый раздел", Source!G118, ""))</f>
        <v>Итого по разделу: Оборудование системы двусторонней связи</v>
      </c>
      <c r="B249" s="51"/>
      <c r="C249" s="51"/>
      <c r="D249" s="51"/>
      <c r="E249" s="51"/>
      <c r="F249" s="51"/>
      <c r="G249" s="51"/>
      <c r="H249" s="49">
        <f>SUM(O147:O248)</f>
        <v>257414.62</v>
      </c>
      <c r="I249" s="50"/>
      <c r="J249" s="49">
        <f>SUM(P147:P248)</f>
        <v>2126421.7400000002</v>
      </c>
      <c r="K249" s="50"/>
      <c r="L249"/>
    </row>
    <row r="250" spans="1:29" hidden="1" x14ac:dyDescent="0.2">
      <c r="A250" t="s">
        <v>394</v>
      </c>
      <c r="I250">
        <f>SUM(W147:W249)</f>
        <v>0</v>
      </c>
      <c r="J250">
        <f>SUM(X147:X249)</f>
        <v>0</v>
      </c>
      <c r="L250"/>
    </row>
    <row r="251" spans="1:29" hidden="1" x14ac:dyDescent="0.2">
      <c r="A251" t="s">
        <v>395</v>
      </c>
      <c r="I251">
        <f>SUM(Y147:Y250)</f>
        <v>0</v>
      </c>
      <c r="J251">
        <f>SUM(Z147:Z250)</f>
        <v>0</v>
      </c>
      <c r="L251"/>
    </row>
    <row r="252" spans="1:29" hidden="1" x14ac:dyDescent="0.2">
      <c r="L252"/>
    </row>
    <row r="253" spans="1:29" ht="16.5" hidden="1" x14ac:dyDescent="0.2">
      <c r="A253" s="53" t="str">
        <f>CONCATENATE("Раздел: ",IF(Source!G148&lt;&gt;"Новый раздел", Source!G148, ""))</f>
        <v>Раздел: Электрооборудование</v>
      </c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/>
    </row>
    <row r="254" spans="1:29" ht="42.75" hidden="1" x14ac:dyDescent="0.2">
      <c r="A254" s="23">
        <v>27</v>
      </c>
      <c r="B254" s="23" t="str">
        <f>Source!F152</f>
        <v>4.10-167-1</v>
      </c>
      <c r="C254" s="23" t="s">
        <v>207</v>
      </c>
      <c r="D254" s="25" t="str">
        <f>Source!H152</f>
        <v>1ШТ.</v>
      </c>
      <c r="E254" s="24">
        <f>Source!I152</f>
        <v>2</v>
      </c>
      <c r="F254" s="27"/>
      <c r="G254" s="26"/>
      <c r="H254" s="24"/>
      <c r="I254" s="27"/>
      <c r="J254" s="24"/>
      <c r="K254" s="27"/>
      <c r="L254"/>
      <c r="Q254">
        <f>Source!X152</f>
        <v>42.83</v>
      </c>
      <c r="R254">
        <f>Source!X153</f>
        <v>2413.5300000000002</v>
      </c>
      <c r="S254">
        <f>Source!Y152</f>
        <v>21.89</v>
      </c>
      <c r="T254">
        <f>Source!Y153</f>
        <v>1233.58</v>
      </c>
      <c r="U254">
        <f>ROUND((175/100)*ROUND(Source!R152, 2), 2)</f>
        <v>0</v>
      </c>
      <c r="V254">
        <f>ROUND((0/100)*ROUND(Source!R153, 2), 2)</f>
        <v>0</v>
      </c>
      <c r="AC254">
        <v>0</v>
      </c>
    </row>
    <row r="255" spans="1:29" ht="14.25" hidden="1" x14ac:dyDescent="0.2">
      <c r="A255" s="23"/>
      <c r="B255" s="23"/>
      <c r="C255" s="23" t="s">
        <v>382</v>
      </c>
      <c r="D255" s="25"/>
      <c r="E255" s="24"/>
      <c r="F255" s="27">
        <f>Source!AO152</f>
        <v>18.940000000000001</v>
      </c>
      <c r="G255" s="26" t="s">
        <v>151</v>
      </c>
      <c r="H255" s="24">
        <f>Source!AV153</f>
        <v>1.0469999999999999</v>
      </c>
      <c r="I255" s="27">
        <f>Source!S152</f>
        <v>47.59</v>
      </c>
      <c r="J255" s="24">
        <f>IF(Source!BA153&lt;&gt; 0, Source!BA153, 1)</f>
        <v>56.35</v>
      </c>
      <c r="K255" s="27">
        <f>Source!S153</f>
        <v>2681.7</v>
      </c>
      <c r="L255"/>
    </row>
    <row r="256" spans="1:29" ht="14.25" hidden="1" x14ac:dyDescent="0.2">
      <c r="A256" s="23"/>
      <c r="B256" s="23"/>
      <c r="C256" s="23" t="s">
        <v>384</v>
      </c>
      <c r="D256" s="25"/>
      <c r="E256" s="24"/>
      <c r="F256" s="27">
        <f>Source!AM152</f>
        <v>0.02</v>
      </c>
      <c r="G256" s="26" t="s">
        <v>151</v>
      </c>
      <c r="H256" s="24">
        <f>Source!AV153</f>
        <v>1.0469999999999999</v>
      </c>
      <c r="I256" s="27">
        <f>Source!Q152</f>
        <v>0.05</v>
      </c>
      <c r="J256" s="24">
        <f>IF(Source!BB153&lt;&gt; 0, Source!BB153, 1)</f>
        <v>11</v>
      </c>
      <c r="K256" s="27">
        <f>Source!Q153</f>
        <v>0.55000000000000004</v>
      </c>
      <c r="L256"/>
    </row>
    <row r="257" spans="1:29" ht="14.25" hidden="1" x14ac:dyDescent="0.2">
      <c r="A257" s="23"/>
      <c r="B257" s="23"/>
      <c r="C257" s="23" t="s">
        <v>396</v>
      </c>
      <c r="D257" s="25"/>
      <c r="E257" s="24"/>
      <c r="F257" s="27">
        <f>Source!AL152</f>
        <v>2.34</v>
      </c>
      <c r="G257" s="26"/>
      <c r="H257" s="24">
        <f>Source!AW153</f>
        <v>1</v>
      </c>
      <c r="I257" s="27">
        <f>Source!P152</f>
        <v>4.68</v>
      </c>
      <c r="J257" s="24">
        <f>IF(Source!BC153&lt;&gt; 0, Source!BC153, 1)</f>
        <v>10.24</v>
      </c>
      <c r="K257" s="27">
        <f>Source!P153</f>
        <v>47.92</v>
      </c>
      <c r="L257"/>
    </row>
    <row r="258" spans="1:29" ht="14.25" hidden="1" x14ac:dyDescent="0.2">
      <c r="A258" s="23"/>
      <c r="B258" s="23"/>
      <c r="C258" s="23" t="s">
        <v>386</v>
      </c>
      <c r="D258" s="25" t="s">
        <v>387</v>
      </c>
      <c r="E258" s="24">
        <f>Source!BZ153</f>
        <v>90</v>
      </c>
      <c r="F258" s="27"/>
      <c r="G258" s="26"/>
      <c r="H258" s="24"/>
      <c r="I258" s="27">
        <f>SUM(Q254:Q257)</f>
        <v>42.83</v>
      </c>
      <c r="J258" s="24">
        <f>Source!AT153</f>
        <v>90</v>
      </c>
      <c r="K258" s="27">
        <f>SUM(R254:R257)</f>
        <v>2413.5300000000002</v>
      </c>
      <c r="L258"/>
    </row>
    <row r="259" spans="1:29" ht="14.25" hidden="1" x14ac:dyDescent="0.2">
      <c r="A259" s="23"/>
      <c r="B259" s="23"/>
      <c r="C259" s="23" t="s">
        <v>388</v>
      </c>
      <c r="D259" s="25" t="s">
        <v>387</v>
      </c>
      <c r="E259" s="24">
        <f>Source!CA153</f>
        <v>46</v>
      </c>
      <c r="F259" s="27"/>
      <c r="G259" s="26"/>
      <c r="H259" s="24"/>
      <c r="I259" s="27">
        <f>SUM(S254:S258)</f>
        <v>21.89</v>
      </c>
      <c r="J259" s="24">
        <f>Source!AU153</f>
        <v>46</v>
      </c>
      <c r="K259" s="27">
        <f>SUM(T254:T258)</f>
        <v>1233.58</v>
      </c>
      <c r="L259"/>
    </row>
    <row r="260" spans="1:29" ht="14.25" hidden="1" x14ac:dyDescent="0.2">
      <c r="A260" s="29"/>
      <c r="B260" s="29"/>
      <c r="C260" s="29" t="s">
        <v>389</v>
      </c>
      <c r="D260" s="30" t="s">
        <v>390</v>
      </c>
      <c r="E260" s="31">
        <f>Source!AQ152</f>
        <v>1.36</v>
      </c>
      <c r="F260" s="32"/>
      <c r="G260" s="33" t="s">
        <v>151</v>
      </c>
      <c r="H260" s="31">
        <f>Source!AV153</f>
        <v>1.0469999999999999</v>
      </c>
      <c r="I260" s="32">
        <f>Source!U152</f>
        <v>3.417408</v>
      </c>
      <c r="J260" s="31"/>
      <c r="K260" s="32"/>
      <c r="L260"/>
    </row>
    <row r="261" spans="1:29" ht="15" hidden="1" x14ac:dyDescent="0.2">
      <c r="C261" s="34" t="s">
        <v>391</v>
      </c>
      <c r="H261" s="52">
        <f>I255+I256+I257+I258+I259+0-0-0</f>
        <v>117.04</v>
      </c>
      <c r="I261" s="52"/>
      <c r="J261" s="52">
        <f>K255+K256+K257+K258+K259+0-0-0</f>
        <v>6377.2800000000007</v>
      </c>
      <c r="K261" s="52"/>
      <c r="L261"/>
    </row>
    <row r="262" spans="1:29" ht="15" hidden="1" x14ac:dyDescent="0.2">
      <c r="C262" s="34" t="s">
        <v>392</v>
      </c>
      <c r="H262" s="49">
        <f>0+0</f>
        <v>0</v>
      </c>
      <c r="I262" s="49"/>
      <c r="J262" s="49">
        <f>0+0</f>
        <v>0</v>
      </c>
      <c r="K262" s="49"/>
      <c r="L262"/>
    </row>
    <row r="263" spans="1:29" ht="15" hidden="1" x14ac:dyDescent="0.2">
      <c r="C263" s="34" t="s">
        <v>393</v>
      </c>
      <c r="H263" s="49">
        <f>I255+I256+I257+I258+I259+0</f>
        <v>117.04</v>
      </c>
      <c r="I263" s="49"/>
      <c r="J263" s="49">
        <f>K255+K256+K257+K258+K259+0</f>
        <v>6377.2800000000007</v>
      </c>
      <c r="K263" s="49"/>
      <c r="L263"/>
      <c r="O263" s="35">
        <f>I255+I256+I257+I258+I259+0</f>
        <v>117.04</v>
      </c>
      <c r="P263" s="35">
        <f>K255+K256+K257+K258+K259+0</f>
        <v>6377.2800000000007</v>
      </c>
    </row>
    <row r="264" spans="1:29" hidden="1" x14ac:dyDescent="0.2">
      <c r="L264"/>
    </row>
    <row r="265" spans="1:29" ht="114" x14ac:dyDescent="0.2">
      <c r="A265" s="76">
        <v>28</v>
      </c>
      <c r="B265" s="76" t="str">
        <f>Source!F154</f>
        <v>13.1-1-60</v>
      </c>
      <c r="C265" s="76" t="s">
        <v>398</v>
      </c>
      <c r="D265" s="77" t="str">
        <f>Source!H154</f>
        <v>шт.</v>
      </c>
      <c r="E265" s="78">
        <f>Source!I154</f>
        <v>2</v>
      </c>
      <c r="F265" s="79">
        <f>Source!AL154</f>
        <v>876.18</v>
      </c>
      <c r="G265" s="80"/>
      <c r="H265" s="78">
        <f>Source!AW155</f>
        <v>1</v>
      </c>
      <c r="I265" s="79">
        <f>Source!P154</f>
        <v>1752.36</v>
      </c>
      <c r="J265" s="78">
        <f>IF(Source!BC155&lt;&gt; 0, Source!BC155, 1)</f>
        <v>8.69</v>
      </c>
      <c r="K265" s="79">
        <f>Source!P155</f>
        <v>15228.01</v>
      </c>
      <c r="L265" s="82" t="s">
        <v>405</v>
      </c>
      <c r="Q265">
        <f>Source!X154</f>
        <v>0</v>
      </c>
      <c r="R265">
        <f>Source!X155</f>
        <v>0</v>
      </c>
      <c r="S265">
        <f>Source!Y154</f>
        <v>0</v>
      </c>
      <c r="T265">
        <f>Source!Y155</f>
        <v>0</v>
      </c>
      <c r="U265">
        <f>ROUND((175/100)*ROUND(Source!R154, 2), 2)</f>
        <v>0</v>
      </c>
      <c r="V265">
        <f>ROUND((0/100)*ROUND(Source!R155, 2), 2)</f>
        <v>0</v>
      </c>
      <c r="AC265">
        <v>5</v>
      </c>
    </row>
    <row r="266" spans="1:29" ht="15" hidden="1" x14ac:dyDescent="0.2">
      <c r="A266" s="37"/>
      <c r="B266" s="37"/>
      <c r="C266" s="38" t="s">
        <v>393</v>
      </c>
      <c r="D266" s="37"/>
      <c r="E266" s="37"/>
      <c r="F266" s="37"/>
      <c r="G266" s="37"/>
      <c r="H266" s="54">
        <f>I265+0</f>
        <v>1752.36</v>
      </c>
      <c r="I266" s="54"/>
      <c r="J266" s="54">
        <f>K265+0</f>
        <v>15228.01</v>
      </c>
      <c r="K266" s="54"/>
      <c r="L266"/>
      <c r="O266" s="35">
        <f>I265+0</f>
        <v>1752.36</v>
      </c>
      <c r="P266" s="35">
        <f>K265+0</f>
        <v>15228.01</v>
      </c>
    </row>
    <row r="267" spans="1:29" hidden="1" x14ac:dyDescent="0.2">
      <c r="L267"/>
    </row>
    <row r="268" spans="1:29" ht="28.5" hidden="1" x14ac:dyDescent="0.2">
      <c r="A268" s="23">
        <v>29</v>
      </c>
      <c r="B268" s="23" t="str">
        <f>Source!F156</f>
        <v>4.8-70-1</v>
      </c>
      <c r="C268" s="23" t="s">
        <v>216</v>
      </c>
      <c r="D268" s="25" t="str">
        <f>Source!H156</f>
        <v>1ШТ.</v>
      </c>
      <c r="E268" s="24">
        <f>Source!I156</f>
        <v>4</v>
      </c>
      <c r="F268" s="27"/>
      <c r="G268" s="26"/>
      <c r="H268" s="24"/>
      <c r="I268" s="27"/>
      <c r="J268" s="24"/>
      <c r="K268" s="27"/>
      <c r="L268"/>
      <c r="Q268">
        <f>Source!X156</f>
        <v>126.75</v>
      </c>
      <c r="R268">
        <f>Source!X157</f>
        <v>7142.35</v>
      </c>
      <c r="S268">
        <f>Source!Y156</f>
        <v>66.64</v>
      </c>
      <c r="T268">
        <f>Source!Y157</f>
        <v>3755.26</v>
      </c>
      <c r="U268">
        <f>ROUND((175/100)*ROUND(Source!R156, 2), 2)</f>
        <v>0</v>
      </c>
      <c r="V268">
        <f>ROUND((0/100)*ROUND(Source!R157, 2), 2)</f>
        <v>0</v>
      </c>
      <c r="AC268">
        <v>0</v>
      </c>
    </row>
    <row r="269" spans="1:29" ht="14.25" hidden="1" x14ac:dyDescent="0.2">
      <c r="A269" s="23"/>
      <c r="B269" s="23"/>
      <c r="C269" s="23" t="s">
        <v>382</v>
      </c>
      <c r="D269" s="25"/>
      <c r="E269" s="24"/>
      <c r="F269" s="27">
        <f>Source!AO156</f>
        <v>26</v>
      </c>
      <c r="G269" s="26" t="s">
        <v>151</v>
      </c>
      <c r="H269" s="24">
        <f>Source!AV157</f>
        <v>1.0469999999999999</v>
      </c>
      <c r="I269" s="27">
        <f>Source!S156</f>
        <v>130.66999999999999</v>
      </c>
      <c r="J269" s="24">
        <f>IF(Source!BA157&lt;&gt; 0, Source!BA157, 1)</f>
        <v>56.35</v>
      </c>
      <c r="K269" s="27">
        <f>Source!S157</f>
        <v>7363.25</v>
      </c>
      <c r="L269"/>
    </row>
    <row r="270" spans="1:29" ht="14.25" hidden="1" x14ac:dyDescent="0.2">
      <c r="A270" s="23"/>
      <c r="B270" s="23"/>
      <c r="C270" s="23" t="s">
        <v>396</v>
      </c>
      <c r="D270" s="25"/>
      <c r="E270" s="24"/>
      <c r="F270" s="27">
        <f>Source!AL156</f>
        <v>23.04</v>
      </c>
      <c r="G270" s="26"/>
      <c r="H270" s="24">
        <f>Source!AW157</f>
        <v>1</v>
      </c>
      <c r="I270" s="27">
        <f>Source!P156</f>
        <v>92.16</v>
      </c>
      <c r="J270" s="24">
        <f>IF(Source!BC157&lt;&gt; 0, Source!BC157, 1)</f>
        <v>4.0599999999999996</v>
      </c>
      <c r="K270" s="27">
        <f>Source!P157</f>
        <v>374.17</v>
      </c>
      <c r="L270"/>
    </row>
    <row r="271" spans="1:29" ht="14.25" hidden="1" x14ac:dyDescent="0.2">
      <c r="A271" s="23"/>
      <c r="B271" s="23"/>
      <c r="C271" s="23" t="s">
        <v>386</v>
      </c>
      <c r="D271" s="25" t="s">
        <v>387</v>
      </c>
      <c r="E271" s="24">
        <f>Source!BZ157</f>
        <v>97</v>
      </c>
      <c r="F271" s="27"/>
      <c r="G271" s="26"/>
      <c r="H271" s="24"/>
      <c r="I271" s="27">
        <f>SUM(Q268:Q270)</f>
        <v>126.75</v>
      </c>
      <c r="J271" s="24">
        <f>Source!AT157</f>
        <v>97</v>
      </c>
      <c r="K271" s="27">
        <f>SUM(R268:R270)</f>
        <v>7142.35</v>
      </c>
      <c r="L271"/>
    </row>
    <row r="272" spans="1:29" ht="14.25" hidden="1" x14ac:dyDescent="0.2">
      <c r="A272" s="23"/>
      <c r="B272" s="23"/>
      <c r="C272" s="23" t="s">
        <v>388</v>
      </c>
      <c r="D272" s="25" t="s">
        <v>387</v>
      </c>
      <c r="E272" s="24">
        <f>Source!CA157</f>
        <v>51</v>
      </c>
      <c r="F272" s="27"/>
      <c r="G272" s="26"/>
      <c r="H272" s="24"/>
      <c r="I272" s="27">
        <f>SUM(S268:S271)</f>
        <v>66.64</v>
      </c>
      <c r="J272" s="24">
        <f>Source!AU157</f>
        <v>51</v>
      </c>
      <c r="K272" s="27">
        <f>SUM(T268:T271)</f>
        <v>3755.26</v>
      </c>
      <c r="L272"/>
    </row>
    <row r="273" spans="1:29" ht="14.25" hidden="1" x14ac:dyDescent="0.2">
      <c r="A273" s="29"/>
      <c r="B273" s="29"/>
      <c r="C273" s="29" t="s">
        <v>389</v>
      </c>
      <c r="D273" s="30" t="s">
        <v>390</v>
      </c>
      <c r="E273" s="31">
        <f>Source!AQ156</f>
        <v>2.06</v>
      </c>
      <c r="F273" s="32"/>
      <c r="G273" s="33" t="s">
        <v>151</v>
      </c>
      <c r="H273" s="31">
        <f>Source!AV157</f>
        <v>1.0469999999999999</v>
      </c>
      <c r="I273" s="32">
        <f>Source!U156</f>
        <v>10.352735999999998</v>
      </c>
      <c r="J273" s="31"/>
      <c r="K273" s="32"/>
      <c r="L273"/>
    </row>
    <row r="274" spans="1:29" ht="15" hidden="1" x14ac:dyDescent="0.2">
      <c r="C274" s="34" t="s">
        <v>391</v>
      </c>
      <c r="H274" s="52">
        <f>I269+I270+I271+I272+0-0-0</f>
        <v>416.21999999999997</v>
      </c>
      <c r="I274" s="52"/>
      <c r="J274" s="52">
        <f>K269+K270+K271+K272+0-0-0</f>
        <v>18635.03</v>
      </c>
      <c r="K274" s="52"/>
      <c r="L274"/>
    </row>
    <row r="275" spans="1:29" ht="15" hidden="1" x14ac:dyDescent="0.2">
      <c r="C275" s="34" t="s">
        <v>392</v>
      </c>
      <c r="H275" s="49">
        <f>0+0</f>
        <v>0</v>
      </c>
      <c r="I275" s="49"/>
      <c r="J275" s="49">
        <f>0+0</f>
        <v>0</v>
      </c>
      <c r="K275" s="49"/>
      <c r="L275"/>
    </row>
    <row r="276" spans="1:29" ht="15" hidden="1" x14ac:dyDescent="0.2">
      <c r="C276" s="34" t="s">
        <v>393</v>
      </c>
      <c r="H276" s="49">
        <f>I269+I270+I271+I272+0</f>
        <v>416.21999999999997</v>
      </c>
      <c r="I276" s="49"/>
      <c r="J276" s="49">
        <f>K269+K270+K271+K272+0</f>
        <v>18635.03</v>
      </c>
      <c r="K276" s="49"/>
      <c r="L276"/>
      <c r="O276" s="35">
        <f>I269+I270+I271+I272+0</f>
        <v>416.21999999999997</v>
      </c>
      <c r="P276" s="35">
        <f>K269+K270+K271+K272+0</f>
        <v>18635.03</v>
      </c>
    </row>
    <row r="277" spans="1:29" hidden="1" x14ac:dyDescent="0.2">
      <c r="L277"/>
    </row>
    <row r="278" spans="1:29" ht="55.5" x14ac:dyDescent="0.2">
      <c r="A278" s="76">
        <v>30</v>
      </c>
      <c r="B278" s="76" t="str">
        <f>Source!F158</f>
        <v>КА, п.11</v>
      </c>
      <c r="C278" s="76" t="s">
        <v>415</v>
      </c>
      <c r="D278" s="77" t="str">
        <f>Source!H158</f>
        <v>ШТ</v>
      </c>
      <c r="E278" s="78">
        <f>Source!I158</f>
        <v>4</v>
      </c>
      <c r="F278" s="79">
        <f>Source!AL158</f>
        <v>1744.61</v>
      </c>
      <c r="G278" s="80"/>
      <c r="H278" s="78">
        <f>Source!AW159</f>
        <v>1</v>
      </c>
      <c r="I278" s="79">
        <f>Source!P158</f>
        <v>6978.44</v>
      </c>
      <c r="J278" s="78">
        <f>IF(Source!BC159&lt;&gt; 0, Source!BC159, 1)</f>
        <v>7.57</v>
      </c>
      <c r="K278" s="79">
        <f>Source!P159</f>
        <v>52826.79</v>
      </c>
      <c r="L278" s="81" t="s">
        <v>405</v>
      </c>
      <c r="Q278">
        <f>Source!X158</f>
        <v>0</v>
      </c>
      <c r="R278">
        <f>Source!X159</f>
        <v>0</v>
      </c>
      <c r="S278">
        <f>Source!Y158</f>
        <v>0</v>
      </c>
      <c r="T278">
        <f>Source!Y159</f>
        <v>0</v>
      </c>
      <c r="U278">
        <f>ROUND((175/100)*ROUND(Source!R158, 2), 2)</f>
        <v>0</v>
      </c>
      <c r="V278">
        <f>ROUND((0/100)*ROUND(Source!R159, 2), 2)</f>
        <v>0</v>
      </c>
      <c r="AC278">
        <v>5</v>
      </c>
    </row>
    <row r="279" spans="1:29" ht="15" hidden="1" x14ac:dyDescent="0.2">
      <c r="A279" s="37"/>
      <c r="B279" s="37"/>
      <c r="C279" s="38" t="s">
        <v>393</v>
      </c>
      <c r="D279" s="37"/>
      <c r="E279" s="37"/>
      <c r="F279" s="37"/>
      <c r="G279" s="37"/>
      <c r="H279" s="54">
        <f>I278+0</f>
        <v>6978.44</v>
      </c>
      <c r="I279" s="54"/>
      <c r="J279" s="54">
        <f>K278+0</f>
        <v>52826.79</v>
      </c>
      <c r="K279" s="54"/>
      <c r="L279"/>
      <c r="O279" s="35">
        <f>I278+0</f>
        <v>6978.44</v>
      </c>
      <c r="P279" s="35">
        <f>K278+0</f>
        <v>52826.79</v>
      </c>
    </row>
    <row r="280" spans="1:29" hidden="1" x14ac:dyDescent="0.2">
      <c r="L280"/>
    </row>
    <row r="281" spans="1:29" hidden="1" x14ac:dyDescent="0.2">
      <c r="L281"/>
    </row>
    <row r="282" spans="1:29" ht="15" hidden="1" x14ac:dyDescent="0.25">
      <c r="A282" s="51" t="str">
        <f>CONCATENATE("Итого по разделу: ",IF(Source!G161&lt;&gt;"Новый раздел", Source!G161, ""))</f>
        <v>Итого по разделу: Электрооборудование</v>
      </c>
      <c r="B282" s="51"/>
      <c r="C282" s="51"/>
      <c r="D282" s="51"/>
      <c r="E282" s="51"/>
      <c r="F282" s="51"/>
      <c r="G282" s="51"/>
      <c r="H282" s="49">
        <f>SUM(O253:O281)</f>
        <v>9264.06</v>
      </c>
      <c r="I282" s="50"/>
      <c r="J282" s="49">
        <f>SUM(P253:P281)</f>
        <v>93067.11</v>
      </c>
      <c r="K282" s="50"/>
      <c r="L282"/>
    </row>
    <row r="283" spans="1:29" hidden="1" x14ac:dyDescent="0.2">
      <c r="A283" t="s">
        <v>394</v>
      </c>
      <c r="I283">
        <f>SUM(W253:W282)</f>
        <v>0</v>
      </c>
      <c r="J283">
        <f>SUM(X253:X282)</f>
        <v>0</v>
      </c>
      <c r="L283"/>
    </row>
    <row r="284" spans="1:29" hidden="1" x14ac:dyDescent="0.2">
      <c r="A284" t="s">
        <v>395</v>
      </c>
      <c r="I284">
        <f>SUM(Y253:Y283)</f>
        <v>0</v>
      </c>
      <c r="J284">
        <f>SUM(Z253:Z283)</f>
        <v>0</v>
      </c>
      <c r="L284"/>
    </row>
    <row r="285" spans="1:29" hidden="1" x14ac:dyDescent="0.2">
      <c r="L285"/>
    </row>
    <row r="286" spans="1:29" ht="16.5" hidden="1" x14ac:dyDescent="0.2">
      <c r="A286" s="53" t="str">
        <f>CONCATENATE("Раздел: ",IF(Source!G191&lt;&gt;"Новый раздел", Source!G191, ""))</f>
        <v>Раздел: Огнестойкая кабельная линия "ПАРЛАЙН+ДКС" ОКЛ-15</v>
      </c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/>
    </row>
    <row r="287" spans="1:29" ht="71.25" hidden="1" x14ac:dyDescent="0.2">
      <c r="A287" s="23">
        <v>31</v>
      </c>
      <c r="B287" s="23" t="str">
        <f>Source!F195</f>
        <v>4.8-288-2</v>
      </c>
      <c r="C287" s="23" t="s">
        <v>224</v>
      </c>
      <c r="D287" s="25" t="str">
        <f>Source!H195</f>
        <v>100 м</v>
      </c>
      <c r="E287" s="24">
        <f>Source!I195</f>
        <v>42.2</v>
      </c>
      <c r="F287" s="27"/>
      <c r="G287" s="26"/>
      <c r="H287" s="24"/>
      <c r="I287" s="27"/>
      <c r="J287" s="24"/>
      <c r="K287" s="27"/>
      <c r="L287"/>
      <c r="Q287">
        <f>Source!X195</f>
        <v>10181.49</v>
      </c>
      <c r="R287">
        <f>Source!X196</f>
        <v>573726.88</v>
      </c>
      <c r="S287">
        <f>Source!Y195</f>
        <v>5353.15</v>
      </c>
      <c r="T287">
        <f>Source!Y196</f>
        <v>301650.21999999997</v>
      </c>
      <c r="U287">
        <f>ROUND((175/100)*ROUND(Source!R195, 2), 2)</f>
        <v>529.79999999999995</v>
      </c>
      <c r="V287">
        <f>ROUND((0/100)*ROUND(Source!R196, 2), 2)</f>
        <v>0</v>
      </c>
      <c r="AC287">
        <v>0</v>
      </c>
    </row>
    <row r="288" spans="1:29" hidden="1" x14ac:dyDescent="0.2">
      <c r="C288" s="36" t="str">
        <f>"Объем: "&amp;Source!I195&amp;"=4220/"&amp;"100"</f>
        <v>Объем: 42,2=4220/100</v>
      </c>
      <c r="L288"/>
    </row>
    <row r="289" spans="1:29" ht="14.25" hidden="1" x14ac:dyDescent="0.2">
      <c r="A289" s="23"/>
      <c r="B289" s="23"/>
      <c r="C289" s="23" t="s">
        <v>382</v>
      </c>
      <c r="D289" s="25"/>
      <c r="E289" s="24"/>
      <c r="F289" s="27">
        <f>Source!AO195</f>
        <v>192.26</v>
      </c>
      <c r="G289" s="26" t="s">
        <v>151</v>
      </c>
      <c r="H289" s="24">
        <f>Source!AV196</f>
        <v>1.0469999999999999</v>
      </c>
      <c r="I289" s="27">
        <f>Source!S195</f>
        <v>10193.64</v>
      </c>
      <c r="J289" s="24">
        <f>IF(Source!BA196&lt;&gt; 0, Source!BA196, 1)</f>
        <v>56.35</v>
      </c>
      <c r="K289" s="27">
        <f>Source!S196</f>
        <v>574411.61</v>
      </c>
      <c r="L289"/>
    </row>
    <row r="290" spans="1:29" ht="14.25" hidden="1" x14ac:dyDescent="0.2">
      <c r="A290" s="23"/>
      <c r="B290" s="23"/>
      <c r="C290" s="23" t="s">
        <v>384</v>
      </c>
      <c r="D290" s="25"/>
      <c r="E290" s="24"/>
      <c r="F290" s="27">
        <f>Source!AM195</f>
        <v>32.869999999999997</v>
      </c>
      <c r="G290" s="26" t="s">
        <v>151</v>
      </c>
      <c r="H290" s="24">
        <f>Source!AV196</f>
        <v>1.0469999999999999</v>
      </c>
      <c r="I290" s="27">
        <f>Source!Q195</f>
        <v>1742.77</v>
      </c>
      <c r="J290" s="24">
        <f>IF(Source!BB196&lt;&gt; 0, Source!BB196, 1)</f>
        <v>18.84</v>
      </c>
      <c r="K290" s="27">
        <f>Source!Q196</f>
        <v>32833.79</v>
      </c>
      <c r="L290"/>
    </row>
    <row r="291" spans="1:29" ht="14.25" hidden="1" x14ac:dyDescent="0.2">
      <c r="A291" s="23"/>
      <c r="B291" s="23"/>
      <c r="C291" s="23" t="s">
        <v>385</v>
      </c>
      <c r="D291" s="25"/>
      <c r="E291" s="24"/>
      <c r="F291" s="27">
        <f>Source!AN195</f>
        <v>5.71</v>
      </c>
      <c r="G291" s="26" t="s">
        <v>151</v>
      </c>
      <c r="H291" s="24">
        <f>Source!AV196</f>
        <v>1.0469999999999999</v>
      </c>
      <c r="I291" s="28">
        <f>Source!R195</f>
        <v>302.74</v>
      </c>
      <c r="J291" s="24">
        <f>IF(Source!BS196&lt;&gt; 0, Source!BS196, 1)</f>
        <v>56.35</v>
      </c>
      <c r="K291" s="28">
        <f>Source!R196</f>
        <v>17059.400000000001</v>
      </c>
      <c r="L291"/>
    </row>
    <row r="292" spans="1:29" ht="14.25" hidden="1" x14ac:dyDescent="0.2">
      <c r="A292" s="23"/>
      <c r="B292" s="23"/>
      <c r="C292" s="23" t="s">
        <v>396</v>
      </c>
      <c r="D292" s="25"/>
      <c r="E292" s="24"/>
      <c r="F292" s="27">
        <f>Source!AL195</f>
        <v>314.29000000000002</v>
      </c>
      <c r="G292" s="26"/>
      <c r="H292" s="24">
        <f>Source!AW196</f>
        <v>1</v>
      </c>
      <c r="I292" s="27">
        <f>Source!P195</f>
        <v>13263.04</v>
      </c>
      <c r="J292" s="24">
        <f>IF(Source!BC196&lt;&gt; 0, Source!BC196, 1)</f>
        <v>9.84</v>
      </c>
      <c r="K292" s="27">
        <f>Source!P196</f>
        <v>130508.31</v>
      </c>
      <c r="L292"/>
    </row>
    <row r="293" spans="1:29" ht="42.75" hidden="1" x14ac:dyDescent="0.2">
      <c r="A293" s="23" t="s">
        <v>226</v>
      </c>
      <c r="B293" s="23" t="str">
        <f>Source!F197</f>
        <v>1.12-5-372</v>
      </c>
      <c r="C293" s="23" t="s">
        <v>228</v>
      </c>
      <c r="D293" s="25" t="str">
        <f>Source!H197</f>
        <v>м</v>
      </c>
      <c r="E293" s="24">
        <f>Source!I197</f>
        <v>4304.3999999999996</v>
      </c>
      <c r="F293" s="27">
        <f>Source!AK197</f>
        <v>3.45</v>
      </c>
      <c r="G293" s="39" t="s">
        <v>3</v>
      </c>
      <c r="H293" s="24">
        <f>Source!AW198</f>
        <v>1</v>
      </c>
      <c r="I293" s="27">
        <f>Source!O197</f>
        <v>14850.18</v>
      </c>
      <c r="J293" s="24">
        <f>IF(Source!BC198&lt;&gt; 0, Source!BC198, 1)</f>
        <v>3.79</v>
      </c>
      <c r="K293" s="27">
        <f>Source!O198</f>
        <v>56282.18</v>
      </c>
      <c r="L293"/>
      <c r="Q293">
        <f>Source!X197</f>
        <v>0</v>
      </c>
      <c r="R293">
        <f>Source!X198</f>
        <v>0</v>
      </c>
      <c r="S293">
        <f>Source!Y197</f>
        <v>0</v>
      </c>
      <c r="T293">
        <f>Source!Y198</f>
        <v>0</v>
      </c>
      <c r="U293">
        <f>ROUND((175/100)*ROUND(Source!R197, 2), 2)</f>
        <v>0</v>
      </c>
      <c r="V293">
        <f>ROUND((0/100)*ROUND(Source!R198, 2), 2)</f>
        <v>0</v>
      </c>
      <c r="AC293">
        <v>3</v>
      </c>
    </row>
    <row r="294" spans="1:29" ht="14.25" hidden="1" x14ac:dyDescent="0.2">
      <c r="A294" s="23"/>
      <c r="B294" s="23"/>
      <c r="C294" s="23" t="s">
        <v>386</v>
      </c>
      <c r="D294" s="25" t="s">
        <v>387</v>
      </c>
      <c r="E294" s="24">
        <f>Source!BZ196</f>
        <v>97</v>
      </c>
      <c r="F294" s="27"/>
      <c r="G294" s="26"/>
      <c r="H294" s="24"/>
      <c r="I294" s="27">
        <f>SUM(Q287:Q293)</f>
        <v>10181.49</v>
      </c>
      <c r="J294" s="24">
        <f>Source!AT196</f>
        <v>97</v>
      </c>
      <c r="K294" s="27">
        <f>SUM(R287:R293)</f>
        <v>573726.88</v>
      </c>
      <c r="L294"/>
    </row>
    <row r="295" spans="1:29" ht="14.25" hidden="1" x14ac:dyDescent="0.2">
      <c r="A295" s="23"/>
      <c r="B295" s="23"/>
      <c r="C295" s="23" t="s">
        <v>388</v>
      </c>
      <c r="D295" s="25" t="s">
        <v>387</v>
      </c>
      <c r="E295" s="24">
        <f>Source!CA196</f>
        <v>51</v>
      </c>
      <c r="F295" s="27"/>
      <c r="G295" s="26"/>
      <c r="H295" s="24"/>
      <c r="I295" s="27">
        <f>SUM(S287:S294)</f>
        <v>5353.15</v>
      </c>
      <c r="J295" s="24">
        <f>Source!AU196</f>
        <v>51</v>
      </c>
      <c r="K295" s="27">
        <f>SUM(T287:T294)</f>
        <v>301650.21999999997</v>
      </c>
      <c r="L295"/>
    </row>
    <row r="296" spans="1:29" ht="14.25" hidden="1" x14ac:dyDescent="0.2">
      <c r="A296" s="29"/>
      <c r="B296" s="29"/>
      <c r="C296" s="29" t="s">
        <v>389</v>
      </c>
      <c r="D296" s="30" t="s">
        <v>390</v>
      </c>
      <c r="E296" s="31">
        <f>Source!AQ195</f>
        <v>15</v>
      </c>
      <c r="F296" s="32"/>
      <c r="G296" s="33" t="s">
        <v>151</v>
      </c>
      <c r="H296" s="31">
        <f>Source!AV196</f>
        <v>1.0469999999999999</v>
      </c>
      <c r="I296" s="32">
        <f>Source!U195</f>
        <v>795.30120000000011</v>
      </c>
      <c r="J296" s="31"/>
      <c r="K296" s="32"/>
      <c r="L296"/>
    </row>
    <row r="297" spans="1:29" ht="15" hidden="1" x14ac:dyDescent="0.2">
      <c r="C297" s="34" t="s">
        <v>391</v>
      </c>
      <c r="H297" s="52">
        <f>I289+I290+I292+I294+I295+SUM(I293:I293)-SUMIF(AC293:AC293, 5, I293:I293)-SUMIF(AC293:AC293, 6, I293:I293)</f>
        <v>55584.270000000004</v>
      </c>
      <c r="I297" s="52"/>
      <c r="J297" s="52">
        <f>K289+K290+K292+K294+K295+SUM(K293:K293)-SUMIF(AC293:AC293, 5, K293:K293)-SUMIF(AC293:AC293, 6, K293:K293)</f>
        <v>1669412.9899999998</v>
      </c>
      <c r="K297" s="52"/>
      <c r="L297"/>
    </row>
    <row r="298" spans="1:29" ht="15" hidden="1" x14ac:dyDescent="0.2">
      <c r="C298" s="34" t="s">
        <v>392</v>
      </c>
      <c r="H298" s="49">
        <f>SUMIF(AC293:AC293, 5, I293:I293)+SUMIF(AC293:AC293, 6, I293:I293)</f>
        <v>0</v>
      </c>
      <c r="I298" s="49"/>
      <c r="J298" s="49">
        <f>SUMIF(AC293:AC293, 5, K293:K293)+SUMIF(AC293:AC293, 6, K293:K293)</f>
        <v>0</v>
      </c>
      <c r="K298" s="49"/>
      <c r="L298"/>
    </row>
    <row r="299" spans="1:29" ht="15" hidden="1" x14ac:dyDescent="0.2">
      <c r="C299" s="34" t="s">
        <v>393</v>
      </c>
      <c r="H299" s="49">
        <f>I289+I290+I292+I294+I295+SUM(I293:I293)</f>
        <v>55584.270000000004</v>
      </c>
      <c r="I299" s="49"/>
      <c r="J299" s="49">
        <f>K289+K290+K292+K294+K295+SUM(K293:K293)</f>
        <v>1669412.9899999998</v>
      </c>
      <c r="K299" s="49"/>
      <c r="L299"/>
      <c r="O299" s="35">
        <f>I289+I290+I292+I294+I295+SUM(I293:I293)</f>
        <v>55584.270000000004</v>
      </c>
      <c r="P299" s="35">
        <f>K289+K290+K292+K294+K295+SUM(K293:K293)</f>
        <v>1669412.9899999998</v>
      </c>
    </row>
    <row r="300" spans="1:29" hidden="1" x14ac:dyDescent="0.2">
      <c r="L300"/>
    </row>
    <row r="301" spans="1:29" ht="42.75" hidden="1" x14ac:dyDescent="0.2">
      <c r="A301" s="23">
        <v>32</v>
      </c>
      <c r="B301" s="23" t="str">
        <f>Source!F199</f>
        <v>1.21-5-1475</v>
      </c>
      <c r="C301" s="23" t="s">
        <v>233</v>
      </c>
      <c r="D301" s="25" t="str">
        <f>Source!H199</f>
        <v>1000 шт.</v>
      </c>
      <c r="E301" s="24">
        <f>Source!I199</f>
        <v>10.55</v>
      </c>
      <c r="F301" s="27">
        <f>Source!AL199</f>
        <v>452.68</v>
      </c>
      <c r="G301" s="26"/>
      <c r="H301" s="24">
        <f>Source!AW200</f>
        <v>1</v>
      </c>
      <c r="I301" s="27">
        <f>Source!P199</f>
        <v>4775.7700000000004</v>
      </c>
      <c r="J301" s="24">
        <f>IF(Source!BC200&lt;&gt; 0, Source!BC200, 1)</f>
        <v>3.66</v>
      </c>
      <c r="K301" s="27">
        <f>Source!P200</f>
        <v>17479.32</v>
      </c>
      <c r="L301"/>
      <c r="Q301">
        <f>Source!X199</f>
        <v>0</v>
      </c>
      <c r="R301">
        <f>Source!X200</f>
        <v>0</v>
      </c>
      <c r="S301">
        <f>Source!Y199</f>
        <v>0</v>
      </c>
      <c r="T301">
        <f>Source!Y200</f>
        <v>0</v>
      </c>
      <c r="U301">
        <f>ROUND((175/100)*ROUND(Source!R199, 2), 2)</f>
        <v>0</v>
      </c>
      <c r="V301">
        <f>ROUND((0/100)*ROUND(Source!R200, 2), 2)</f>
        <v>0</v>
      </c>
      <c r="AC301">
        <v>3</v>
      </c>
    </row>
    <row r="302" spans="1:29" hidden="1" x14ac:dyDescent="0.2">
      <c r="A302" s="40"/>
      <c r="B302" s="40"/>
      <c r="C302" s="41" t="str">
        <f>"Объем: "&amp;Source!I199&amp;"=10550/"&amp;"1000"</f>
        <v>Объем: 10,55=10550/1000</v>
      </c>
      <c r="D302" s="40"/>
      <c r="E302" s="40"/>
      <c r="F302" s="40"/>
      <c r="G302" s="40"/>
      <c r="H302" s="40"/>
      <c r="I302" s="40"/>
      <c r="J302" s="40"/>
      <c r="K302" s="40"/>
      <c r="L302"/>
    </row>
    <row r="303" spans="1:29" ht="15" hidden="1" x14ac:dyDescent="0.2">
      <c r="C303" s="34" t="s">
        <v>393</v>
      </c>
      <c r="H303" s="52">
        <f>I301+0</f>
        <v>4775.7700000000004</v>
      </c>
      <c r="I303" s="52"/>
      <c r="J303" s="52">
        <f>K301+0</f>
        <v>17479.32</v>
      </c>
      <c r="K303" s="52"/>
      <c r="L303"/>
      <c r="O303" s="35">
        <f>I301+0</f>
        <v>4775.7700000000004</v>
      </c>
      <c r="P303" s="35">
        <f>K301+0</f>
        <v>17479.32</v>
      </c>
    </row>
    <row r="304" spans="1:29" hidden="1" x14ac:dyDescent="0.2">
      <c r="L304"/>
    </row>
    <row r="305" spans="1:29" ht="71.25" hidden="1" x14ac:dyDescent="0.2">
      <c r="A305" s="23">
        <v>33</v>
      </c>
      <c r="B305" s="23" t="str">
        <f>Source!F201</f>
        <v>4.8-175-2</v>
      </c>
      <c r="C305" s="23" t="s">
        <v>241</v>
      </c>
      <c r="D305" s="25" t="str">
        <f>Source!H201</f>
        <v>100 м</v>
      </c>
      <c r="E305" s="24">
        <f>Source!I201</f>
        <v>42.2</v>
      </c>
      <c r="F305" s="27"/>
      <c r="G305" s="26"/>
      <c r="H305" s="24"/>
      <c r="I305" s="27"/>
      <c r="J305" s="24"/>
      <c r="K305" s="27"/>
      <c r="L305"/>
      <c r="Q305">
        <f>Source!X201</f>
        <v>3440.11</v>
      </c>
      <c r="R305">
        <f>Source!X202</f>
        <v>193850.46</v>
      </c>
      <c r="S305">
        <f>Source!Y201</f>
        <v>1808.72</v>
      </c>
      <c r="T305">
        <f>Source!Y202</f>
        <v>101921.38</v>
      </c>
      <c r="U305">
        <f>ROUND((175/100)*ROUND(Source!R201, 2), 2)</f>
        <v>54.74</v>
      </c>
      <c r="V305">
        <f>ROUND((0/100)*ROUND(Source!R202, 2), 2)</f>
        <v>0</v>
      </c>
      <c r="AC305">
        <v>0</v>
      </c>
    </row>
    <row r="306" spans="1:29" hidden="1" x14ac:dyDescent="0.2">
      <c r="C306" s="36" t="str">
        <f>"Объем: "&amp;Source!I201&amp;"=4220/"&amp;"100"</f>
        <v>Объем: 42,2=4220/100</v>
      </c>
      <c r="L306"/>
    </row>
    <row r="307" spans="1:29" ht="14.25" hidden="1" x14ac:dyDescent="0.2">
      <c r="A307" s="23"/>
      <c r="B307" s="23"/>
      <c r="C307" s="23" t="s">
        <v>382</v>
      </c>
      <c r="D307" s="25"/>
      <c r="E307" s="24"/>
      <c r="F307" s="27">
        <f>Source!AO201</f>
        <v>66.3</v>
      </c>
      <c r="G307" s="26" t="s">
        <v>151</v>
      </c>
      <c r="H307" s="24">
        <f>Source!AV202</f>
        <v>1.0469999999999999</v>
      </c>
      <c r="I307" s="27">
        <f>Source!S201</f>
        <v>3515.23</v>
      </c>
      <c r="J307" s="24">
        <f>IF(Source!BA202&lt;&gt; 0, Source!BA202, 1)</f>
        <v>56.35</v>
      </c>
      <c r="K307" s="27">
        <f>Source!S202</f>
        <v>198083.21</v>
      </c>
      <c r="L307"/>
    </row>
    <row r="308" spans="1:29" ht="14.25" hidden="1" x14ac:dyDescent="0.2">
      <c r="A308" s="23"/>
      <c r="B308" s="23"/>
      <c r="C308" s="23" t="s">
        <v>384</v>
      </c>
      <c r="D308" s="25"/>
      <c r="E308" s="24"/>
      <c r="F308" s="27">
        <f>Source!AM201</f>
        <v>5.25</v>
      </c>
      <c r="G308" s="26" t="s">
        <v>151</v>
      </c>
      <c r="H308" s="24">
        <f>Source!AV202</f>
        <v>1.0469999999999999</v>
      </c>
      <c r="I308" s="27">
        <f>Source!Q201</f>
        <v>278.36</v>
      </c>
      <c r="J308" s="24">
        <f>IF(Source!BB202&lt;&gt; 0, Source!BB202, 1)</f>
        <v>15.25</v>
      </c>
      <c r="K308" s="27">
        <f>Source!Q202</f>
        <v>4244.99</v>
      </c>
      <c r="L308"/>
    </row>
    <row r="309" spans="1:29" ht="14.25" hidden="1" x14ac:dyDescent="0.2">
      <c r="A309" s="23"/>
      <c r="B309" s="23"/>
      <c r="C309" s="23" t="s">
        <v>385</v>
      </c>
      <c r="D309" s="25"/>
      <c r="E309" s="24"/>
      <c r="F309" s="27">
        <f>Source!AN201</f>
        <v>0.59</v>
      </c>
      <c r="G309" s="26" t="s">
        <v>151</v>
      </c>
      <c r="H309" s="24">
        <f>Source!AV202</f>
        <v>1.0469999999999999</v>
      </c>
      <c r="I309" s="28">
        <f>Source!R201</f>
        <v>31.28</v>
      </c>
      <c r="J309" s="24">
        <f>IF(Source!BS202&lt;&gt; 0, Source!BS202, 1)</f>
        <v>56.35</v>
      </c>
      <c r="K309" s="28">
        <f>Source!R202</f>
        <v>1762.63</v>
      </c>
      <c r="L309"/>
    </row>
    <row r="310" spans="1:29" ht="14.25" hidden="1" x14ac:dyDescent="0.2">
      <c r="A310" s="23"/>
      <c r="B310" s="23"/>
      <c r="C310" s="23" t="s">
        <v>396</v>
      </c>
      <c r="D310" s="25"/>
      <c r="E310" s="24"/>
      <c r="F310" s="27">
        <f>Source!AL201</f>
        <v>61.98</v>
      </c>
      <c r="G310" s="26"/>
      <c r="H310" s="24">
        <f>Source!AW202</f>
        <v>1</v>
      </c>
      <c r="I310" s="27">
        <f>Source!P201</f>
        <v>2615.56</v>
      </c>
      <c r="J310" s="24">
        <f>IF(Source!BC202&lt;&gt; 0, Source!BC202, 1)</f>
        <v>4.58</v>
      </c>
      <c r="K310" s="27">
        <f>Source!P202</f>
        <v>11979.26</v>
      </c>
      <c r="L310"/>
    </row>
    <row r="311" spans="1:29" ht="14.25" hidden="1" x14ac:dyDescent="0.2">
      <c r="A311" s="23"/>
      <c r="B311" s="23"/>
      <c r="C311" s="23" t="s">
        <v>386</v>
      </c>
      <c r="D311" s="25" t="s">
        <v>387</v>
      </c>
      <c r="E311" s="24">
        <f>Source!BZ202</f>
        <v>97</v>
      </c>
      <c r="F311" s="27"/>
      <c r="G311" s="26"/>
      <c r="H311" s="24"/>
      <c r="I311" s="27">
        <f>SUM(Q305:Q310)</f>
        <v>3440.11</v>
      </c>
      <c r="J311" s="24">
        <f>Source!AT202</f>
        <v>97</v>
      </c>
      <c r="K311" s="27">
        <f>SUM(R305:R310)</f>
        <v>193850.46</v>
      </c>
      <c r="L311"/>
    </row>
    <row r="312" spans="1:29" ht="14.25" hidden="1" x14ac:dyDescent="0.2">
      <c r="A312" s="23"/>
      <c r="B312" s="23"/>
      <c r="C312" s="23" t="s">
        <v>388</v>
      </c>
      <c r="D312" s="25" t="s">
        <v>387</v>
      </c>
      <c r="E312" s="24">
        <f>Source!CA202</f>
        <v>51</v>
      </c>
      <c r="F312" s="27"/>
      <c r="G312" s="26"/>
      <c r="H312" s="24"/>
      <c r="I312" s="27">
        <f>SUM(S305:S311)</f>
        <v>1808.72</v>
      </c>
      <c r="J312" s="24">
        <f>Source!AU202</f>
        <v>51</v>
      </c>
      <c r="K312" s="27">
        <f>SUM(T305:T311)</f>
        <v>101921.38</v>
      </c>
      <c r="L312"/>
    </row>
    <row r="313" spans="1:29" ht="14.25" hidden="1" x14ac:dyDescent="0.2">
      <c r="A313" s="29"/>
      <c r="B313" s="29"/>
      <c r="C313" s="29" t="s">
        <v>389</v>
      </c>
      <c r="D313" s="30" t="s">
        <v>390</v>
      </c>
      <c r="E313" s="31">
        <f>Source!AQ201</f>
        <v>5.39</v>
      </c>
      <c r="F313" s="32"/>
      <c r="G313" s="33" t="s">
        <v>151</v>
      </c>
      <c r="H313" s="31">
        <f>Source!AV202</f>
        <v>1.0469999999999999</v>
      </c>
      <c r="I313" s="32">
        <f>Source!U201</f>
        <v>285.77823119999999</v>
      </c>
      <c r="J313" s="31"/>
      <c r="K313" s="32"/>
      <c r="L313"/>
    </row>
    <row r="314" spans="1:29" ht="15" hidden="1" x14ac:dyDescent="0.2">
      <c r="C314" s="34" t="s">
        <v>391</v>
      </c>
      <c r="H314" s="52">
        <f>I307+I308+I310+I311+I312+0-0-0</f>
        <v>11657.98</v>
      </c>
      <c r="I314" s="52"/>
      <c r="J314" s="52">
        <f>K307+K308+K310+K311+K312+0-0-0</f>
        <v>510079.3</v>
      </c>
      <c r="K314" s="52"/>
      <c r="L314"/>
    </row>
    <row r="315" spans="1:29" ht="15" hidden="1" x14ac:dyDescent="0.2">
      <c r="C315" s="34" t="s">
        <v>392</v>
      </c>
      <c r="H315" s="49">
        <f>0+0</f>
        <v>0</v>
      </c>
      <c r="I315" s="49"/>
      <c r="J315" s="49">
        <f>0+0</f>
        <v>0</v>
      </c>
      <c r="K315" s="49"/>
      <c r="L315"/>
    </row>
    <row r="316" spans="1:29" ht="15" hidden="1" x14ac:dyDescent="0.2">
      <c r="C316" s="34" t="s">
        <v>393</v>
      </c>
      <c r="H316" s="49">
        <f>I307+I308+I310+I311+I312+0</f>
        <v>11657.98</v>
      </c>
      <c r="I316" s="49"/>
      <c r="J316" s="49">
        <f>K307+K308+K310+K311+K312+0</f>
        <v>510079.3</v>
      </c>
      <c r="K316" s="49"/>
      <c r="L316"/>
      <c r="O316" s="35">
        <f>I307+I308+I310+I311+I312+0</f>
        <v>11657.98</v>
      </c>
      <c r="P316" s="35">
        <f>K307+K308+K310+K311+K312+0</f>
        <v>510079.3</v>
      </c>
    </row>
    <row r="317" spans="1:29" hidden="1" x14ac:dyDescent="0.2">
      <c r="L317"/>
    </row>
    <row r="318" spans="1:29" ht="57" hidden="1" x14ac:dyDescent="0.2">
      <c r="A318" s="29">
        <v>34</v>
      </c>
      <c r="B318" s="29" t="str">
        <f>Source!F203</f>
        <v>1.23-3-242</v>
      </c>
      <c r="C318" s="29" t="s">
        <v>245</v>
      </c>
      <c r="D318" s="30" t="str">
        <f>Source!H203</f>
        <v>км</v>
      </c>
      <c r="E318" s="31">
        <f>Source!I203</f>
        <v>4.2839999999999998</v>
      </c>
      <c r="F318" s="32">
        <f>Source!AL203</f>
        <v>3312.07</v>
      </c>
      <c r="G318" s="33"/>
      <c r="H318" s="31">
        <f>Source!AW204</f>
        <v>1</v>
      </c>
      <c r="I318" s="32">
        <f>Source!P203</f>
        <v>14188.91</v>
      </c>
      <c r="J318" s="31">
        <f>IF(Source!BC204&lt;&gt; 0, Source!BC204, 1)</f>
        <v>17.95</v>
      </c>
      <c r="K318" s="32">
        <f>Source!P204</f>
        <v>254690.93</v>
      </c>
      <c r="L318"/>
      <c r="Q318">
        <f>Source!X203</f>
        <v>0</v>
      </c>
      <c r="R318">
        <f>Source!X204</f>
        <v>0</v>
      </c>
      <c r="S318">
        <f>Source!Y203</f>
        <v>0</v>
      </c>
      <c r="T318">
        <f>Source!Y204</f>
        <v>0</v>
      </c>
      <c r="U318">
        <f>ROUND((175/100)*ROUND(Source!R203, 2), 2)</f>
        <v>0</v>
      </c>
      <c r="V318">
        <f>ROUND((0/100)*ROUND(Source!R204, 2), 2)</f>
        <v>0</v>
      </c>
      <c r="AC318">
        <v>3</v>
      </c>
    </row>
    <row r="319" spans="1:29" ht="15" hidden="1" x14ac:dyDescent="0.2">
      <c r="C319" s="34" t="s">
        <v>393</v>
      </c>
      <c r="H319" s="52">
        <f>I318+0</f>
        <v>14188.91</v>
      </c>
      <c r="I319" s="52"/>
      <c r="J319" s="52">
        <f>K318+0</f>
        <v>254690.93</v>
      </c>
      <c r="K319" s="52"/>
      <c r="L319"/>
      <c r="O319" s="35">
        <f>I318+0</f>
        <v>14188.91</v>
      </c>
      <c r="P319" s="35">
        <f>K318+0</f>
        <v>254690.93</v>
      </c>
    </row>
    <row r="320" spans="1:29" hidden="1" x14ac:dyDescent="0.2">
      <c r="L320"/>
    </row>
    <row r="321" spans="1:43" ht="55.5" hidden="1" x14ac:dyDescent="0.2">
      <c r="A321" s="29">
        <v>35</v>
      </c>
      <c r="B321" s="29" t="str">
        <f>Source!F205</f>
        <v>КА, п.12</v>
      </c>
      <c r="C321" s="29" t="s">
        <v>399</v>
      </c>
      <c r="D321" s="30" t="str">
        <f>Source!H205</f>
        <v>ПМ</v>
      </c>
      <c r="E321" s="31">
        <f>Source!I205</f>
        <v>20.399999999999999</v>
      </c>
      <c r="F321" s="32">
        <f>Source!AL205</f>
        <v>9.23</v>
      </c>
      <c r="G321" s="33"/>
      <c r="H321" s="31">
        <f>Source!AW206</f>
        <v>1</v>
      </c>
      <c r="I321" s="32">
        <f>Source!P205</f>
        <v>188.29</v>
      </c>
      <c r="J321" s="31">
        <f>IF(Source!BC206&lt;&gt; 0, Source!BC206, 1)</f>
        <v>9.84</v>
      </c>
      <c r="K321" s="32">
        <f>Source!P206</f>
        <v>1852.77</v>
      </c>
      <c r="L321"/>
      <c r="Q321">
        <f>Source!X205</f>
        <v>0</v>
      </c>
      <c r="R321">
        <f>Source!X206</f>
        <v>0</v>
      </c>
      <c r="S321">
        <f>Source!Y205</f>
        <v>0</v>
      </c>
      <c r="T321">
        <f>Source!Y206</f>
        <v>0</v>
      </c>
      <c r="U321">
        <f>ROUND((175/100)*ROUND(Source!R205, 2), 2)</f>
        <v>0</v>
      </c>
      <c r="V321">
        <f>ROUND((0/100)*ROUND(Source!R206, 2), 2)</f>
        <v>0</v>
      </c>
      <c r="AC321">
        <v>3</v>
      </c>
    </row>
    <row r="322" spans="1:43" ht="15" hidden="1" x14ac:dyDescent="0.2">
      <c r="C322" s="34" t="s">
        <v>393</v>
      </c>
      <c r="H322" s="52">
        <f>I321+0</f>
        <v>188.29</v>
      </c>
      <c r="I322" s="52"/>
      <c r="J322" s="52">
        <f>K321+0</f>
        <v>1852.77</v>
      </c>
      <c r="K322" s="52"/>
      <c r="L322"/>
      <c r="O322" s="35">
        <f>I321+0</f>
        <v>188.29</v>
      </c>
      <c r="P322" s="35">
        <f>K321+0</f>
        <v>1852.77</v>
      </c>
    </row>
    <row r="323" spans="1:43" hidden="1" x14ac:dyDescent="0.2">
      <c r="L323"/>
    </row>
    <row r="324" spans="1:43" ht="57" hidden="1" x14ac:dyDescent="0.2">
      <c r="A324" s="23">
        <v>36</v>
      </c>
      <c r="B324" s="23" t="str">
        <f>Source!F207</f>
        <v>4.8-86-2</v>
      </c>
      <c r="C324" s="23" t="s">
        <v>255</v>
      </c>
      <c r="D324" s="25" t="str">
        <f>Source!H207</f>
        <v>100 М УЛОЖЕННОГО КАБЕЛЯ</v>
      </c>
      <c r="E324" s="24">
        <f>Source!I207</f>
        <v>0.16</v>
      </c>
      <c r="F324" s="27"/>
      <c r="G324" s="26"/>
      <c r="H324" s="24"/>
      <c r="I324" s="27"/>
      <c r="J324" s="24"/>
      <c r="K324" s="27"/>
      <c r="L324"/>
      <c r="Q324">
        <f>Source!X207</f>
        <v>3.03</v>
      </c>
      <c r="R324">
        <f>Source!X208</f>
        <v>170.54</v>
      </c>
      <c r="S324">
        <f>Source!Y207</f>
        <v>1.59</v>
      </c>
      <c r="T324">
        <f>Source!Y208</f>
        <v>89.66</v>
      </c>
      <c r="U324">
        <f>ROUND((175/100)*ROUND(Source!R207, 2), 2)</f>
        <v>0</v>
      </c>
      <c r="V324">
        <f>ROUND((0/100)*ROUND(Source!R208, 2), 2)</f>
        <v>0</v>
      </c>
      <c r="AC324">
        <v>0</v>
      </c>
    </row>
    <row r="325" spans="1:43" hidden="1" x14ac:dyDescent="0.2">
      <c r="C325" s="36" t="str">
        <f>"Объем: "&amp;Source!I207&amp;"=16/"&amp;"100"</f>
        <v>Объем: 0,16=16/100</v>
      </c>
      <c r="L325"/>
    </row>
    <row r="326" spans="1:43" ht="14.25" hidden="1" x14ac:dyDescent="0.2">
      <c r="A326" s="23"/>
      <c r="B326" s="23"/>
      <c r="C326" s="23" t="s">
        <v>382</v>
      </c>
      <c r="D326" s="25"/>
      <c r="E326" s="24"/>
      <c r="F326" s="27">
        <f>Source!AO207</f>
        <v>15.52</v>
      </c>
      <c r="G326" s="26" t="s">
        <v>151</v>
      </c>
      <c r="H326" s="24">
        <f>Source!AV208</f>
        <v>1.0469999999999999</v>
      </c>
      <c r="I326" s="27">
        <f>Source!S207</f>
        <v>3.12</v>
      </c>
      <c r="J326" s="24">
        <f>IF(Source!BA208&lt;&gt; 0, Source!BA208, 1)</f>
        <v>56.35</v>
      </c>
      <c r="K326" s="27">
        <f>Source!S208</f>
        <v>175.81</v>
      </c>
      <c r="L326"/>
    </row>
    <row r="327" spans="1:43" ht="14.25" hidden="1" x14ac:dyDescent="0.2">
      <c r="A327" s="23"/>
      <c r="B327" s="23"/>
      <c r="C327" s="23" t="s">
        <v>396</v>
      </c>
      <c r="D327" s="25"/>
      <c r="E327" s="24"/>
      <c r="F327" s="27">
        <f>Source!AL207</f>
        <v>0.56999999999999995</v>
      </c>
      <c r="G327" s="26"/>
      <c r="H327" s="24">
        <f>Source!AW208</f>
        <v>1</v>
      </c>
      <c r="I327" s="27">
        <f>Source!P207</f>
        <v>0.09</v>
      </c>
      <c r="J327" s="24">
        <f>IF(Source!BC208&lt;&gt; 0, Source!BC208, 1)</f>
        <v>18.190000000000001</v>
      </c>
      <c r="K327" s="27">
        <f>Source!P208</f>
        <v>1.64</v>
      </c>
      <c r="L327"/>
    </row>
    <row r="328" spans="1:43" ht="14.25" hidden="1" x14ac:dyDescent="0.2">
      <c r="A328" s="23"/>
      <c r="B328" s="23"/>
      <c r="C328" s="23" t="s">
        <v>386</v>
      </c>
      <c r="D328" s="25" t="s">
        <v>387</v>
      </c>
      <c r="E328" s="24">
        <f>Source!BZ208</f>
        <v>97</v>
      </c>
      <c r="F328" s="27"/>
      <c r="G328" s="26"/>
      <c r="H328" s="24"/>
      <c r="I328" s="27">
        <f>SUM(Q324:Q327)</f>
        <v>3.03</v>
      </c>
      <c r="J328" s="24">
        <f>Source!AT208</f>
        <v>97</v>
      </c>
      <c r="K328" s="27">
        <f>SUM(R324:R327)</f>
        <v>170.54</v>
      </c>
      <c r="L328"/>
    </row>
    <row r="329" spans="1:43" ht="14.25" hidden="1" x14ac:dyDescent="0.2">
      <c r="A329" s="23"/>
      <c r="B329" s="23"/>
      <c r="C329" s="23" t="s">
        <v>388</v>
      </c>
      <c r="D329" s="25" t="s">
        <v>387</v>
      </c>
      <c r="E329" s="24">
        <f>Source!CA208</f>
        <v>51</v>
      </c>
      <c r="F329" s="27"/>
      <c r="G329" s="26"/>
      <c r="H329" s="24"/>
      <c r="I329" s="27">
        <f>SUM(S324:S328)</f>
        <v>1.59</v>
      </c>
      <c r="J329" s="24">
        <f>Source!AU208</f>
        <v>51</v>
      </c>
      <c r="K329" s="27">
        <f>SUM(T324:T328)</f>
        <v>89.66</v>
      </c>
      <c r="L329"/>
    </row>
    <row r="330" spans="1:43" ht="14.25" hidden="1" x14ac:dyDescent="0.2">
      <c r="A330" s="29"/>
      <c r="B330" s="29"/>
      <c r="C330" s="29" t="s">
        <v>389</v>
      </c>
      <c r="D330" s="30" t="s">
        <v>390</v>
      </c>
      <c r="E330" s="31">
        <f>Source!AQ207</f>
        <v>1.26</v>
      </c>
      <c r="F330" s="32"/>
      <c r="G330" s="33" t="s">
        <v>151</v>
      </c>
      <c r="H330" s="31">
        <f>Source!AV208</f>
        <v>1.0469999999999999</v>
      </c>
      <c r="I330" s="32">
        <f>Source!U207</f>
        <v>0.25329024</v>
      </c>
      <c r="J330" s="31"/>
      <c r="K330" s="32"/>
      <c r="L330"/>
    </row>
    <row r="331" spans="1:43" ht="15" hidden="1" x14ac:dyDescent="0.2">
      <c r="C331" s="34" t="s">
        <v>391</v>
      </c>
      <c r="H331" s="52">
        <f>I326+I327+I328+I329+0-0-0</f>
        <v>7.83</v>
      </c>
      <c r="I331" s="52"/>
      <c r="J331" s="52">
        <f>K326+K327+K328+K329+0-0-0</f>
        <v>437.65</v>
      </c>
      <c r="K331" s="52"/>
      <c r="L331"/>
    </row>
    <row r="332" spans="1:43" ht="15" hidden="1" x14ac:dyDescent="0.2">
      <c r="C332" s="34" t="s">
        <v>392</v>
      </c>
      <c r="H332" s="49">
        <f>0+0</f>
        <v>0</v>
      </c>
      <c r="I332" s="49"/>
      <c r="J332" s="49">
        <f>0+0</f>
        <v>0</v>
      </c>
      <c r="K332" s="49"/>
      <c r="L332"/>
    </row>
    <row r="333" spans="1:43" ht="15" hidden="1" x14ac:dyDescent="0.2">
      <c r="C333" s="34" t="s">
        <v>393</v>
      </c>
      <c r="H333" s="49">
        <f>I326+I327+I328+I329+0</f>
        <v>7.83</v>
      </c>
      <c r="I333" s="49"/>
      <c r="J333" s="49">
        <f>K326+K327+K328+K329+0</f>
        <v>437.65</v>
      </c>
      <c r="K333" s="49"/>
      <c r="L333"/>
      <c r="O333" s="35">
        <f>I326+I327+I328+I329+0</f>
        <v>7.83</v>
      </c>
      <c r="P333" s="35">
        <f>K326+K327+K328+K329+0</f>
        <v>437.65</v>
      </c>
    </row>
    <row r="334" spans="1:43" hidden="1" x14ac:dyDescent="0.2">
      <c r="L334"/>
    </row>
    <row r="335" spans="1:43" hidden="1" x14ac:dyDescent="0.2">
      <c r="L335"/>
    </row>
    <row r="336" spans="1:43" ht="15" hidden="1" x14ac:dyDescent="0.25">
      <c r="A336" s="51" t="str">
        <f>CONCATENATE("Итого по разделу: ",IF(Source!G210&lt;&gt;"Новый раздел", Source!G210, ""))</f>
        <v>Итого по разделу: Огнестойкая кабельная линия "ПАРЛАЙН+ДКС" ОКЛ-15</v>
      </c>
      <c r="B336" s="51"/>
      <c r="C336" s="51"/>
      <c r="D336" s="51"/>
      <c r="E336" s="51"/>
      <c r="F336" s="51"/>
      <c r="G336" s="51"/>
      <c r="H336" s="49">
        <f>SUM(O286:O335)</f>
        <v>86403.05</v>
      </c>
      <c r="I336" s="50"/>
      <c r="J336" s="49">
        <f>SUM(P286:P335)</f>
        <v>2453952.96</v>
      </c>
      <c r="K336" s="50"/>
      <c r="L336"/>
      <c r="AQ336" s="42" t="str">
        <f>CONCATENATE("Итого по разделу: ",IF(Source!G210&lt;&gt;"Новый раздел", Source!G210, ""))</f>
        <v>Итого по разделу: Огнестойкая кабельная линия "ПАРЛАЙН+ДКС" ОКЛ-15</v>
      </c>
    </row>
    <row r="337" spans="1:11" customFormat="1" hidden="1" x14ac:dyDescent="0.2">
      <c r="A337" t="s">
        <v>394</v>
      </c>
      <c r="I337">
        <f>SUM(W286:W336)</f>
        <v>0</v>
      </c>
      <c r="J337">
        <f>SUM(X286:X336)</f>
        <v>0</v>
      </c>
    </row>
    <row r="338" spans="1:11" customFormat="1" hidden="1" x14ac:dyDescent="0.2">
      <c r="A338" t="s">
        <v>395</v>
      </c>
      <c r="I338">
        <f>SUM(Y286:Y337)</f>
        <v>0</v>
      </c>
      <c r="J338">
        <f>SUM(Z286:Z337)</f>
        <v>0</v>
      </c>
    </row>
    <row r="339" spans="1:11" customFormat="1" hidden="1" x14ac:dyDescent="0.2"/>
    <row r="340" spans="1:11" customFormat="1" ht="15" hidden="1" x14ac:dyDescent="0.25">
      <c r="A340" s="51" t="str">
        <f>CONCATENATE("Итого по локальной смете: ",IF(Source!G240&lt;&gt;"Новая локальная смета", Source!G240, ""))</f>
        <v>Итого по локальной смете: Система двухсторонней связи</v>
      </c>
      <c r="B340" s="51"/>
      <c r="C340" s="51"/>
      <c r="D340" s="51"/>
      <c r="E340" s="51"/>
      <c r="F340" s="51"/>
      <c r="G340" s="51"/>
      <c r="H340" s="49">
        <f>SUM(O36:O339)</f>
        <v>407409.87999999989</v>
      </c>
      <c r="I340" s="50"/>
      <c r="J340" s="49">
        <f>SUM(P36:P339)</f>
        <v>7732036.3400000008</v>
      </c>
      <c r="K340" s="50"/>
    </row>
    <row r="341" spans="1:11" customFormat="1" hidden="1" x14ac:dyDescent="0.2">
      <c r="A341" t="s">
        <v>394</v>
      </c>
      <c r="I341">
        <f>SUM(W36:W340)</f>
        <v>0</v>
      </c>
      <c r="J341">
        <f>SUM(X36:X340)</f>
        <v>0</v>
      </c>
    </row>
    <row r="342" spans="1:11" customFormat="1" hidden="1" x14ac:dyDescent="0.2">
      <c r="A342" t="s">
        <v>395</v>
      </c>
      <c r="I342">
        <f>SUM(Y36:Y341)</f>
        <v>0</v>
      </c>
      <c r="J342">
        <f>SUM(Z36:Z341)</f>
        <v>0</v>
      </c>
    </row>
    <row r="343" spans="1:11" customFormat="1" ht="14.25" hidden="1" x14ac:dyDescent="0.2">
      <c r="C343" s="47" t="str">
        <f>Source!H269</f>
        <v>Итого</v>
      </c>
      <c r="D343" s="47"/>
      <c r="E343" s="47"/>
      <c r="F343" s="47"/>
      <c r="G343" s="47"/>
      <c r="H343" s="48">
        <f>Source!F269</f>
        <v>407409.88</v>
      </c>
      <c r="I343" s="48"/>
      <c r="J343" s="48">
        <f>Source!P269</f>
        <v>7732036.3399999999</v>
      </c>
      <c r="K343" s="48"/>
    </row>
    <row r="344" spans="1:11" customFormat="1" ht="14.25" hidden="1" x14ac:dyDescent="0.2">
      <c r="C344" s="47" t="str">
        <f>Source!H270</f>
        <v>НДС 20%</v>
      </c>
      <c r="D344" s="47"/>
      <c r="E344" s="47"/>
      <c r="F344" s="47"/>
      <c r="G344" s="47"/>
      <c r="H344" s="48">
        <f>Source!F270</f>
        <v>81481.98</v>
      </c>
      <c r="I344" s="48"/>
      <c r="J344" s="48">
        <f>Source!P270</f>
        <v>1546407.27</v>
      </c>
      <c r="K344" s="48"/>
    </row>
    <row r="345" spans="1:11" customFormat="1" ht="14.25" hidden="1" x14ac:dyDescent="0.2">
      <c r="C345" s="47" t="str">
        <f>Source!H271</f>
        <v>Всего</v>
      </c>
      <c r="D345" s="47"/>
      <c r="E345" s="47"/>
      <c r="F345" s="47"/>
      <c r="G345" s="47"/>
      <c r="H345" s="48">
        <f>Source!F271</f>
        <v>488891.86</v>
      </c>
      <c r="I345" s="48"/>
      <c r="J345" s="48">
        <f>Source!P271</f>
        <v>9278443.6099999994</v>
      </c>
      <c r="K345" s="48"/>
    </row>
    <row r="346" spans="1:11" customFormat="1" hidden="1" x14ac:dyDescent="0.2"/>
    <row r="347" spans="1:11" customFormat="1" ht="15" hidden="1" x14ac:dyDescent="0.25">
      <c r="A347" s="51" t="str">
        <f>CONCATENATE("Итого по смете: ",IF(Source!G273&lt;&gt;"Новый объект", Source!G273, ""))</f>
        <v>Итого по смете: 02-01-17 СДС</v>
      </c>
      <c r="B347" s="51"/>
      <c r="C347" s="51"/>
      <c r="D347" s="51"/>
      <c r="E347" s="51"/>
      <c r="F347" s="51"/>
      <c r="G347" s="51"/>
      <c r="H347" s="49">
        <f>SUM(O1:O346)</f>
        <v>407409.87999999989</v>
      </c>
      <c r="I347" s="50"/>
      <c r="J347" s="49">
        <f>SUM(P1:P346)</f>
        <v>7732036.3400000008</v>
      </c>
      <c r="K347" s="50"/>
    </row>
    <row r="348" spans="1:11" customFormat="1" hidden="1" x14ac:dyDescent="0.2">
      <c r="A348" t="s">
        <v>394</v>
      </c>
      <c r="I348">
        <f>SUM(W1:W347)</f>
        <v>0</v>
      </c>
      <c r="J348">
        <f>SUM(X1:X347)</f>
        <v>0</v>
      </c>
    </row>
    <row r="349" spans="1:11" customFormat="1" hidden="1" x14ac:dyDescent="0.2">
      <c r="A349" t="s">
        <v>395</v>
      </c>
      <c r="I349">
        <f>SUM(Y1:Y348)</f>
        <v>0</v>
      </c>
      <c r="J349">
        <f>SUM(Z1:Z348)</f>
        <v>0</v>
      </c>
    </row>
    <row r="350" spans="1:11" customFormat="1" hidden="1" x14ac:dyDescent="0.2"/>
    <row r="351" spans="1:11" customFormat="1" hidden="1" x14ac:dyDescent="0.2"/>
    <row r="352" spans="1:11" customFormat="1" ht="14.25" hidden="1" x14ac:dyDescent="0.2">
      <c r="A352" s="44" t="s">
        <v>401</v>
      </c>
      <c r="B352" s="44"/>
      <c r="C352" s="43" t="str">
        <f>IF(Source!AC12&lt;&gt;"", Source!AC12," ")</f>
        <v>Ведущий инженер-сметчик</v>
      </c>
      <c r="D352" s="43"/>
      <c r="E352" s="43"/>
      <c r="F352" s="43"/>
      <c r="G352" s="43"/>
      <c r="H352" s="45" t="str">
        <f>IF(Source!AB12&lt;&gt;"", Source!AB12," ")</f>
        <v>Гришечкина О.А.</v>
      </c>
      <c r="I352" s="45"/>
      <c r="J352" s="45"/>
      <c r="K352" s="45"/>
    </row>
    <row r="353" spans="1:11" customFormat="1" ht="14.25" hidden="1" x14ac:dyDescent="0.2">
      <c r="A353" s="17"/>
      <c r="B353" s="17"/>
      <c r="C353" s="46" t="s">
        <v>402</v>
      </c>
      <c r="D353" s="46"/>
      <c r="E353" s="46"/>
      <c r="F353" s="46"/>
      <c r="G353" s="46"/>
      <c r="H353" s="17"/>
      <c r="I353" s="17"/>
      <c r="J353" s="17"/>
      <c r="K353" s="17"/>
    </row>
    <row r="354" spans="1:11" customFormat="1" ht="14.25" hidden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 spans="1:11" customFormat="1" ht="14.25" hidden="1" x14ac:dyDescent="0.2">
      <c r="A355" s="44" t="s">
        <v>403</v>
      </c>
      <c r="B355" s="44"/>
      <c r="C355" s="43" t="str">
        <f>IF(Source!AE12&lt;&gt;"", Source!AE12," ")</f>
        <v>Руководитель отдела</v>
      </c>
      <c r="D355" s="43"/>
      <c r="E355" s="43"/>
      <c r="F355" s="43"/>
      <c r="G355" s="43"/>
      <c r="H355" s="45" t="str">
        <f>IF(Source!AD12&lt;&gt;"", Source!AD12," ")</f>
        <v>Феденко И.В.</v>
      </c>
      <c r="I355" s="45"/>
      <c r="J355" s="45"/>
      <c r="K355" s="45"/>
    </row>
    <row r="356" spans="1:11" customFormat="1" ht="14.25" hidden="1" x14ac:dyDescent="0.2">
      <c r="A356" s="17"/>
      <c r="B356" s="17"/>
      <c r="C356" s="46" t="s">
        <v>402</v>
      </c>
      <c r="D356" s="46"/>
      <c r="E356" s="46"/>
      <c r="F356" s="46"/>
      <c r="G356" s="46"/>
      <c r="H356" s="17"/>
      <c r="I356" s="17"/>
      <c r="J356" s="17"/>
      <c r="K356" s="17"/>
    </row>
  </sheetData>
  <autoFilter ref="A1:AU356" xr:uid="{73985F4F-3E4D-46B5-BDBE-0A5DC1559047}">
    <filterColumn colId="10">
      <colorFilter dxfId="0"/>
    </filterColumn>
  </autoFilter>
  <mergeCells count="219"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H48:I48"/>
    <mergeCell ref="J48:K48"/>
    <mergeCell ref="H58:I58"/>
    <mergeCell ref="J58:K58"/>
    <mergeCell ref="H59:I59"/>
    <mergeCell ref="J59:K59"/>
    <mergeCell ref="A32:K32"/>
    <mergeCell ref="A36:K36"/>
    <mergeCell ref="A38:K38"/>
    <mergeCell ref="H46:I46"/>
    <mergeCell ref="J46:K46"/>
    <mergeCell ref="H47:I47"/>
    <mergeCell ref="J47:K47"/>
    <mergeCell ref="H71:I71"/>
    <mergeCell ref="J71:K71"/>
    <mergeCell ref="H78:I78"/>
    <mergeCell ref="J78:K78"/>
    <mergeCell ref="H79:I79"/>
    <mergeCell ref="J79:K79"/>
    <mergeCell ref="H60:I60"/>
    <mergeCell ref="J60:K60"/>
    <mergeCell ref="H69:I69"/>
    <mergeCell ref="J69:K69"/>
    <mergeCell ref="H70:I70"/>
    <mergeCell ref="J70:K70"/>
    <mergeCell ref="H89:I89"/>
    <mergeCell ref="J89:K89"/>
    <mergeCell ref="H99:I99"/>
    <mergeCell ref="J99:K99"/>
    <mergeCell ref="H100:I100"/>
    <mergeCell ref="J100:K100"/>
    <mergeCell ref="H80:I80"/>
    <mergeCell ref="J80:K80"/>
    <mergeCell ref="H87:I87"/>
    <mergeCell ref="J87:K87"/>
    <mergeCell ref="H88:I88"/>
    <mergeCell ref="J88:K88"/>
    <mergeCell ref="H111:I111"/>
    <mergeCell ref="J111:K111"/>
    <mergeCell ref="H118:I118"/>
    <mergeCell ref="J118:K118"/>
    <mergeCell ref="H119:I119"/>
    <mergeCell ref="J119:K119"/>
    <mergeCell ref="H101:I101"/>
    <mergeCell ref="J101:K101"/>
    <mergeCell ref="H109:I109"/>
    <mergeCell ref="J109:K109"/>
    <mergeCell ref="H110:I110"/>
    <mergeCell ref="J110:K110"/>
    <mergeCell ref="A143:G143"/>
    <mergeCell ref="A147:K147"/>
    <mergeCell ref="H130:I130"/>
    <mergeCell ref="J130:K130"/>
    <mergeCell ref="H138:I138"/>
    <mergeCell ref="J138:K138"/>
    <mergeCell ref="H139:I139"/>
    <mergeCell ref="J139:K139"/>
    <mergeCell ref="H120:I120"/>
    <mergeCell ref="J120:K120"/>
    <mergeCell ref="H128:I128"/>
    <mergeCell ref="J128:K128"/>
    <mergeCell ref="H129:I129"/>
    <mergeCell ref="J129:K129"/>
    <mergeCell ref="H155:I155"/>
    <mergeCell ref="J155:K155"/>
    <mergeCell ref="H156:I156"/>
    <mergeCell ref="J156:K156"/>
    <mergeCell ref="H157:I157"/>
    <mergeCell ref="J157:K157"/>
    <mergeCell ref="H140:I140"/>
    <mergeCell ref="J140:K140"/>
    <mergeCell ref="J143:K143"/>
    <mergeCell ref="H143:I143"/>
    <mergeCell ref="H173:I173"/>
    <mergeCell ref="J173:K173"/>
    <mergeCell ref="H176:I176"/>
    <mergeCell ref="J176:K176"/>
    <mergeCell ref="H179:I179"/>
    <mergeCell ref="J179:K179"/>
    <mergeCell ref="H160:I160"/>
    <mergeCell ref="J160:K160"/>
    <mergeCell ref="H171:I171"/>
    <mergeCell ref="J171:K171"/>
    <mergeCell ref="H172:I172"/>
    <mergeCell ref="J172:K172"/>
    <mergeCell ref="H195:I195"/>
    <mergeCell ref="J195:K195"/>
    <mergeCell ref="H203:I203"/>
    <mergeCell ref="J203:K203"/>
    <mergeCell ref="H204:I204"/>
    <mergeCell ref="J204:K204"/>
    <mergeCell ref="H190:I190"/>
    <mergeCell ref="J190:K190"/>
    <mergeCell ref="H191:I191"/>
    <mergeCell ref="J191:K191"/>
    <mergeCell ref="H192:I192"/>
    <mergeCell ref="J192:K192"/>
    <mergeCell ref="H219:I219"/>
    <mergeCell ref="J219:K219"/>
    <mergeCell ref="H220:I220"/>
    <mergeCell ref="J220:K220"/>
    <mergeCell ref="H221:I221"/>
    <mergeCell ref="J221:K221"/>
    <mergeCell ref="H205:I205"/>
    <mergeCell ref="J205:K205"/>
    <mergeCell ref="H208:I208"/>
    <mergeCell ref="J208:K208"/>
    <mergeCell ref="H211:I211"/>
    <mergeCell ref="J211:K211"/>
    <mergeCell ref="A249:G249"/>
    <mergeCell ref="A253:K253"/>
    <mergeCell ref="H237:I237"/>
    <mergeCell ref="J237:K237"/>
    <mergeCell ref="H240:I240"/>
    <mergeCell ref="J240:K240"/>
    <mergeCell ref="H243:I243"/>
    <mergeCell ref="J243:K243"/>
    <mergeCell ref="H224:I224"/>
    <mergeCell ref="J224:K224"/>
    <mergeCell ref="H235:I235"/>
    <mergeCell ref="J235:K235"/>
    <mergeCell ref="H236:I236"/>
    <mergeCell ref="J236:K236"/>
    <mergeCell ref="H261:I261"/>
    <mergeCell ref="J261:K261"/>
    <mergeCell ref="H262:I262"/>
    <mergeCell ref="J262:K262"/>
    <mergeCell ref="H263:I263"/>
    <mergeCell ref="J263:K263"/>
    <mergeCell ref="H246:I246"/>
    <mergeCell ref="J246:K246"/>
    <mergeCell ref="J249:K249"/>
    <mergeCell ref="H249:I249"/>
    <mergeCell ref="H276:I276"/>
    <mergeCell ref="J276:K276"/>
    <mergeCell ref="H279:I279"/>
    <mergeCell ref="J279:K279"/>
    <mergeCell ref="J282:K282"/>
    <mergeCell ref="H282:I282"/>
    <mergeCell ref="H266:I266"/>
    <mergeCell ref="J266:K266"/>
    <mergeCell ref="H274:I274"/>
    <mergeCell ref="J274:K274"/>
    <mergeCell ref="H275:I275"/>
    <mergeCell ref="J275:K275"/>
    <mergeCell ref="H299:I299"/>
    <mergeCell ref="J299:K299"/>
    <mergeCell ref="H303:I303"/>
    <mergeCell ref="J303:K303"/>
    <mergeCell ref="H314:I314"/>
    <mergeCell ref="J314:K314"/>
    <mergeCell ref="A282:G282"/>
    <mergeCell ref="A286:K286"/>
    <mergeCell ref="H297:I297"/>
    <mergeCell ref="J297:K297"/>
    <mergeCell ref="H298:I298"/>
    <mergeCell ref="J298:K298"/>
    <mergeCell ref="H322:I322"/>
    <mergeCell ref="J322:K322"/>
    <mergeCell ref="H331:I331"/>
    <mergeCell ref="J331:K331"/>
    <mergeCell ref="H332:I332"/>
    <mergeCell ref="J332:K332"/>
    <mergeCell ref="H315:I315"/>
    <mergeCell ref="J315:K315"/>
    <mergeCell ref="H316:I316"/>
    <mergeCell ref="J316:K316"/>
    <mergeCell ref="H319:I319"/>
    <mergeCell ref="J319:K319"/>
    <mergeCell ref="C343:G343"/>
    <mergeCell ref="H343:I343"/>
    <mergeCell ref="J343:K343"/>
    <mergeCell ref="C344:G344"/>
    <mergeCell ref="H344:I344"/>
    <mergeCell ref="J344:K344"/>
    <mergeCell ref="H333:I333"/>
    <mergeCell ref="J333:K333"/>
    <mergeCell ref="J336:K336"/>
    <mergeCell ref="H336:I336"/>
    <mergeCell ref="A336:G336"/>
    <mergeCell ref="J340:K340"/>
    <mergeCell ref="H340:I340"/>
    <mergeCell ref="A340:G340"/>
    <mergeCell ref="A352:B352"/>
    <mergeCell ref="H352:K352"/>
    <mergeCell ref="C353:G353"/>
    <mergeCell ref="A355:B355"/>
    <mergeCell ref="H355:K355"/>
    <mergeCell ref="C356:G356"/>
    <mergeCell ref="C345:G345"/>
    <mergeCell ref="H345:I345"/>
    <mergeCell ref="J345:K345"/>
    <mergeCell ref="J347:K347"/>
    <mergeCell ref="H347:I347"/>
    <mergeCell ref="A347:G347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22"/>
  <sheetViews>
    <sheetView workbookViewId="0">
      <selection activeCell="A318" sqref="A318:AX318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314</v>
      </c>
      <c r="C12" s="10">
        <v>0</v>
      </c>
      <c r="D12" s="10">
        <f>ROW(A273)</f>
        <v>273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16</v>
      </c>
      <c r="BZ12" s="10" t="s">
        <v>17</v>
      </c>
      <c r="CA12" s="10" t="s">
        <v>18</v>
      </c>
      <c r="CB12" s="10" t="s">
        <v>18</v>
      </c>
      <c r="CC12" s="10" t="s">
        <v>18</v>
      </c>
      <c r="CD12" s="10" t="s">
        <v>18</v>
      </c>
      <c r="CE12" s="10" t="s">
        <v>19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20</v>
      </c>
      <c r="CR12" s="10" t="s">
        <v>21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B273</f>
        <v>314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02-01-17</v>
      </c>
      <c r="G18" s="11" t="str">
        <f t="shared" si="0"/>
        <v>02-01-17 СДС</v>
      </c>
      <c r="H18" s="11"/>
      <c r="I18" s="11"/>
      <c r="J18" s="11"/>
      <c r="K18" s="11"/>
      <c r="L18" s="11"/>
      <c r="M18" s="11"/>
      <c r="N18" s="11"/>
      <c r="O18" s="11">
        <f t="shared" ref="O18:AT18" si="1">O273</f>
        <v>352743.35</v>
      </c>
      <c r="P18" s="11">
        <f t="shared" si="1"/>
        <v>312343.87</v>
      </c>
      <c r="Q18" s="11">
        <f t="shared" si="1"/>
        <v>2325.66</v>
      </c>
      <c r="R18" s="11">
        <f t="shared" si="1"/>
        <v>371</v>
      </c>
      <c r="S18" s="11">
        <f t="shared" si="1"/>
        <v>38073.82</v>
      </c>
      <c r="T18" s="11">
        <f t="shared" si="1"/>
        <v>0</v>
      </c>
      <c r="U18" s="11">
        <f t="shared" si="1"/>
        <v>3360.6184687199998</v>
      </c>
      <c r="V18" s="11">
        <f t="shared" si="1"/>
        <v>0</v>
      </c>
      <c r="W18" s="11">
        <f t="shared" si="1"/>
        <v>0</v>
      </c>
      <c r="X18" s="11">
        <f t="shared" si="1"/>
        <v>35821.47</v>
      </c>
      <c r="Y18" s="11">
        <f t="shared" si="1"/>
        <v>18845.060000000001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261256.46</v>
      </c>
      <c r="AQ18" s="11">
        <f t="shared" si="1"/>
        <v>0</v>
      </c>
      <c r="AR18" s="11">
        <f t="shared" si="1"/>
        <v>407409.88</v>
      </c>
      <c r="AS18" s="11">
        <f t="shared" si="1"/>
        <v>54177.39</v>
      </c>
      <c r="AT18" s="11">
        <f t="shared" si="1"/>
        <v>91976.03</v>
      </c>
      <c r="AU18" s="11">
        <f t="shared" ref="AU18:BZ18" si="2">AU273</f>
        <v>0</v>
      </c>
      <c r="AV18" s="11">
        <f t="shared" si="2"/>
        <v>312343.87</v>
      </c>
      <c r="AW18" s="11">
        <f t="shared" si="2"/>
        <v>51087.41</v>
      </c>
      <c r="AX18" s="11">
        <f t="shared" si="2"/>
        <v>0</v>
      </c>
      <c r="AY18" s="11">
        <f t="shared" si="2"/>
        <v>51087.41</v>
      </c>
      <c r="AZ18" s="11">
        <f t="shared" si="2"/>
        <v>261256.46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CA273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DG273</f>
        <v>4651577.2</v>
      </c>
      <c r="DH18" s="12">
        <f t="shared" si="4"/>
        <v>2463997.9900000002</v>
      </c>
      <c r="DI18" s="12">
        <f t="shared" si="4"/>
        <v>42119.45</v>
      </c>
      <c r="DJ18" s="12">
        <f t="shared" si="4"/>
        <v>20905.87</v>
      </c>
      <c r="DK18" s="12">
        <f t="shared" si="4"/>
        <v>2145459.7599999998</v>
      </c>
      <c r="DL18" s="12">
        <f t="shared" si="4"/>
        <v>0</v>
      </c>
      <c r="DM18" s="12">
        <f t="shared" si="4"/>
        <v>3360.6184687199998</v>
      </c>
      <c r="DN18" s="12">
        <f t="shared" si="4"/>
        <v>0</v>
      </c>
      <c r="DO18" s="12">
        <f t="shared" si="4"/>
        <v>0</v>
      </c>
      <c r="DP18" s="12">
        <f t="shared" si="4"/>
        <v>2018540.08</v>
      </c>
      <c r="DQ18" s="12">
        <f t="shared" si="4"/>
        <v>1061919.06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1979674.05</v>
      </c>
      <c r="EI18" s="12">
        <f t="shared" si="4"/>
        <v>0</v>
      </c>
      <c r="EJ18" s="12">
        <f t="shared" si="4"/>
        <v>7732036.3399999999</v>
      </c>
      <c r="EK18" s="12">
        <f t="shared" si="4"/>
        <v>3001073.24</v>
      </c>
      <c r="EL18" s="12">
        <f t="shared" si="4"/>
        <v>2751289.05</v>
      </c>
      <c r="EM18" s="12">
        <f t="shared" ref="EM18:FR18" si="5">EM273</f>
        <v>0</v>
      </c>
      <c r="EN18" s="12">
        <f t="shared" si="5"/>
        <v>2463997.9900000002</v>
      </c>
      <c r="EO18" s="12">
        <f t="shared" si="5"/>
        <v>484323.94</v>
      </c>
      <c r="EP18" s="12">
        <f t="shared" si="5"/>
        <v>0</v>
      </c>
      <c r="EQ18" s="12">
        <f t="shared" si="5"/>
        <v>484323.94</v>
      </c>
      <c r="ER18" s="12">
        <f t="shared" si="5"/>
        <v>1979674.05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FS273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ROW(A240)</f>
        <v>240</v>
      </c>
      <c r="E20" s="10"/>
      <c r="F20" s="10" t="s">
        <v>5</v>
      </c>
      <c r="G20" s="10" t="s">
        <v>22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B240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02-01-17</v>
      </c>
      <c r="G22" s="11" t="str">
        <f t="shared" si="7"/>
        <v>Система двухсторонней связи</v>
      </c>
      <c r="H22" s="11"/>
      <c r="I22" s="11"/>
      <c r="J22" s="11"/>
      <c r="K22" s="11"/>
      <c r="L22" s="11"/>
      <c r="M22" s="11"/>
      <c r="N22" s="11"/>
      <c r="O22" s="11">
        <f t="shared" ref="O22:AT22" si="8">O240</f>
        <v>352743.35</v>
      </c>
      <c r="P22" s="11">
        <f t="shared" si="8"/>
        <v>312343.87</v>
      </c>
      <c r="Q22" s="11">
        <f t="shared" si="8"/>
        <v>2325.66</v>
      </c>
      <c r="R22" s="11">
        <f t="shared" si="8"/>
        <v>371</v>
      </c>
      <c r="S22" s="11">
        <f t="shared" si="8"/>
        <v>38073.82</v>
      </c>
      <c r="T22" s="11">
        <f t="shared" si="8"/>
        <v>0</v>
      </c>
      <c r="U22" s="11">
        <f t="shared" si="8"/>
        <v>3360.6184687199998</v>
      </c>
      <c r="V22" s="11">
        <f t="shared" si="8"/>
        <v>0</v>
      </c>
      <c r="W22" s="11">
        <f t="shared" si="8"/>
        <v>0</v>
      </c>
      <c r="X22" s="11">
        <f t="shared" si="8"/>
        <v>35821.47</v>
      </c>
      <c r="Y22" s="11">
        <f t="shared" si="8"/>
        <v>18845.060000000001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261256.46</v>
      </c>
      <c r="AQ22" s="11">
        <f t="shared" si="8"/>
        <v>0</v>
      </c>
      <c r="AR22" s="11">
        <f t="shared" si="8"/>
        <v>407409.88</v>
      </c>
      <c r="AS22" s="11">
        <f t="shared" si="8"/>
        <v>54177.39</v>
      </c>
      <c r="AT22" s="11">
        <f t="shared" si="8"/>
        <v>91976.03</v>
      </c>
      <c r="AU22" s="11">
        <f t="shared" ref="AU22:BZ22" si="9">AU240</f>
        <v>0</v>
      </c>
      <c r="AV22" s="11">
        <f t="shared" si="9"/>
        <v>312343.87</v>
      </c>
      <c r="AW22" s="11">
        <f t="shared" si="9"/>
        <v>51087.41</v>
      </c>
      <c r="AX22" s="11">
        <f t="shared" si="9"/>
        <v>0</v>
      </c>
      <c r="AY22" s="11">
        <f t="shared" si="9"/>
        <v>51087.41</v>
      </c>
      <c r="AZ22" s="11">
        <f t="shared" si="9"/>
        <v>261256.46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CA240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DG240</f>
        <v>4651577.2</v>
      </c>
      <c r="DH22" s="12">
        <f t="shared" si="11"/>
        <v>2463997.9900000002</v>
      </c>
      <c r="DI22" s="12">
        <f t="shared" si="11"/>
        <v>42119.45</v>
      </c>
      <c r="DJ22" s="12">
        <f t="shared" si="11"/>
        <v>20905.87</v>
      </c>
      <c r="DK22" s="12">
        <f t="shared" si="11"/>
        <v>2145459.7599999998</v>
      </c>
      <c r="DL22" s="12">
        <f t="shared" si="11"/>
        <v>0</v>
      </c>
      <c r="DM22" s="12">
        <f t="shared" si="11"/>
        <v>3360.6184687199998</v>
      </c>
      <c r="DN22" s="12">
        <f t="shared" si="11"/>
        <v>0</v>
      </c>
      <c r="DO22" s="12">
        <f t="shared" si="11"/>
        <v>0</v>
      </c>
      <c r="DP22" s="12">
        <f t="shared" si="11"/>
        <v>2018540.08</v>
      </c>
      <c r="DQ22" s="12">
        <f t="shared" si="11"/>
        <v>1061919.06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1979674.05</v>
      </c>
      <c r="EI22" s="12">
        <f t="shared" si="11"/>
        <v>0</v>
      </c>
      <c r="EJ22" s="12">
        <f t="shared" si="11"/>
        <v>7732036.3399999999</v>
      </c>
      <c r="EK22" s="12">
        <f t="shared" si="11"/>
        <v>3001073.24</v>
      </c>
      <c r="EL22" s="12">
        <f t="shared" si="11"/>
        <v>2751289.05</v>
      </c>
      <c r="EM22" s="12">
        <f t="shared" ref="EM22:FR22" si="12">EM240</f>
        <v>0</v>
      </c>
      <c r="EN22" s="12">
        <f t="shared" si="12"/>
        <v>2463997.9900000002</v>
      </c>
      <c r="EO22" s="12">
        <f t="shared" si="12"/>
        <v>484323.94</v>
      </c>
      <c r="EP22" s="12">
        <f t="shared" si="12"/>
        <v>0</v>
      </c>
      <c r="EQ22" s="12">
        <f t="shared" si="12"/>
        <v>484323.94</v>
      </c>
      <c r="ER22" s="12">
        <f t="shared" si="12"/>
        <v>1979674.05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FS240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23</v>
      </c>
      <c r="G24" s="10" t="s">
        <v>24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22770.82</v>
      </c>
      <c r="P26" s="11">
        <f t="shared" si="15"/>
        <v>0</v>
      </c>
      <c r="Q26" s="11">
        <f t="shared" si="15"/>
        <v>70.28</v>
      </c>
      <c r="R26" s="11">
        <f t="shared" si="15"/>
        <v>8.5399999999999991</v>
      </c>
      <c r="S26" s="11">
        <f t="shared" si="15"/>
        <v>22700.54</v>
      </c>
      <c r="T26" s="11">
        <f t="shared" si="15"/>
        <v>0</v>
      </c>
      <c r="U26" s="11">
        <f t="shared" si="15"/>
        <v>2160.6388696799995</v>
      </c>
      <c r="V26" s="11">
        <f t="shared" si="15"/>
        <v>0</v>
      </c>
      <c r="W26" s="11">
        <f t="shared" si="15"/>
        <v>0</v>
      </c>
      <c r="X26" s="11">
        <f t="shared" si="15"/>
        <v>20663.849999999999</v>
      </c>
      <c r="Y26" s="11">
        <f t="shared" si="15"/>
        <v>10893.48</v>
      </c>
      <c r="Z26" s="11">
        <f t="shared" si="15"/>
        <v>0</v>
      </c>
      <c r="AA26" s="11">
        <f t="shared" si="15"/>
        <v>0</v>
      </c>
      <c r="AB26" s="11">
        <f t="shared" si="15"/>
        <v>22770.82</v>
      </c>
      <c r="AC26" s="11">
        <f t="shared" si="15"/>
        <v>0</v>
      </c>
      <c r="AD26" s="11">
        <f t="shared" si="15"/>
        <v>70.28</v>
      </c>
      <c r="AE26" s="11">
        <f t="shared" si="15"/>
        <v>8.5399999999999991</v>
      </c>
      <c r="AF26" s="11">
        <f t="shared" si="15"/>
        <v>22700.54</v>
      </c>
      <c r="AG26" s="11">
        <f t="shared" si="15"/>
        <v>0</v>
      </c>
      <c r="AH26" s="11">
        <f t="shared" si="15"/>
        <v>2160.6388696799995</v>
      </c>
      <c r="AI26" s="11">
        <f t="shared" si="15"/>
        <v>0</v>
      </c>
      <c r="AJ26" s="11">
        <f t="shared" si="15"/>
        <v>0</v>
      </c>
      <c r="AK26" s="11">
        <f t="shared" si="15"/>
        <v>20663.849999999999</v>
      </c>
      <c r="AL26" s="11">
        <f t="shared" si="15"/>
        <v>10893.48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54328.15</v>
      </c>
      <c r="AS26" s="11">
        <f t="shared" si="15"/>
        <v>53063.16</v>
      </c>
      <c r="AT26" s="11">
        <f t="shared" si="15"/>
        <v>1264.99</v>
      </c>
      <c r="AU26" s="11">
        <f t="shared" ref="AU26:BZ26" si="16">AU49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54328.15</v>
      </c>
      <c r="CB26" s="11">
        <f t="shared" si="17"/>
        <v>53063.16</v>
      </c>
      <c r="CC26" s="11">
        <f t="shared" si="17"/>
        <v>1264.99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1280338.73</v>
      </c>
      <c r="DH26" s="12">
        <f t="shared" si="18"/>
        <v>0</v>
      </c>
      <c r="DI26" s="12">
        <f t="shared" si="18"/>
        <v>1163.29</v>
      </c>
      <c r="DJ26" s="12">
        <f t="shared" si="18"/>
        <v>481.24</v>
      </c>
      <c r="DK26" s="12">
        <f t="shared" si="18"/>
        <v>1279175.44</v>
      </c>
      <c r="DL26" s="12">
        <f t="shared" si="18"/>
        <v>0</v>
      </c>
      <c r="DM26" s="12">
        <f t="shared" si="18"/>
        <v>2160.6388696799995</v>
      </c>
      <c r="DN26" s="12">
        <f t="shared" si="18"/>
        <v>0</v>
      </c>
      <c r="DO26" s="12">
        <f t="shared" si="18"/>
        <v>0</v>
      </c>
      <c r="DP26" s="12">
        <f t="shared" si="18"/>
        <v>1164408.5900000001</v>
      </c>
      <c r="DQ26" s="12">
        <f t="shared" si="18"/>
        <v>613847.21</v>
      </c>
      <c r="DR26" s="12">
        <f t="shared" si="18"/>
        <v>0</v>
      </c>
      <c r="DS26" s="12">
        <f t="shared" si="18"/>
        <v>0</v>
      </c>
      <c r="DT26" s="12">
        <f t="shared" si="18"/>
        <v>1280338.73</v>
      </c>
      <c r="DU26" s="12">
        <f t="shared" si="18"/>
        <v>0</v>
      </c>
      <c r="DV26" s="12">
        <f t="shared" si="18"/>
        <v>1163.29</v>
      </c>
      <c r="DW26" s="12">
        <f t="shared" si="18"/>
        <v>481.24</v>
      </c>
      <c r="DX26" s="12">
        <f t="shared" si="18"/>
        <v>1279175.44</v>
      </c>
      <c r="DY26" s="12">
        <f t="shared" si="18"/>
        <v>0</v>
      </c>
      <c r="DZ26" s="12">
        <f t="shared" si="18"/>
        <v>2160.6388696799995</v>
      </c>
      <c r="EA26" s="12">
        <f t="shared" si="18"/>
        <v>0</v>
      </c>
      <c r="EB26" s="12">
        <f t="shared" si="18"/>
        <v>0</v>
      </c>
      <c r="EC26" s="12">
        <f t="shared" si="18"/>
        <v>1164408.5900000001</v>
      </c>
      <c r="ED26" s="12">
        <f t="shared" si="18"/>
        <v>613847.21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3058594.53</v>
      </c>
      <c r="EK26" s="12">
        <f t="shared" si="18"/>
        <v>2990109.22</v>
      </c>
      <c r="EL26" s="12">
        <f t="shared" si="18"/>
        <v>68485.31</v>
      </c>
      <c r="EM26" s="12">
        <f t="shared" ref="EM26:FR26" si="19">EM49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3058594.53</v>
      </c>
      <c r="FT26" s="12">
        <f t="shared" si="20"/>
        <v>2990109.22</v>
      </c>
      <c r="FU26" s="12">
        <f t="shared" si="20"/>
        <v>68485.31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/>
      <c r="D28" s="2"/>
      <c r="E28" s="2" t="s">
        <v>25</v>
      </c>
      <c r="F28" s="2" t="s">
        <v>26</v>
      </c>
      <c r="G28" s="2" t="s">
        <v>27</v>
      </c>
      <c r="H28" s="2" t="s">
        <v>28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7" si="21">ROUND(CP28,2)</f>
        <v>9.35</v>
      </c>
      <c r="P28" s="2">
        <f t="shared" ref="P28:P47" si="22">ROUND((ROUND((AC28*AW28*I28),2)*BC28),2)</f>
        <v>0</v>
      </c>
      <c r="Q28" s="2">
        <f t="shared" ref="Q28:Q43" si="23">(ROUND((ROUND(((((ET28*1.2)*0.3))*AV28*I28),2)*BB28),2)+ROUND((ROUND(((AE28-(((EU28*1.2)*0.3)))*AV28*I28),2)*BS28),2))</f>
        <v>5.01</v>
      </c>
      <c r="R28" s="2">
        <f t="shared" ref="R28:R43" si="24">(ROUND((ROUND(((((EU28*1.2)*0.3))*AV28*I28),2)*BS28),2)+ROUND((ROUND(((AE28-(((EU28*1.2)*0.3)))*AV28*I28),2)*BS28),2))</f>
        <v>0.76</v>
      </c>
      <c r="S28" s="2">
        <f t="shared" ref="S28:S47" si="25">ROUND((ROUND((AF28*AV28*I28),2)*BA28),2)</f>
        <v>4.34</v>
      </c>
      <c r="T28" s="2">
        <f t="shared" ref="T28:T47" si="26">ROUND(CU28*I28,2)</f>
        <v>0</v>
      </c>
      <c r="U28" s="2">
        <f t="shared" ref="U28:U47" si="27">CV28*I28</f>
        <v>0.38822759999999995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43" si="30">(ROUND((((S28+ROUND((ROUND(((((EU28*1.2)*0.3))*AV28*I28),2)*BS28),2))*AT28)/100),2)+ROUND(((ROUND((ROUND(((AE28-(((EU28*1.2)*0.3)))*AV28*I28),2)*BS28),2)*AT28)/100),2))</f>
        <v>4.59</v>
      </c>
      <c r="Y28" s="2">
        <f t="shared" ref="Y28:Y43" si="31">(ROUND((((S28+ROUND((ROUND(((((EU28*1.2)*0.3))*AV28*I28),2)*BS28),2))*AU28)/100),2)+ROUND(((ROUND((ROUND(((AE28-(((EU28*1.2)*0.3)))*AV28*I28),2)*BS28),2)*AU28)/100),2))</f>
        <v>2.35</v>
      </c>
      <c r="Z28" s="2"/>
      <c r="AA28" s="2">
        <v>55943566</v>
      </c>
      <c r="AB28" s="2">
        <f t="shared" ref="AB28:AB47" si="32">ROUND((AC28+AD28+AF28),6)</f>
        <v>8.9352</v>
      </c>
      <c r="AC28" s="2">
        <f t="shared" ref="AC28:AC43" si="33">ROUND((((ES28*1)*0)),6)</f>
        <v>0</v>
      </c>
      <c r="AD28" s="2">
        <f t="shared" ref="AD28:AD43" si="34">ROUND((((((ET28*1.2)*0.3))-(((EU28*1.2)*0.3)))+AE28),6)</f>
        <v>4.7880000000000003</v>
      </c>
      <c r="AE28" s="2">
        <f t="shared" ref="AE28:AE43" si="35">ROUND((((EU28*1.2)*0.3)),6)</f>
        <v>0.72719999999999996</v>
      </c>
      <c r="AF28" s="2">
        <f t="shared" ref="AF28:AF43" si="36">ROUND((((EV28*1.2)*0.3)),6)</f>
        <v>4.1471999999999998</v>
      </c>
      <c r="AG28" s="2">
        <f t="shared" ref="AG28:AG47" si="37">ROUND((AP28),6)</f>
        <v>0</v>
      </c>
      <c r="AH28" s="2">
        <f t="shared" ref="AH28:AH43" si="38">(((EW28*1.2)*0.3))</f>
        <v>0.37079999999999996</v>
      </c>
      <c r="AI28" s="2">
        <f t="shared" ref="AI28:AI43" si="39">(((EX28*1.2)*0.3))</f>
        <v>0</v>
      </c>
      <c r="AJ28" s="2">
        <f t="shared" ref="AJ28:AJ47" si="40">(AS28)</f>
        <v>0</v>
      </c>
      <c r="AK28" s="2">
        <v>24.82</v>
      </c>
      <c r="AL28" s="2">
        <v>0</v>
      </c>
      <c r="AM28" s="2">
        <v>13.3</v>
      </c>
      <c r="AN28" s="2">
        <v>2.02</v>
      </c>
      <c r="AO28" s="2">
        <v>11.52</v>
      </c>
      <c r="AP28" s="2">
        <v>0</v>
      </c>
      <c r="AQ28" s="2">
        <v>1.03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29</v>
      </c>
      <c r="BK28" s="2"/>
      <c r="BL28" s="2"/>
      <c r="BM28" s="2">
        <v>72</v>
      </c>
      <c r="BN28" s="2">
        <v>0</v>
      </c>
      <c r="BO28" s="2" t="s">
        <v>26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350</v>
      </c>
      <c r="CO28" s="2">
        <v>0</v>
      </c>
      <c r="CP28" s="2">
        <f t="shared" ref="CP28:CP47" si="41">(P28+Q28+S28)</f>
        <v>9.35</v>
      </c>
      <c r="CQ28" s="2">
        <f t="shared" ref="CQ28:CQ47" si="42">ROUND((ROUND((AC28*AW28*1),2)*BC28),2)</f>
        <v>0</v>
      </c>
      <c r="CR28" s="2">
        <f t="shared" ref="CR28:CR43" si="43">(ROUND((ROUND(((((ET28*1.2)*0.3))*AV28*1),2)*BB28),2)+ROUND((ROUND(((AE28-(((EU28*1.2)*0.3)))*AV28*1),2)*BS28),2))</f>
        <v>5.01</v>
      </c>
      <c r="CS28" s="2">
        <f t="shared" ref="CS28:CS43" si="44">(ROUND((ROUND(((((EU28*1.2)*0.3))*AV28*1),2)*BS28),2)+ROUND((ROUND(((AE28-(((EU28*1.2)*0.3)))*AV28*1),2)*BS28),2))</f>
        <v>0.76</v>
      </c>
      <c r="CT28" s="2">
        <f t="shared" ref="CT28:CT47" si="45">ROUND((ROUND((AF28*AV28*1),2)*BA28),2)</f>
        <v>4.34</v>
      </c>
      <c r="CU28" s="2">
        <f t="shared" ref="CU28:CU47" si="46">AG28</f>
        <v>0</v>
      </c>
      <c r="CV28" s="2">
        <f t="shared" ref="CV28:CV47" si="47">(AH28*AV28)</f>
        <v>0.38822759999999995</v>
      </c>
      <c r="CW28" s="2">
        <f t="shared" ref="CW28:CW47" si="48">AI28</f>
        <v>0</v>
      </c>
      <c r="CX28" s="2">
        <f t="shared" ref="CX28:CX47" si="49">AJ28</f>
        <v>0</v>
      </c>
      <c r="CY28" s="2">
        <f t="shared" ref="CY28:CY43" si="50">(ROUND((((S28+ROUND((ROUND(((((EU28*1.2)*0.3))*AV28*1),2)*BS28),2))*AT28)/100),2)+ROUND(((ROUND((ROUND(((AE28-(((EU28*1.2)*0.3)))*AV28*1),2)*BS28),2)*AT28)/100),2))</f>
        <v>4.59</v>
      </c>
      <c r="CZ28" s="2">
        <f t="shared" ref="CZ28:CZ43" si="51">(ROUND((((S28+ROUND((ROUND(((((EU28*1.2)*0.3))*AV28*1),2)*BS28),2))*AU28)/100),2)+ROUND(((ROUND((ROUND(((AE28-(((EU28*1.2)*0.3)))*AV28*1),2)*BS28),2)*AU28)/100),2))</f>
        <v>2.35</v>
      </c>
      <c r="DA28" s="2"/>
      <c r="DB28" s="2">
        <v>1</v>
      </c>
      <c r="DC28" s="2" t="s">
        <v>3</v>
      </c>
      <c r="DD28" s="2" t="s">
        <v>30</v>
      </c>
      <c r="DE28" s="2" t="s">
        <v>31</v>
      </c>
      <c r="DF28" s="2" t="s">
        <v>31</v>
      </c>
      <c r="DG28" s="2" t="s">
        <v>31</v>
      </c>
      <c r="DH28" s="2" t="s">
        <v>3</v>
      </c>
      <c r="DI28" s="2" t="s">
        <v>31</v>
      </c>
      <c r="DJ28" s="2" t="s">
        <v>31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28</v>
      </c>
      <c r="DW28" s="2" t="s">
        <v>32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55393976</v>
      </c>
      <c r="EF28" s="2">
        <v>40</v>
      </c>
      <c r="EG28" s="2" t="s">
        <v>33</v>
      </c>
      <c r="EH28" s="2">
        <v>0</v>
      </c>
      <c r="EI28" s="2" t="s">
        <v>3</v>
      </c>
      <c r="EJ28" s="2">
        <v>2</v>
      </c>
      <c r="EK28" s="2">
        <v>72</v>
      </c>
      <c r="EL28" s="2" t="s">
        <v>34</v>
      </c>
      <c r="EM28" s="2" t="s">
        <v>35</v>
      </c>
      <c r="EN28" s="2"/>
      <c r="EO28" s="2" t="s">
        <v>36</v>
      </c>
      <c r="EP28" s="2"/>
      <c r="EQ28" s="2">
        <v>0</v>
      </c>
      <c r="ER28" s="2">
        <v>24.82</v>
      </c>
      <c r="ES28" s="2">
        <v>0</v>
      </c>
      <c r="ET28" s="2">
        <v>13.3</v>
      </c>
      <c r="EU28" s="2">
        <v>2.02</v>
      </c>
      <c r="EV28" s="2">
        <v>11.52</v>
      </c>
      <c r="EW28" s="2">
        <v>1.03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207925144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2">ROUND(IF(AND(BH28=3,BI28=3,FS28&lt;&gt;0),P28,0),2)</f>
        <v>0</v>
      </c>
      <c r="GM28" s="2">
        <f t="shared" ref="GM28:GM47" si="53">ROUND(O28+X28+Y28,2)+GX28</f>
        <v>16.29</v>
      </c>
      <c r="GN28" s="2">
        <f t="shared" ref="GN28:GN47" si="54">IF(OR(BI28=0,BI28=1),GM28-GX28,0)</f>
        <v>0</v>
      </c>
      <c r="GO28" s="2">
        <f t="shared" ref="GO28:GO47" si="55">IF(BI28=2,GM28-GX28,0)</f>
        <v>16.29</v>
      </c>
      <c r="GP28" s="2">
        <f t="shared" ref="GP28:GP4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7">ROUND((GT28),6)</f>
        <v>0</v>
      </c>
      <c r="GW28" s="2">
        <v>1</v>
      </c>
      <c r="GX28" s="2">
        <f t="shared" ref="GX28:GX47" si="58">ROUND(HC28*I28,2)</f>
        <v>0</v>
      </c>
      <c r="GY28" s="2"/>
      <c r="GZ28" s="2"/>
      <c r="HA28" s="2">
        <v>0</v>
      </c>
      <c r="HB28" s="2">
        <v>0</v>
      </c>
      <c r="HC28" s="2">
        <f t="shared" ref="HC28:HC4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1</v>
      </c>
      <c r="J29" s="3">
        <v>0</v>
      </c>
      <c r="K29" s="3">
        <v>1</v>
      </c>
      <c r="O29" s="3">
        <f t="shared" si="21"/>
        <v>330.03</v>
      </c>
      <c r="P29" s="3">
        <f t="shared" si="22"/>
        <v>0</v>
      </c>
      <c r="Q29" s="3">
        <f t="shared" si="23"/>
        <v>85.47</v>
      </c>
      <c r="R29" s="3">
        <f t="shared" si="24"/>
        <v>42.83</v>
      </c>
      <c r="S29" s="3">
        <f t="shared" si="25"/>
        <v>244.56</v>
      </c>
      <c r="T29" s="3">
        <f t="shared" si="26"/>
        <v>0</v>
      </c>
      <c r="U29" s="3">
        <f t="shared" si="27"/>
        <v>0.38822759999999995</v>
      </c>
      <c r="V29" s="3">
        <f t="shared" si="28"/>
        <v>0</v>
      </c>
      <c r="W29" s="3">
        <f t="shared" si="29"/>
        <v>0</v>
      </c>
      <c r="X29" s="3">
        <f t="shared" si="30"/>
        <v>258.64999999999998</v>
      </c>
      <c r="Y29" s="3">
        <f t="shared" si="31"/>
        <v>132.19999999999999</v>
      </c>
      <c r="AA29" s="3">
        <v>55943568</v>
      </c>
      <c r="AB29" s="3">
        <f t="shared" si="32"/>
        <v>8.9352</v>
      </c>
      <c r="AC29" s="3">
        <f t="shared" si="33"/>
        <v>0</v>
      </c>
      <c r="AD29" s="3">
        <f t="shared" si="34"/>
        <v>4.7880000000000003</v>
      </c>
      <c r="AE29" s="3">
        <f t="shared" si="35"/>
        <v>0.72719999999999996</v>
      </c>
      <c r="AF29" s="3">
        <f t="shared" si="36"/>
        <v>4.1471999999999998</v>
      </c>
      <c r="AG29" s="3">
        <f t="shared" si="37"/>
        <v>0</v>
      </c>
      <c r="AH29" s="3">
        <f t="shared" si="38"/>
        <v>0.37079999999999996</v>
      </c>
      <c r="AI29" s="3">
        <f t="shared" si="39"/>
        <v>0</v>
      </c>
      <c r="AJ29" s="3">
        <f t="shared" si="40"/>
        <v>0</v>
      </c>
      <c r="AK29" s="3">
        <v>24.82</v>
      </c>
      <c r="AL29" s="3">
        <v>0</v>
      </c>
      <c r="AM29" s="3">
        <v>13.3</v>
      </c>
      <c r="AN29" s="3">
        <v>2.02</v>
      </c>
      <c r="AO29" s="3">
        <v>11.52</v>
      </c>
      <c r="AP29" s="3">
        <v>0</v>
      </c>
      <c r="AQ29" s="3">
        <v>1.03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17.059999999999999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29</v>
      </c>
      <c r="BM29" s="3">
        <v>72</v>
      </c>
      <c r="BN29" s="3">
        <v>0</v>
      </c>
      <c r="BO29" s="3" t="s">
        <v>26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350</v>
      </c>
      <c r="CO29" s="3">
        <v>0</v>
      </c>
      <c r="CP29" s="3">
        <f t="shared" si="41"/>
        <v>330.03</v>
      </c>
      <c r="CQ29" s="3">
        <f t="shared" si="42"/>
        <v>0</v>
      </c>
      <c r="CR29" s="3">
        <f t="shared" si="43"/>
        <v>85.47</v>
      </c>
      <c r="CS29" s="3">
        <f t="shared" si="44"/>
        <v>42.83</v>
      </c>
      <c r="CT29" s="3">
        <f t="shared" si="45"/>
        <v>244.56</v>
      </c>
      <c r="CU29" s="3">
        <f t="shared" si="46"/>
        <v>0</v>
      </c>
      <c r="CV29" s="3">
        <f t="shared" si="47"/>
        <v>0.38822759999999995</v>
      </c>
      <c r="CW29" s="3">
        <f t="shared" si="48"/>
        <v>0</v>
      </c>
      <c r="CX29" s="3">
        <f t="shared" si="49"/>
        <v>0</v>
      </c>
      <c r="CY29" s="3">
        <f t="shared" si="50"/>
        <v>258.64999999999998</v>
      </c>
      <c r="CZ29" s="3">
        <f t="shared" si="51"/>
        <v>132.19999999999999</v>
      </c>
      <c r="DB29" s="3">
        <v>3</v>
      </c>
      <c r="DC29" s="3" t="s">
        <v>3</v>
      </c>
      <c r="DD29" s="3" t="s">
        <v>30</v>
      </c>
      <c r="DE29" s="3" t="s">
        <v>31</v>
      </c>
      <c r="DF29" s="3" t="s">
        <v>31</v>
      </c>
      <c r="DG29" s="3" t="s">
        <v>31</v>
      </c>
      <c r="DH29" s="3" t="s">
        <v>3</v>
      </c>
      <c r="DI29" s="3" t="s">
        <v>31</v>
      </c>
      <c r="DJ29" s="3" t="s">
        <v>31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28</v>
      </c>
      <c r="DW29" s="3" t="s">
        <v>32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55393976</v>
      </c>
      <c r="EF29" s="3">
        <v>40</v>
      </c>
      <c r="EG29" s="3" t="s">
        <v>33</v>
      </c>
      <c r="EH29" s="3">
        <v>0</v>
      </c>
      <c r="EI29" s="3" t="s">
        <v>3</v>
      </c>
      <c r="EJ29" s="3">
        <v>2</v>
      </c>
      <c r="EK29" s="3">
        <v>72</v>
      </c>
      <c r="EL29" s="3" t="s">
        <v>34</v>
      </c>
      <c r="EM29" s="3" t="s">
        <v>35</v>
      </c>
      <c r="EO29" s="3" t="s">
        <v>36</v>
      </c>
      <c r="EQ29" s="3">
        <v>0</v>
      </c>
      <c r="ER29" s="3">
        <v>24.82</v>
      </c>
      <c r="ES29" s="3">
        <v>0</v>
      </c>
      <c r="ET29" s="3">
        <v>13.3</v>
      </c>
      <c r="EU29" s="3">
        <v>2.02</v>
      </c>
      <c r="EV29" s="3">
        <v>11.52</v>
      </c>
      <c r="EW29" s="3">
        <v>1.03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207925144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720.88</v>
      </c>
      <c r="GN29" s="3">
        <f t="shared" si="54"/>
        <v>0</v>
      </c>
      <c r="GO29" s="3">
        <f t="shared" si="55"/>
        <v>720.88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37</v>
      </c>
      <c r="F30" s="2" t="s">
        <v>38</v>
      </c>
      <c r="G30" s="2" t="s">
        <v>39</v>
      </c>
      <c r="H30" s="2" t="s">
        <v>32</v>
      </c>
      <c r="I30" s="2">
        <f>ROUND(4+1,9)</f>
        <v>5</v>
      </c>
      <c r="J30" s="2">
        <v>0</v>
      </c>
      <c r="K30" s="2">
        <f>ROUND(4+1,9)</f>
        <v>5</v>
      </c>
      <c r="L30" s="2"/>
      <c r="M30" s="2"/>
      <c r="N30" s="2"/>
      <c r="O30" s="2">
        <f t="shared" si="21"/>
        <v>201.56</v>
      </c>
      <c r="P30" s="2">
        <f t="shared" si="22"/>
        <v>0</v>
      </c>
      <c r="Q30" s="2">
        <f t="shared" si="23"/>
        <v>54.11</v>
      </c>
      <c r="R30" s="2">
        <f t="shared" si="24"/>
        <v>5.96</v>
      </c>
      <c r="S30" s="2">
        <f t="shared" si="25"/>
        <v>147.44999999999999</v>
      </c>
      <c r="T30" s="2">
        <f t="shared" si="26"/>
        <v>0</v>
      </c>
      <c r="U30" s="2">
        <f t="shared" si="27"/>
        <v>11.684519999999999</v>
      </c>
      <c r="V30" s="2">
        <f t="shared" si="28"/>
        <v>0</v>
      </c>
      <c r="W30" s="2">
        <f t="shared" si="29"/>
        <v>0</v>
      </c>
      <c r="X30" s="2">
        <f t="shared" si="30"/>
        <v>138.07</v>
      </c>
      <c r="Y30" s="2">
        <f t="shared" si="31"/>
        <v>70.569999999999993</v>
      </c>
      <c r="Z30" s="2"/>
      <c r="AA30" s="2">
        <v>55943566</v>
      </c>
      <c r="AB30" s="2">
        <f t="shared" si="32"/>
        <v>38.502000000000002</v>
      </c>
      <c r="AC30" s="2">
        <f t="shared" si="33"/>
        <v>0</v>
      </c>
      <c r="AD30" s="2">
        <f t="shared" si="34"/>
        <v>10.335599999999999</v>
      </c>
      <c r="AE30" s="2">
        <f t="shared" si="35"/>
        <v>1.1375999999999999</v>
      </c>
      <c r="AF30" s="2">
        <f t="shared" si="36"/>
        <v>28.166399999999999</v>
      </c>
      <c r="AG30" s="2">
        <f t="shared" si="37"/>
        <v>0</v>
      </c>
      <c r="AH30" s="2">
        <f t="shared" si="38"/>
        <v>2.2319999999999998</v>
      </c>
      <c r="AI30" s="2">
        <f t="shared" si="39"/>
        <v>0</v>
      </c>
      <c r="AJ30" s="2">
        <f t="shared" si="40"/>
        <v>0</v>
      </c>
      <c r="AK30" s="2">
        <v>119.3</v>
      </c>
      <c r="AL30" s="2">
        <v>12.35</v>
      </c>
      <c r="AM30" s="2">
        <v>28.71</v>
      </c>
      <c r="AN30" s="2">
        <v>3.16</v>
      </c>
      <c r="AO30" s="2">
        <v>78.239999999999995</v>
      </c>
      <c r="AP30" s="2">
        <v>0</v>
      </c>
      <c r="AQ30" s="2">
        <v>6.2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40</v>
      </c>
      <c r="BK30" s="2"/>
      <c r="BL30" s="2"/>
      <c r="BM30" s="2">
        <v>68</v>
      </c>
      <c r="BN30" s="2">
        <v>0</v>
      </c>
      <c r="BO30" s="2" t="s">
        <v>38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350</v>
      </c>
      <c r="CO30" s="2">
        <v>0</v>
      </c>
      <c r="CP30" s="2">
        <f t="shared" si="41"/>
        <v>201.56</v>
      </c>
      <c r="CQ30" s="2">
        <f t="shared" si="42"/>
        <v>0</v>
      </c>
      <c r="CR30" s="2">
        <f t="shared" si="43"/>
        <v>10.82</v>
      </c>
      <c r="CS30" s="2">
        <f t="shared" si="44"/>
        <v>1.19</v>
      </c>
      <c r="CT30" s="2">
        <f t="shared" si="45"/>
        <v>29.49</v>
      </c>
      <c r="CU30" s="2">
        <f t="shared" si="46"/>
        <v>0</v>
      </c>
      <c r="CV30" s="2">
        <f t="shared" si="47"/>
        <v>2.3369039999999996</v>
      </c>
      <c r="CW30" s="2">
        <f t="shared" si="48"/>
        <v>0</v>
      </c>
      <c r="CX30" s="2">
        <f t="shared" si="49"/>
        <v>0</v>
      </c>
      <c r="CY30" s="2">
        <f t="shared" si="50"/>
        <v>133.78</v>
      </c>
      <c r="CZ30" s="2">
        <f t="shared" si="51"/>
        <v>68.37</v>
      </c>
      <c r="DA30" s="2"/>
      <c r="DB30" s="2">
        <v>5</v>
      </c>
      <c r="DC30" s="2" t="s">
        <v>3</v>
      </c>
      <c r="DD30" s="2" t="s">
        <v>30</v>
      </c>
      <c r="DE30" s="2" t="s">
        <v>31</v>
      </c>
      <c r="DF30" s="2" t="s">
        <v>31</v>
      </c>
      <c r="DG30" s="2" t="s">
        <v>31</v>
      </c>
      <c r="DH30" s="2" t="s">
        <v>3</v>
      </c>
      <c r="DI30" s="2" t="s">
        <v>31</v>
      </c>
      <c r="DJ30" s="2" t="s">
        <v>31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55393972</v>
      </c>
      <c r="EF30" s="2">
        <v>40</v>
      </c>
      <c r="EG30" s="2" t="s">
        <v>33</v>
      </c>
      <c r="EH30" s="2">
        <v>0</v>
      </c>
      <c r="EI30" s="2" t="s">
        <v>3</v>
      </c>
      <c r="EJ30" s="2">
        <v>2</v>
      </c>
      <c r="EK30" s="2">
        <v>68</v>
      </c>
      <c r="EL30" s="2" t="s">
        <v>41</v>
      </c>
      <c r="EM30" s="2" t="s">
        <v>42</v>
      </c>
      <c r="EN30" s="2"/>
      <c r="EO30" s="2" t="s">
        <v>36</v>
      </c>
      <c r="EP30" s="2"/>
      <c r="EQ30" s="2">
        <v>0</v>
      </c>
      <c r="ER30" s="2">
        <v>119.3</v>
      </c>
      <c r="ES30" s="2">
        <v>12.35</v>
      </c>
      <c r="ET30" s="2">
        <v>28.71</v>
      </c>
      <c r="EU30" s="2">
        <v>3.16</v>
      </c>
      <c r="EV30" s="2">
        <v>78.239999999999995</v>
      </c>
      <c r="EW30" s="2">
        <v>6.2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268219509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410.2</v>
      </c>
      <c r="GN30" s="2">
        <f t="shared" si="54"/>
        <v>0</v>
      </c>
      <c r="GO30" s="2">
        <f t="shared" si="55"/>
        <v>410.2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E31" s="3" t="s">
        <v>37</v>
      </c>
      <c r="F31" s="3" t="s">
        <v>38</v>
      </c>
      <c r="G31" s="3" t="s">
        <v>39</v>
      </c>
      <c r="H31" s="3" t="s">
        <v>32</v>
      </c>
      <c r="I31" s="3">
        <f>ROUND(4+1,9)</f>
        <v>5</v>
      </c>
      <c r="J31" s="3">
        <v>0</v>
      </c>
      <c r="K31" s="3">
        <f>ROUND(4+1,9)</f>
        <v>5</v>
      </c>
      <c r="O31" s="3">
        <f t="shared" si="21"/>
        <v>9183.23</v>
      </c>
      <c r="P31" s="3">
        <f t="shared" si="22"/>
        <v>0</v>
      </c>
      <c r="Q31" s="3">
        <f t="shared" si="23"/>
        <v>874.42</v>
      </c>
      <c r="R31" s="3">
        <f t="shared" si="24"/>
        <v>335.85</v>
      </c>
      <c r="S31" s="3">
        <f t="shared" si="25"/>
        <v>8308.81</v>
      </c>
      <c r="T31" s="3">
        <f t="shared" si="26"/>
        <v>0</v>
      </c>
      <c r="U31" s="3">
        <f t="shared" si="27"/>
        <v>11.684519999999999</v>
      </c>
      <c r="V31" s="3">
        <f t="shared" si="28"/>
        <v>0</v>
      </c>
      <c r="W31" s="3">
        <f t="shared" si="29"/>
        <v>0</v>
      </c>
      <c r="X31" s="3">
        <f t="shared" si="30"/>
        <v>7780.19</v>
      </c>
      <c r="Y31" s="3">
        <f t="shared" si="31"/>
        <v>3976.54</v>
      </c>
      <c r="AA31" s="3">
        <v>55943568</v>
      </c>
      <c r="AB31" s="3">
        <f t="shared" si="32"/>
        <v>38.502000000000002</v>
      </c>
      <c r="AC31" s="3">
        <f t="shared" si="33"/>
        <v>0</v>
      </c>
      <c r="AD31" s="3">
        <f t="shared" si="34"/>
        <v>10.335599999999999</v>
      </c>
      <c r="AE31" s="3">
        <f t="shared" si="35"/>
        <v>1.1375999999999999</v>
      </c>
      <c r="AF31" s="3">
        <f t="shared" si="36"/>
        <v>28.166399999999999</v>
      </c>
      <c r="AG31" s="3">
        <f t="shared" si="37"/>
        <v>0</v>
      </c>
      <c r="AH31" s="3">
        <f t="shared" si="38"/>
        <v>2.2319999999999998</v>
      </c>
      <c r="AI31" s="3">
        <f t="shared" si="39"/>
        <v>0</v>
      </c>
      <c r="AJ31" s="3">
        <f t="shared" si="40"/>
        <v>0</v>
      </c>
      <c r="AK31" s="3">
        <v>119.3</v>
      </c>
      <c r="AL31" s="3">
        <v>12.35</v>
      </c>
      <c r="AM31" s="3">
        <v>28.71</v>
      </c>
      <c r="AN31" s="3">
        <v>3.16</v>
      </c>
      <c r="AO31" s="3">
        <v>78.239999999999995</v>
      </c>
      <c r="AP31" s="3">
        <v>0</v>
      </c>
      <c r="AQ31" s="3">
        <v>6.2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16.16</v>
      </c>
      <c r="BC31" s="3">
        <v>14.7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40</v>
      </c>
      <c r="BM31" s="3">
        <v>68</v>
      </c>
      <c r="BN31" s="3">
        <v>0</v>
      </c>
      <c r="BO31" s="3" t="s">
        <v>38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350</v>
      </c>
      <c r="CO31" s="3">
        <v>0</v>
      </c>
      <c r="CP31" s="3">
        <f t="shared" si="41"/>
        <v>9183.23</v>
      </c>
      <c r="CQ31" s="3">
        <f t="shared" si="42"/>
        <v>0</v>
      </c>
      <c r="CR31" s="3">
        <f t="shared" si="43"/>
        <v>174.85</v>
      </c>
      <c r="CS31" s="3">
        <f t="shared" si="44"/>
        <v>67.06</v>
      </c>
      <c r="CT31" s="3">
        <f t="shared" si="45"/>
        <v>1661.76</v>
      </c>
      <c r="CU31" s="3">
        <f t="shared" si="46"/>
        <v>0</v>
      </c>
      <c r="CV31" s="3">
        <f t="shared" si="47"/>
        <v>2.3369039999999996</v>
      </c>
      <c r="CW31" s="3">
        <f t="shared" si="48"/>
        <v>0</v>
      </c>
      <c r="CX31" s="3">
        <f t="shared" si="49"/>
        <v>0</v>
      </c>
      <c r="CY31" s="3">
        <f t="shared" si="50"/>
        <v>7538.28</v>
      </c>
      <c r="CZ31" s="3">
        <f t="shared" si="51"/>
        <v>3852.9</v>
      </c>
      <c r="DB31" s="3">
        <v>7</v>
      </c>
      <c r="DC31" s="3" t="s">
        <v>3</v>
      </c>
      <c r="DD31" s="3" t="s">
        <v>30</v>
      </c>
      <c r="DE31" s="3" t="s">
        <v>31</v>
      </c>
      <c r="DF31" s="3" t="s">
        <v>31</v>
      </c>
      <c r="DG31" s="3" t="s">
        <v>31</v>
      </c>
      <c r="DH31" s="3" t="s">
        <v>3</v>
      </c>
      <c r="DI31" s="3" t="s">
        <v>31</v>
      </c>
      <c r="DJ31" s="3" t="s">
        <v>31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32</v>
      </c>
      <c r="DW31" s="3" t="s">
        <v>32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55393972</v>
      </c>
      <c r="EF31" s="3">
        <v>40</v>
      </c>
      <c r="EG31" s="3" t="s">
        <v>33</v>
      </c>
      <c r="EH31" s="3">
        <v>0</v>
      </c>
      <c r="EI31" s="3" t="s">
        <v>3</v>
      </c>
      <c r="EJ31" s="3">
        <v>2</v>
      </c>
      <c r="EK31" s="3">
        <v>68</v>
      </c>
      <c r="EL31" s="3" t="s">
        <v>41</v>
      </c>
      <c r="EM31" s="3" t="s">
        <v>42</v>
      </c>
      <c r="EO31" s="3" t="s">
        <v>36</v>
      </c>
      <c r="EQ31" s="3">
        <v>0</v>
      </c>
      <c r="ER31" s="3">
        <v>119.3</v>
      </c>
      <c r="ES31" s="3">
        <v>12.35</v>
      </c>
      <c r="ET31" s="3">
        <v>28.71</v>
      </c>
      <c r="EU31" s="3">
        <v>3.16</v>
      </c>
      <c r="EV31" s="3">
        <v>78.239999999999995</v>
      </c>
      <c r="EW31" s="3">
        <v>6.2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268219509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20939.96</v>
      </c>
      <c r="GN31" s="3">
        <f t="shared" si="54"/>
        <v>0</v>
      </c>
      <c r="GO31" s="3">
        <f t="shared" si="55"/>
        <v>20939.96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43</v>
      </c>
      <c r="F32" s="2" t="s">
        <v>44</v>
      </c>
      <c r="G32" s="2" t="s">
        <v>45</v>
      </c>
      <c r="H32" s="2" t="s">
        <v>28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12.94</v>
      </c>
      <c r="P32" s="2">
        <f t="shared" si="22"/>
        <v>0</v>
      </c>
      <c r="Q32" s="2">
        <f t="shared" si="23"/>
        <v>4.05</v>
      </c>
      <c r="R32" s="2">
        <f t="shared" si="24"/>
        <v>0.93</v>
      </c>
      <c r="S32" s="2">
        <f t="shared" si="25"/>
        <v>8.89</v>
      </c>
      <c r="T32" s="2">
        <f t="shared" si="26"/>
        <v>0</v>
      </c>
      <c r="U32" s="2">
        <f t="shared" si="27"/>
        <v>0.7764551999999999</v>
      </c>
      <c r="V32" s="2">
        <f t="shared" si="28"/>
        <v>0</v>
      </c>
      <c r="W32" s="2">
        <f t="shared" si="29"/>
        <v>0</v>
      </c>
      <c r="X32" s="2">
        <f t="shared" si="30"/>
        <v>8.84</v>
      </c>
      <c r="Y32" s="2">
        <f t="shared" si="31"/>
        <v>4.5199999999999996</v>
      </c>
      <c r="Z32" s="2"/>
      <c r="AA32" s="2">
        <v>55943566</v>
      </c>
      <c r="AB32" s="2">
        <f t="shared" si="32"/>
        <v>6.1776</v>
      </c>
      <c r="AC32" s="2">
        <f t="shared" si="33"/>
        <v>0</v>
      </c>
      <c r="AD32" s="2">
        <f t="shared" si="34"/>
        <v>1.9332</v>
      </c>
      <c r="AE32" s="2">
        <f t="shared" si="35"/>
        <v>0.44280000000000003</v>
      </c>
      <c r="AF32" s="2">
        <f t="shared" si="36"/>
        <v>4.2443999999999997</v>
      </c>
      <c r="AG32" s="2">
        <f t="shared" si="37"/>
        <v>0</v>
      </c>
      <c r="AH32" s="2">
        <f t="shared" si="38"/>
        <v>0.37079999999999996</v>
      </c>
      <c r="AI32" s="2">
        <f t="shared" si="39"/>
        <v>0</v>
      </c>
      <c r="AJ32" s="2">
        <f t="shared" si="40"/>
        <v>0</v>
      </c>
      <c r="AK32" s="2">
        <v>68.19</v>
      </c>
      <c r="AL32" s="2">
        <v>51.03</v>
      </c>
      <c r="AM32" s="2">
        <v>5.37</v>
      </c>
      <c r="AN32" s="2">
        <v>1.23</v>
      </c>
      <c r="AO32" s="2">
        <v>11.79</v>
      </c>
      <c r="AP32" s="2">
        <v>0</v>
      </c>
      <c r="AQ32" s="2">
        <v>1.03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46</v>
      </c>
      <c r="BK32" s="2"/>
      <c r="BL32" s="2"/>
      <c r="BM32" s="2">
        <v>72</v>
      </c>
      <c r="BN32" s="2">
        <v>0</v>
      </c>
      <c r="BO32" s="2" t="s">
        <v>44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350</v>
      </c>
      <c r="CO32" s="2">
        <v>0</v>
      </c>
      <c r="CP32" s="2">
        <f t="shared" si="41"/>
        <v>12.940000000000001</v>
      </c>
      <c r="CQ32" s="2">
        <f t="shared" si="42"/>
        <v>0</v>
      </c>
      <c r="CR32" s="2">
        <f t="shared" si="43"/>
        <v>2.02</v>
      </c>
      <c r="CS32" s="2">
        <f t="shared" si="44"/>
        <v>0.46</v>
      </c>
      <c r="CT32" s="2">
        <f t="shared" si="45"/>
        <v>4.4400000000000004</v>
      </c>
      <c r="CU32" s="2">
        <f t="shared" si="46"/>
        <v>0</v>
      </c>
      <c r="CV32" s="2">
        <f t="shared" si="47"/>
        <v>0.38822759999999995</v>
      </c>
      <c r="CW32" s="2">
        <f t="shared" si="48"/>
        <v>0</v>
      </c>
      <c r="CX32" s="2">
        <f t="shared" si="49"/>
        <v>0</v>
      </c>
      <c r="CY32" s="2">
        <f t="shared" si="50"/>
        <v>8.42</v>
      </c>
      <c r="CZ32" s="2">
        <f t="shared" si="51"/>
        <v>4.3</v>
      </c>
      <c r="DA32" s="2"/>
      <c r="DB32" s="2">
        <v>9</v>
      </c>
      <c r="DC32" s="2" t="s">
        <v>3</v>
      </c>
      <c r="DD32" s="2" t="s">
        <v>30</v>
      </c>
      <c r="DE32" s="2" t="s">
        <v>31</v>
      </c>
      <c r="DF32" s="2" t="s">
        <v>31</v>
      </c>
      <c r="DG32" s="2" t="s">
        <v>31</v>
      </c>
      <c r="DH32" s="2" t="s">
        <v>3</v>
      </c>
      <c r="DI32" s="2" t="s">
        <v>31</v>
      </c>
      <c r="DJ32" s="2" t="s">
        <v>31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28</v>
      </c>
      <c r="DW32" s="2" t="s">
        <v>32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55393976</v>
      </c>
      <c r="EF32" s="2">
        <v>40</v>
      </c>
      <c r="EG32" s="2" t="s">
        <v>33</v>
      </c>
      <c r="EH32" s="2">
        <v>0</v>
      </c>
      <c r="EI32" s="2" t="s">
        <v>3</v>
      </c>
      <c r="EJ32" s="2">
        <v>2</v>
      </c>
      <c r="EK32" s="2">
        <v>72</v>
      </c>
      <c r="EL32" s="2" t="s">
        <v>34</v>
      </c>
      <c r="EM32" s="2" t="s">
        <v>35</v>
      </c>
      <c r="EN32" s="2"/>
      <c r="EO32" s="2" t="s">
        <v>36</v>
      </c>
      <c r="EP32" s="2"/>
      <c r="EQ32" s="2">
        <v>0</v>
      </c>
      <c r="ER32" s="2">
        <v>68.19</v>
      </c>
      <c r="ES32" s="2">
        <v>51.03</v>
      </c>
      <c r="ET32" s="2">
        <v>5.37</v>
      </c>
      <c r="EU32" s="2">
        <v>1.23</v>
      </c>
      <c r="EV32" s="2">
        <v>11.79</v>
      </c>
      <c r="EW32" s="2">
        <v>1.03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462033332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26.3</v>
      </c>
      <c r="GN32" s="2">
        <f t="shared" si="54"/>
        <v>0</v>
      </c>
      <c r="GO32" s="2">
        <f t="shared" si="55"/>
        <v>26.3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E33" s="3" t="s">
        <v>43</v>
      </c>
      <c r="F33" s="3" t="s">
        <v>44</v>
      </c>
      <c r="G33" s="3" t="s">
        <v>45</v>
      </c>
      <c r="H33" s="3" t="s">
        <v>28</v>
      </c>
      <c r="I33" s="3">
        <v>2</v>
      </c>
      <c r="J33" s="3">
        <v>0</v>
      </c>
      <c r="K33" s="3">
        <v>2</v>
      </c>
      <c r="O33" s="3">
        <f t="shared" si="21"/>
        <v>592.6</v>
      </c>
      <c r="P33" s="3">
        <f t="shared" si="22"/>
        <v>0</v>
      </c>
      <c r="Q33" s="3">
        <f t="shared" si="23"/>
        <v>91.65</v>
      </c>
      <c r="R33" s="3">
        <f t="shared" si="24"/>
        <v>52.41</v>
      </c>
      <c r="S33" s="3">
        <f t="shared" si="25"/>
        <v>500.95</v>
      </c>
      <c r="T33" s="3">
        <f t="shared" si="26"/>
        <v>0</v>
      </c>
      <c r="U33" s="3">
        <f t="shared" si="27"/>
        <v>0.7764551999999999</v>
      </c>
      <c r="V33" s="3">
        <f t="shared" si="28"/>
        <v>0</v>
      </c>
      <c r="W33" s="3">
        <f t="shared" si="29"/>
        <v>0</v>
      </c>
      <c r="X33" s="3">
        <f t="shared" si="30"/>
        <v>498.02</v>
      </c>
      <c r="Y33" s="3">
        <f t="shared" si="31"/>
        <v>254.55</v>
      </c>
      <c r="AA33" s="3">
        <v>55943568</v>
      </c>
      <c r="AB33" s="3">
        <f t="shared" si="32"/>
        <v>6.1776</v>
      </c>
      <c r="AC33" s="3">
        <f t="shared" si="33"/>
        <v>0</v>
      </c>
      <c r="AD33" s="3">
        <f t="shared" si="34"/>
        <v>1.9332</v>
      </c>
      <c r="AE33" s="3">
        <f t="shared" si="35"/>
        <v>0.44280000000000003</v>
      </c>
      <c r="AF33" s="3">
        <f t="shared" si="36"/>
        <v>4.2443999999999997</v>
      </c>
      <c r="AG33" s="3">
        <f t="shared" si="37"/>
        <v>0</v>
      </c>
      <c r="AH33" s="3">
        <f t="shared" si="38"/>
        <v>0.37079999999999996</v>
      </c>
      <c r="AI33" s="3">
        <f t="shared" si="39"/>
        <v>0</v>
      </c>
      <c r="AJ33" s="3">
        <f t="shared" si="40"/>
        <v>0</v>
      </c>
      <c r="AK33" s="3">
        <v>68.19</v>
      </c>
      <c r="AL33" s="3">
        <v>51.03</v>
      </c>
      <c r="AM33" s="3">
        <v>5.37</v>
      </c>
      <c r="AN33" s="3">
        <v>1.23</v>
      </c>
      <c r="AO33" s="3">
        <v>11.79</v>
      </c>
      <c r="AP33" s="3">
        <v>0</v>
      </c>
      <c r="AQ33" s="3">
        <v>1.03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22.63</v>
      </c>
      <c r="BC33" s="3">
        <v>8.9499999999999993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46</v>
      </c>
      <c r="BM33" s="3">
        <v>72</v>
      </c>
      <c r="BN33" s="3">
        <v>0</v>
      </c>
      <c r="BO33" s="3" t="s">
        <v>44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350</v>
      </c>
      <c r="CO33" s="3">
        <v>0</v>
      </c>
      <c r="CP33" s="3">
        <f t="shared" si="41"/>
        <v>592.6</v>
      </c>
      <c r="CQ33" s="3">
        <f t="shared" si="42"/>
        <v>0</v>
      </c>
      <c r="CR33" s="3">
        <f t="shared" si="43"/>
        <v>45.71</v>
      </c>
      <c r="CS33" s="3">
        <f t="shared" si="44"/>
        <v>25.92</v>
      </c>
      <c r="CT33" s="3">
        <f t="shared" si="45"/>
        <v>250.19</v>
      </c>
      <c r="CU33" s="3">
        <f t="shared" si="46"/>
        <v>0</v>
      </c>
      <c r="CV33" s="3">
        <f t="shared" si="47"/>
        <v>0.38822759999999995</v>
      </c>
      <c r="CW33" s="3">
        <f t="shared" si="48"/>
        <v>0</v>
      </c>
      <c r="CX33" s="3">
        <f t="shared" si="49"/>
        <v>0</v>
      </c>
      <c r="CY33" s="3">
        <f t="shared" si="50"/>
        <v>474.18</v>
      </c>
      <c r="CZ33" s="3">
        <f t="shared" si="51"/>
        <v>242.36</v>
      </c>
      <c r="DB33" s="3">
        <v>11</v>
      </c>
      <c r="DC33" s="3" t="s">
        <v>3</v>
      </c>
      <c r="DD33" s="3" t="s">
        <v>30</v>
      </c>
      <c r="DE33" s="3" t="s">
        <v>31</v>
      </c>
      <c r="DF33" s="3" t="s">
        <v>31</v>
      </c>
      <c r="DG33" s="3" t="s">
        <v>31</v>
      </c>
      <c r="DH33" s="3" t="s">
        <v>3</v>
      </c>
      <c r="DI33" s="3" t="s">
        <v>31</v>
      </c>
      <c r="DJ33" s="3" t="s">
        <v>31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28</v>
      </c>
      <c r="DW33" s="3" t="s">
        <v>32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55393976</v>
      </c>
      <c r="EF33" s="3">
        <v>40</v>
      </c>
      <c r="EG33" s="3" t="s">
        <v>33</v>
      </c>
      <c r="EH33" s="3">
        <v>0</v>
      </c>
      <c r="EI33" s="3" t="s">
        <v>3</v>
      </c>
      <c r="EJ33" s="3">
        <v>2</v>
      </c>
      <c r="EK33" s="3">
        <v>72</v>
      </c>
      <c r="EL33" s="3" t="s">
        <v>34</v>
      </c>
      <c r="EM33" s="3" t="s">
        <v>35</v>
      </c>
      <c r="EO33" s="3" t="s">
        <v>36</v>
      </c>
      <c r="EQ33" s="3">
        <v>0</v>
      </c>
      <c r="ER33" s="3">
        <v>68.19</v>
      </c>
      <c r="ES33" s="3">
        <v>51.03</v>
      </c>
      <c r="ET33" s="3">
        <v>5.37</v>
      </c>
      <c r="EU33" s="3">
        <v>1.23</v>
      </c>
      <c r="EV33" s="3">
        <v>11.79</v>
      </c>
      <c r="EW33" s="3">
        <v>1.03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462033332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1345.17</v>
      </c>
      <c r="GN33" s="3">
        <f t="shared" si="54"/>
        <v>0</v>
      </c>
      <c r="GO33" s="3">
        <f t="shared" si="55"/>
        <v>1345.17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47</v>
      </c>
      <c r="F34" s="2" t="s">
        <v>48</v>
      </c>
      <c r="G34" s="2" t="s">
        <v>49</v>
      </c>
      <c r="H34" s="2" t="s">
        <v>28</v>
      </c>
      <c r="I34" s="2">
        <v>2</v>
      </c>
      <c r="J34" s="2">
        <v>0</v>
      </c>
      <c r="K34" s="2">
        <v>2</v>
      </c>
      <c r="L34" s="2"/>
      <c r="M34" s="2"/>
      <c r="N34" s="2"/>
      <c r="O34" s="2">
        <f t="shared" si="21"/>
        <v>8.9600000000000009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8.9600000000000009</v>
      </c>
      <c r="T34" s="2">
        <f t="shared" si="26"/>
        <v>0</v>
      </c>
      <c r="U34" s="2">
        <f t="shared" si="27"/>
        <v>0.75383999999999995</v>
      </c>
      <c r="V34" s="2">
        <f t="shared" si="28"/>
        <v>0</v>
      </c>
      <c r="W34" s="2">
        <f t="shared" si="29"/>
        <v>0</v>
      </c>
      <c r="X34" s="2">
        <f t="shared" si="30"/>
        <v>8.51</v>
      </c>
      <c r="Y34" s="2">
        <f t="shared" si="31"/>
        <v>4.75</v>
      </c>
      <c r="Z34" s="2"/>
      <c r="AA34" s="2">
        <v>55943566</v>
      </c>
      <c r="AB34" s="2">
        <f t="shared" si="32"/>
        <v>4.2804000000000002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4.2804000000000002</v>
      </c>
      <c r="AG34" s="2">
        <f t="shared" si="37"/>
        <v>0</v>
      </c>
      <c r="AH34" s="2">
        <f t="shared" si="38"/>
        <v>0.36</v>
      </c>
      <c r="AI34" s="2">
        <f t="shared" si="39"/>
        <v>0</v>
      </c>
      <c r="AJ34" s="2">
        <f t="shared" si="40"/>
        <v>0</v>
      </c>
      <c r="AK34" s="2">
        <v>13.56</v>
      </c>
      <c r="AL34" s="2">
        <v>1.67</v>
      </c>
      <c r="AM34" s="2">
        <v>0</v>
      </c>
      <c r="AN34" s="2">
        <v>0</v>
      </c>
      <c r="AO34" s="2">
        <v>11.89</v>
      </c>
      <c r="AP34" s="2">
        <v>0</v>
      </c>
      <c r="AQ34" s="2">
        <v>1</v>
      </c>
      <c r="AR34" s="2">
        <v>0</v>
      </c>
      <c r="AS34" s="2">
        <v>0</v>
      </c>
      <c r="AT34" s="2">
        <v>95</v>
      </c>
      <c r="AU34" s="2">
        <v>53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50</v>
      </c>
      <c r="BK34" s="2"/>
      <c r="BL34" s="2"/>
      <c r="BM34" s="2">
        <v>69</v>
      </c>
      <c r="BN34" s="2">
        <v>0</v>
      </c>
      <c r="BO34" s="2" t="s">
        <v>48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95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350</v>
      </c>
      <c r="CO34" s="2">
        <v>0</v>
      </c>
      <c r="CP34" s="2">
        <f t="shared" si="41"/>
        <v>8.9600000000000009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4.4800000000000004</v>
      </c>
      <c r="CU34" s="2">
        <f t="shared" si="46"/>
        <v>0</v>
      </c>
      <c r="CV34" s="2">
        <f t="shared" si="47"/>
        <v>0.37691999999999998</v>
      </c>
      <c r="CW34" s="2">
        <f t="shared" si="48"/>
        <v>0</v>
      </c>
      <c r="CX34" s="2">
        <f t="shared" si="49"/>
        <v>0</v>
      </c>
      <c r="CY34" s="2">
        <f t="shared" si="50"/>
        <v>8.51</v>
      </c>
      <c r="CZ34" s="2">
        <f t="shared" si="51"/>
        <v>4.75</v>
      </c>
      <c r="DA34" s="2"/>
      <c r="DB34" s="2">
        <v>13</v>
      </c>
      <c r="DC34" s="2" t="s">
        <v>3</v>
      </c>
      <c r="DD34" s="2" t="s">
        <v>30</v>
      </c>
      <c r="DE34" s="2" t="s">
        <v>31</v>
      </c>
      <c r="DF34" s="2" t="s">
        <v>31</v>
      </c>
      <c r="DG34" s="2" t="s">
        <v>31</v>
      </c>
      <c r="DH34" s="2" t="s">
        <v>3</v>
      </c>
      <c r="DI34" s="2" t="s">
        <v>31</v>
      </c>
      <c r="DJ34" s="2" t="s">
        <v>31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28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55393973</v>
      </c>
      <c r="EF34" s="2">
        <v>40</v>
      </c>
      <c r="EG34" s="2" t="s">
        <v>33</v>
      </c>
      <c r="EH34" s="2">
        <v>0</v>
      </c>
      <c r="EI34" s="2" t="s">
        <v>3</v>
      </c>
      <c r="EJ34" s="2">
        <v>2</v>
      </c>
      <c r="EK34" s="2">
        <v>69</v>
      </c>
      <c r="EL34" s="2" t="s">
        <v>51</v>
      </c>
      <c r="EM34" s="2" t="s">
        <v>52</v>
      </c>
      <c r="EN34" s="2"/>
      <c r="EO34" s="2" t="s">
        <v>36</v>
      </c>
      <c r="EP34" s="2"/>
      <c r="EQ34" s="2">
        <v>0</v>
      </c>
      <c r="ER34" s="2">
        <v>13.56</v>
      </c>
      <c r="ES34" s="2">
        <v>1.67</v>
      </c>
      <c r="ET34" s="2">
        <v>0</v>
      </c>
      <c r="EU34" s="2">
        <v>0</v>
      </c>
      <c r="EV34" s="2">
        <v>11.89</v>
      </c>
      <c r="EW34" s="2">
        <v>1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95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1926572578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22.22</v>
      </c>
      <c r="GN34" s="2">
        <f t="shared" si="54"/>
        <v>0</v>
      </c>
      <c r="GO34" s="2">
        <f t="shared" si="55"/>
        <v>22.22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E35" s="3" t="s">
        <v>47</v>
      </c>
      <c r="F35" s="3" t="s">
        <v>48</v>
      </c>
      <c r="G35" s="3" t="s">
        <v>49</v>
      </c>
      <c r="H35" s="3" t="s">
        <v>28</v>
      </c>
      <c r="I35" s="3">
        <v>2</v>
      </c>
      <c r="J35" s="3">
        <v>0</v>
      </c>
      <c r="K35" s="3">
        <v>2</v>
      </c>
      <c r="O35" s="3">
        <f t="shared" si="21"/>
        <v>504.9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504.9</v>
      </c>
      <c r="T35" s="3">
        <f t="shared" si="26"/>
        <v>0</v>
      </c>
      <c r="U35" s="3">
        <f t="shared" si="27"/>
        <v>0.75383999999999995</v>
      </c>
      <c r="V35" s="3">
        <f t="shared" si="28"/>
        <v>0</v>
      </c>
      <c r="W35" s="3">
        <f t="shared" si="29"/>
        <v>0</v>
      </c>
      <c r="X35" s="3">
        <f t="shared" si="30"/>
        <v>479.66</v>
      </c>
      <c r="Y35" s="3">
        <f t="shared" si="31"/>
        <v>267.60000000000002</v>
      </c>
      <c r="AA35" s="3">
        <v>55943568</v>
      </c>
      <c r="AB35" s="3">
        <f t="shared" si="32"/>
        <v>4.2804000000000002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4.2804000000000002</v>
      </c>
      <c r="AG35" s="3">
        <f t="shared" si="37"/>
        <v>0</v>
      </c>
      <c r="AH35" s="3">
        <f t="shared" si="38"/>
        <v>0.36</v>
      </c>
      <c r="AI35" s="3">
        <f t="shared" si="39"/>
        <v>0</v>
      </c>
      <c r="AJ35" s="3">
        <f t="shared" si="40"/>
        <v>0</v>
      </c>
      <c r="AK35" s="3">
        <v>13.56</v>
      </c>
      <c r="AL35" s="3">
        <v>1.67</v>
      </c>
      <c r="AM35" s="3">
        <v>0</v>
      </c>
      <c r="AN35" s="3">
        <v>0</v>
      </c>
      <c r="AO35" s="3">
        <v>11.89</v>
      </c>
      <c r="AP35" s="3">
        <v>0</v>
      </c>
      <c r="AQ35" s="3">
        <v>1</v>
      </c>
      <c r="AR35" s="3">
        <v>0</v>
      </c>
      <c r="AS35" s="3">
        <v>0</v>
      </c>
      <c r="AT35" s="3">
        <v>95</v>
      </c>
      <c r="AU35" s="3">
        <v>53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17.87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50</v>
      </c>
      <c r="BM35" s="3">
        <v>69</v>
      </c>
      <c r="BN35" s="3">
        <v>0</v>
      </c>
      <c r="BO35" s="3" t="s">
        <v>48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95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350</v>
      </c>
      <c r="CO35" s="3">
        <v>0</v>
      </c>
      <c r="CP35" s="3">
        <f t="shared" si="41"/>
        <v>504.9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252.45</v>
      </c>
      <c r="CU35" s="3">
        <f t="shared" si="46"/>
        <v>0</v>
      </c>
      <c r="CV35" s="3">
        <f t="shared" si="47"/>
        <v>0.37691999999999998</v>
      </c>
      <c r="CW35" s="3">
        <f t="shared" si="48"/>
        <v>0</v>
      </c>
      <c r="CX35" s="3">
        <f t="shared" si="49"/>
        <v>0</v>
      </c>
      <c r="CY35" s="3">
        <f t="shared" si="50"/>
        <v>479.66</v>
      </c>
      <c r="CZ35" s="3">
        <f t="shared" si="51"/>
        <v>267.60000000000002</v>
      </c>
      <c r="DB35" s="3">
        <v>15</v>
      </c>
      <c r="DC35" s="3" t="s">
        <v>3</v>
      </c>
      <c r="DD35" s="3" t="s">
        <v>30</v>
      </c>
      <c r="DE35" s="3" t="s">
        <v>31</v>
      </c>
      <c r="DF35" s="3" t="s">
        <v>31</v>
      </c>
      <c r="DG35" s="3" t="s">
        <v>31</v>
      </c>
      <c r="DH35" s="3" t="s">
        <v>3</v>
      </c>
      <c r="DI35" s="3" t="s">
        <v>31</v>
      </c>
      <c r="DJ35" s="3" t="s">
        <v>31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28</v>
      </c>
      <c r="DW35" s="3" t="s">
        <v>32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55393973</v>
      </c>
      <c r="EF35" s="3">
        <v>40</v>
      </c>
      <c r="EG35" s="3" t="s">
        <v>33</v>
      </c>
      <c r="EH35" s="3">
        <v>0</v>
      </c>
      <c r="EI35" s="3" t="s">
        <v>3</v>
      </c>
      <c r="EJ35" s="3">
        <v>2</v>
      </c>
      <c r="EK35" s="3">
        <v>69</v>
      </c>
      <c r="EL35" s="3" t="s">
        <v>51</v>
      </c>
      <c r="EM35" s="3" t="s">
        <v>52</v>
      </c>
      <c r="EO35" s="3" t="s">
        <v>36</v>
      </c>
      <c r="EQ35" s="3">
        <v>0</v>
      </c>
      <c r="ER35" s="3">
        <v>13.56</v>
      </c>
      <c r="ES35" s="3">
        <v>1.67</v>
      </c>
      <c r="ET35" s="3">
        <v>0</v>
      </c>
      <c r="EU35" s="3">
        <v>0</v>
      </c>
      <c r="EV35" s="3">
        <v>11.89</v>
      </c>
      <c r="EW35" s="3">
        <v>1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95</v>
      </c>
      <c r="FY35" s="3">
        <v>53</v>
      </c>
      <c r="GA35" s="3" t="s">
        <v>3</v>
      </c>
      <c r="GD35" s="3">
        <v>1</v>
      </c>
      <c r="GF35" s="3">
        <v>1926572578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1252.1600000000001</v>
      </c>
      <c r="GN35" s="3">
        <f t="shared" si="54"/>
        <v>0</v>
      </c>
      <c r="GO35" s="3">
        <f t="shared" si="55"/>
        <v>1252.1600000000001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53</v>
      </c>
      <c r="F36" s="2" t="s">
        <v>54</v>
      </c>
      <c r="G36" s="2" t="s">
        <v>55</v>
      </c>
      <c r="H36" s="2" t="s">
        <v>28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9.51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9.51</v>
      </c>
      <c r="T36" s="2">
        <f t="shared" si="26"/>
        <v>0</v>
      </c>
      <c r="U36" s="2">
        <f t="shared" si="27"/>
        <v>0.75383999999999995</v>
      </c>
      <c r="V36" s="2">
        <f t="shared" si="28"/>
        <v>0</v>
      </c>
      <c r="W36" s="2">
        <f t="shared" si="29"/>
        <v>0</v>
      </c>
      <c r="X36" s="2">
        <f t="shared" si="30"/>
        <v>9.0299999999999994</v>
      </c>
      <c r="Y36" s="2">
        <f t="shared" si="31"/>
        <v>5.04</v>
      </c>
      <c r="Z36" s="2"/>
      <c r="AA36" s="2">
        <v>55943566</v>
      </c>
      <c r="AB36" s="2">
        <f t="shared" si="32"/>
        <v>9.0863999999999994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9.0863999999999994</v>
      </c>
      <c r="AG36" s="2">
        <f t="shared" si="37"/>
        <v>0</v>
      </c>
      <c r="AH36" s="2">
        <f t="shared" si="38"/>
        <v>0.72</v>
      </c>
      <c r="AI36" s="2">
        <f t="shared" si="39"/>
        <v>0</v>
      </c>
      <c r="AJ36" s="2">
        <f t="shared" si="40"/>
        <v>0</v>
      </c>
      <c r="AK36" s="2">
        <v>32.96</v>
      </c>
      <c r="AL36" s="2">
        <v>7.72</v>
      </c>
      <c r="AM36" s="2">
        <v>0</v>
      </c>
      <c r="AN36" s="2">
        <v>0</v>
      </c>
      <c r="AO36" s="2">
        <v>25.24</v>
      </c>
      <c r="AP36" s="2">
        <v>0</v>
      </c>
      <c r="AQ36" s="2">
        <v>2</v>
      </c>
      <c r="AR36" s="2">
        <v>0</v>
      </c>
      <c r="AS36" s="2">
        <v>0</v>
      </c>
      <c r="AT36" s="2">
        <v>95</v>
      </c>
      <c r="AU36" s="2">
        <v>53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56</v>
      </c>
      <c r="BK36" s="2"/>
      <c r="BL36" s="2"/>
      <c r="BM36" s="2">
        <v>69</v>
      </c>
      <c r="BN36" s="2">
        <v>0</v>
      </c>
      <c r="BO36" s="2" t="s">
        <v>54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95</v>
      </c>
      <c r="CA36" s="2">
        <v>53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350</v>
      </c>
      <c r="CO36" s="2">
        <v>0</v>
      </c>
      <c r="CP36" s="2">
        <f t="shared" si="41"/>
        <v>9.51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9.51</v>
      </c>
      <c r="CU36" s="2">
        <f t="shared" si="46"/>
        <v>0</v>
      </c>
      <c r="CV36" s="2">
        <f t="shared" si="47"/>
        <v>0.75383999999999995</v>
      </c>
      <c r="CW36" s="2">
        <f t="shared" si="48"/>
        <v>0</v>
      </c>
      <c r="CX36" s="2">
        <f t="shared" si="49"/>
        <v>0</v>
      </c>
      <c r="CY36" s="2">
        <f t="shared" si="50"/>
        <v>9.0299999999999994</v>
      </c>
      <c r="CZ36" s="2">
        <f t="shared" si="51"/>
        <v>5.04</v>
      </c>
      <c r="DA36" s="2"/>
      <c r="DB36" s="2">
        <v>17</v>
      </c>
      <c r="DC36" s="2" t="s">
        <v>3</v>
      </c>
      <c r="DD36" s="2" t="s">
        <v>30</v>
      </c>
      <c r="DE36" s="2" t="s">
        <v>31</v>
      </c>
      <c r="DF36" s="2" t="s">
        <v>31</v>
      </c>
      <c r="DG36" s="2" t="s">
        <v>31</v>
      </c>
      <c r="DH36" s="2" t="s">
        <v>3</v>
      </c>
      <c r="DI36" s="2" t="s">
        <v>31</v>
      </c>
      <c r="DJ36" s="2" t="s">
        <v>31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28</v>
      </c>
      <c r="DW36" s="2" t="s">
        <v>32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55393973</v>
      </c>
      <c r="EF36" s="2">
        <v>40</v>
      </c>
      <c r="EG36" s="2" t="s">
        <v>33</v>
      </c>
      <c r="EH36" s="2">
        <v>0</v>
      </c>
      <c r="EI36" s="2" t="s">
        <v>3</v>
      </c>
      <c r="EJ36" s="2">
        <v>2</v>
      </c>
      <c r="EK36" s="2">
        <v>69</v>
      </c>
      <c r="EL36" s="2" t="s">
        <v>51</v>
      </c>
      <c r="EM36" s="2" t="s">
        <v>52</v>
      </c>
      <c r="EN36" s="2"/>
      <c r="EO36" s="2" t="s">
        <v>36</v>
      </c>
      <c r="EP36" s="2"/>
      <c r="EQ36" s="2">
        <v>0</v>
      </c>
      <c r="ER36" s="2">
        <v>32.96</v>
      </c>
      <c r="ES36" s="2">
        <v>7.72</v>
      </c>
      <c r="ET36" s="2">
        <v>0</v>
      </c>
      <c r="EU36" s="2">
        <v>0</v>
      </c>
      <c r="EV36" s="2">
        <v>25.24</v>
      </c>
      <c r="EW36" s="2">
        <v>2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95</v>
      </c>
      <c r="FY36" s="2">
        <v>53</v>
      </c>
      <c r="FZ36" s="2"/>
      <c r="GA36" s="2" t="s">
        <v>3</v>
      </c>
      <c r="GB36" s="2"/>
      <c r="GC36" s="2"/>
      <c r="GD36" s="2">
        <v>1</v>
      </c>
      <c r="GE36" s="2"/>
      <c r="GF36" s="2">
        <v>826094471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23.58</v>
      </c>
      <c r="GN36" s="2">
        <f t="shared" si="54"/>
        <v>0</v>
      </c>
      <c r="GO36" s="2">
        <f t="shared" si="55"/>
        <v>23.58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E37" s="3" t="s">
        <v>53</v>
      </c>
      <c r="F37" s="3" t="s">
        <v>54</v>
      </c>
      <c r="G37" s="3" t="s">
        <v>55</v>
      </c>
      <c r="H37" s="3" t="s">
        <v>28</v>
      </c>
      <c r="I37" s="3">
        <v>1</v>
      </c>
      <c r="J37" s="3">
        <v>0</v>
      </c>
      <c r="K37" s="3">
        <v>1</v>
      </c>
      <c r="O37" s="3">
        <f t="shared" si="21"/>
        <v>535.89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535.89</v>
      </c>
      <c r="T37" s="3">
        <f t="shared" si="26"/>
        <v>0</v>
      </c>
      <c r="U37" s="3">
        <f t="shared" si="27"/>
        <v>0.75383999999999995</v>
      </c>
      <c r="V37" s="3">
        <f t="shared" si="28"/>
        <v>0</v>
      </c>
      <c r="W37" s="3">
        <f t="shared" si="29"/>
        <v>0</v>
      </c>
      <c r="X37" s="3">
        <f t="shared" si="30"/>
        <v>509.1</v>
      </c>
      <c r="Y37" s="3">
        <f t="shared" si="31"/>
        <v>284.02</v>
      </c>
      <c r="AA37" s="3">
        <v>55943568</v>
      </c>
      <c r="AB37" s="3">
        <f t="shared" si="32"/>
        <v>9.0863999999999994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9.0863999999999994</v>
      </c>
      <c r="AG37" s="3">
        <f t="shared" si="37"/>
        <v>0</v>
      </c>
      <c r="AH37" s="3">
        <f t="shared" si="38"/>
        <v>0.72</v>
      </c>
      <c r="AI37" s="3">
        <f t="shared" si="39"/>
        <v>0</v>
      </c>
      <c r="AJ37" s="3">
        <f t="shared" si="40"/>
        <v>0</v>
      </c>
      <c r="AK37" s="3">
        <v>32.96</v>
      </c>
      <c r="AL37" s="3">
        <v>7.72</v>
      </c>
      <c r="AM37" s="3">
        <v>0</v>
      </c>
      <c r="AN37" s="3">
        <v>0</v>
      </c>
      <c r="AO37" s="3">
        <v>25.24</v>
      </c>
      <c r="AP37" s="3">
        <v>0</v>
      </c>
      <c r="AQ37" s="3">
        <v>2</v>
      </c>
      <c r="AR37" s="3">
        <v>0</v>
      </c>
      <c r="AS37" s="3">
        <v>0</v>
      </c>
      <c r="AT37" s="3">
        <v>95</v>
      </c>
      <c r="AU37" s="3">
        <v>53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</v>
      </c>
      <c r="BC37" s="3">
        <v>7.17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56</v>
      </c>
      <c r="BM37" s="3">
        <v>69</v>
      </c>
      <c r="BN37" s="3">
        <v>0</v>
      </c>
      <c r="BO37" s="3" t="s">
        <v>54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95</v>
      </c>
      <c r="CA37" s="3">
        <v>53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350</v>
      </c>
      <c r="CO37" s="3">
        <v>0</v>
      </c>
      <c r="CP37" s="3">
        <f t="shared" si="41"/>
        <v>535.89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535.89</v>
      </c>
      <c r="CU37" s="3">
        <f t="shared" si="46"/>
        <v>0</v>
      </c>
      <c r="CV37" s="3">
        <f t="shared" si="47"/>
        <v>0.75383999999999995</v>
      </c>
      <c r="CW37" s="3">
        <f t="shared" si="48"/>
        <v>0</v>
      </c>
      <c r="CX37" s="3">
        <f t="shared" si="49"/>
        <v>0</v>
      </c>
      <c r="CY37" s="3">
        <f t="shared" si="50"/>
        <v>509.1</v>
      </c>
      <c r="CZ37" s="3">
        <f t="shared" si="51"/>
        <v>284.02</v>
      </c>
      <c r="DB37" s="3">
        <v>19</v>
      </c>
      <c r="DC37" s="3" t="s">
        <v>3</v>
      </c>
      <c r="DD37" s="3" t="s">
        <v>30</v>
      </c>
      <c r="DE37" s="3" t="s">
        <v>31</v>
      </c>
      <c r="DF37" s="3" t="s">
        <v>31</v>
      </c>
      <c r="DG37" s="3" t="s">
        <v>31</v>
      </c>
      <c r="DH37" s="3" t="s">
        <v>3</v>
      </c>
      <c r="DI37" s="3" t="s">
        <v>31</v>
      </c>
      <c r="DJ37" s="3" t="s">
        <v>31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28</v>
      </c>
      <c r="DW37" s="3" t="s">
        <v>32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55393973</v>
      </c>
      <c r="EF37" s="3">
        <v>40</v>
      </c>
      <c r="EG37" s="3" t="s">
        <v>33</v>
      </c>
      <c r="EH37" s="3">
        <v>0</v>
      </c>
      <c r="EI37" s="3" t="s">
        <v>3</v>
      </c>
      <c r="EJ37" s="3">
        <v>2</v>
      </c>
      <c r="EK37" s="3">
        <v>69</v>
      </c>
      <c r="EL37" s="3" t="s">
        <v>51</v>
      </c>
      <c r="EM37" s="3" t="s">
        <v>52</v>
      </c>
      <c r="EO37" s="3" t="s">
        <v>36</v>
      </c>
      <c r="EQ37" s="3">
        <v>0</v>
      </c>
      <c r="ER37" s="3">
        <v>32.96</v>
      </c>
      <c r="ES37" s="3">
        <v>7.72</v>
      </c>
      <c r="ET37" s="3">
        <v>0</v>
      </c>
      <c r="EU37" s="3">
        <v>0</v>
      </c>
      <c r="EV37" s="3">
        <v>25.24</v>
      </c>
      <c r="EW37" s="3">
        <v>2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95</v>
      </c>
      <c r="FY37" s="3">
        <v>53</v>
      </c>
      <c r="GA37" s="3" t="s">
        <v>3</v>
      </c>
      <c r="GD37" s="3">
        <v>1</v>
      </c>
      <c r="GF37" s="3">
        <v>826094471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1329.01</v>
      </c>
      <c r="GN37" s="3">
        <f t="shared" si="54"/>
        <v>0</v>
      </c>
      <c r="GO37" s="3">
        <f t="shared" si="55"/>
        <v>1329.01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57</v>
      </c>
      <c r="F38" s="2" t="s">
        <v>58</v>
      </c>
      <c r="G38" s="2" t="s">
        <v>59</v>
      </c>
      <c r="H38" s="2" t="s">
        <v>60</v>
      </c>
      <c r="I38" s="2">
        <f>ROUND(31/10,9)</f>
        <v>3.1</v>
      </c>
      <c r="J38" s="2">
        <v>0</v>
      </c>
      <c r="K38" s="2">
        <f>ROUND(31/10,9)</f>
        <v>3.1</v>
      </c>
      <c r="L38" s="2"/>
      <c r="M38" s="2"/>
      <c r="N38" s="2"/>
      <c r="O38" s="2">
        <f t="shared" si="21"/>
        <v>272.83999999999997</v>
      </c>
      <c r="P38" s="2">
        <f t="shared" si="22"/>
        <v>0</v>
      </c>
      <c r="Q38" s="2">
        <f t="shared" si="23"/>
        <v>7.09</v>
      </c>
      <c r="R38" s="2">
        <f t="shared" si="24"/>
        <v>0.89</v>
      </c>
      <c r="S38" s="2">
        <f t="shared" si="25"/>
        <v>265.75</v>
      </c>
      <c r="T38" s="2">
        <f t="shared" si="26"/>
        <v>0</v>
      </c>
      <c r="U38" s="2">
        <f t="shared" si="27"/>
        <v>17.106137280000002</v>
      </c>
      <c r="V38" s="2">
        <f t="shared" si="28"/>
        <v>0</v>
      </c>
      <c r="W38" s="2">
        <f t="shared" si="29"/>
        <v>0</v>
      </c>
      <c r="X38" s="2">
        <f t="shared" si="30"/>
        <v>239.98</v>
      </c>
      <c r="Y38" s="2">
        <f t="shared" si="31"/>
        <v>122.65</v>
      </c>
      <c r="Z38" s="2"/>
      <c r="AA38" s="2">
        <v>55943566</v>
      </c>
      <c r="AB38" s="2">
        <f t="shared" si="32"/>
        <v>84.063599999999994</v>
      </c>
      <c r="AC38" s="2">
        <f t="shared" si="33"/>
        <v>0</v>
      </c>
      <c r="AD38" s="2">
        <f t="shared" si="34"/>
        <v>2.1852</v>
      </c>
      <c r="AE38" s="2">
        <f t="shared" si="35"/>
        <v>0.27360000000000001</v>
      </c>
      <c r="AF38" s="2">
        <f t="shared" si="36"/>
        <v>81.878399999999999</v>
      </c>
      <c r="AG38" s="2">
        <f t="shared" si="37"/>
        <v>0</v>
      </c>
      <c r="AH38" s="2">
        <f t="shared" si="38"/>
        <v>5.2704000000000004</v>
      </c>
      <c r="AI38" s="2">
        <f t="shared" si="39"/>
        <v>0</v>
      </c>
      <c r="AJ38" s="2">
        <f t="shared" si="40"/>
        <v>0</v>
      </c>
      <c r="AK38" s="2">
        <v>235.95</v>
      </c>
      <c r="AL38" s="2">
        <v>2.44</v>
      </c>
      <c r="AM38" s="2">
        <v>6.07</v>
      </c>
      <c r="AN38" s="2">
        <v>0.76</v>
      </c>
      <c r="AO38" s="2">
        <v>227.44</v>
      </c>
      <c r="AP38" s="2">
        <v>0</v>
      </c>
      <c r="AQ38" s="2">
        <v>14.64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61</v>
      </c>
      <c r="BK38" s="2"/>
      <c r="BL38" s="2"/>
      <c r="BM38" s="2">
        <v>68</v>
      </c>
      <c r="BN38" s="2">
        <v>0</v>
      </c>
      <c r="BO38" s="2" t="s">
        <v>58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350</v>
      </c>
      <c r="CO38" s="2">
        <v>0</v>
      </c>
      <c r="CP38" s="2">
        <f t="shared" si="41"/>
        <v>272.83999999999997</v>
      </c>
      <c r="CQ38" s="2">
        <f t="shared" si="42"/>
        <v>0</v>
      </c>
      <c r="CR38" s="2">
        <f t="shared" si="43"/>
        <v>2.29</v>
      </c>
      <c r="CS38" s="2">
        <f t="shared" si="44"/>
        <v>0.28999999999999998</v>
      </c>
      <c r="CT38" s="2">
        <f t="shared" si="45"/>
        <v>85.73</v>
      </c>
      <c r="CU38" s="2">
        <f t="shared" si="46"/>
        <v>0</v>
      </c>
      <c r="CV38" s="2">
        <f t="shared" si="47"/>
        <v>5.5181088000000003</v>
      </c>
      <c r="CW38" s="2">
        <f t="shared" si="48"/>
        <v>0</v>
      </c>
      <c r="CX38" s="2">
        <f t="shared" si="49"/>
        <v>0</v>
      </c>
      <c r="CY38" s="2">
        <f t="shared" si="50"/>
        <v>239.44</v>
      </c>
      <c r="CZ38" s="2">
        <f t="shared" si="51"/>
        <v>122.38</v>
      </c>
      <c r="DA38" s="2"/>
      <c r="DB38" s="2">
        <v>21</v>
      </c>
      <c r="DC38" s="2" t="s">
        <v>3</v>
      </c>
      <c r="DD38" s="2" t="s">
        <v>30</v>
      </c>
      <c r="DE38" s="2" t="s">
        <v>31</v>
      </c>
      <c r="DF38" s="2" t="s">
        <v>31</v>
      </c>
      <c r="DG38" s="2" t="s">
        <v>31</v>
      </c>
      <c r="DH38" s="2" t="s">
        <v>3</v>
      </c>
      <c r="DI38" s="2" t="s">
        <v>31</v>
      </c>
      <c r="DJ38" s="2" t="s">
        <v>31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60</v>
      </c>
      <c r="DW38" s="2" t="s">
        <v>60</v>
      </c>
      <c r="DX38" s="2">
        <v>10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55393972</v>
      </c>
      <c r="EF38" s="2">
        <v>40</v>
      </c>
      <c r="EG38" s="2" t="s">
        <v>33</v>
      </c>
      <c r="EH38" s="2">
        <v>0</v>
      </c>
      <c r="EI38" s="2" t="s">
        <v>3</v>
      </c>
      <c r="EJ38" s="2">
        <v>2</v>
      </c>
      <c r="EK38" s="2">
        <v>68</v>
      </c>
      <c r="EL38" s="2" t="s">
        <v>41</v>
      </c>
      <c r="EM38" s="2" t="s">
        <v>42</v>
      </c>
      <c r="EN38" s="2"/>
      <c r="EO38" s="2" t="s">
        <v>36</v>
      </c>
      <c r="EP38" s="2"/>
      <c r="EQ38" s="2">
        <v>0</v>
      </c>
      <c r="ER38" s="2">
        <v>235.95</v>
      </c>
      <c r="ES38" s="2">
        <v>2.44</v>
      </c>
      <c r="ET38" s="2">
        <v>6.07</v>
      </c>
      <c r="EU38" s="2">
        <v>0.76</v>
      </c>
      <c r="EV38" s="2">
        <v>227.44</v>
      </c>
      <c r="EW38" s="2">
        <v>14.64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1087320022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635.47</v>
      </c>
      <c r="GN38" s="2">
        <f t="shared" si="54"/>
        <v>0</v>
      </c>
      <c r="GO38" s="2">
        <f t="shared" si="55"/>
        <v>635.47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E39" s="3" t="s">
        <v>57</v>
      </c>
      <c r="F39" s="3" t="s">
        <v>58</v>
      </c>
      <c r="G39" s="3" t="s">
        <v>59</v>
      </c>
      <c r="H39" s="3" t="s">
        <v>60</v>
      </c>
      <c r="I39" s="3">
        <f>ROUND(31/10,9)</f>
        <v>3.1</v>
      </c>
      <c r="J39" s="3">
        <v>0</v>
      </c>
      <c r="K39" s="3">
        <f>ROUND(31/10,9)</f>
        <v>3.1</v>
      </c>
      <c r="O39" s="3">
        <f t="shared" si="21"/>
        <v>15086.54</v>
      </c>
      <c r="P39" s="3">
        <f t="shared" si="22"/>
        <v>0</v>
      </c>
      <c r="Q39" s="3">
        <f t="shared" si="23"/>
        <v>111.53</v>
      </c>
      <c r="R39" s="3">
        <f t="shared" si="24"/>
        <v>50.15</v>
      </c>
      <c r="S39" s="3">
        <f t="shared" si="25"/>
        <v>14975.01</v>
      </c>
      <c r="T39" s="3">
        <f t="shared" si="26"/>
        <v>0</v>
      </c>
      <c r="U39" s="3">
        <f t="shared" si="27"/>
        <v>17.106137280000002</v>
      </c>
      <c r="V39" s="3">
        <f t="shared" si="28"/>
        <v>0</v>
      </c>
      <c r="W39" s="3">
        <f t="shared" si="29"/>
        <v>0</v>
      </c>
      <c r="X39" s="3">
        <f t="shared" si="30"/>
        <v>13522.64</v>
      </c>
      <c r="Y39" s="3">
        <f t="shared" si="31"/>
        <v>6911.57</v>
      </c>
      <c r="AA39" s="3">
        <v>55943568</v>
      </c>
      <c r="AB39" s="3">
        <f t="shared" si="32"/>
        <v>84.063599999999994</v>
      </c>
      <c r="AC39" s="3">
        <f t="shared" si="33"/>
        <v>0</v>
      </c>
      <c r="AD39" s="3">
        <f t="shared" si="34"/>
        <v>2.1852</v>
      </c>
      <c r="AE39" s="3">
        <f t="shared" si="35"/>
        <v>0.27360000000000001</v>
      </c>
      <c r="AF39" s="3">
        <f t="shared" si="36"/>
        <v>81.878399999999999</v>
      </c>
      <c r="AG39" s="3">
        <f t="shared" si="37"/>
        <v>0</v>
      </c>
      <c r="AH39" s="3">
        <f t="shared" si="38"/>
        <v>5.2704000000000004</v>
      </c>
      <c r="AI39" s="3">
        <f t="shared" si="39"/>
        <v>0</v>
      </c>
      <c r="AJ39" s="3">
        <f t="shared" si="40"/>
        <v>0</v>
      </c>
      <c r="AK39" s="3">
        <v>235.95</v>
      </c>
      <c r="AL39" s="3">
        <v>2.44</v>
      </c>
      <c r="AM39" s="3">
        <v>6.07</v>
      </c>
      <c r="AN39" s="3">
        <v>0.76</v>
      </c>
      <c r="AO39" s="3">
        <v>227.44</v>
      </c>
      <c r="AP39" s="3">
        <v>0</v>
      </c>
      <c r="AQ39" s="3">
        <v>14.64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15.73</v>
      </c>
      <c r="BC39" s="3">
        <v>7.61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61</v>
      </c>
      <c r="BM39" s="3">
        <v>68</v>
      </c>
      <c r="BN39" s="3">
        <v>0</v>
      </c>
      <c r="BO39" s="3" t="s">
        <v>58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350</v>
      </c>
      <c r="CO39" s="3">
        <v>0</v>
      </c>
      <c r="CP39" s="3">
        <f t="shared" si="41"/>
        <v>15086.54</v>
      </c>
      <c r="CQ39" s="3">
        <f t="shared" si="42"/>
        <v>0</v>
      </c>
      <c r="CR39" s="3">
        <f t="shared" si="43"/>
        <v>36.020000000000003</v>
      </c>
      <c r="CS39" s="3">
        <f t="shared" si="44"/>
        <v>16.34</v>
      </c>
      <c r="CT39" s="3">
        <f t="shared" si="45"/>
        <v>4830.8900000000003</v>
      </c>
      <c r="CU39" s="3">
        <f t="shared" si="46"/>
        <v>0</v>
      </c>
      <c r="CV39" s="3">
        <f t="shared" si="47"/>
        <v>5.5181088000000003</v>
      </c>
      <c r="CW39" s="3">
        <f t="shared" si="48"/>
        <v>0</v>
      </c>
      <c r="CX39" s="3">
        <f t="shared" si="49"/>
        <v>0</v>
      </c>
      <c r="CY39" s="3">
        <f t="shared" si="50"/>
        <v>13492.22</v>
      </c>
      <c r="CZ39" s="3">
        <f t="shared" si="51"/>
        <v>6896.02</v>
      </c>
      <c r="DB39" s="3">
        <v>23</v>
      </c>
      <c r="DC39" s="3" t="s">
        <v>3</v>
      </c>
      <c r="DD39" s="3" t="s">
        <v>30</v>
      </c>
      <c r="DE39" s="3" t="s">
        <v>31</v>
      </c>
      <c r="DF39" s="3" t="s">
        <v>31</v>
      </c>
      <c r="DG39" s="3" t="s">
        <v>31</v>
      </c>
      <c r="DH39" s="3" t="s">
        <v>3</v>
      </c>
      <c r="DI39" s="3" t="s">
        <v>31</v>
      </c>
      <c r="DJ39" s="3" t="s">
        <v>31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60</v>
      </c>
      <c r="DW39" s="3" t="s">
        <v>60</v>
      </c>
      <c r="DX39" s="3">
        <v>10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55393972</v>
      </c>
      <c r="EF39" s="3">
        <v>40</v>
      </c>
      <c r="EG39" s="3" t="s">
        <v>33</v>
      </c>
      <c r="EH39" s="3">
        <v>0</v>
      </c>
      <c r="EI39" s="3" t="s">
        <v>3</v>
      </c>
      <c r="EJ39" s="3">
        <v>2</v>
      </c>
      <c r="EK39" s="3">
        <v>68</v>
      </c>
      <c r="EL39" s="3" t="s">
        <v>41</v>
      </c>
      <c r="EM39" s="3" t="s">
        <v>42</v>
      </c>
      <c r="EO39" s="3" t="s">
        <v>36</v>
      </c>
      <c r="EQ39" s="3">
        <v>0</v>
      </c>
      <c r="ER39" s="3">
        <v>235.95</v>
      </c>
      <c r="ES39" s="3">
        <v>2.44</v>
      </c>
      <c r="ET39" s="3">
        <v>6.07</v>
      </c>
      <c r="EU39" s="3">
        <v>0.76</v>
      </c>
      <c r="EV39" s="3">
        <v>227.44</v>
      </c>
      <c r="EW39" s="3">
        <v>14.64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1087320022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35520.75</v>
      </c>
      <c r="GN39" s="3">
        <f t="shared" si="54"/>
        <v>0</v>
      </c>
      <c r="GO39" s="3">
        <f t="shared" si="55"/>
        <v>35520.75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62</v>
      </c>
      <c r="F40" s="2" t="s">
        <v>63</v>
      </c>
      <c r="G40" s="2" t="s">
        <v>64</v>
      </c>
      <c r="H40" s="2" t="s">
        <v>28</v>
      </c>
      <c r="I40" s="2">
        <v>2</v>
      </c>
      <c r="J40" s="2">
        <v>0</v>
      </c>
      <c r="K40" s="2">
        <v>2</v>
      </c>
      <c r="L40" s="2"/>
      <c r="M40" s="2"/>
      <c r="N40" s="2"/>
      <c r="O40" s="2">
        <f t="shared" si="21"/>
        <v>14.3</v>
      </c>
      <c r="P40" s="2">
        <f t="shared" si="22"/>
        <v>0</v>
      </c>
      <c r="Q40" s="2">
        <f t="shared" si="23"/>
        <v>0.02</v>
      </c>
      <c r="R40" s="2">
        <f t="shared" si="24"/>
        <v>0</v>
      </c>
      <c r="S40" s="2">
        <f t="shared" si="25"/>
        <v>14.28</v>
      </c>
      <c r="T40" s="2">
        <f t="shared" si="26"/>
        <v>0</v>
      </c>
      <c r="U40" s="2">
        <f t="shared" si="27"/>
        <v>1.0252224000000001</v>
      </c>
      <c r="V40" s="2">
        <f t="shared" si="28"/>
        <v>0</v>
      </c>
      <c r="W40" s="2">
        <f t="shared" si="29"/>
        <v>0</v>
      </c>
      <c r="X40" s="2">
        <f t="shared" si="30"/>
        <v>12.85</v>
      </c>
      <c r="Y40" s="2">
        <f t="shared" si="31"/>
        <v>6.57</v>
      </c>
      <c r="Z40" s="2"/>
      <c r="AA40" s="2">
        <v>55943566</v>
      </c>
      <c r="AB40" s="2">
        <f t="shared" si="32"/>
        <v>6.8255999999999997</v>
      </c>
      <c r="AC40" s="2">
        <f t="shared" si="33"/>
        <v>0</v>
      </c>
      <c r="AD40" s="2">
        <f t="shared" si="34"/>
        <v>7.1999999999999998E-3</v>
      </c>
      <c r="AE40" s="2">
        <f t="shared" si="35"/>
        <v>0</v>
      </c>
      <c r="AF40" s="2">
        <f t="shared" si="36"/>
        <v>6.8183999999999996</v>
      </c>
      <c r="AG40" s="2">
        <f t="shared" si="37"/>
        <v>0</v>
      </c>
      <c r="AH40" s="2">
        <f t="shared" si="38"/>
        <v>0.48960000000000004</v>
      </c>
      <c r="AI40" s="2">
        <f t="shared" si="39"/>
        <v>0</v>
      </c>
      <c r="AJ40" s="2">
        <f t="shared" si="40"/>
        <v>0</v>
      </c>
      <c r="AK40" s="2">
        <v>21.3</v>
      </c>
      <c r="AL40" s="2">
        <v>2.34</v>
      </c>
      <c r="AM40" s="2">
        <v>0.02</v>
      </c>
      <c r="AN40" s="2">
        <v>0</v>
      </c>
      <c r="AO40" s="2">
        <v>18.940000000000001</v>
      </c>
      <c r="AP40" s="2">
        <v>0</v>
      </c>
      <c r="AQ40" s="2">
        <v>1.36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65</v>
      </c>
      <c r="BK40" s="2"/>
      <c r="BL40" s="2"/>
      <c r="BM40" s="2">
        <v>68</v>
      </c>
      <c r="BN40" s="2">
        <v>0</v>
      </c>
      <c r="BO40" s="2" t="s">
        <v>63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350</v>
      </c>
      <c r="CO40" s="2">
        <v>0</v>
      </c>
      <c r="CP40" s="2">
        <f t="shared" si="41"/>
        <v>14.299999999999999</v>
      </c>
      <c r="CQ40" s="2">
        <f t="shared" si="42"/>
        <v>0</v>
      </c>
      <c r="CR40" s="2">
        <f t="shared" si="43"/>
        <v>0.01</v>
      </c>
      <c r="CS40" s="2">
        <f t="shared" si="44"/>
        <v>0</v>
      </c>
      <c r="CT40" s="2">
        <f t="shared" si="45"/>
        <v>7.14</v>
      </c>
      <c r="CU40" s="2">
        <f t="shared" si="46"/>
        <v>0</v>
      </c>
      <c r="CV40" s="2">
        <f t="shared" si="47"/>
        <v>0.51261120000000004</v>
      </c>
      <c r="CW40" s="2">
        <f t="shared" si="48"/>
        <v>0</v>
      </c>
      <c r="CX40" s="2">
        <f t="shared" si="49"/>
        <v>0</v>
      </c>
      <c r="CY40" s="2">
        <f t="shared" si="50"/>
        <v>12.85</v>
      </c>
      <c r="CZ40" s="2">
        <f t="shared" si="51"/>
        <v>6.57</v>
      </c>
      <c r="DA40" s="2"/>
      <c r="DB40" s="2">
        <v>25</v>
      </c>
      <c r="DC40" s="2" t="s">
        <v>3</v>
      </c>
      <c r="DD40" s="2" t="s">
        <v>30</v>
      </c>
      <c r="DE40" s="2" t="s">
        <v>31</v>
      </c>
      <c r="DF40" s="2" t="s">
        <v>31</v>
      </c>
      <c r="DG40" s="2" t="s">
        <v>31</v>
      </c>
      <c r="DH40" s="2" t="s">
        <v>3</v>
      </c>
      <c r="DI40" s="2" t="s">
        <v>31</v>
      </c>
      <c r="DJ40" s="2" t="s">
        <v>31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28</v>
      </c>
      <c r="DW40" s="2" t="s">
        <v>32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55393972</v>
      </c>
      <c r="EF40" s="2">
        <v>40</v>
      </c>
      <c r="EG40" s="2" t="s">
        <v>33</v>
      </c>
      <c r="EH40" s="2">
        <v>0</v>
      </c>
      <c r="EI40" s="2" t="s">
        <v>3</v>
      </c>
      <c r="EJ40" s="2">
        <v>2</v>
      </c>
      <c r="EK40" s="2">
        <v>68</v>
      </c>
      <c r="EL40" s="2" t="s">
        <v>41</v>
      </c>
      <c r="EM40" s="2" t="s">
        <v>42</v>
      </c>
      <c r="EN40" s="2"/>
      <c r="EO40" s="2" t="s">
        <v>36</v>
      </c>
      <c r="EP40" s="2"/>
      <c r="EQ40" s="2">
        <v>0</v>
      </c>
      <c r="ER40" s="2">
        <v>21.3</v>
      </c>
      <c r="ES40" s="2">
        <v>2.34</v>
      </c>
      <c r="ET40" s="2">
        <v>0.02</v>
      </c>
      <c r="EU40" s="2">
        <v>0</v>
      </c>
      <c r="EV40" s="2">
        <v>18.940000000000001</v>
      </c>
      <c r="EW40" s="2">
        <v>1.36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255067873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33.72</v>
      </c>
      <c r="GN40" s="2">
        <f t="shared" si="54"/>
        <v>0</v>
      </c>
      <c r="GO40" s="2">
        <f t="shared" si="55"/>
        <v>33.72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E41" s="3" t="s">
        <v>62</v>
      </c>
      <c r="F41" s="3" t="s">
        <v>63</v>
      </c>
      <c r="G41" s="3" t="s">
        <v>64</v>
      </c>
      <c r="H41" s="3" t="s">
        <v>28</v>
      </c>
      <c r="I41" s="3">
        <v>2</v>
      </c>
      <c r="J41" s="3">
        <v>0</v>
      </c>
      <c r="K41" s="3">
        <v>2</v>
      </c>
      <c r="O41" s="3">
        <f t="shared" si="21"/>
        <v>804.9</v>
      </c>
      <c r="P41" s="3">
        <f t="shared" si="22"/>
        <v>0</v>
      </c>
      <c r="Q41" s="3">
        <f t="shared" si="23"/>
        <v>0.22</v>
      </c>
      <c r="R41" s="3">
        <f t="shared" si="24"/>
        <v>0</v>
      </c>
      <c r="S41" s="3">
        <f t="shared" si="25"/>
        <v>804.68</v>
      </c>
      <c r="T41" s="3">
        <f t="shared" si="26"/>
        <v>0</v>
      </c>
      <c r="U41" s="3">
        <f t="shared" si="27"/>
        <v>1.0252224000000001</v>
      </c>
      <c r="V41" s="3">
        <f t="shared" si="28"/>
        <v>0</v>
      </c>
      <c r="W41" s="3">
        <f t="shared" si="29"/>
        <v>0</v>
      </c>
      <c r="X41" s="3">
        <f t="shared" si="30"/>
        <v>724.21</v>
      </c>
      <c r="Y41" s="3">
        <f t="shared" si="31"/>
        <v>370.15</v>
      </c>
      <c r="AA41" s="3">
        <v>55943568</v>
      </c>
      <c r="AB41" s="3">
        <f t="shared" si="32"/>
        <v>6.8255999999999997</v>
      </c>
      <c r="AC41" s="3">
        <f t="shared" si="33"/>
        <v>0</v>
      </c>
      <c r="AD41" s="3">
        <f t="shared" si="34"/>
        <v>7.1999999999999998E-3</v>
      </c>
      <c r="AE41" s="3">
        <f t="shared" si="35"/>
        <v>0</v>
      </c>
      <c r="AF41" s="3">
        <f t="shared" si="36"/>
        <v>6.8183999999999996</v>
      </c>
      <c r="AG41" s="3">
        <f t="shared" si="37"/>
        <v>0</v>
      </c>
      <c r="AH41" s="3">
        <f t="shared" si="38"/>
        <v>0.48960000000000004</v>
      </c>
      <c r="AI41" s="3">
        <f t="shared" si="39"/>
        <v>0</v>
      </c>
      <c r="AJ41" s="3">
        <f t="shared" si="40"/>
        <v>0</v>
      </c>
      <c r="AK41" s="3">
        <v>21.3</v>
      </c>
      <c r="AL41" s="3">
        <v>2.34</v>
      </c>
      <c r="AM41" s="3">
        <v>0.02</v>
      </c>
      <c r="AN41" s="3">
        <v>0</v>
      </c>
      <c r="AO41" s="3">
        <v>18.940000000000001</v>
      </c>
      <c r="AP41" s="3">
        <v>0</v>
      </c>
      <c r="AQ41" s="3">
        <v>1.36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11</v>
      </c>
      <c r="BC41" s="3">
        <v>10.24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65</v>
      </c>
      <c r="BM41" s="3">
        <v>68</v>
      </c>
      <c r="BN41" s="3">
        <v>0</v>
      </c>
      <c r="BO41" s="3" t="s">
        <v>63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350</v>
      </c>
      <c r="CO41" s="3">
        <v>0</v>
      </c>
      <c r="CP41" s="3">
        <f t="shared" si="41"/>
        <v>804.9</v>
      </c>
      <c r="CQ41" s="3">
        <f t="shared" si="42"/>
        <v>0</v>
      </c>
      <c r="CR41" s="3">
        <f t="shared" si="43"/>
        <v>0.11</v>
      </c>
      <c r="CS41" s="3">
        <f t="shared" si="44"/>
        <v>0</v>
      </c>
      <c r="CT41" s="3">
        <f t="shared" si="45"/>
        <v>402.34</v>
      </c>
      <c r="CU41" s="3">
        <f t="shared" si="46"/>
        <v>0</v>
      </c>
      <c r="CV41" s="3">
        <f t="shared" si="47"/>
        <v>0.51261120000000004</v>
      </c>
      <c r="CW41" s="3">
        <f t="shared" si="48"/>
        <v>0</v>
      </c>
      <c r="CX41" s="3">
        <f t="shared" si="49"/>
        <v>0</v>
      </c>
      <c r="CY41" s="3">
        <f t="shared" si="50"/>
        <v>724.21</v>
      </c>
      <c r="CZ41" s="3">
        <f t="shared" si="51"/>
        <v>370.15</v>
      </c>
      <c r="DB41" s="3">
        <v>27</v>
      </c>
      <c r="DC41" s="3" t="s">
        <v>3</v>
      </c>
      <c r="DD41" s="3" t="s">
        <v>30</v>
      </c>
      <c r="DE41" s="3" t="s">
        <v>31</v>
      </c>
      <c r="DF41" s="3" t="s">
        <v>31</v>
      </c>
      <c r="DG41" s="3" t="s">
        <v>31</v>
      </c>
      <c r="DH41" s="3" t="s">
        <v>3</v>
      </c>
      <c r="DI41" s="3" t="s">
        <v>31</v>
      </c>
      <c r="DJ41" s="3" t="s">
        <v>31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28</v>
      </c>
      <c r="DW41" s="3" t="s">
        <v>32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55393972</v>
      </c>
      <c r="EF41" s="3">
        <v>40</v>
      </c>
      <c r="EG41" s="3" t="s">
        <v>33</v>
      </c>
      <c r="EH41" s="3">
        <v>0</v>
      </c>
      <c r="EI41" s="3" t="s">
        <v>3</v>
      </c>
      <c r="EJ41" s="3">
        <v>2</v>
      </c>
      <c r="EK41" s="3">
        <v>68</v>
      </c>
      <c r="EL41" s="3" t="s">
        <v>41</v>
      </c>
      <c r="EM41" s="3" t="s">
        <v>42</v>
      </c>
      <c r="EO41" s="3" t="s">
        <v>36</v>
      </c>
      <c r="EQ41" s="3">
        <v>0</v>
      </c>
      <c r="ER41" s="3">
        <v>21.3</v>
      </c>
      <c r="ES41" s="3">
        <v>2.34</v>
      </c>
      <c r="ET41" s="3">
        <v>0.02</v>
      </c>
      <c r="EU41" s="3">
        <v>0</v>
      </c>
      <c r="EV41" s="3">
        <v>18.940000000000001</v>
      </c>
      <c r="EW41" s="3">
        <v>1.36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255067873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1899.26</v>
      </c>
      <c r="GN41" s="3">
        <f t="shared" si="54"/>
        <v>0</v>
      </c>
      <c r="GO41" s="3">
        <f t="shared" si="55"/>
        <v>1899.26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66</v>
      </c>
      <c r="F42" s="2" t="s">
        <v>67</v>
      </c>
      <c r="G42" s="2" t="s">
        <v>68</v>
      </c>
      <c r="H42" s="2" t="s">
        <v>28</v>
      </c>
      <c r="I42" s="2">
        <v>4</v>
      </c>
      <c r="J42" s="2">
        <v>0</v>
      </c>
      <c r="K42" s="2">
        <v>4</v>
      </c>
      <c r="L42" s="2"/>
      <c r="M42" s="2"/>
      <c r="N42" s="2"/>
      <c r="O42" s="2">
        <f t="shared" si="21"/>
        <v>39.200000000000003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39.200000000000003</v>
      </c>
      <c r="T42" s="2">
        <f t="shared" si="26"/>
        <v>0</v>
      </c>
      <c r="U42" s="2">
        <f t="shared" si="27"/>
        <v>3.1058207999999996</v>
      </c>
      <c r="V42" s="2">
        <f t="shared" si="28"/>
        <v>0</v>
      </c>
      <c r="W42" s="2">
        <f t="shared" si="29"/>
        <v>0</v>
      </c>
      <c r="X42" s="2">
        <f t="shared" si="30"/>
        <v>38.020000000000003</v>
      </c>
      <c r="Y42" s="2">
        <f t="shared" si="31"/>
        <v>19.989999999999998</v>
      </c>
      <c r="Z42" s="2"/>
      <c r="AA42" s="2">
        <v>55943566</v>
      </c>
      <c r="AB42" s="2">
        <f t="shared" si="32"/>
        <v>9.36</v>
      </c>
      <c r="AC42" s="2">
        <f t="shared" si="33"/>
        <v>0</v>
      </c>
      <c r="AD42" s="2">
        <f t="shared" si="34"/>
        <v>0</v>
      </c>
      <c r="AE42" s="2">
        <f t="shared" si="35"/>
        <v>0</v>
      </c>
      <c r="AF42" s="2">
        <f t="shared" si="36"/>
        <v>9.36</v>
      </c>
      <c r="AG42" s="2">
        <f t="shared" si="37"/>
        <v>0</v>
      </c>
      <c r="AH42" s="2">
        <f t="shared" si="38"/>
        <v>0.74159999999999993</v>
      </c>
      <c r="AI42" s="2">
        <f t="shared" si="39"/>
        <v>0</v>
      </c>
      <c r="AJ42" s="2">
        <f t="shared" si="40"/>
        <v>0</v>
      </c>
      <c r="AK42" s="2">
        <v>49.04</v>
      </c>
      <c r="AL42" s="2">
        <v>23.04</v>
      </c>
      <c r="AM42" s="2">
        <v>0</v>
      </c>
      <c r="AN42" s="2">
        <v>0</v>
      </c>
      <c r="AO42" s="2">
        <v>26</v>
      </c>
      <c r="AP42" s="2">
        <v>0</v>
      </c>
      <c r="AQ42" s="2">
        <v>2.06</v>
      </c>
      <c r="AR42" s="2">
        <v>0</v>
      </c>
      <c r="AS42" s="2">
        <v>0</v>
      </c>
      <c r="AT42" s="2">
        <v>97</v>
      </c>
      <c r="AU42" s="2">
        <v>51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69</v>
      </c>
      <c r="BK42" s="2"/>
      <c r="BL42" s="2"/>
      <c r="BM42" s="2">
        <v>67</v>
      </c>
      <c r="BN42" s="2">
        <v>0</v>
      </c>
      <c r="BO42" s="2" t="s">
        <v>67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97</v>
      </c>
      <c r="CA42" s="2">
        <v>51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350</v>
      </c>
      <c r="CO42" s="2">
        <v>0</v>
      </c>
      <c r="CP42" s="2">
        <f t="shared" si="41"/>
        <v>39.200000000000003</v>
      </c>
      <c r="CQ42" s="2">
        <f t="shared" si="42"/>
        <v>0</v>
      </c>
      <c r="CR42" s="2">
        <f t="shared" si="43"/>
        <v>0</v>
      </c>
      <c r="CS42" s="2">
        <f t="shared" si="44"/>
        <v>0</v>
      </c>
      <c r="CT42" s="2">
        <f t="shared" si="45"/>
        <v>9.8000000000000007</v>
      </c>
      <c r="CU42" s="2">
        <f t="shared" si="46"/>
        <v>0</v>
      </c>
      <c r="CV42" s="2">
        <f t="shared" si="47"/>
        <v>0.7764551999999999</v>
      </c>
      <c r="CW42" s="2">
        <f t="shared" si="48"/>
        <v>0</v>
      </c>
      <c r="CX42" s="2">
        <f t="shared" si="49"/>
        <v>0</v>
      </c>
      <c r="CY42" s="2">
        <f t="shared" si="50"/>
        <v>38.020000000000003</v>
      </c>
      <c r="CZ42" s="2">
        <f t="shared" si="51"/>
        <v>19.989999999999998</v>
      </c>
      <c r="DA42" s="2"/>
      <c r="DB42" s="2">
        <v>29</v>
      </c>
      <c r="DC42" s="2" t="s">
        <v>3</v>
      </c>
      <c r="DD42" s="2" t="s">
        <v>30</v>
      </c>
      <c r="DE42" s="2" t="s">
        <v>31</v>
      </c>
      <c r="DF42" s="2" t="s">
        <v>31</v>
      </c>
      <c r="DG42" s="2" t="s">
        <v>31</v>
      </c>
      <c r="DH42" s="2" t="s">
        <v>3</v>
      </c>
      <c r="DI42" s="2" t="s">
        <v>31</v>
      </c>
      <c r="DJ42" s="2" t="s">
        <v>31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28</v>
      </c>
      <c r="DW42" s="2" t="s">
        <v>32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55393971</v>
      </c>
      <c r="EF42" s="2">
        <v>40</v>
      </c>
      <c r="EG42" s="2" t="s">
        <v>33</v>
      </c>
      <c r="EH42" s="2">
        <v>0</v>
      </c>
      <c r="EI42" s="2" t="s">
        <v>3</v>
      </c>
      <c r="EJ42" s="2">
        <v>2</v>
      </c>
      <c r="EK42" s="2">
        <v>67</v>
      </c>
      <c r="EL42" s="2" t="s">
        <v>70</v>
      </c>
      <c r="EM42" s="2" t="s">
        <v>71</v>
      </c>
      <c r="EN42" s="2"/>
      <c r="EO42" s="2" t="s">
        <v>36</v>
      </c>
      <c r="EP42" s="2"/>
      <c r="EQ42" s="2">
        <v>0</v>
      </c>
      <c r="ER42" s="2">
        <v>49.04</v>
      </c>
      <c r="ES42" s="2">
        <v>23.04</v>
      </c>
      <c r="ET42" s="2">
        <v>0</v>
      </c>
      <c r="EU42" s="2">
        <v>0</v>
      </c>
      <c r="EV42" s="2">
        <v>26</v>
      </c>
      <c r="EW42" s="2">
        <v>2.06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97</v>
      </c>
      <c r="FY42" s="2">
        <v>51</v>
      </c>
      <c r="FZ42" s="2"/>
      <c r="GA42" s="2" t="s">
        <v>3</v>
      </c>
      <c r="GB42" s="2"/>
      <c r="GC42" s="2"/>
      <c r="GD42" s="2">
        <v>1</v>
      </c>
      <c r="GE42" s="2"/>
      <c r="GF42" s="2">
        <v>1505069591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97.21</v>
      </c>
      <c r="GN42" s="2">
        <f t="shared" si="54"/>
        <v>0</v>
      </c>
      <c r="GO42" s="2">
        <f t="shared" si="55"/>
        <v>97.21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E43" s="3" t="s">
        <v>66</v>
      </c>
      <c r="F43" s="3" t="s">
        <v>67</v>
      </c>
      <c r="G43" s="3" t="s">
        <v>68</v>
      </c>
      <c r="H43" s="3" t="s">
        <v>28</v>
      </c>
      <c r="I43" s="3">
        <v>4</v>
      </c>
      <c r="J43" s="3">
        <v>0</v>
      </c>
      <c r="K43" s="3">
        <v>4</v>
      </c>
      <c r="O43" s="3">
        <f t="shared" si="21"/>
        <v>2208.92</v>
      </c>
      <c r="P43" s="3">
        <f t="shared" si="22"/>
        <v>0</v>
      </c>
      <c r="Q43" s="3">
        <f t="shared" si="23"/>
        <v>0</v>
      </c>
      <c r="R43" s="3">
        <f t="shared" si="24"/>
        <v>0</v>
      </c>
      <c r="S43" s="3">
        <f t="shared" si="25"/>
        <v>2208.92</v>
      </c>
      <c r="T43" s="3">
        <f t="shared" si="26"/>
        <v>0</v>
      </c>
      <c r="U43" s="3">
        <f t="shared" si="27"/>
        <v>3.1058207999999996</v>
      </c>
      <c r="V43" s="3">
        <f t="shared" si="28"/>
        <v>0</v>
      </c>
      <c r="W43" s="3">
        <f t="shared" si="29"/>
        <v>0</v>
      </c>
      <c r="X43" s="3">
        <f t="shared" si="30"/>
        <v>2142.65</v>
      </c>
      <c r="Y43" s="3">
        <f t="shared" si="31"/>
        <v>1126.55</v>
      </c>
      <c r="AA43" s="3">
        <v>55943568</v>
      </c>
      <c r="AB43" s="3">
        <f t="shared" si="32"/>
        <v>9.36</v>
      </c>
      <c r="AC43" s="3">
        <f t="shared" si="33"/>
        <v>0</v>
      </c>
      <c r="AD43" s="3">
        <f t="shared" si="34"/>
        <v>0</v>
      </c>
      <c r="AE43" s="3">
        <f t="shared" si="35"/>
        <v>0</v>
      </c>
      <c r="AF43" s="3">
        <f t="shared" si="36"/>
        <v>9.36</v>
      </c>
      <c r="AG43" s="3">
        <f t="shared" si="37"/>
        <v>0</v>
      </c>
      <c r="AH43" s="3">
        <f t="shared" si="38"/>
        <v>0.74159999999999993</v>
      </c>
      <c r="AI43" s="3">
        <f t="shared" si="39"/>
        <v>0</v>
      </c>
      <c r="AJ43" s="3">
        <f t="shared" si="40"/>
        <v>0</v>
      </c>
      <c r="AK43" s="3">
        <v>49.04</v>
      </c>
      <c r="AL43" s="3">
        <v>23.04</v>
      </c>
      <c r="AM43" s="3">
        <v>0</v>
      </c>
      <c r="AN43" s="3">
        <v>0</v>
      </c>
      <c r="AO43" s="3">
        <v>26</v>
      </c>
      <c r="AP43" s="3">
        <v>0</v>
      </c>
      <c r="AQ43" s="3">
        <v>2.06</v>
      </c>
      <c r="AR43" s="3">
        <v>0</v>
      </c>
      <c r="AS43" s="3">
        <v>0</v>
      </c>
      <c r="AT43" s="3">
        <v>97</v>
      </c>
      <c r="AU43" s="3">
        <v>51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4.0599999999999996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69</v>
      </c>
      <c r="BM43" s="3">
        <v>67</v>
      </c>
      <c r="BN43" s="3">
        <v>0</v>
      </c>
      <c r="BO43" s="3" t="s">
        <v>67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97</v>
      </c>
      <c r="CA43" s="3">
        <v>51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350</v>
      </c>
      <c r="CO43" s="3">
        <v>0</v>
      </c>
      <c r="CP43" s="3">
        <f t="shared" si="41"/>
        <v>2208.92</v>
      </c>
      <c r="CQ43" s="3">
        <f t="shared" si="42"/>
        <v>0</v>
      </c>
      <c r="CR43" s="3">
        <f t="shared" si="43"/>
        <v>0</v>
      </c>
      <c r="CS43" s="3">
        <f t="shared" si="44"/>
        <v>0</v>
      </c>
      <c r="CT43" s="3">
        <f t="shared" si="45"/>
        <v>552.23</v>
      </c>
      <c r="CU43" s="3">
        <f t="shared" si="46"/>
        <v>0</v>
      </c>
      <c r="CV43" s="3">
        <f t="shared" si="47"/>
        <v>0.7764551999999999</v>
      </c>
      <c r="CW43" s="3">
        <f t="shared" si="48"/>
        <v>0</v>
      </c>
      <c r="CX43" s="3">
        <f t="shared" si="49"/>
        <v>0</v>
      </c>
      <c r="CY43" s="3">
        <f t="shared" si="50"/>
        <v>2142.65</v>
      </c>
      <c r="CZ43" s="3">
        <f t="shared" si="51"/>
        <v>1126.55</v>
      </c>
      <c r="DB43" s="3">
        <v>31</v>
      </c>
      <c r="DC43" s="3" t="s">
        <v>3</v>
      </c>
      <c r="DD43" s="3" t="s">
        <v>30</v>
      </c>
      <c r="DE43" s="3" t="s">
        <v>31</v>
      </c>
      <c r="DF43" s="3" t="s">
        <v>31</v>
      </c>
      <c r="DG43" s="3" t="s">
        <v>31</v>
      </c>
      <c r="DH43" s="3" t="s">
        <v>3</v>
      </c>
      <c r="DI43" s="3" t="s">
        <v>31</v>
      </c>
      <c r="DJ43" s="3" t="s">
        <v>31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28</v>
      </c>
      <c r="DW43" s="3" t="s">
        <v>32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55393971</v>
      </c>
      <c r="EF43" s="3">
        <v>40</v>
      </c>
      <c r="EG43" s="3" t="s">
        <v>33</v>
      </c>
      <c r="EH43" s="3">
        <v>0</v>
      </c>
      <c r="EI43" s="3" t="s">
        <v>3</v>
      </c>
      <c r="EJ43" s="3">
        <v>2</v>
      </c>
      <c r="EK43" s="3">
        <v>67</v>
      </c>
      <c r="EL43" s="3" t="s">
        <v>70</v>
      </c>
      <c r="EM43" s="3" t="s">
        <v>71</v>
      </c>
      <c r="EO43" s="3" t="s">
        <v>36</v>
      </c>
      <c r="EQ43" s="3">
        <v>0</v>
      </c>
      <c r="ER43" s="3">
        <v>49.04</v>
      </c>
      <c r="ES43" s="3">
        <v>23.04</v>
      </c>
      <c r="ET43" s="3">
        <v>0</v>
      </c>
      <c r="EU43" s="3">
        <v>0</v>
      </c>
      <c r="EV43" s="3">
        <v>26</v>
      </c>
      <c r="EW43" s="3">
        <v>2.06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97</v>
      </c>
      <c r="FY43" s="3">
        <v>51</v>
      </c>
      <c r="GA43" s="3" t="s">
        <v>3</v>
      </c>
      <c r="GD43" s="3">
        <v>1</v>
      </c>
      <c r="GF43" s="3">
        <v>1505069591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5478.12</v>
      </c>
      <c r="GN43" s="3">
        <f t="shared" si="54"/>
        <v>0</v>
      </c>
      <c r="GO43" s="3">
        <f t="shared" si="55"/>
        <v>5478.12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ROW(SmtRes!A2)</f>
        <v>2</v>
      </c>
      <c r="D44" s="2">
        <f>ROW(EtalonRes!A2)</f>
        <v>2</v>
      </c>
      <c r="E44" s="2" t="s">
        <v>72</v>
      </c>
      <c r="F44" s="2" t="s">
        <v>73</v>
      </c>
      <c r="G44" s="2" t="s">
        <v>74</v>
      </c>
      <c r="H44" s="2" t="s">
        <v>75</v>
      </c>
      <c r="I44" s="2">
        <f>ROUND(4220/100,9)</f>
        <v>42.2</v>
      </c>
      <c r="J44" s="2">
        <v>0</v>
      </c>
      <c r="K44" s="2">
        <f>ROUND(4220/100,9)</f>
        <v>42.2</v>
      </c>
      <c r="L44" s="2"/>
      <c r="M44" s="2"/>
      <c r="N44" s="2"/>
      <c r="O44" s="2">
        <f t="shared" si="21"/>
        <v>16978.62</v>
      </c>
      <c r="P44" s="2">
        <f t="shared" si="22"/>
        <v>0</v>
      </c>
      <c r="Q44" s="2">
        <f>(ROUND((ROUND((((ET44*1.2))*AV44*I44),2)*BB44),2)+ROUND((ROUND(((AE44-((EU44*1.2)))*AV44*I44),2)*BS44),2))</f>
        <v>0</v>
      </c>
      <c r="R44" s="2">
        <f>(ROUND((ROUND((((EU44*1.2))*AV44*I44),2)*BS44),2)+ROUND((ROUND(((AE44-((EU44*1.2)))*AV44*I44),2)*BS44),2))</f>
        <v>0</v>
      </c>
      <c r="S44" s="2">
        <f t="shared" si="25"/>
        <v>16978.62</v>
      </c>
      <c r="T44" s="2">
        <f t="shared" si="26"/>
        <v>0</v>
      </c>
      <c r="U44" s="2">
        <f t="shared" si="27"/>
        <v>1613.9312351999997</v>
      </c>
      <c r="V44" s="2">
        <f t="shared" si="28"/>
        <v>0</v>
      </c>
      <c r="W44" s="2">
        <f t="shared" si="29"/>
        <v>0</v>
      </c>
      <c r="X44" s="2">
        <f>(ROUND((((S44+ROUND((ROUND((((EU44*1.2))*AV44*I44),2)*BS44),2))*AT44)/100),2)+ROUND(((ROUND((ROUND(((AE44-((EU44*1.2)))*AV44*I44),2)*BS44),2)*AT44)/100),2))</f>
        <v>15450.54</v>
      </c>
      <c r="Y44" s="2">
        <f>(ROUND((((S44+ROUND((ROUND((((EU44*1.2))*AV44*I44),2)*BS44),2))*AU44)/100),2)+ROUND(((ROUND((ROUND(((AE44-((EU44*1.2)))*AV44*I44),2)*BS44),2)*AU44)/100),2))</f>
        <v>8149.74</v>
      </c>
      <c r="Z44" s="2"/>
      <c r="AA44" s="2">
        <v>55943566</v>
      </c>
      <c r="AB44" s="2">
        <f t="shared" si="32"/>
        <v>384.27600000000001</v>
      </c>
      <c r="AC44" s="2">
        <f>ROUND(((ES44*1)),6)</f>
        <v>0</v>
      </c>
      <c r="AD44" s="2">
        <f>ROUND(((((ET44*1.2))-((EU44*1.2)))+AE44),6)</f>
        <v>0</v>
      </c>
      <c r="AE44" s="2">
        <f t="shared" ref="AE44:AF47" si="60">ROUND(((EU44*1.2)),6)</f>
        <v>0</v>
      </c>
      <c r="AF44" s="2">
        <f t="shared" si="60"/>
        <v>384.27600000000001</v>
      </c>
      <c r="AG44" s="2">
        <f t="shared" si="37"/>
        <v>0</v>
      </c>
      <c r="AH44" s="2">
        <f t="shared" ref="AH44:AI47" si="61">((EW44*1.2))</f>
        <v>36.527999999999999</v>
      </c>
      <c r="AI44" s="2">
        <f t="shared" si="61"/>
        <v>0</v>
      </c>
      <c r="AJ44" s="2">
        <f t="shared" si="40"/>
        <v>0</v>
      </c>
      <c r="AK44" s="2">
        <v>320.23</v>
      </c>
      <c r="AL44" s="2">
        <v>0</v>
      </c>
      <c r="AM44" s="2">
        <v>0</v>
      </c>
      <c r="AN44" s="2">
        <v>0</v>
      </c>
      <c r="AO44" s="2">
        <v>320.23</v>
      </c>
      <c r="AP44" s="2">
        <v>0</v>
      </c>
      <c r="AQ44" s="2">
        <v>30.44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76</v>
      </c>
      <c r="BK44" s="2"/>
      <c r="BL44" s="2"/>
      <c r="BM44" s="2">
        <v>106</v>
      </c>
      <c r="BN44" s="2">
        <v>0</v>
      </c>
      <c r="BO44" s="2" t="s">
        <v>73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351</v>
      </c>
      <c r="CO44" s="2">
        <v>0</v>
      </c>
      <c r="CP44" s="2">
        <f t="shared" si="41"/>
        <v>16978.62</v>
      </c>
      <c r="CQ44" s="2">
        <f t="shared" si="42"/>
        <v>0</v>
      </c>
      <c r="CR44" s="2">
        <f>(ROUND((ROUND((((ET44*1.2))*AV44*1),2)*BB44),2)+ROUND((ROUND(((AE44-((EU44*1.2)))*AV44*1),2)*BS44),2))</f>
        <v>0</v>
      </c>
      <c r="CS44" s="2">
        <f>(ROUND((ROUND((((EU44*1.2))*AV44*1),2)*BS44),2)+ROUND((ROUND(((AE44-((EU44*1.2)))*AV44*1),2)*BS44),2))</f>
        <v>0</v>
      </c>
      <c r="CT44" s="2">
        <f t="shared" si="45"/>
        <v>402.34</v>
      </c>
      <c r="CU44" s="2">
        <f t="shared" si="46"/>
        <v>0</v>
      </c>
      <c r="CV44" s="2">
        <f t="shared" si="47"/>
        <v>38.244815999999993</v>
      </c>
      <c r="CW44" s="2">
        <f t="shared" si="48"/>
        <v>0</v>
      </c>
      <c r="CX44" s="2">
        <f t="shared" si="49"/>
        <v>0</v>
      </c>
      <c r="CY44" s="2">
        <f>(ROUND((((S44+ROUND((ROUND((((EU44*1.2))*AV44*1),2)*BS44),2))*AT44)/100),2)+ROUND(((ROUND((ROUND(((AE44-((EU44*1.2)))*AV44*1),2)*BS44),2)*AT44)/100),2))</f>
        <v>15450.54</v>
      </c>
      <c r="CZ44" s="2">
        <f>(ROUND((((S44+ROUND((ROUND((((EU44*1.2))*AV44*1),2)*BS44),2))*AU44)/100),2)+ROUND(((ROUND((ROUND(((AE44-((EU44*1.2)))*AV44*1),2)*BS44),2)*AU44)/100),2))</f>
        <v>8149.74</v>
      </c>
      <c r="DA44" s="2"/>
      <c r="DB44" s="2">
        <v>33</v>
      </c>
      <c r="DC44" s="2" t="s">
        <v>3</v>
      </c>
      <c r="DD44" s="2" t="s">
        <v>77</v>
      </c>
      <c r="DE44" s="2" t="s">
        <v>78</v>
      </c>
      <c r="DF44" s="2" t="s">
        <v>78</v>
      </c>
      <c r="DG44" s="2" t="s">
        <v>78</v>
      </c>
      <c r="DH44" s="2" t="s">
        <v>3</v>
      </c>
      <c r="DI44" s="2" t="s">
        <v>78</v>
      </c>
      <c r="DJ44" s="2" t="s">
        <v>78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75</v>
      </c>
      <c r="DW44" s="2" t="s">
        <v>75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55394010</v>
      </c>
      <c r="EF44" s="2">
        <v>60</v>
      </c>
      <c r="EG44" s="2" t="s">
        <v>79</v>
      </c>
      <c r="EH44" s="2">
        <v>0</v>
      </c>
      <c r="EI44" s="2" t="s">
        <v>3</v>
      </c>
      <c r="EJ44" s="2">
        <v>1</v>
      </c>
      <c r="EK44" s="2">
        <v>106</v>
      </c>
      <c r="EL44" s="2" t="s">
        <v>80</v>
      </c>
      <c r="EM44" s="2" t="s">
        <v>81</v>
      </c>
      <c r="EN44" s="2"/>
      <c r="EO44" s="2" t="s">
        <v>82</v>
      </c>
      <c r="EP44" s="2"/>
      <c r="EQ44" s="2">
        <v>0</v>
      </c>
      <c r="ER44" s="2">
        <v>320.23</v>
      </c>
      <c r="ES44" s="2">
        <v>0</v>
      </c>
      <c r="ET44" s="2">
        <v>0</v>
      </c>
      <c r="EU44" s="2">
        <v>0</v>
      </c>
      <c r="EV44" s="2">
        <v>320.23</v>
      </c>
      <c r="EW44" s="2">
        <v>30.44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-1403822920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40578.9</v>
      </c>
      <c r="GN44" s="2">
        <f t="shared" si="54"/>
        <v>40578.9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ROW(SmtRes!A4)</f>
        <v>4</v>
      </c>
      <c r="D45" s="3">
        <f>ROW(EtalonRes!A4)</f>
        <v>4</v>
      </c>
      <c r="E45" s="3" t="s">
        <v>72</v>
      </c>
      <c r="F45" s="3" t="s">
        <v>73</v>
      </c>
      <c r="G45" s="3" t="s">
        <v>74</v>
      </c>
      <c r="H45" s="3" t="s">
        <v>75</v>
      </c>
      <c r="I45" s="3">
        <f>ROUND(4220/100,9)</f>
        <v>42.2</v>
      </c>
      <c r="J45" s="3">
        <v>0</v>
      </c>
      <c r="K45" s="3">
        <f>ROUND(4220/100,9)</f>
        <v>42.2</v>
      </c>
      <c r="O45" s="3">
        <f t="shared" si="21"/>
        <v>956745.24</v>
      </c>
      <c r="P45" s="3">
        <f t="shared" si="22"/>
        <v>0</v>
      </c>
      <c r="Q45" s="3">
        <f>(ROUND((ROUND((((ET45*1.2))*AV45*I45),2)*BB45),2)+ROUND((ROUND(((AE45-((EU45*1.2)))*AV45*I45),2)*BS45),2))</f>
        <v>0</v>
      </c>
      <c r="R45" s="3">
        <f>(ROUND((ROUND((((EU45*1.2))*AV45*I45),2)*BS45),2)+ROUND((ROUND(((AE45-((EU45*1.2)))*AV45*I45),2)*BS45),2))</f>
        <v>0</v>
      </c>
      <c r="S45" s="3">
        <f t="shared" si="25"/>
        <v>956745.24</v>
      </c>
      <c r="T45" s="3">
        <f t="shared" si="26"/>
        <v>0</v>
      </c>
      <c r="U45" s="3">
        <f t="shared" si="27"/>
        <v>1613.9312351999997</v>
      </c>
      <c r="V45" s="3">
        <f t="shared" si="28"/>
        <v>0</v>
      </c>
      <c r="W45" s="3">
        <f t="shared" si="29"/>
        <v>0</v>
      </c>
      <c r="X45" s="3">
        <f>(ROUND((((S45+ROUND((ROUND((((EU45*1.2))*AV45*I45),2)*BS45),2))*AT45)/100),2)+ROUND(((ROUND((ROUND(((AE45-((EU45*1.2)))*AV45*I45),2)*BS45),2)*AT45)/100),2))</f>
        <v>870638.17</v>
      </c>
      <c r="Y45" s="3">
        <f>(ROUND((((S45+ROUND((ROUND((((EU45*1.2))*AV45*I45),2)*BS45),2))*AU45)/100),2)+ROUND(((ROUND((ROUND(((AE45-((EU45*1.2)))*AV45*I45),2)*BS45),2)*AU45)/100),2))</f>
        <v>459237.72</v>
      </c>
      <c r="AA45" s="3">
        <v>55943568</v>
      </c>
      <c r="AB45" s="3">
        <f t="shared" si="32"/>
        <v>384.27600000000001</v>
      </c>
      <c r="AC45" s="3">
        <f>ROUND(((ES45*1)),6)</f>
        <v>0</v>
      </c>
      <c r="AD45" s="3">
        <f>ROUND(((((ET45*1.2))-((EU45*1.2)))+AE45),6)</f>
        <v>0</v>
      </c>
      <c r="AE45" s="3">
        <f t="shared" si="60"/>
        <v>0</v>
      </c>
      <c r="AF45" s="3">
        <f t="shared" si="60"/>
        <v>384.27600000000001</v>
      </c>
      <c r="AG45" s="3">
        <f t="shared" si="37"/>
        <v>0</v>
      </c>
      <c r="AH45" s="3">
        <f t="shared" si="61"/>
        <v>36.527999999999999</v>
      </c>
      <c r="AI45" s="3">
        <f t="shared" si="61"/>
        <v>0</v>
      </c>
      <c r="AJ45" s="3">
        <f t="shared" si="40"/>
        <v>0</v>
      </c>
      <c r="AK45" s="3">
        <v>320.23</v>
      </c>
      <c r="AL45" s="3">
        <v>0</v>
      </c>
      <c r="AM45" s="3">
        <v>0</v>
      </c>
      <c r="AN45" s="3">
        <v>0</v>
      </c>
      <c r="AO45" s="3">
        <v>320.23</v>
      </c>
      <c r="AP45" s="3">
        <v>0</v>
      </c>
      <c r="AQ45" s="3">
        <v>30.44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76</v>
      </c>
      <c r="BM45" s="3">
        <v>106</v>
      </c>
      <c r="BN45" s="3">
        <v>0</v>
      </c>
      <c r="BO45" s="3" t="s">
        <v>73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351</v>
      </c>
      <c r="CO45" s="3">
        <v>0</v>
      </c>
      <c r="CP45" s="3">
        <f t="shared" si="41"/>
        <v>956745.24</v>
      </c>
      <c r="CQ45" s="3">
        <f t="shared" si="42"/>
        <v>0</v>
      </c>
      <c r="CR45" s="3">
        <f>(ROUND((ROUND((((ET45*1.2))*AV45*1),2)*BB45),2)+ROUND((ROUND(((AE45-((EU45*1.2)))*AV45*1),2)*BS45),2))</f>
        <v>0</v>
      </c>
      <c r="CS45" s="3">
        <f>(ROUND((ROUND((((EU45*1.2))*AV45*1),2)*BS45),2)+ROUND((ROUND(((AE45-((EU45*1.2)))*AV45*1),2)*BS45),2))</f>
        <v>0</v>
      </c>
      <c r="CT45" s="3">
        <f t="shared" si="45"/>
        <v>22671.86</v>
      </c>
      <c r="CU45" s="3">
        <f t="shared" si="46"/>
        <v>0</v>
      </c>
      <c r="CV45" s="3">
        <f t="shared" si="47"/>
        <v>38.244815999999993</v>
      </c>
      <c r="CW45" s="3">
        <f t="shared" si="48"/>
        <v>0</v>
      </c>
      <c r="CX45" s="3">
        <f t="shared" si="49"/>
        <v>0</v>
      </c>
      <c r="CY45" s="3">
        <f>(ROUND((((S45+ROUND((ROUND((((EU45*1.2))*AV45*1),2)*BS45),2))*AT45)/100),2)+ROUND(((ROUND((ROUND(((AE45-((EU45*1.2)))*AV45*1),2)*BS45),2)*AT45)/100),2))</f>
        <v>870638.17</v>
      </c>
      <c r="CZ45" s="3">
        <f>(ROUND((((S45+ROUND((ROUND((((EU45*1.2))*AV45*1),2)*BS45),2))*AU45)/100),2)+ROUND(((ROUND((ROUND(((AE45-((EU45*1.2)))*AV45*1),2)*BS45),2)*AU45)/100),2))</f>
        <v>459237.72</v>
      </c>
      <c r="DB45" s="3">
        <v>34</v>
      </c>
      <c r="DC45" s="3" t="s">
        <v>3</v>
      </c>
      <c r="DD45" s="3" t="s">
        <v>77</v>
      </c>
      <c r="DE45" s="3" t="s">
        <v>78</v>
      </c>
      <c r="DF45" s="3" t="s">
        <v>78</v>
      </c>
      <c r="DG45" s="3" t="s">
        <v>78</v>
      </c>
      <c r="DH45" s="3" t="s">
        <v>3</v>
      </c>
      <c r="DI45" s="3" t="s">
        <v>78</v>
      </c>
      <c r="DJ45" s="3" t="s">
        <v>78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75</v>
      </c>
      <c r="DW45" s="3" t="s">
        <v>75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55394010</v>
      </c>
      <c r="EF45" s="3">
        <v>60</v>
      </c>
      <c r="EG45" s="3" t="s">
        <v>79</v>
      </c>
      <c r="EH45" s="3">
        <v>0</v>
      </c>
      <c r="EI45" s="3" t="s">
        <v>3</v>
      </c>
      <c r="EJ45" s="3">
        <v>1</v>
      </c>
      <c r="EK45" s="3">
        <v>106</v>
      </c>
      <c r="EL45" s="3" t="s">
        <v>80</v>
      </c>
      <c r="EM45" s="3" t="s">
        <v>81</v>
      </c>
      <c r="EO45" s="3" t="s">
        <v>82</v>
      </c>
      <c r="EQ45" s="3">
        <v>0</v>
      </c>
      <c r="ER45" s="3">
        <v>320.23</v>
      </c>
      <c r="ES45" s="3">
        <v>0</v>
      </c>
      <c r="ET45" s="3">
        <v>0</v>
      </c>
      <c r="EU45" s="3">
        <v>0</v>
      </c>
      <c r="EV45" s="3">
        <v>320.23</v>
      </c>
      <c r="EW45" s="3">
        <v>30.44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-1403822920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2286621.13</v>
      </c>
      <c r="GN45" s="3">
        <f t="shared" si="54"/>
        <v>2286621.13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ROW(SmtRes!A5)</f>
        <v>5</v>
      </c>
      <c r="D46" s="2">
        <f>ROW(EtalonRes!A5)</f>
        <v>5</v>
      </c>
      <c r="E46" s="2" t="s">
        <v>83</v>
      </c>
      <c r="F46" s="2" t="s">
        <v>84</v>
      </c>
      <c r="G46" s="2" t="s">
        <v>85</v>
      </c>
      <c r="H46" s="2" t="s">
        <v>75</v>
      </c>
      <c r="I46" s="2">
        <f>ROUND(4220/100,9)</f>
        <v>42.2</v>
      </c>
      <c r="J46" s="2">
        <v>0</v>
      </c>
      <c r="K46" s="2">
        <f>ROUND(4220/100,9)</f>
        <v>42.2</v>
      </c>
      <c r="L46" s="2"/>
      <c r="M46" s="2"/>
      <c r="N46" s="2"/>
      <c r="O46" s="2">
        <f t="shared" si="21"/>
        <v>5223.54</v>
      </c>
      <c r="P46" s="2">
        <f t="shared" si="22"/>
        <v>0</v>
      </c>
      <c r="Q46" s="2">
        <f>(ROUND((ROUND((((ET46*1.2))*AV46*I46),2)*BB46),2)+ROUND((ROUND(((AE46-((EU46*1.2)))*AV46*I46),2)*BS46),2))</f>
        <v>0</v>
      </c>
      <c r="R46" s="2">
        <f>(ROUND((ROUND((((EU46*1.2))*AV46*I46),2)*BS46),2)+ROUND((ROUND(((AE46-((EU46*1.2)))*AV46*I46),2)*BS46),2))</f>
        <v>0</v>
      </c>
      <c r="S46" s="2">
        <f t="shared" si="25"/>
        <v>5223.54</v>
      </c>
      <c r="T46" s="2">
        <f t="shared" si="26"/>
        <v>0</v>
      </c>
      <c r="U46" s="2">
        <f t="shared" si="27"/>
        <v>511.11357119999997</v>
      </c>
      <c r="V46" s="2">
        <f t="shared" si="28"/>
        <v>0</v>
      </c>
      <c r="W46" s="2">
        <f t="shared" si="29"/>
        <v>0</v>
      </c>
      <c r="X46" s="2">
        <f>(ROUND((((S46+ROUND((ROUND((((EU46*1.2))*AV46*I46),2)*BS46),2))*AT46)/100),2)+ROUND(((ROUND((ROUND(((AE46-((EU46*1.2)))*AV46*I46),2)*BS46),2)*AT46)/100),2))</f>
        <v>4753.42</v>
      </c>
      <c r="Y46" s="2">
        <f>(ROUND((((S46+ROUND((ROUND((((EU46*1.2))*AV46*I46),2)*BS46),2))*AU46)/100),2)+ROUND(((ROUND((ROUND(((AE46-((EU46*1.2)))*AV46*I46),2)*BS46),2)*AU46)/100),2))</f>
        <v>2507.3000000000002</v>
      </c>
      <c r="Z46" s="2"/>
      <c r="AA46" s="2">
        <v>55943566</v>
      </c>
      <c r="AB46" s="2">
        <f t="shared" si="32"/>
        <v>118.224</v>
      </c>
      <c r="AC46" s="2">
        <f>ROUND(((ES46*1)),6)</f>
        <v>0</v>
      </c>
      <c r="AD46" s="2">
        <f>ROUND(((((ET46*1.2))-((EU46*1.2)))+AE46),6)</f>
        <v>0</v>
      </c>
      <c r="AE46" s="2">
        <f t="shared" si="60"/>
        <v>0</v>
      </c>
      <c r="AF46" s="2">
        <f t="shared" si="60"/>
        <v>118.224</v>
      </c>
      <c r="AG46" s="2">
        <f t="shared" si="37"/>
        <v>0</v>
      </c>
      <c r="AH46" s="2">
        <f t="shared" si="61"/>
        <v>11.568</v>
      </c>
      <c r="AI46" s="2">
        <f t="shared" si="61"/>
        <v>0</v>
      </c>
      <c r="AJ46" s="2">
        <f t="shared" si="40"/>
        <v>0</v>
      </c>
      <c r="AK46" s="2">
        <v>98.52</v>
      </c>
      <c r="AL46" s="2">
        <v>0</v>
      </c>
      <c r="AM46" s="2">
        <v>0</v>
      </c>
      <c r="AN46" s="2">
        <v>0</v>
      </c>
      <c r="AO46" s="2">
        <v>98.52</v>
      </c>
      <c r="AP46" s="2">
        <v>0</v>
      </c>
      <c r="AQ46" s="2">
        <v>9.64</v>
      </c>
      <c r="AR46" s="2">
        <v>0</v>
      </c>
      <c r="AS46" s="2">
        <v>0</v>
      </c>
      <c r="AT46" s="2">
        <v>91</v>
      </c>
      <c r="AU46" s="2">
        <v>48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86</v>
      </c>
      <c r="BK46" s="2"/>
      <c r="BL46" s="2"/>
      <c r="BM46" s="2">
        <v>106</v>
      </c>
      <c r="BN46" s="2">
        <v>0</v>
      </c>
      <c r="BO46" s="2" t="s">
        <v>84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91</v>
      </c>
      <c r="CA46" s="2">
        <v>48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351</v>
      </c>
      <c r="CO46" s="2">
        <v>0</v>
      </c>
      <c r="CP46" s="2">
        <f t="shared" si="41"/>
        <v>5223.54</v>
      </c>
      <c r="CQ46" s="2">
        <f t="shared" si="42"/>
        <v>0</v>
      </c>
      <c r="CR46" s="2">
        <f>(ROUND((ROUND((((ET46*1.2))*AV46*1),2)*BB46),2)+ROUND((ROUND(((AE46-((EU46*1.2)))*AV46*1),2)*BS46),2))</f>
        <v>0</v>
      </c>
      <c r="CS46" s="2">
        <f>(ROUND((ROUND((((EU46*1.2))*AV46*1),2)*BS46),2)+ROUND((ROUND(((AE46-((EU46*1.2)))*AV46*1),2)*BS46),2))</f>
        <v>0</v>
      </c>
      <c r="CT46" s="2">
        <f t="shared" si="45"/>
        <v>123.78</v>
      </c>
      <c r="CU46" s="2">
        <f t="shared" si="46"/>
        <v>0</v>
      </c>
      <c r="CV46" s="2">
        <f t="shared" si="47"/>
        <v>12.111695999999998</v>
      </c>
      <c r="CW46" s="2">
        <f t="shared" si="48"/>
        <v>0</v>
      </c>
      <c r="CX46" s="2">
        <f t="shared" si="49"/>
        <v>0</v>
      </c>
      <c r="CY46" s="2">
        <f>(ROUND((((S46+ROUND((ROUND((((EU46*1.2))*AV46*1),2)*BS46),2))*AT46)/100),2)+ROUND(((ROUND((ROUND(((AE46-((EU46*1.2)))*AV46*1),2)*BS46),2)*AT46)/100),2))</f>
        <v>4753.42</v>
      </c>
      <c r="CZ46" s="2">
        <f>(ROUND((((S46+ROUND((ROUND((((EU46*1.2))*AV46*1),2)*BS46),2))*AU46)/100),2)+ROUND(((ROUND((ROUND(((AE46-((EU46*1.2)))*AV46*1),2)*BS46),2)*AU46)/100),2))</f>
        <v>2507.3000000000002</v>
      </c>
      <c r="DA46" s="2"/>
      <c r="DB46" s="2">
        <v>35</v>
      </c>
      <c r="DC46" s="2" t="s">
        <v>3</v>
      </c>
      <c r="DD46" s="2" t="s">
        <v>77</v>
      </c>
      <c r="DE46" s="2" t="s">
        <v>78</v>
      </c>
      <c r="DF46" s="2" t="s">
        <v>78</v>
      </c>
      <c r="DG46" s="2" t="s">
        <v>78</v>
      </c>
      <c r="DH46" s="2" t="s">
        <v>3</v>
      </c>
      <c r="DI46" s="2" t="s">
        <v>78</v>
      </c>
      <c r="DJ46" s="2" t="s">
        <v>78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75</v>
      </c>
      <c r="DW46" s="2" t="s">
        <v>75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55394010</v>
      </c>
      <c r="EF46" s="2">
        <v>60</v>
      </c>
      <c r="EG46" s="2" t="s">
        <v>79</v>
      </c>
      <c r="EH46" s="2">
        <v>0</v>
      </c>
      <c r="EI46" s="2" t="s">
        <v>3</v>
      </c>
      <c r="EJ46" s="2">
        <v>1</v>
      </c>
      <c r="EK46" s="2">
        <v>106</v>
      </c>
      <c r="EL46" s="2" t="s">
        <v>80</v>
      </c>
      <c r="EM46" s="2" t="s">
        <v>81</v>
      </c>
      <c r="EN46" s="2"/>
      <c r="EO46" s="2" t="s">
        <v>82</v>
      </c>
      <c r="EP46" s="2"/>
      <c r="EQ46" s="2">
        <v>0</v>
      </c>
      <c r="ER46" s="2">
        <v>98.52</v>
      </c>
      <c r="ES46" s="2">
        <v>0</v>
      </c>
      <c r="ET46" s="2">
        <v>0</v>
      </c>
      <c r="EU46" s="2">
        <v>0</v>
      </c>
      <c r="EV46" s="2">
        <v>98.52</v>
      </c>
      <c r="EW46" s="2">
        <v>9.64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91</v>
      </c>
      <c r="FY46" s="2">
        <v>48</v>
      </c>
      <c r="FZ46" s="2"/>
      <c r="GA46" s="2" t="s">
        <v>3</v>
      </c>
      <c r="GB46" s="2"/>
      <c r="GC46" s="2"/>
      <c r="GD46" s="2">
        <v>1</v>
      </c>
      <c r="GE46" s="2"/>
      <c r="GF46" s="2">
        <v>1114236003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12484.26</v>
      </c>
      <c r="GN46" s="2">
        <f t="shared" si="54"/>
        <v>12484.26</v>
      </c>
      <c r="GO46" s="2">
        <f t="shared" si="55"/>
        <v>0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ROW(SmtRes!A6)</f>
        <v>6</v>
      </c>
      <c r="D47" s="3">
        <f>ROW(EtalonRes!A6)</f>
        <v>6</v>
      </c>
      <c r="E47" s="3" t="s">
        <v>83</v>
      </c>
      <c r="F47" s="3" t="s">
        <v>84</v>
      </c>
      <c r="G47" s="3" t="s">
        <v>85</v>
      </c>
      <c r="H47" s="3" t="s">
        <v>75</v>
      </c>
      <c r="I47" s="3">
        <f>ROUND(4220/100,9)</f>
        <v>42.2</v>
      </c>
      <c r="J47" s="3">
        <v>0</v>
      </c>
      <c r="K47" s="3">
        <f>ROUND(4220/100,9)</f>
        <v>42.2</v>
      </c>
      <c r="O47" s="3">
        <f t="shared" si="21"/>
        <v>294346.48</v>
      </c>
      <c r="P47" s="3">
        <f t="shared" si="22"/>
        <v>0</v>
      </c>
      <c r="Q47" s="3">
        <f>(ROUND((ROUND((((ET47*1.2))*AV47*I47),2)*BB47),2)+ROUND((ROUND(((AE47-((EU47*1.2)))*AV47*I47),2)*BS47),2))</f>
        <v>0</v>
      </c>
      <c r="R47" s="3">
        <f>(ROUND((ROUND((((EU47*1.2))*AV47*I47),2)*BS47),2)+ROUND((ROUND(((AE47-((EU47*1.2)))*AV47*I47),2)*BS47),2))</f>
        <v>0</v>
      </c>
      <c r="S47" s="3">
        <f t="shared" si="25"/>
        <v>294346.48</v>
      </c>
      <c r="T47" s="3">
        <f t="shared" si="26"/>
        <v>0</v>
      </c>
      <c r="U47" s="3">
        <f t="shared" si="27"/>
        <v>511.11357119999997</v>
      </c>
      <c r="V47" s="3">
        <f t="shared" si="28"/>
        <v>0</v>
      </c>
      <c r="W47" s="3">
        <f t="shared" si="29"/>
        <v>0</v>
      </c>
      <c r="X47" s="3">
        <f>(ROUND((((S47+ROUND((ROUND((((EU47*1.2))*AV47*I47),2)*BS47),2))*AT47)/100),2)+ROUND(((ROUND((ROUND(((AE47-((EU47*1.2)))*AV47*I47),2)*BS47),2)*AT47)/100),2))</f>
        <v>267855.3</v>
      </c>
      <c r="Y47" s="3">
        <f>(ROUND((((S47+ROUND((ROUND((((EU47*1.2))*AV47*I47),2)*BS47),2))*AU47)/100),2)+ROUND(((ROUND((ROUND(((AE47-((EU47*1.2)))*AV47*I47),2)*BS47),2)*AU47)/100),2))</f>
        <v>141286.31</v>
      </c>
      <c r="AA47" s="3">
        <v>55943568</v>
      </c>
      <c r="AB47" s="3">
        <f t="shared" si="32"/>
        <v>118.224</v>
      </c>
      <c r="AC47" s="3">
        <f>ROUND(((ES47*1)),6)</f>
        <v>0</v>
      </c>
      <c r="AD47" s="3">
        <f>ROUND(((((ET47*1.2))-((EU47*1.2)))+AE47),6)</f>
        <v>0</v>
      </c>
      <c r="AE47" s="3">
        <f t="shared" si="60"/>
        <v>0</v>
      </c>
      <c r="AF47" s="3">
        <f t="shared" si="60"/>
        <v>118.224</v>
      </c>
      <c r="AG47" s="3">
        <f t="shared" si="37"/>
        <v>0</v>
      </c>
      <c r="AH47" s="3">
        <f t="shared" si="61"/>
        <v>11.568</v>
      </c>
      <c r="AI47" s="3">
        <f t="shared" si="61"/>
        <v>0</v>
      </c>
      <c r="AJ47" s="3">
        <f t="shared" si="40"/>
        <v>0</v>
      </c>
      <c r="AK47" s="3">
        <v>98.52</v>
      </c>
      <c r="AL47" s="3">
        <v>0</v>
      </c>
      <c r="AM47" s="3">
        <v>0</v>
      </c>
      <c r="AN47" s="3">
        <v>0</v>
      </c>
      <c r="AO47" s="3">
        <v>98.52</v>
      </c>
      <c r="AP47" s="3">
        <v>0</v>
      </c>
      <c r="AQ47" s="3">
        <v>9.64</v>
      </c>
      <c r="AR47" s="3">
        <v>0</v>
      </c>
      <c r="AS47" s="3">
        <v>0</v>
      </c>
      <c r="AT47" s="3">
        <v>91</v>
      </c>
      <c r="AU47" s="3">
        <v>48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86</v>
      </c>
      <c r="BM47" s="3">
        <v>106</v>
      </c>
      <c r="BN47" s="3">
        <v>0</v>
      </c>
      <c r="BO47" s="3" t="s">
        <v>84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91</v>
      </c>
      <c r="CA47" s="3">
        <v>48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351</v>
      </c>
      <c r="CO47" s="3">
        <v>0</v>
      </c>
      <c r="CP47" s="3">
        <f t="shared" si="41"/>
        <v>294346.48</v>
      </c>
      <c r="CQ47" s="3">
        <f t="shared" si="42"/>
        <v>0</v>
      </c>
      <c r="CR47" s="3">
        <f>(ROUND((ROUND((((ET47*1.2))*AV47*1),2)*BB47),2)+ROUND((ROUND(((AE47-((EU47*1.2)))*AV47*1),2)*BS47),2))</f>
        <v>0</v>
      </c>
      <c r="CS47" s="3">
        <f>(ROUND((ROUND((((EU47*1.2))*AV47*1),2)*BS47),2)+ROUND((ROUND(((AE47-((EU47*1.2)))*AV47*1),2)*BS47),2))</f>
        <v>0</v>
      </c>
      <c r="CT47" s="3">
        <f t="shared" si="45"/>
        <v>6975</v>
      </c>
      <c r="CU47" s="3">
        <f t="shared" si="46"/>
        <v>0</v>
      </c>
      <c r="CV47" s="3">
        <f t="shared" si="47"/>
        <v>12.111695999999998</v>
      </c>
      <c r="CW47" s="3">
        <f t="shared" si="48"/>
        <v>0</v>
      </c>
      <c r="CX47" s="3">
        <f t="shared" si="49"/>
        <v>0</v>
      </c>
      <c r="CY47" s="3">
        <f>(ROUND((((S47+ROUND((ROUND((((EU47*1.2))*AV47*1),2)*BS47),2))*AT47)/100),2)+ROUND(((ROUND((ROUND(((AE47-((EU47*1.2)))*AV47*1),2)*BS47),2)*AT47)/100),2))</f>
        <v>267855.3</v>
      </c>
      <c r="CZ47" s="3">
        <f>(ROUND((((S47+ROUND((ROUND((((EU47*1.2))*AV47*1),2)*BS47),2))*AU47)/100),2)+ROUND(((ROUND((ROUND(((AE47-((EU47*1.2)))*AV47*1),2)*BS47),2)*AU47)/100),2))</f>
        <v>141286.31</v>
      </c>
      <c r="DB47" s="3">
        <v>36</v>
      </c>
      <c r="DC47" s="3" t="s">
        <v>3</v>
      </c>
      <c r="DD47" s="3" t="s">
        <v>77</v>
      </c>
      <c r="DE47" s="3" t="s">
        <v>78</v>
      </c>
      <c r="DF47" s="3" t="s">
        <v>78</v>
      </c>
      <c r="DG47" s="3" t="s">
        <v>78</v>
      </c>
      <c r="DH47" s="3" t="s">
        <v>3</v>
      </c>
      <c r="DI47" s="3" t="s">
        <v>78</v>
      </c>
      <c r="DJ47" s="3" t="s">
        <v>78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75</v>
      </c>
      <c r="DW47" s="3" t="s">
        <v>75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55394010</v>
      </c>
      <c r="EF47" s="3">
        <v>60</v>
      </c>
      <c r="EG47" s="3" t="s">
        <v>79</v>
      </c>
      <c r="EH47" s="3">
        <v>0</v>
      </c>
      <c r="EI47" s="3" t="s">
        <v>3</v>
      </c>
      <c r="EJ47" s="3">
        <v>1</v>
      </c>
      <c r="EK47" s="3">
        <v>106</v>
      </c>
      <c r="EL47" s="3" t="s">
        <v>80</v>
      </c>
      <c r="EM47" s="3" t="s">
        <v>81</v>
      </c>
      <c r="EO47" s="3" t="s">
        <v>82</v>
      </c>
      <c r="EQ47" s="3">
        <v>0</v>
      </c>
      <c r="ER47" s="3">
        <v>98.52</v>
      </c>
      <c r="ES47" s="3">
        <v>0</v>
      </c>
      <c r="ET47" s="3">
        <v>0</v>
      </c>
      <c r="EU47" s="3">
        <v>0</v>
      </c>
      <c r="EV47" s="3">
        <v>98.52</v>
      </c>
      <c r="EW47" s="3">
        <v>9.64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91</v>
      </c>
      <c r="FY47" s="3">
        <v>48</v>
      </c>
      <c r="GA47" s="3" t="s">
        <v>3</v>
      </c>
      <c r="GD47" s="3">
        <v>1</v>
      </c>
      <c r="GF47" s="3">
        <v>1114236003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703488.09</v>
      </c>
      <c r="GN47" s="3">
        <f t="shared" si="54"/>
        <v>703488.09</v>
      </c>
      <c r="GO47" s="3">
        <f t="shared" si="55"/>
        <v>0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x14ac:dyDescent="0.2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Демонтажные работы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62">ROUND(AB49,2)</f>
        <v>22770.82</v>
      </c>
      <c r="P49" s="11">
        <f t="shared" si="62"/>
        <v>0</v>
      </c>
      <c r="Q49" s="11">
        <f t="shared" si="62"/>
        <v>70.28</v>
      </c>
      <c r="R49" s="11">
        <f t="shared" si="62"/>
        <v>8.5399999999999991</v>
      </c>
      <c r="S49" s="11">
        <f t="shared" si="62"/>
        <v>22700.54</v>
      </c>
      <c r="T49" s="11">
        <f t="shared" si="62"/>
        <v>0</v>
      </c>
      <c r="U49" s="11">
        <f>AH49</f>
        <v>2160.6388696799995</v>
      </c>
      <c r="V49" s="11">
        <f>AI49</f>
        <v>0</v>
      </c>
      <c r="W49" s="11">
        <f>ROUND(AJ49,2)</f>
        <v>0</v>
      </c>
      <c r="X49" s="11">
        <f>ROUND(AK49,2)</f>
        <v>20663.849999999999</v>
      </c>
      <c r="Y49" s="11">
        <f>ROUND(AL49,2)</f>
        <v>10893.48</v>
      </c>
      <c r="Z49" s="11"/>
      <c r="AA49" s="11"/>
      <c r="AB49" s="11">
        <f>ROUND(SUMIF(AA28:AA47,"=55943566",O28:O47),2)</f>
        <v>22770.82</v>
      </c>
      <c r="AC49" s="11">
        <f>ROUND(SUMIF(AA28:AA47,"=55943566",P28:P47),2)</f>
        <v>0</v>
      </c>
      <c r="AD49" s="11">
        <f>ROUND(SUMIF(AA28:AA47,"=55943566",Q28:Q47),2)</f>
        <v>70.28</v>
      </c>
      <c r="AE49" s="11">
        <f>ROUND(SUMIF(AA28:AA47,"=55943566",R28:R47),2)</f>
        <v>8.5399999999999991</v>
      </c>
      <c r="AF49" s="11">
        <f>ROUND(SUMIF(AA28:AA47,"=55943566",S28:S47),2)</f>
        <v>22700.54</v>
      </c>
      <c r="AG49" s="11">
        <f>ROUND(SUMIF(AA28:AA47,"=55943566",T28:T47),2)</f>
        <v>0</v>
      </c>
      <c r="AH49" s="11">
        <f>SUMIF(AA28:AA47,"=55943566",U28:U47)</f>
        <v>2160.6388696799995</v>
      </c>
      <c r="AI49" s="11">
        <f>SUMIF(AA28:AA47,"=55943566",V28:V47)</f>
        <v>0</v>
      </c>
      <c r="AJ49" s="11">
        <f>ROUND(SUMIF(AA28:AA47,"=55943566",W28:W47),2)</f>
        <v>0</v>
      </c>
      <c r="AK49" s="11">
        <f>ROUND(SUMIF(AA28:AA47,"=55943566",X28:X47),2)</f>
        <v>20663.849999999999</v>
      </c>
      <c r="AL49" s="11">
        <f>ROUND(SUMIF(AA28:AA47,"=55943566",Y28:Y47),2)</f>
        <v>10893.48</v>
      </c>
      <c r="AM49" s="11"/>
      <c r="AN49" s="11"/>
      <c r="AO49" s="11">
        <f t="shared" ref="AO49:BD49" si="63">ROUND(BX49,2)</f>
        <v>0</v>
      </c>
      <c r="AP49" s="11">
        <f t="shared" si="63"/>
        <v>0</v>
      </c>
      <c r="AQ49" s="11">
        <f t="shared" si="63"/>
        <v>0</v>
      </c>
      <c r="AR49" s="11">
        <f t="shared" si="63"/>
        <v>54328.15</v>
      </c>
      <c r="AS49" s="11">
        <f t="shared" si="63"/>
        <v>53063.16</v>
      </c>
      <c r="AT49" s="11">
        <f t="shared" si="63"/>
        <v>1264.99</v>
      </c>
      <c r="AU49" s="11">
        <f t="shared" si="63"/>
        <v>0</v>
      </c>
      <c r="AV49" s="11">
        <f t="shared" si="63"/>
        <v>0</v>
      </c>
      <c r="AW49" s="11">
        <f t="shared" si="63"/>
        <v>0</v>
      </c>
      <c r="AX49" s="11">
        <f t="shared" si="63"/>
        <v>0</v>
      </c>
      <c r="AY49" s="11">
        <f t="shared" si="63"/>
        <v>0</v>
      </c>
      <c r="AZ49" s="11">
        <f t="shared" si="63"/>
        <v>0</v>
      </c>
      <c r="BA49" s="11">
        <f t="shared" si="63"/>
        <v>0</v>
      </c>
      <c r="BB49" s="11">
        <f t="shared" si="63"/>
        <v>0</v>
      </c>
      <c r="BC49" s="11">
        <f t="shared" si="63"/>
        <v>0</v>
      </c>
      <c r="BD49" s="11">
        <f t="shared" si="6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ROUND(SUMIF(AA28:AA47,"=55943566",FQ28:FQ47),2)</f>
        <v>0</v>
      </c>
      <c r="BY49" s="11">
        <f>ROUND(SUMIF(AA28:AA47,"=55943566",FR28:FR47),2)</f>
        <v>0</v>
      </c>
      <c r="BZ49" s="11">
        <f>ROUND(SUMIF(AA28:AA47,"=55943566",GL28:GL47),2)</f>
        <v>0</v>
      </c>
      <c r="CA49" s="11">
        <f>ROUND(SUMIF(AA28:AA47,"=55943566",GM28:GM47),2)</f>
        <v>54328.15</v>
      </c>
      <c r="CB49" s="11">
        <f>ROUND(SUMIF(AA28:AA47,"=55943566",GN28:GN47),2)</f>
        <v>53063.16</v>
      </c>
      <c r="CC49" s="11">
        <f>ROUND(SUMIF(AA28:AA47,"=55943566",GO28:GO47),2)</f>
        <v>1264.99</v>
      </c>
      <c r="CD49" s="11">
        <f>ROUND(SUMIF(AA28:AA47,"=55943566",GP28:GP47),2)</f>
        <v>0</v>
      </c>
      <c r="CE49" s="11">
        <f>AC49-BX49</f>
        <v>0</v>
      </c>
      <c r="CF49" s="11">
        <f>AC49-BY49</f>
        <v>0</v>
      </c>
      <c r="CG49" s="11">
        <f>BX49-BZ49</f>
        <v>0</v>
      </c>
      <c r="CH49" s="11">
        <f>AC49-BX49-BY49+BZ49</f>
        <v>0</v>
      </c>
      <c r="CI49" s="11">
        <f>BY49-BZ49</f>
        <v>0</v>
      </c>
      <c r="CJ49" s="11">
        <f>ROUND(SUMIF(AA28:AA47,"=55943566",GX28:GX47),2)</f>
        <v>0</v>
      </c>
      <c r="CK49" s="11">
        <f>ROUND(SUMIF(AA28:AA47,"=55943566",GY28:GY47),2)</f>
        <v>0</v>
      </c>
      <c r="CL49" s="11">
        <f>ROUND(SUMIF(AA28:AA47,"=55943566",GZ28:GZ47),2)</f>
        <v>0</v>
      </c>
      <c r="CM49" s="11">
        <f>ROUND(SUMIF(AA28:AA47,"=55943566",HD28:HD47),2)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64">ROUND(DT49,2)</f>
        <v>1280338.73</v>
      </c>
      <c r="DH49" s="12">
        <f t="shared" si="64"/>
        <v>0</v>
      </c>
      <c r="DI49" s="12">
        <f t="shared" si="64"/>
        <v>1163.29</v>
      </c>
      <c r="DJ49" s="12">
        <f t="shared" si="64"/>
        <v>481.24</v>
      </c>
      <c r="DK49" s="12">
        <f t="shared" si="64"/>
        <v>1279175.44</v>
      </c>
      <c r="DL49" s="12">
        <f t="shared" si="64"/>
        <v>0</v>
      </c>
      <c r="DM49" s="12">
        <f>DZ49</f>
        <v>2160.6388696799995</v>
      </c>
      <c r="DN49" s="12">
        <f>EA49</f>
        <v>0</v>
      </c>
      <c r="DO49" s="12">
        <f>ROUND(EB49,2)</f>
        <v>0</v>
      </c>
      <c r="DP49" s="12">
        <f>ROUND(EC49,2)</f>
        <v>1164408.5900000001</v>
      </c>
      <c r="DQ49" s="12">
        <f>ROUND(ED49,2)</f>
        <v>613847.21</v>
      </c>
      <c r="DR49" s="12"/>
      <c r="DS49" s="12"/>
      <c r="DT49" s="12">
        <f>ROUND(SUMIF(AA28:AA47,"=55943568",O28:O47),2)</f>
        <v>1280338.73</v>
      </c>
      <c r="DU49" s="12">
        <f>ROUND(SUMIF(AA28:AA47,"=55943568",P28:P47),2)</f>
        <v>0</v>
      </c>
      <c r="DV49" s="12">
        <f>ROUND(SUMIF(AA28:AA47,"=55943568",Q28:Q47),2)</f>
        <v>1163.29</v>
      </c>
      <c r="DW49" s="12">
        <f>ROUND(SUMIF(AA28:AA47,"=55943568",R28:R47),2)</f>
        <v>481.24</v>
      </c>
      <c r="DX49" s="12">
        <f>ROUND(SUMIF(AA28:AA47,"=55943568",S28:S47),2)</f>
        <v>1279175.44</v>
      </c>
      <c r="DY49" s="12">
        <f>ROUND(SUMIF(AA28:AA47,"=55943568",T28:T47),2)</f>
        <v>0</v>
      </c>
      <c r="DZ49" s="12">
        <f>SUMIF(AA28:AA47,"=55943568",U28:U47)</f>
        <v>2160.6388696799995</v>
      </c>
      <c r="EA49" s="12">
        <f>SUMIF(AA28:AA47,"=55943568",V28:V47)</f>
        <v>0</v>
      </c>
      <c r="EB49" s="12">
        <f>ROUND(SUMIF(AA28:AA47,"=55943568",W28:W47),2)</f>
        <v>0</v>
      </c>
      <c r="EC49" s="12">
        <f>ROUND(SUMIF(AA28:AA47,"=55943568",X28:X47),2)</f>
        <v>1164408.5900000001</v>
      </c>
      <c r="ED49" s="12">
        <f>ROUND(SUMIF(AA28:AA47,"=55943568",Y28:Y47),2)</f>
        <v>613847.21</v>
      </c>
      <c r="EE49" s="12"/>
      <c r="EF49" s="12"/>
      <c r="EG49" s="12">
        <f t="shared" ref="EG49:EV49" si="65">ROUND(FP49,2)</f>
        <v>0</v>
      </c>
      <c r="EH49" s="12">
        <f t="shared" si="65"/>
        <v>0</v>
      </c>
      <c r="EI49" s="12">
        <f t="shared" si="65"/>
        <v>0</v>
      </c>
      <c r="EJ49" s="12">
        <f t="shared" si="65"/>
        <v>3058594.53</v>
      </c>
      <c r="EK49" s="12">
        <f t="shared" si="65"/>
        <v>2990109.22</v>
      </c>
      <c r="EL49" s="12">
        <f t="shared" si="65"/>
        <v>68485.31</v>
      </c>
      <c r="EM49" s="12">
        <f t="shared" si="65"/>
        <v>0</v>
      </c>
      <c r="EN49" s="12">
        <f t="shared" si="65"/>
        <v>0</v>
      </c>
      <c r="EO49" s="12">
        <f t="shared" si="65"/>
        <v>0</v>
      </c>
      <c r="EP49" s="12">
        <f t="shared" si="65"/>
        <v>0</v>
      </c>
      <c r="EQ49" s="12">
        <f t="shared" si="65"/>
        <v>0</v>
      </c>
      <c r="ER49" s="12">
        <f t="shared" si="65"/>
        <v>0</v>
      </c>
      <c r="ES49" s="12">
        <f t="shared" si="65"/>
        <v>0</v>
      </c>
      <c r="ET49" s="12">
        <f t="shared" si="65"/>
        <v>0</v>
      </c>
      <c r="EU49" s="12">
        <f t="shared" si="65"/>
        <v>0</v>
      </c>
      <c r="EV49" s="12">
        <f t="shared" si="6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ROUND(SUMIF(AA28:AA47,"=55943568",FQ28:FQ47),2)</f>
        <v>0</v>
      </c>
      <c r="FQ49" s="12">
        <f>ROUND(SUMIF(AA28:AA47,"=55943568",FR28:FR47),2)</f>
        <v>0</v>
      </c>
      <c r="FR49" s="12">
        <f>ROUND(SUMIF(AA28:AA47,"=55943568",GL28:GL47),2)</f>
        <v>0</v>
      </c>
      <c r="FS49" s="12">
        <f>ROUND(SUMIF(AA28:AA47,"=55943568",GM28:GM47),2)</f>
        <v>3058594.53</v>
      </c>
      <c r="FT49" s="12">
        <f>ROUND(SUMIF(AA28:AA47,"=55943568",GN28:GN47),2)</f>
        <v>2990109.22</v>
      </c>
      <c r="FU49" s="12">
        <f>ROUND(SUMIF(AA28:AA47,"=55943568",GO28:GO47),2)</f>
        <v>68485.31</v>
      </c>
      <c r="FV49" s="12">
        <f>ROUND(SUMIF(AA28:AA47,"=55943568",GP28:GP47),2)</f>
        <v>0</v>
      </c>
      <c r="FW49" s="12">
        <f>DU49-FP49</f>
        <v>0</v>
      </c>
      <c r="FX49" s="12">
        <f>DU49-FQ49</f>
        <v>0</v>
      </c>
      <c r="FY49" s="12">
        <f>FP49-FR49</f>
        <v>0</v>
      </c>
      <c r="FZ49" s="12">
        <f>DU49-FP49-FQ49+FR49</f>
        <v>0</v>
      </c>
      <c r="GA49" s="12">
        <f>FQ49-FR49</f>
        <v>0</v>
      </c>
      <c r="GB49" s="12">
        <f>ROUND(SUMIF(AA28:AA47,"=55943568",GX28:GX47),2)</f>
        <v>0</v>
      </c>
      <c r="GC49" s="12">
        <f>ROUND(SUMIF(AA28:AA47,"=55943568",GY28:GY47),2)</f>
        <v>0</v>
      </c>
      <c r="GD49" s="12">
        <f>ROUND(SUMIF(AA28:AA47,"=55943568",GZ28:GZ47),2)</f>
        <v>0</v>
      </c>
      <c r="GE49" s="12">
        <f>ROUND(SUMIF(AA28:AA47,"=55943568",HD28:HD47),2)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x14ac:dyDescent="0.2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22770.82</v>
      </c>
      <c r="G51" s="13" t="s">
        <v>87</v>
      </c>
      <c r="H51" s="13" t="s">
        <v>88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1280338.73</v>
      </c>
      <c r="Q51" s="13"/>
      <c r="R51" s="13"/>
      <c r="S51" s="13"/>
      <c r="T51" s="13"/>
      <c r="U51" s="13"/>
      <c r="V51" s="13"/>
      <c r="W51" s="13">
        <v>22770.82</v>
      </c>
      <c r="X51" s="13">
        <v>1</v>
      </c>
      <c r="Y51" s="13">
        <v>22770.82</v>
      </c>
      <c r="Z51" s="13">
        <v>1280338.73</v>
      </c>
      <c r="AA51" s="13">
        <v>1</v>
      </c>
      <c r="AB51" s="13">
        <v>1280338.73</v>
      </c>
    </row>
    <row r="52" spans="1:206" x14ac:dyDescent="0.2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0</v>
      </c>
      <c r="G52" s="13" t="s">
        <v>89</v>
      </c>
      <c r="H52" s="13" t="s">
        <v>90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0</v>
      </c>
      <c r="Q52" s="13"/>
      <c r="R52" s="13"/>
      <c r="S52" s="13"/>
      <c r="T52" s="13"/>
      <c r="U52" s="13"/>
      <c r="V52" s="13"/>
      <c r="W52" s="13">
        <v>0</v>
      </c>
      <c r="X52" s="13">
        <v>1</v>
      </c>
      <c r="Y52" s="13">
        <v>0</v>
      </c>
      <c r="Z52" s="13">
        <v>0</v>
      </c>
      <c r="AA52" s="13">
        <v>1</v>
      </c>
      <c r="AB52" s="13">
        <v>0</v>
      </c>
    </row>
    <row r="53" spans="1:206" x14ac:dyDescent="0.2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91</v>
      </c>
      <c r="H53" s="13" t="s">
        <v>92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x14ac:dyDescent="0.2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0</v>
      </c>
      <c r="G54" s="13" t="s">
        <v>93</v>
      </c>
      <c r="H54" s="13" t="s">
        <v>94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06" x14ac:dyDescent="0.2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0</v>
      </c>
      <c r="G55" s="13" t="s">
        <v>95</v>
      </c>
      <c r="H55" s="13" t="s">
        <v>96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06" x14ac:dyDescent="0.2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97</v>
      </c>
      <c r="H56" s="13" t="s">
        <v>98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x14ac:dyDescent="0.2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0</v>
      </c>
      <c r="G57" s="13" t="s">
        <v>99</v>
      </c>
      <c r="H57" s="13" t="s">
        <v>100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06" x14ac:dyDescent="0.2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101</v>
      </c>
      <c r="H58" s="13" t="s">
        <v>102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x14ac:dyDescent="0.2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103</v>
      </c>
      <c r="H59" s="13" t="s">
        <v>104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x14ac:dyDescent="0.2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105</v>
      </c>
      <c r="H60" s="13" t="s">
        <v>106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x14ac:dyDescent="0.2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70.28</v>
      </c>
      <c r="G61" s="13" t="s">
        <v>107</v>
      </c>
      <c r="H61" s="13" t="s">
        <v>108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1163.29</v>
      </c>
      <c r="Q61" s="13"/>
      <c r="R61" s="13"/>
      <c r="S61" s="13"/>
      <c r="T61" s="13"/>
      <c r="U61" s="13"/>
      <c r="V61" s="13"/>
      <c r="W61" s="13">
        <v>70.28</v>
      </c>
      <c r="X61" s="13">
        <v>1</v>
      </c>
      <c r="Y61" s="13">
        <v>70.28</v>
      </c>
      <c r="Z61" s="13">
        <v>1163.29</v>
      </c>
      <c r="AA61" s="13">
        <v>1</v>
      </c>
      <c r="AB61" s="13">
        <v>1163.29</v>
      </c>
    </row>
    <row r="62" spans="1:206" x14ac:dyDescent="0.2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109</v>
      </c>
      <c r="H62" s="13" t="s">
        <v>110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x14ac:dyDescent="0.2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8.5399999999999991</v>
      </c>
      <c r="G63" s="13" t="s">
        <v>111</v>
      </c>
      <c r="H63" s="13" t="s">
        <v>112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481.24</v>
      </c>
      <c r="Q63" s="13"/>
      <c r="R63" s="13"/>
      <c r="S63" s="13"/>
      <c r="T63" s="13"/>
      <c r="U63" s="13"/>
      <c r="V63" s="13"/>
      <c r="W63" s="13">
        <v>8.5399999999999991</v>
      </c>
      <c r="X63" s="13">
        <v>1</v>
      </c>
      <c r="Y63" s="13">
        <v>8.5399999999999991</v>
      </c>
      <c r="Z63" s="13">
        <v>481.24</v>
      </c>
      <c r="AA63" s="13">
        <v>1</v>
      </c>
      <c r="AB63" s="13">
        <v>481.24</v>
      </c>
    </row>
    <row r="64" spans="1:206" x14ac:dyDescent="0.2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22700.54</v>
      </c>
      <c r="G64" s="13" t="s">
        <v>113</v>
      </c>
      <c r="H64" s="13" t="s">
        <v>114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1279175.44</v>
      </c>
      <c r="Q64" s="13"/>
      <c r="R64" s="13"/>
      <c r="S64" s="13"/>
      <c r="T64" s="13"/>
      <c r="U64" s="13"/>
      <c r="V64" s="13"/>
      <c r="W64" s="13">
        <v>22700.54</v>
      </c>
      <c r="X64" s="13">
        <v>1</v>
      </c>
      <c r="Y64" s="13">
        <v>22700.54</v>
      </c>
      <c r="Z64" s="13">
        <v>1279175.44</v>
      </c>
      <c r="AA64" s="13">
        <v>1</v>
      </c>
      <c r="AB64" s="13">
        <v>1279175.44</v>
      </c>
    </row>
    <row r="65" spans="1:88" x14ac:dyDescent="0.2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115</v>
      </c>
      <c r="H65" s="13" t="s">
        <v>116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x14ac:dyDescent="0.2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53063.16</v>
      </c>
      <c r="G66" s="13" t="s">
        <v>117</v>
      </c>
      <c r="H66" s="13" t="s">
        <v>118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2990109.22</v>
      </c>
      <c r="Q66" s="13"/>
      <c r="R66" s="13"/>
      <c r="S66" s="13"/>
      <c r="T66" s="13"/>
      <c r="U66" s="13"/>
      <c r="V66" s="13"/>
      <c r="W66" s="13">
        <v>53063.16</v>
      </c>
      <c r="X66" s="13">
        <v>1</v>
      </c>
      <c r="Y66" s="13">
        <v>53063.16</v>
      </c>
      <c r="Z66" s="13">
        <v>2990109.22</v>
      </c>
      <c r="AA66" s="13">
        <v>1</v>
      </c>
      <c r="AB66" s="13">
        <v>2990109.22</v>
      </c>
    </row>
    <row r="67" spans="1:88" x14ac:dyDescent="0.2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1264.99</v>
      </c>
      <c r="G67" s="13" t="s">
        <v>119</v>
      </c>
      <c r="H67" s="13" t="s">
        <v>120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68485.31</v>
      </c>
      <c r="Q67" s="13"/>
      <c r="R67" s="13"/>
      <c r="S67" s="13"/>
      <c r="T67" s="13"/>
      <c r="U67" s="13"/>
      <c r="V67" s="13"/>
      <c r="W67" s="13">
        <v>1264.99</v>
      </c>
      <c r="X67" s="13">
        <v>1</v>
      </c>
      <c r="Y67" s="13">
        <v>1264.99</v>
      </c>
      <c r="Z67" s="13">
        <v>68485.31</v>
      </c>
      <c r="AA67" s="13">
        <v>1</v>
      </c>
      <c r="AB67" s="13">
        <v>68485.31</v>
      </c>
    </row>
    <row r="68" spans="1:88" x14ac:dyDescent="0.2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121</v>
      </c>
      <c r="H68" s="13" t="s">
        <v>122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x14ac:dyDescent="0.2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123</v>
      </c>
      <c r="H69" s="13" t="s">
        <v>124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x14ac:dyDescent="0.2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125</v>
      </c>
      <c r="H70" s="13" t="s">
        <v>126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x14ac:dyDescent="0.2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2160.6388696799995</v>
      </c>
      <c r="G71" s="13" t="s">
        <v>127</v>
      </c>
      <c r="H71" s="13" t="s">
        <v>128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2160.6388696799995</v>
      </c>
      <c r="Q71" s="13"/>
      <c r="R71" s="13"/>
      <c r="S71" s="13"/>
      <c r="T71" s="13"/>
      <c r="U71" s="13"/>
      <c r="V71" s="13"/>
      <c r="W71" s="13">
        <v>2160.6388696799995</v>
      </c>
      <c r="X71" s="13">
        <v>1</v>
      </c>
      <c r="Y71" s="13">
        <v>2160.6388696799995</v>
      </c>
      <c r="Z71" s="13">
        <v>2160.6388696799995</v>
      </c>
      <c r="AA71" s="13">
        <v>1</v>
      </c>
      <c r="AB71" s="13">
        <v>2160.6388696799995</v>
      </c>
    </row>
    <row r="72" spans="1:88" x14ac:dyDescent="0.2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129</v>
      </c>
      <c r="H72" s="13" t="s">
        <v>130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x14ac:dyDescent="0.2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131</v>
      </c>
      <c r="H73" s="13" t="s">
        <v>132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x14ac:dyDescent="0.2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133</v>
      </c>
      <c r="H74" s="13" t="s">
        <v>134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x14ac:dyDescent="0.2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20663.849999999999</v>
      </c>
      <c r="G75" s="13" t="s">
        <v>135</v>
      </c>
      <c r="H75" s="13" t="s">
        <v>136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1164408.5900000001</v>
      </c>
      <c r="Q75" s="13"/>
      <c r="R75" s="13"/>
      <c r="S75" s="13"/>
      <c r="T75" s="13"/>
      <c r="U75" s="13"/>
      <c r="V75" s="13"/>
      <c r="W75" s="13">
        <v>20663.849999999999</v>
      </c>
      <c r="X75" s="13">
        <v>1</v>
      </c>
      <c r="Y75" s="13">
        <v>20663.849999999999</v>
      </c>
      <c r="Z75" s="13">
        <v>1164408.5900000001</v>
      </c>
      <c r="AA75" s="13">
        <v>1</v>
      </c>
      <c r="AB75" s="13">
        <v>1164408.5900000001</v>
      </c>
    </row>
    <row r="76" spans="1:88" x14ac:dyDescent="0.2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10893.48</v>
      </c>
      <c r="G76" s="13" t="s">
        <v>137</v>
      </c>
      <c r="H76" s="13" t="s">
        <v>138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613847.21</v>
      </c>
      <c r="Q76" s="13"/>
      <c r="R76" s="13"/>
      <c r="S76" s="13"/>
      <c r="T76" s="13"/>
      <c r="U76" s="13"/>
      <c r="V76" s="13"/>
      <c r="W76" s="13">
        <v>10893.48</v>
      </c>
      <c r="X76" s="13">
        <v>1</v>
      </c>
      <c r="Y76" s="13">
        <v>10893.48</v>
      </c>
      <c r="Z76" s="13">
        <v>613847.21</v>
      </c>
      <c r="AA76" s="13">
        <v>1</v>
      </c>
      <c r="AB76" s="13">
        <v>613847.21</v>
      </c>
    </row>
    <row r="77" spans="1:88" x14ac:dyDescent="0.2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54328.15</v>
      </c>
      <c r="G77" s="13" t="s">
        <v>139</v>
      </c>
      <c r="H77" s="13" t="s">
        <v>140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3058594.53</v>
      </c>
      <c r="Q77" s="13"/>
      <c r="R77" s="13"/>
      <c r="S77" s="13"/>
      <c r="T77" s="13"/>
      <c r="U77" s="13"/>
      <c r="V77" s="13"/>
      <c r="W77" s="13">
        <v>54328.15</v>
      </c>
      <c r="X77" s="13">
        <v>1</v>
      </c>
      <c r="Y77" s="13">
        <v>54328.15</v>
      </c>
      <c r="Z77" s="13">
        <v>3058594.53</v>
      </c>
      <c r="AA77" s="13">
        <v>1</v>
      </c>
      <c r="AB77" s="13">
        <v>3058594.53</v>
      </c>
    </row>
    <row r="79" spans="1:88" x14ac:dyDescent="0.2">
      <c r="A79" s="10">
        <v>4</v>
      </c>
      <c r="B79" s="10">
        <v>1</v>
      </c>
      <c r="C79" s="10"/>
      <c r="D79" s="10">
        <f>ROW(A118)</f>
        <v>118</v>
      </c>
      <c r="E79" s="10"/>
      <c r="F79" s="10" t="s">
        <v>23</v>
      </c>
      <c r="G79" s="10" t="s">
        <v>141</v>
      </c>
      <c r="H79" s="10" t="s">
        <v>3</v>
      </c>
      <c r="I79" s="10">
        <v>0</v>
      </c>
      <c r="J79" s="10"/>
      <c r="K79" s="10">
        <v>-1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2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x14ac:dyDescent="0.2">
      <c r="A81" s="11">
        <v>52</v>
      </c>
      <c r="B81" s="11">
        <f t="shared" ref="B81:G81" si="66">B118</f>
        <v>1</v>
      </c>
      <c r="C81" s="11">
        <f t="shared" si="66"/>
        <v>4</v>
      </c>
      <c r="D81" s="11">
        <f t="shared" si="66"/>
        <v>79</v>
      </c>
      <c r="E81" s="11">
        <f t="shared" si="66"/>
        <v>0</v>
      </c>
      <c r="F81" s="11" t="str">
        <f t="shared" si="66"/>
        <v>Новый раздел</v>
      </c>
      <c r="G81" s="11" t="str">
        <f t="shared" si="66"/>
        <v>Оборудование системы двусторонней связи</v>
      </c>
      <c r="H81" s="11"/>
      <c r="I81" s="11"/>
      <c r="J81" s="11"/>
      <c r="K81" s="11"/>
      <c r="L81" s="11"/>
      <c r="M81" s="11"/>
      <c r="N81" s="11"/>
      <c r="O81" s="11">
        <f t="shared" ref="O81:AT81" si="67">O118</f>
        <v>255351.62</v>
      </c>
      <c r="P81" s="11">
        <f t="shared" si="67"/>
        <v>253634.39</v>
      </c>
      <c r="Q81" s="11">
        <f t="shared" si="67"/>
        <v>234.2</v>
      </c>
      <c r="R81" s="11">
        <f t="shared" si="67"/>
        <v>28.44</v>
      </c>
      <c r="S81" s="11">
        <f t="shared" si="67"/>
        <v>1483.03</v>
      </c>
      <c r="T81" s="11">
        <f t="shared" si="67"/>
        <v>0</v>
      </c>
      <c r="U81" s="11">
        <f t="shared" si="67"/>
        <v>104.87673359999999</v>
      </c>
      <c r="V81" s="11">
        <f t="shared" si="67"/>
        <v>0</v>
      </c>
      <c r="W81" s="11">
        <f t="shared" si="67"/>
        <v>0</v>
      </c>
      <c r="X81" s="11">
        <f t="shared" si="67"/>
        <v>1363.41</v>
      </c>
      <c r="Y81" s="11">
        <f t="shared" si="67"/>
        <v>699.59</v>
      </c>
      <c r="Z81" s="11">
        <f t="shared" si="67"/>
        <v>0</v>
      </c>
      <c r="AA81" s="11">
        <f t="shared" si="67"/>
        <v>0</v>
      </c>
      <c r="AB81" s="11">
        <f t="shared" si="67"/>
        <v>255351.62</v>
      </c>
      <c r="AC81" s="11">
        <f t="shared" si="67"/>
        <v>253634.39</v>
      </c>
      <c r="AD81" s="11">
        <f t="shared" si="67"/>
        <v>234.2</v>
      </c>
      <c r="AE81" s="11">
        <f t="shared" si="67"/>
        <v>28.44</v>
      </c>
      <c r="AF81" s="11">
        <f t="shared" si="67"/>
        <v>1483.03</v>
      </c>
      <c r="AG81" s="11">
        <f t="shared" si="67"/>
        <v>0</v>
      </c>
      <c r="AH81" s="11">
        <f t="shared" si="67"/>
        <v>104.87673359999999</v>
      </c>
      <c r="AI81" s="11">
        <f t="shared" si="67"/>
        <v>0</v>
      </c>
      <c r="AJ81" s="11">
        <f t="shared" si="67"/>
        <v>0</v>
      </c>
      <c r="AK81" s="11">
        <f t="shared" si="67"/>
        <v>1363.41</v>
      </c>
      <c r="AL81" s="11">
        <f t="shared" si="67"/>
        <v>699.59</v>
      </c>
      <c r="AM81" s="11">
        <f t="shared" si="67"/>
        <v>0</v>
      </c>
      <c r="AN81" s="11">
        <f t="shared" si="67"/>
        <v>0</v>
      </c>
      <c r="AO81" s="11">
        <f t="shared" si="67"/>
        <v>0</v>
      </c>
      <c r="AP81" s="11">
        <f t="shared" si="67"/>
        <v>252525.66</v>
      </c>
      <c r="AQ81" s="11">
        <f t="shared" si="67"/>
        <v>0</v>
      </c>
      <c r="AR81" s="11">
        <f t="shared" si="67"/>
        <v>257414.62</v>
      </c>
      <c r="AS81" s="11">
        <f t="shared" si="67"/>
        <v>925.94</v>
      </c>
      <c r="AT81" s="11">
        <f t="shared" si="67"/>
        <v>3963.02</v>
      </c>
      <c r="AU81" s="11">
        <f t="shared" ref="AU81:BZ81" si="68">AU118</f>
        <v>0</v>
      </c>
      <c r="AV81" s="11">
        <f t="shared" si="68"/>
        <v>253634.39</v>
      </c>
      <c r="AW81" s="11">
        <f t="shared" si="68"/>
        <v>1108.73</v>
      </c>
      <c r="AX81" s="11">
        <f t="shared" si="68"/>
        <v>0</v>
      </c>
      <c r="AY81" s="11">
        <f t="shared" si="68"/>
        <v>1108.73</v>
      </c>
      <c r="AZ81" s="11">
        <f t="shared" si="68"/>
        <v>252525.66</v>
      </c>
      <c r="BA81" s="11">
        <f t="shared" si="68"/>
        <v>0</v>
      </c>
      <c r="BB81" s="11">
        <f t="shared" si="68"/>
        <v>0</v>
      </c>
      <c r="BC81" s="11">
        <f t="shared" si="68"/>
        <v>0</v>
      </c>
      <c r="BD81" s="11">
        <f t="shared" si="68"/>
        <v>0</v>
      </c>
      <c r="BE81" s="11">
        <f t="shared" si="68"/>
        <v>0</v>
      </c>
      <c r="BF81" s="11">
        <f t="shared" si="68"/>
        <v>0</v>
      </c>
      <c r="BG81" s="11">
        <f t="shared" si="68"/>
        <v>0</v>
      </c>
      <c r="BH81" s="11">
        <f t="shared" si="68"/>
        <v>0</v>
      </c>
      <c r="BI81" s="11">
        <f t="shared" si="68"/>
        <v>0</v>
      </c>
      <c r="BJ81" s="11">
        <f t="shared" si="68"/>
        <v>0</v>
      </c>
      <c r="BK81" s="11">
        <f t="shared" si="68"/>
        <v>0</v>
      </c>
      <c r="BL81" s="11">
        <f t="shared" si="68"/>
        <v>0</v>
      </c>
      <c r="BM81" s="11">
        <f t="shared" si="68"/>
        <v>0</v>
      </c>
      <c r="BN81" s="11">
        <f t="shared" si="68"/>
        <v>0</v>
      </c>
      <c r="BO81" s="11">
        <f t="shared" si="68"/>
        <v>0</v>
      </c>
      <c r="BP81" s="11">
        <f t="shared" si="68"/>
        <v>0</v>
      </c>
      <c r="BQ81" s="11">
        <f t="shared" si="68"/>
        <v>0</v>
      </c>
      <c r="BR81" s="11">
        <f t="shared" si="68"/>
        <v>0</v>
      </c>
      <c r="BS81" s="11">
        <f t="shared" si="68"/>
        <v>0</v>
      </c>
      <c r="BT81" s="11">
        <f t="shared" si="68"/>
        <v>0</v>
      </c>
      <c r="BU81" s="11">
        <f t="shared" si="68"/>
        <v>0</v>
      </c>
      <c r="BV81" s="11">
        <f t="shared" si="68"/>
        <v>0</v>
      </c>
      <c r="BW81" s="11">
        <f t="shared" si="68"/>
        <v>0</v>
      </c>
      <c r="BX81" s="11">
        <f t="shared" si="68"/>
        <v>0</v>
      </c>
      <c r="BY81" s="11">
        <f t="shared" si="68"/>
        <v>252525.66</v>
      </c>
      <c r="BZ81" s="11">
        <f t="shared" si="68"/>
        <v>0</v>
      </c>
      <c r="CA81" s="11">
        <f t="shared" ref="CA81:DF81" si="69">CA118</f>
        <v>257414.62</v>
      </c>
      <c r="CB81" s="11">
        <f t="shared" si="69"/>
        <v>925.94</v>
      </c>
      <c r="CC81" s="11">
        <f t="shared" si="69"/>
        <v>3963.02</v>
      </c>
      <c r="CD81" s="11">
        <f t="shared" si="69"/>
        <v>0</v>
      </c>
      <c r="CE81" s="11">
        <f t="shared" si="69"/>
        <v>253634.39</v>
      </c>
      <c r="CF81" s="11">
        <f t="shared" si="69"/>
        <v>1108.7300000000105</v>
      </c>
      <c r="CG81" s="11">
        <f t="shared" si="69"/>
        <v>0</v>
      </c>
      <c r="CH81" s="11">
        <f t="shared" si="69"/>
        <v>1108.7300000000105</v>
      </c>
      <c r="CI81" s="11">
        <f t="shared" si="69"/>
        <v>252525.66</v>
      </c>
      <c r="CJ81" s="11">
        <f t="shared" si="69"/>
        <v>0</v>
      </c>
      <c r="CK81" s="11">
        <f t="shared" si="69"/>
        <v>0</v>
      </c>
      <c r="CL81" s="11">
        <f t="shared" si="69"/>
        <v>0</v>
      </c>
      <c r="CM81" s="11">
        <f t="shared" si="69"/>
        <v>0</v>
      </c>
      <c r="CN81" s="11">
        <f t="shared" si="69"/>
        <v>0</v>
      </c>
      <c r="CO81" s="11">
        <f t="shared" si="69"/>
        <v>0</v>
      </c>
      <c r="CP81" s="11">
        <f t="shared" si="69"/>
        <v>0</v>
      </c>
      <c r="CQ81" s="11">
        <f t="shared" si="69"/>
        <v>0</v>
      </c>
      <c r="CR81" s="11">
        <f t="shared" si="69"/>
        <v>0</v>
      </c>
      <c r="CS81" s="11">
        <f t="shared" si="69"/>
        <v>0</v>
      </c>
      <c r="CT81" s="11">
        <f t="shared" si="69"/>
        <v>0</v>
      </c>
      <c r="CU81" s="11">
        <f t="shared" si="69"/>
        <v>0</v>
      </c>
      <c r="CV81" s="11">
        <f t="shared" si="69"/>
        <v>0</v>
      </c>
      <c r="CW81" s="11">
        <f t="shared" si="69"/>
        <v>0</v>
      </c>
      <c r="CX81" s="11">
        <f t="shared" si="69"/>
        <v>0</v>
      </c>
      <c r="CY81" s="11">
        <f t="shared" si="69"/>
        <v>0</v>
      </c>
      <c r="CZ81" s="11">
        <f t="shared" si="69"/>
        <v>0</v>
      </c>
      <c r="DA81" s="11">
        <f t="shared" si="69"/>
        <v>0</v>
      </c>
      <c r="DB81" s="11">
        <f t="shared" si="69"/>
        <v>0</v>
      </c>
      <c r="DC81" s="11">
        <f t="shared" si="69"/>
        <v>0</v>
      </c>
      <c r="DD81" s="11">
        <f t="shared" si="69"/>
        <v>0</v>
      </c>
      <c r="DE81" s="11">
        <f t="shared" si="69"/>
        <v>0</v>
      </c>
      <c r="DF81" s="11">
        <f t="shared" si="69"/>
        <v>0</v>
      </c>
      <c r="DG81" s="12">
        <f t="shared" ref="DG81:EL81" si="70">DG118</f>
        <v>2010172.26</v>
      </c>
      <c r="DH81" s="12">
        <f t="shared" si="70"/>
        <v>1922726.69</v>
      </c>
      <c r="DI81" s="12">
        <f t="shared" si="70"/>
        <v>3876.83</v>
      </c>
      <c r="DJ81" s="12">
        <f t="shared" si="70"/>
        <v>1602.6</v>
      </c>
      <c r="DK81" s="12">
        <f t="shared" si="70"/>
        <v>83568.740000000005</v>
      </c>
      <c r="DL81" s="12">
        <f t="shared" si="70"/>
        <v>0</v>
      </c>
      <c r="DM81" s="12">
        <f t="shared" si="70"/>
        <v>104.87673359999999</v>
      </c>
      <c r="DN81" s="12">
        <f t="shared" si="70"/>
        <v>0</v>
      </c>
      <c r="DO81" s="12">
        <f t="shared" si="70"/>
        <v>0</v>
      </c>
      <c r="DP81" s="12">
        <f t="shared" si="70"/>
        <v>76827.73</v>
      </c>
      <c r="DQ81" s="12">
        <f t="shared" si="70"/>
        <v>39421.75</v>
      </c>
      <c r="DR81" s="12">
        <f t="shared" si="70"/>
        <v>0</v>
      </c>
      <c r="DS81" s="12">
        <f t="shared" si="70"/>
        <v>0</v>
      </c>
      <c r="DT81" s="12">
        <f t="shared" si="70"/>
        <v>2010172.26</v>
      </c>
      <c r="DU81" s="12">
        <f t="shared" si="70"/>
        <v>1922726.69</v>
      </c>
      <c r="DV81" s="12">
        <f t="shared" si="70"/>
        <v>3876.83</v>
      </c>
      <c r="DW81" s="12">
        <f t="shared" si="70"/>
        <v>1602.6</v>
      </c>
      <c r="DX81" s="12">
        <f t="shared" si="70"/>
        <v>83568.740000000005</v>
      </c>
      <c r="DY81" s="12">
        <f t="shared" si="70"/>
        <v>0</v>
      </c>
      <c r="DZ81" s="12">
        <f t="shared" si="70"/>
        <v>104.87673359999999</v>
      </c>
      <c r="EA81" s="12">
        <f t="shared" si="70"/>
        <v>0</v>
      </c>
      <c r="EB81" s="12">
        <f t="shared" si="70"/>
        <v>0</v>
      </c>
      <c r="EC81" s="12">
        <f t="shared" si="70"/>
        <v>76827.73</v>
      </c>
      <c r="ED81" s="12">
        <f t="shared" si="70"/>
        <v>39421.75</v>
      </c>
      <c r="EE81" s="12">
        <f t="shared" si="70"/>
        <v>0</v>
      </c>
      <c r="EF81" s="12">
        <f t="shared" si="70"/>
        <v>0</v>
      </c>
      <c r="EG81" s="12">
        <f t="shared" si="70"/>
        <v>0</v>
      </c>
      <c r="EH81" s="12">
        <f t="shared" si="70"/>
        <v>1911619.25</v>
      </c>
      <c r="EI81" s="12">
        <f t="shared" si="70"/>
        <v>0</v>
      </c>
      <c r="EJ81" s="12">
        <f t="shared" si="70"/>
        <v>2126421.7400000002</v>
      </c>
      <c r="EK81" s="12">
        <f t="shared" si="70"/>
        <v>9111.25</v>
      </c>
      <c r="EL81" s="12">
        <f t="shared" si="70"/>
        <v>205691.24</v>
      </c>
      <c r="EM81" s="12">
        <f t="shared" ref="EM81:FR81" si="71">EM118</f>
        <v>0</v>
      </c>
      <c r="EN81" s="12">
        <f t="shared" si="71"/>
        <v>1922726.69</v>
      </c>
      <c r="EO81" s="12">
        <f t="shared" si="71"/>
        <v>11107.44</v>
      </c>
      <c r="EP81" s="12">
        <f t="shared" si="71"/>
        <v>0</v>
      </c>
      <c r="EQ81" s="12">
        <f t="shared" si="71"/>
        <v>11107.44</v>
      </c>
      <c r="ER81" s="12">
        <f t="shared" si="71"/>
        <v>1911619.25</v>
      </c>
      <c r="ES81" s="12">
        <f t="shared" si="71"/>
        <v>0</v>
      </c>
      <c r="ET81" s="12">
        <f t="shared" si="71"/>
        <v>0</v>
      </c>
      <c r="EU81" s="12">
        <f t="shared" si="71"/>
        <v>0</v>
      </c>
      <c r="EV81" s="12">
        <f t="shared" si="71"/>
        <v>0</v>
      </c>
      <c r="EW81" s="12">
        <f t="shared" si="71"/>
        <v>0</v>
      </c>
      <c r="EX81" s="12">
        <f t="shared" si="71"/>
        <v>0</v>
      </c>
      <c r="EY81" s="12">
        <f t="shared" si="71"/>
        <v>0</v>
      </c>
      <c r="EZ81" s="12">
        <f t="shared" si="71"/>
        <v>0</v>
      </c>
      <c r="FA81" s="12">
        <f t="shared" si="71"/>
        <v>0</v>
      </c>
      <c r="FB81" s="12">
        <f t="shared" si="71"/>
        <v>0</v>
      </c>
      <c r="FC81" s="12">
        <f t="shared" si="71"/>
        <v>0</v>
      </c>
      <c r="FD81" s="12">
        <f t="shared" si="71"/>
        <v>0</v>
      </c>
      <c r="FE81" s="12">
        <f t="shared" si="71"/>
        <v>0</v>
      </c>
      <c r="FF81" s="12">
        <f t="shared" si="71"/>
        <v>0</v>
      </c>
      <c r="FG81" s="12">
        <f t="shared" si="71"/>
        <v>0</v>
      </c>
      <c r="FH81" s="12">
        <f t="shared" si="71"/>
        <v>0</v>
      </c>
      <c r="FI81" s="12">
        <f t="shared" si="71"/>
        <v>0</v>
      </c>
      <c r="FJ81" s="12">
        <f t="shared" si="71"/>
        <v>0</v>
      </c>
      <c r="FK81" s="12">
        <f t="shared" si="71"/>
        <v>0</v>
      </c>
      <c r="FL81" s="12">
        <f t="shared" si="71"/>
        <v>0</v>
      </c>
      <c r="FM81" s="12">
        <f t="shared" si="71"/>
        <v>0</v>
      </c>
      <c r="FN81" s="12">
        <f t="shared" si="71"/>
        <v>0</v>
      </c>
      <c r="FO81" s="12">
        <f t="shared" si="71"/>
        <v>0</v>
      </c>
      <c r="FP81" s="12">
        <f t="shared" si="71"/>
        <v>0</v>
      </c>
      <c r="FQ81" s="12">
        <f t="shared" si="71"/>
        <v>1911619.25</v>
      </c>
      <c r="FR81" s="12">
        <f t="shared" si="71"/>
        <v>0</v>
      </c>
      <c r="FS81" s="12">
        <f t="shared" ref="FS81:GX81" si="72">FS118</f>
        <v>2126421.7400000002</v>
      </c>
      <c r="FT81" s="12">
        <f t="shared" si="72"/>
        <v>9111.25</v>
      </c>
      <c r="FU81" s="12">
        <f t="shared" si="72"/>
        <v>205691.24</v>
      </c>
      <c r="FV81" s="12">
        <f t="shared" si="72"/>
        <v>0</v>
      </c>
      <c r="FW81" s="12">
        <f t="shared" si="72"/>
        <v>1922726.69</v>
      </c>
      <c r="FX81" s="12">
        <f t="shared" si="72"/>
        <v>11107.439999999944</v>
      </c>
      <c r="FY81" s="12">
        <f t="shared" si="72"/>
        <v>0</v>
      </c>
      <c r="FZ81" s="12">
        <f t="shared" si="72"/>
        <v>11107.439999999944</v>
      </c>
      <c r="GA81" s="12">
        <f t="shared" si="72"/>
        <v>1911619.25</v>
      </c>
      <c r="GB81" s="12">
        <f t="shared" si="72"/>
        <v>0</v>
      </c>
      <c r="GC81" s="12">
        <f t="shared" si="72"/>
        <v>0</v>
      </c>
      <c r="GD81" s="12">
        <f t="shared" si="72"/>
        <v>0</v>
      </c>
      <c r="GE81" s="12">
        <f t="shared" si="72"/>
        <v>0</v>
      </c>
      <c r="GF81" s="12">
        <f t="shared" si="72"/>
        <v>0</v>
      </c>
      <c r="GG81" s="12">
        <f t="shared" si="72"/>
        <v>0</v>
      </c>
      <c r="GH81" s="12">
        <f t="shared" si="72"/>
        <v>0</v>
      </c>
      <c r="GI81" s="12">
        <f t="shared" si="72"/>
        <v>0</v>
      </c>
      <c r="GJ81" s="12">
        <f t="shared" si="72"/>
        <v>0</v>
      </c>
      <c r="GK81" s="12">
        <f t="shared" si="72"/>
        <v>0</v>
      </c>
      <c r="GL81" s="12">
        <f t="shared" si="72"/>
        <v>0</v>
      </c>
      <c r="GM81" s="12">
        <f t="shared" si="72"/>
        <v>0</v>
      </c>
      <c r="GN81" s="12">
        <f t="shared" si="72"/>
        <v>0</v>
      </c>
      <c r="GO81" s="12">
        <f t="shared" si="72"/>
        <v>0</v>
      </c>
      <c r="GP81" s="12">
        <f t="shared" si="72"/>
        <v>0</v>
      </c>
      <c r="GQ81" s="12">
        <f t="shared" si="72"/>
        <v>0</v>
      </c>
      <c r="GR81" s="12">
        <f t="shared" si="72"/>
        <v>0</v>
      </c>
      <c r="GS81" s="12">
        <f t="shared" si="72"/>
        <v>0</v>
      </c>
      <c r="GT81" s="12">
        <f t="shared" si="72"/>
        <v>0</v>
      </c>
      <c r="GU81" s="12">
        <f t="shared" si="72"/>
        <v>0</v>
      </c>
      <c r="GV81" s="12">
        <f t="shared" si="72"/>
        <v>0</v>
      </c>
      <c r="GW81" s="12">
        <f t="shared" si="72"/>
        <v>0</v>
      </c>
      <c r="GX81" s="12">
        <f t="shared" si="72"/>
        <v>0</v>
      </c>
    </row>
    <row r="83" spans="1:255" x14ac:dyDescent="0.2">
      <c r="A83" s="2">
        <v>17</v>
      </c>
      <c r="B83" s="2">
        <v>1</v>
      </c>
      <c r="C83" s="2"/>
      <c r="D83" s="2"/>
      <c r="E83" s="2" t="s">
        <v>142</v>
      </c>
      <c r="F83" s="2" t="s">
        <v>26</v>
      </c>
      <c r="G83" s="2" t="s">
        <v>143</v>
      </c>
      <c r="H83" s="2" t="s">
        <v>28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ref="O83:O116" si="73">ROUND(CP83,2)</f>
        <v>31.18</v>
      </c>
      <c r="P83" s="2">
        <f t="shared" ref="P83:P116" si="74">ROUND((ROUND((AC83*AW83*I83),2)*BC83),2)</f>
        <v>0</v>
      </c>
      <c r="Q83" s="2">
        <f>(ROUND((ROUND((((ET83*1.2))*AV83*I83),2)*BB83),2)+ROUND((ROUND(((AE83-((EU83*1.2)))*AV83*I83),2)*BS83),2))</f>
        <v>16.71</v>
      </c>
      <c r="R83" s="2">
        <f>(ROUND((ROUND((((EU83*1.2))*AV83*I83),2)*BS83),2)+ROUND((ROUND(((AE83-((EU83*1.2)))*AV83*I83),2)*BS83),2))</f>
        <v>2.54</v>
      </c>
      <c r="S83" s="2">
        <f t="shared" ref="S83:S116" si="75">ROUND((ROUND((AF83*AV83*I83),2)*BA83),2)</f>
        <v>14.47</v>
      </c>
      <c r="T83" s="2">
        <f t="shared" ref="T83:T116" si="76">ROUND(CU83*I83,2)</f>
        <v>0</v>
      </c>
      <c r="U83" s="2">
        <f t="shared" ref="U83:U116" si="77">CV83*I83</f>
        <v>1.2940919999999998</v>
      </c>
      <c r="V83" s="2">
        <f t="shared" ref="V83:V116" si="78">CW83*I83</f>
        <v>0</v>
      </c>
      <c r="W83" s="2">
        <f t="shared" ref="W83:W116" si="79">ROUND(CX83*I83,2)</f>
        <v>0</v>
      </c>
      <c r="X83" s="2">
        <f>(ROUND((((S83+ROUND((ROUND((((EU83*1.2))*AV83*I83),2)*BS83),2))*AT83)/100),2)+ROUND(((ROUND((ROUND(((AE83-((EU83*1.2)))*AV83*I83),2)*BS83),2)*AT83)/100),2))</f>
        <v>15.31</v>
      </c>
      <c r="Y83" s="2">
        <f>(ROUND((((S83+ROUND((ROUND((((EU83*1.2))*AV83*I83),2)*BS83),2))*AU83)/100),2)+ROUND(((ROUND((ROUND(((AE83-((EU83*1.2)))*AV83*I83),2)*BS83),2)*AU83)/100),2))</f>
        <v>7.82</v>
      </c>
      <c r="Z83" s="2"/>
      <c r="AA83" s="2">
        <v>55943566</v>
      </c>
      <c r="AB83" s="2">
        <f t="shared" ref="AB83:AB116" si="80">ROUND((AC83+AD83+AF83),6)</f>
        <v>29.783999999999999</v>
      </c>
      <c r="AC83" s="2">
        <f>ROUND(((ES83*1)),6)</f>
        <v>0</v>
      </c>
      <c r="AD83" s="2">
        <f>ROUND(((((ET83*1.2))-((EU83*1.2)))+AE83),6)</f>
        <v>15.96</v>
      </c>
      <c r="AE83" s="2">
        <f>ROUND(((EU83*1.2)),6)</f>
        <v>2.4239999999999999</v>
      </c>
      <c r="AF83" s="2">
        <f>ROUND(((EV83*1.2)),6)</f>
        <v>13.824</v>
      </c>
      <c r="AG83" s="2">
        <f t="shared" ref="AG83:AG116" si="81">ROUND((AP83),6)</f>
        <v>0</v>
      </c>
      <c r="AH83" s="2">
        <f>((EW83*1.2))</f>
        <v>1.236</v>
      </c>
      <c r="AI83" s="2">
        <f>((EX83*1.2))</f>
        <v>0</v>
      </c>
      <c r="AJ83" s="2">
        <f t="shared" ref="AJ83:AJ116" si="82">(AS83)</f>
        <v>0</v>
      </c>
      <c r="AK83" s="2">
        <v>24.82</v>
      </c>
      <c r="AL83" s="2">
        <v>0</v>
      </c>
      <c r="AM83" s="2">
        <v>13.3</v>
      </c>
      <c r="AN83" s="2">
        <v>2.02</v>
      </c>
      <c r="AO83" s="2">
        <v>11.52</v>
      </c>
      <c r="AP83" s="2">
        <v>0</v>
      </c>
      <c r="AQ83" s="2">
        <v>1.03</v>
      </c>
      <c r="AR83" s="2">
        <v>0</v>
      </c>
      <c r="AS83" s="2">
        <v>0</v>
      </c>
      <c r="AT83" s="2">
        <v>90</v>
      </c>
      <c r="AU83" s="2">
        <v>46</v>
      </c>
      <c r="AV83" s="2">
        <v>1.0469999999999999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29</v>
      </c>
      <c r="BK83" s="2"/>
      <c r="BL83" s="2"/>
      <c r="BM83" s="2">
        <v>72</v>
      </c>
      <c r="BN83" s="2">
        <v>0</v>
      </c>
      <c r="BO83" s="2" t="s">
        <v>26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90</v>
      </c>
      <c r="CA83" s="2">
        <v>46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351</v>
      </c>
      <c r="CO83" s="2">
        <v>0</v>
      </c>
      <c r="CP83" s="2">
        <f t="shared" ref="CP83:CP116" si="83">(P83+Q83+S83)</f>
        <v>31.18</v>
      </c>
      <c r="CQ83" s="2">
        <f t="shared" ref="CQ83:CQ116" si="84">ROUND((ROUND((AC83*AW83*1),2)*BC83),2)</f>
        <v>0</v>
      </c>
      <c r="CR83" s="2">
        <f>(ROUND((ROUND((((ET83*1.2))*AV83*1),2)*BB83),2)+ROUND((ROUND(((AE83-((EU83*1.2)))*AV83*1),2)*BS83),2))</f>
        <v>16.71</v>
      </c>
      <c r="CS83" s="2">
        <f>(ROUND((ROUND((((EU83*1.2))*AV83*1),2)*BS83),2)+ROUND((ROUND(((AE83-((EU83*1.2)))*AV83*1),2)*BS83),2))</f>
        <v>2.54</v>
      </c>
      <c r="CT83" s="2">
        <f t="shared" ref="CT83:CT116" si="85">ROUND((ROUND((AF83*AV83*1),2)*BA83),2)</f>
        <v>14.47</v>
      </c>
      <c r="CU83" s="2">
        <f t="shared" ref="CU83:CU116" si="86">AG83</f>
        <v>0</v>
      </c>
      <c r="CV83" s="2">
        <f t="shared" ref="CV83:CV116" si="87">(AH83*AV83)</f>
        <v>1.2940919999999998</v>
      </c>
      <c r="CW83" s="2">
        <f t="shared" ref="CW83:CW116" si="88">AI83</f>
        <v>0</v>
      </c>
      <c r="CX83" s="2">
        <f t="shared" ref="CX83:CX116" si="89">AJ83</f>
        <v>0</v>
      </c>
      <c r="CY83" s="2">
        <f>(ROUND((((S83+ROUND((ROUND((((EU83*1.2))*AV83*1),2)*BS83),2))*AT83)/100),2)+ROUND(((ROUND((ROUND(((AE83-((EU83*1.2)))*AV83*1),2)*BS83),2)*AT83)/100),2))</f>
        <v>15.31</v>
      </c>
      <c r="CZ83" s="2">
        <f>(ROUND((((S83+ROUND((ROUND((((EU83*1.2))*AV83*1),2)*BS83),2))*AU83)/100),2)+ROUND(((ROUND((ROUND(((AE83-((EU83*1.2)))*AV83*1),2)*BS83),2)*AU83)/100),2))</f>
        <v>7.82</v>
      </c>
      <c r="DA83" s="2"/>
      <c r="DB83" s="2">
        <v>37</v>
      </c>
      <c r="DC83" s="2" t="s">
        <v>3</v>
      </c>
      <c r="DD83" s="2" t="s">
        <v>77</v>
      </c>
      <c r="DE83" s="2" t="s">
        <v>78</v>
      </c>
      <c r="DF83" s="2" t="s">
        <v>78</v>
      </c>
      <c r="DG83" s="2" t="s">
        <v>78</v>
      </c>
      <c r="DH83" s="2" t="s">
        <v>3</v>
      </c>
      <c r="DI83" s="2" t="s">
        <v>78</v>
      </c>
      <c r="DJ83" s="2" t="s">
        <v>78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28</v>
      </c>
      <c r="DW83" s="2" t="s">
        <v>32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55393976</v>
      </c>
      <c r="EF83" s="2">
        <v>40</v>
      </c>
      <c r="EG83" s="2" t="s">
        <v>33</v>
      </c>
      <c r="EH83" s="2">
        <v>0</v>
      </c>
      <c r="EI83" s="2" t="s">
        <v>3</v>
      </c>
      <c r="EJ83" s="2">
        <v>2</v>
      </c>
      <c r="EK83" s="2">
        <v>72</v>
      </c>
      <c r="EL83" s="2" t="s">
        <v>34</v>
      </c>
      <c r="EM83" s="2" t="s">
        <v>35</v>
      </c>
      <c r="EN83" s="2"/>
      <c r="EO83" s="2" t="s">
        <v>82</v>
      </c>
      <c r="EP83" s="2"/>
      <c r="EQ83" s="2">
        <v>131072</v>
      </c>
      <c r="ER83" s="2">
        <v>24.82</v>
      </c>
      <c r="ES83" s="2">
        <v>0</v>
      </c>
      <c r="ET83" s="2">
        <v>13.3</v>
      </c>
      <c r="EU83" s="2">
        <v>2.02</v>
      </c>
      <c r="EV83" s="2">
        <v>11.52</v>
      </c>
      <c r="EW83" s="2">
        <v>1.03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90</v>
      </c>
      <c r="FY83" s="2">
        <v>46</v>
      </c>
      <c r="FZ83" s="2"/>
      <c r="GA83" s="2" t="s">
        <v>3</v>
      </c>
      <c r="GB83" s="2"/>
      <c r="GC83" s="2"/>
      <c r="GD83" s="2">
        <v>1</v>
      </c>
      <c r="GE83" s="2"/>
      <c r="GF83" s="2">
        <v>1504310839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16" si="90">ROUND(IF(AND(BH83=3,BI83=3,FS83&lt;&gt;0),P83,0),2)</f>
        <v>0</v>
      </c>
      <c r="GM83" s="2">
        <f t="shared" ref="GM83:GM116" si="91">ROUND(O83+X83+Y83,2)+GX83</f>
        <v>54.31</v>
      </c>
      <c r="GN83" s="2">
        <f t="shared" ref="GN83:GN116" si="92">IF(OR(BI83=0,BI83=1),GM83-GX83,0)</f>
        <v>0</v>
      </c>
      <c r="GO83" s="2">
        <f t="shared" ref="GO83:GO116" si="93">IF(BI83=2,GM83-GX83,0)</f>
        <v>54.31</v>
      </c>
      <c r="GP83" s="2">
        <f t="shared" ref="GP83:GP116" si="9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16" si="95">ROUND((GT83),6)</f>
        <v>0</v>
      </c>
      <c r="GW83" s="2">
        <v>1</v>
      </c>
      <c r="GX83" s="2">
        <f t="shared" ref="GX83:GX116" si="96">ROUND(HC83*I83,2)</f>
        <v>0</v>
      </c>
      <c r="GY83" s="2"/>
      <c r="GZ83" s="2"/>
      <c r="HA83" s="2">
        <v>0</v>
      </c>
      <c r="HB83" s="2">
        <v>0</v>
      </c>
      <c r="HC83" s="2">
        <f t="shared" ref="HC83:HC116" si="9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3">
        <v>17</v>
      </c>
      <c r="B84" s="3">
        <v>1</v>
      </c>
      <c r="E84" s="3" t="s">
        <v>142</v>
      </c>
      <c r="F84" s="3" t="s">
        <v>26</v>
      </c>
      <c r="G84" s="3" t="s">
        <v>143</v>
      </c>
      <c r="H84" s="3" t="s">
        <v>28</v>
      </c>
      <c r="I84" s="3">
        <v>1</v>
      </c>
      <c r="J84" s="3">
        <v>0</v>
      </c>
      <c r="K84" s="3">
        <v>1</v>
      </c>
      <c r="O84" s="3">
        <f t="shared" si="73"/>
        <v>1100.45</v>
      </c>
      <c r="P84" s="3">
        <f t="shared" si="74"/>
        <v>0</v>
      </c>
      <c r="Q84" s="3">
        <f>(ROUND((ROUND((((ET84*1.2))*AV84*I84),2)*BB84),2)+ROUND((ROUND(((AE84-((EU84*1.2)))*AV84*I84),2)*BS84),2))</f>
        <v>285.07</v>
      </c>
      <c r="R84" s="3">
        <f>(ROUND((ROUND((((EU84*1.2))*AV84*I84),2)*BS84),2)+ROUND((ROUND(((AE84-((EU84*1.2)))*AV84*I84),2)*BS84),2))</f>
        <v>143.13</v>
      </c>
      <c r="S84" s="3">
        <f t="shared" si="75"/>
        <v>815.38</v>
      </c>
      <c r="T84" s="3">
        <f t="shared" si="76"/>
        <v>0</v>
      </c>
      <c r="U84" s="3">
        <f t="shared" si="77"/>
        <v>1.2940919999999998</v>
      </c>
      <c r="V84" s="3">
        <f t="shared" si="78"/>
        <v>0</v>
      </c>
      <c r="W84" s="3">
        <f t="shared" si="79"/>
        <v>0</v>
      </c>
      <c r="X84" s="3">
        <f>(ROUND((((S84+ROUND((ROUND((((EU84*1.2))*AV84*I84),2)*BS84),2))*AT84)/100),2)+ROUND(((ROUND((ROUND(((AE84-((EU84*1.2)))*AV84*I84),2)*BS84),2)*AT84)/100),2))</f>
        <v>862.66</v>
      </c>
      <c r="Y84" s="3">
        <f>(ROUND((((S84+ROUND((ROUND((((EU84*1.2))*AV84*I84),2)*BS84),2))*AU84)/100),2)+ROUND(((ROUND((ROUND(((AE84-((EU84*1.2)))*AV84*I84),2)*BS84),2)*AU84)/100),2))</f>
        <v>440.91</v>
      </c>
      <c r="AA84" s="3">
        <v>55943568</v>
      </c>
      <c r="AB84" s="3">
        <f t="shared" si="80"/>
        <v>29.783999999999999</v>
      </c>
      <c r="AC84" s="3">
        <f>ROUND(((ES84*1)),6)</f>
        <v>0</v>
      </c>
      <c r="AD84" s="3">
        <f>ROUND(((((ET84*1.2))-((EU84*1.2)))+AE84),6)</f>
        <v>15.96</v>
      </c>
      <c r="AE84" s="3">
        <f>ROUND(((EU84*1.2)),6)</f>
        <v>2.4239999999999999</v>
      </c>
      <c r="AF84" s="3">
        <f>ROUND(((EV84*1.2)),6)</f>
        <v>13.824</v>
      </c>
      <c r="AG84" s="3">
        <f t="shared" si="81"/>
        <v>0</v>
      </c>
      <c r="AH84" s="3">
        <f>((EW84*1.2))</f>
        <v>1.236</v>
      </c>
      <c r="AI84" s="3">
        <f>((EX84*1.2))</f>
        <v>0</v>
      </c>
      <c r="AJ84" s="3">
        <f t="shared" si="82"/>
        <v>0</v>
      </c>
      <c r="AK84" s="3">
        <v>24.82</v>
      </c>
      <c r="AL84" s="3">
        <v>0</v>
      </c>
      <c r="AM84" s="3">
        <v>13.3</v>
      </c>
      <c r="AN84" s="3">
        <v>2.02</v>
      </c>
      <c r="AO84" s="3">
        <v>11.52</v>
      </c>
      <c r="AP84" s="3">
        <v>0</v>
      </c>
      <c r="AQ84" s="3">
        <v>1.03</v>
      </c>
      <c r="AR84" s="3">
        <v>0</v>
      </c>
      <c r="AS84" s="3">
        <v>0</v>
      </c>
      <c r="AT84" s="3">
        <v>90</v>
      </c>
      <c r="AU84" s="3">
        <v>46</v>
      </c>
      <c r="AV84" s="3">
        <v>1.0469999999999999</v>
      </c>
      <c r="AW84" s="3">
        <v>1</v>
      </c>
      <c r="AZ84" s="3">
        <v>1</v>
      </c>
      <c r="BA84" s="3">
        <v>56.35</v>
      </c>
      <c r="BB84" s="3">
        <v>17.059999999999999</v>
      </c>
      <c r="BC84" s="3">
        <v>1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29</v>
      </c>
      <c r="BM84" s="3">
        <v>72</v>
      </c>
      <c r="BN84" s="3">
        <v>0</v>
      </c>
      <c r="BO84" s="3" t="s">
        <v>26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90</v>
      </c>
      <c r="CA84" s="3">
        <v>46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351</v>
      </c>
      <c r="CO84" s="3">
        <v>0</v>
      </c>
      <c r="CP84" s="3">
        <f t="shared" si="83"/>
        <v>1100.45</v>
      </c>
      <c r="CQ84" s="3">
        <f t="shared" si="84"/>
        <v>0</v>
      </c>
      <c r="CR84" s="3">
        <f>(ROUND((ROUND((((ET84*1.2))*AV84*1),2)*BB84),2)+ROUND((ROUND(((AE84-((EU84*1.2)))*AV84*1),2)*BS84),2))</f>
        <v>285.07</v>
      </c>
      <c r="CS84" s="3">
        <f>(ROUND((ROUND((((EU84*1.2))*AV84*1),2)*BS84),2)+ROUND((ROUND(((AE84-((EU84*1.2)))*AV84*1),2)*BS84),2))</f>
        <v>143.13</v>
      </c>
      <c r="CT84" s="3">
        <f t="shared" si="85"/>
        <v>815.38</v>
      </c>
      <c r="CU84" s="3">
        <f t="shared" si="86"/>
        <v>0</v>
      </c>
      <c r="CV84" s="3">
        <f t="shared" si="87"/>
        <v>1.2940919999999998</v>
      </c>
      <c r="CW84" s="3">
        <f t="shared" si="88"/>
        <v>0</v>
      </c>
      <c r="CX84" s="3">
        <f t="shared" si="89"/>
        <v>0</v>
      </c>
      <c r="CY84" s="3">
        <f>(ROUND((((S84+ROUND((ROUND((((EU84*1.2))*AV84*1),2)*BS84),2))*AT84)/100),2)+ROUND(((ROUND((ROUND(((AE84-((EU84*1.2)))*AV84*1),2)*BS84),2)*AT84)/100),2))</f>
        <v>862.66</v>
      </c>
      <c r="CZ84" s="3">
        <f>(ROUND((((S84+ROUND((ROUND((((EU84*1.2))*AV84*1),2)*BS84),2))*AU84)/100),2)+ROUND(((ROUND((ROUND(((AE84-((EU84*1.2)))*AV84*1),2)*BS84),2)*AU84)/100),2))</f>
        <v>440.91</v>
      </c>
      <c r="DB84" s="3">
        <v>38</v>
      </c>
      <c r="DC84" s="3" t="s">
        <v>3</v>
      </c>
      <c r="DD84" s="3" t="s">
        <v>77</v>
      </c>
      <c r="DE84" s="3" t="s">
        <v>78</v>
      </c>
      <c r="DF84" s="3" t="s">
        <v>78</v>
      </c>
      <c r="DG84" s="3" t="s">
        <v>78</v>
      </c>
      <c r="DH84" s="3" t="s">
        <v>3</v>
      </c>
      <c r="DI84" s="3" t="s">
        <v>78</v>
      </c>
      <c r="DJ84" s="3" t="s">
        <v>78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1013</v>
      </c>
      <c r="DV84" s="3" t="s">
        <v>28</v>
      </c>
      <c r="DW84" s="3" t="s">
        <v>32</v>
      </c>
      <c r="DX84" s="3">
        <v>1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55393976</v>
      </c>
      <c r="EF84" s="3">
        <v>40</v>
      </c>
      <c r="EG84" s="3" t="s">
        <v>33</v>
      </c>
      <c r="EH84" s="3">
        <v>0</v>
      </c>
      <c r="EI84" s="3" t="s">
        <v>3</v>
      </c>
      <c r="EJ84" s="3">
        <v>2</v>
      </c>
      <c r="EK84" s="3">
        <v>72</v>
      </c>
      <c r="EL84" s="3" t="s">
        <v>34</v>
      </c>
      <c r="EM84" s="3" t="s">
        <v>35</v>
      </c>
      <c r="EO84" s="3" t="s">
        <v>82</v>
      </c>
      <c r="EQ84" s="3">
        <v>131072</v>
      </c>
      <c r="ER84" s="3">
        <v>24.82</v>
      </c>
      <c r="ES84" s="3">
        <v>0</v>
      </c>
      <c r="ET84" s="3">
        <v>13.3</v>
      </c>
      <c r="EU84" s="3">
        <v>2.02</v>
      </c>
      <c r="EV84" s="3">
        <v>11.52</v>
      </c>
      <c r="EW84" s="3">
        <v>1.03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90</v>
      </c>
      <c r="FY84" s="3">
        <v>46</v>
      </c>
      <c r="GA84" s="3" t="s">
        <v>3</v>
      </c>
      <c r="GD84" s="3">
        <v>1</v>
      </c>
      <c r="GF84" s="3">
        <v>1504310839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90"/>
        <v>0</v>
      </c>
      <c r="GM84" s="3">
        <f t="shared" si="91"/>
        <v>2404.02</v>
      </c>
      <c r="GN84" s="3">
        <f t="shared" si="92"/>
        <v>0</v>
      </c>
      <c r="GO84" s="3">
        <f t="shared" si="93"/>
        <v>2404.02</v>
      </c>
      <c r="GP84" s="3">
        <f t="shared" si="9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95"/>
        <v>0</v>
      </c>
      <c r="GW84" s="3">
        <v>1</v>
      </c>
      <c r="GX84" s="3">
        <f t="shared" si="96"/>
        <v>0</v>
      </c>
      <c r="HA84" s="3">
        <v>0</v>
      </c>
      <c r="HB84" s="3">
        <v>0</v>
      </c>
      <c r="HC84" s="3">
        <f t="shared" si="9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">
      <c r="A85" s="2">
        <v>17</v>
      </c>
      <c r="B85" s="2">
        <v>1</v>
      </c>
      <c r="C85" s="2"/>
      <c r="D85" s="2"/>
      <c r="E85" s="2" t="s">
        <v>144</v>
      </c>
      <c r="F85" s="2" t="s">
        <v>145</v>
      </c>
      <c r="G85" s="2" t="s">
        <v>146</v>
      </c>
      <c r="H85" s="2" t="s">
        <v>147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73"/>
        <v>14083.83</v>
      </c>
      <c r="P85" s="2">
        <f t="shared" si="74"/>
        <v>14083.83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75"/>
        <v>0</v>
      </c>
      <c r="T85" s="2">
        <f t="shared" si="76"/>
        <v>0</v>
      </c>
      <c r="U85" s="2">
        <f t="shared" si="77"/>
        <v>0</v>
      </c>
      <c r="V85" s="2">
        <f t="shared" si="78"/>
        <v>0</v>
      </c>
      <c r="W85" s="2">
        <f t="shared" si="7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55943566</v>
      </c>
      <c r="AB85" s="2">
        <f t="shared" si="80"/>
        <v>14083.83</v>
      </c>
      <c r="AC85" s="2">
        <f>ROUND((ES85),6)</f>
        <v>14083.83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81"/>
        <v>0</v>
      </c>
      <c r="AH85" s="2">
        <f>(EW85)</f>
        <v>0</v>
      </c>
      <c r="AI85" s="2">
        <f>(EX85)</f>
        <v>0</v>
      </c>
      <c r="AJ85" s="2">
        <f t="shared" si="82"/>
        <v>0</v>
      </c>
      <c r="AK85" s="2">
        <v>14083.83</v>
      </c>
      <c r="AL85" s="2">
        <v>14083.83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3</v>
      </c>
      <c r="BJ85" s="2" t="s">
        <v>145</v>
      </c>
      <c r="BK85" s="2"/>
      <c r="BL85" s="2"/>
      <c r="BM85" s="2">
        <v>400007</v>
      </c>
      <c r="BN85" s="2">
        <v>0</v>
      </c>
      <c r="BO85" s="2" t="s">
        <v>3</v>
      </c>
      <c r="BP85" s="2">
        <v>0</v>
      </c>
      <c r="BQ85" s="2">
        <v>214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83"/>
        <v>14083.83</v>
      </c>
      <c r="CQ85" s="2">
        <f t="shared" si="84"/>
        <v>14083.83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85"/>
        <v>0</v>
      </c>
      <c r="CU85" s="2">
        <f t="shared" si="86"/>
        <v>0</v>
      </c>
      <c r="CV85" s="2">
        <f t="shared" si="87"/>
        <v>0</v>
      </c>
      <c r="CW85" s="2">
        <f t="shared" si="88"/>
        <v>0</v>
      </c>
      <c r="CX85" s="2">
        <f t="shared" si="8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147</v>
      </c>
      <c r="DW85" s="2" t="s">
        <v>147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55393904</v>
      </c>
      <c r="EF85" s="2">
        <v>214</v>
      </c>
      <c r="EG85" s="2" t="s">
        <v>148</v>
      </c>
      <c r="EH85" s="2">
        <v>0</v>
      </c>
      <c r="EI85" s="2" t="s">
        <v>3</v>
      </c>
      <c r="EJ85" s="2">
        <v>3</v>
      </c>
      <c r="EK85" s="2">
        <v>400007</v>
      </c>
      <c r="EL85" s="2" t="s">
        <v>148</v>
      </c>
      <c r="EM85" s="2" t="s">
        <v>149</v>
      </c>
      <c r="EN85" s="2"/>
      <c r="EO85" s="2" t="s">
        <v>3</v>
      </c>
      <c r="EP85" s="2"/>
      <c r="EQ85" s="2">
        <v>131088</v>
      </c>
      <c r="ER85" s="2">
        <v>0</v>
      </c>
      <c r="ES85" s="2">
        <v>14083.83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f>P85</f>
        <v>14083.83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150</v>
      </c>
      <c r="GB85" s="2"/>
      <c r="GC85" s="2"/>
      <c r="GD85" s="2">
        <v>1</v>
      </c>
      <c r="GE85" s="2"/>
      <c r="GF85" s="2">
        <v>-1835517610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90"/>
        <v>0</v>
      </c>
      <c r="GM85" s="2">
        <f t="shared" si="91"/>
        <v>14083.83</v>
      </c>
      <c r="GN85" s="2">
        <f t="shared" si="92"/>
        <v>0</v>
      </c>
      <c r="GO85" s="2">
        <f t="shared" si="93"/>
        <v>0</v>
      </c>
      <c r="GP85" s="2">
        <f t="shared" si="94"/>
        <v>0</v>
      </c>
      <c r="GQ85" s="2"/>
      <c r="GR85" s="2">
        <v>0</v>
      </c>
      <c r="GS85" s="2">
        <v>2</v>
      </c>
      <c r="GT85" s="2">
        <v>0</v>
      </c>
      <c r="GU85" s="2" t="s">
        <v>3</v>
      </c>
      <c r="GV85" s="2">
        <f t="shared" si="95"/>
        <v>0</v>
      </c>
      <c r="GW85" s="2">
        <v>1</v>
      </c>
      <c r="GX85" s="2">
        <f t="shared" si="96"/>
        <v>0</v>
      </c>
      <c r="GY85" s="2"/>
      <c r="GZ85" s="2"/>
      <c r="HA85" s="2">
        <v>0</v>
      </c>
      <c r="HB85" s="2">
        <v>0</v>
      </c>
      <c r="HC85" s="2">
        <f t="shared" si="97"/>
        <v>0</v>
      </c>
      <c r="HD85" s="2"/>
      <c r="HE85" s="2" t="s">
        <v>43</v>
      </c>
      <c r="HF85" s="2" t="s">
        <v>151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3">
        <v>17</v>
      </c>
      <c r="B86" s="3">
        <v>1</v>
      </c>
      <c r="E86" s="3" t="s">
        <v>144</v>
      </c>
      <c r="F86" s="3" t="s">
        <v>145</v>
      </c>
      <c r="G86" s="3" t="s">
        <v>146</v>
      </c>
      <c r="H86" s="3" t="s">
        <v>147</v>
      </c>
      <c r="I86" s="3">
        <v>1</v>
      </c>
      <c r="J86" s="3">
        <v>0</v>
      </c>
      <c r="K86" s="3">
        <v>1</v>
      </c>
      <c r="O86" s="3">
        <f t="shared" si="73"/>
        <v>106614.59</v>
      </c>
      <c r="P86" s="3">
        <f t="shared" si="74"/>
        <v>106614.59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75"/>
        <v>0</v>
      </c>
      <c r="T86" s="3">
        <f t="shared" si="76"/>
        <v>0</v>
      </c>
      <c r="U86" s="3">
        <f t="shared" si="77"/>
        <v>0</v>
      </c>
      <c r="V86" s="3">
        <f t="shared" si="78"/>
        <v>0</v>
      </c>
      <c r="W86" s="3">
        <f t="shared" si="7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55943568</v>
      </c>
      <c r="AB86" s="3">
        <f t="shared" si="80"/>
        <v>14083.83</v>
      </c>
      <c r="AC86" s="3">
        <f>ROUND((ES86),6)</f>
        <v>14083.83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81"/>
        <v>0</v>
      </c>
      <c r="AH86" s="3">
        <f>(EW86)</f>
        <v>0</v>
      </c>
      <c r="AI86" s="3">
        <f>(EX86)</f>
        <v>0</v>
      </c>
      <c r="AJ86" s="3">
        <f t="shared" si="82"/>
        <v>0</v>
      </c>
      <c r="AK86" s="3">
        <v>14083.83</v>
      </c>
      <c r="AL86" s="3">
        <v>14083.83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7.57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3</v>
      </c>
      <c r="BJ86" s="3" t="s">
        <v>145</v>
      </c>
      <c r="BM86" s="3">
        <v>400007</v>
      </c>
      <c r="BN86" s="3">
        <v>0</v>
      </c>
      <c r="BO86" s="3" t="s">
        <v>3</v>
      </c>
      <c r="BP86" s="3">
        <v>0</v>
      </c>
      <c r="BQ86" s="3">
        <v>214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0</v>
      </c>
      <c r="CA86" s="3">
        <v>0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3</v>
      </c>
      <c r="CO86" s="3">
        <v>0</v>
      </c>
      <c r="CP86" s="3">
        <f t="shared" si="83"/>
        <v>106614.59</v>
      </c>
      <c r="CQ86" s="3">
        <f t="shared" si="84"/>
        <v>106614.59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85"/>
        <v>0</v>
      </c>
      <c r="CU86" s="3">
        <f t="shared" si="86"/>
        <v>0</v>
      </c>
      <c r="CV86" s="3">
        <f t="shared" si="87"/>
        <v>0</v>
      </c>
      <c r="CW86" s="3">
        <f t="shared" si="88"/>
        <v>0</v>
      </c>
      <c r="CX86" s="3">
        <f t="shared" si="8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1013</v>
      </c>
      <c r="DV86" s="3" t="s">
        <v>147</v>
      </c>
      <c r="DW86" s="3" t="s">
        <v>147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55393904</v>
      </c>
      <c r="EF86" s="3">
        <v>214</v>
      </c>
      <c r="EG86" s="3" t="s">
        <v>148</v>
      </c>
      <c r="EH86" s="3">
        <v>0</v>
      </c>
      <c r="EI86" s="3" t="s">
        <v>3</v>
      </c>
      <c r="EJ86" s="3">
        <v>3</v>
      </c>
      <c r="EK86" s="3">
        <v>400007</v>
      </c>
      <c r="EL86" s="3" t="s">
        <v>148</v>
      </c>
      <c r="EM86" s="3" t="s">
        <v>149</v>
      </c>
      <c r="EO86" s="3" t="s">
        <v>3</v>
      </c>
      <c r="EQ86" s="3">
        <v>131088</v>
      </c>
      <c r="ER86" s="3">
        <v>13918.36</v>
      </c>
      <c r="ES86" s="3">
        <v>14083.83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</v>
      </c>
      <c r="FC86" s="3">
        <v>1</v>
      </c>
      <c r="FD86" s="3">
        <v>18</v>
      </c>
      <c r="FF86" s="3">
        <v>124784</v>
      </c>
      <c r="FQ86" s="3">
        <v>0</v>
      </c>
      <c r="FR86" s="3">
        <f>P86</f>
        <v>106614.59</v>
      </c>
      <c r="FS86" s="3">
        <v>0</v>
      </c>
      <c r="FX86" s="3">
        <v>0</v>
      </c>
      <c r="FY86" s="3">
        <v>0</v>
      </c>
      <c r="GA86" s="3" t="s">
        <v>150</v>
      </c>
      <c r="GD86" s="3">
        <v>1</v>
      </c>
      <c r="GF86" s="3">
        <v>-1835517610</v>
      </c>
      <c r="GG86" s="3">
        <v>2</v>
      </c>
      <c r="GH86" s="3">
        <v>3</v>
      </c>
      <c r="GI86" s="3">
        <v>3</v>
      </c>
      <c r="GJ86" s="3">
        <v>0</v>
      </c>
      <c r="GK86" s="3">
        <v>0</v>
      </c>
      <c r="GL86" s="3">
        <f t="shared" si="90"/>
        <v>0</v>
      </c>
      <c r="GM86" s="3">
        <f t="shared" si="91"/>
        <v>106614.59</v>
      </c>
      <c r="GN86" s="3">
        <f t="shared" si="92"/>
        <v>0</v>
      </c>
      <c r="GO86" s="3">
        <f t="shared" si="93"/>
        <v>0</v>
      </c>
      <c r="GP86" s="3">
        <f t="shared" si="94"/>
        <v>0</v>
      </c>
      <c r="GR86" s="3">
        <v>1</v>
      </c>
      <c r="GS86" s="3">
        <v>1</v>
      </c>
      <c r="GT86" s="3">
        <v>0</v>
      </c>
      <c r="GU86" s="3" t="s">
        <v>3</v>
      </c>
      <c r="GV86" s="3">
        <f t="shared" si="95"/>
        <v>0</v>
      </c>
      <c r="GW86" s="3">
        <v>1</v>
      </c>
      <c r="GX86" s="3">
        <f t="shared" si="96"/>
        <v>0</v>
      </c>
      <c r="HA86" s="3">
        <v>0</v>
      </c>
      <c r="HB86" s="3">
        <v>0</v>
      </c>
      <c r="HC86" s="3">
        <f t="shared" si="97"/>
        <v>0</v>
      </c>
      <c r="HE86" s="3" t="s">
        <v>43</v>
      </c>
      <c r="HF86" s="3" t="s">
        <v>151</v>
      </c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">
      <c r="A87" s="2">
        <v>17</v>
      </c>
      <c r="B87" s="2">
        <v>1</v>
      </c>
      <c r="C87" s="2"/>
      <c r="D87" s="2"/>
      <c r="E87" s="2" t="s">
        <v>152</v>
      </c>
      <c r="F87" s="2" t="s">
        <v>38</v>
      </c>
      <c r="G87" s="2" t="s">
        <v>153</v>
      </c>
      <c r="H87" s="2" t="s">
        <v>32</v>
      </c>
      <c r="I87" s="2">
        <f>ROUND(4+1,9)</f>
        <v>5</v>
      </c>
      <c r="J87" s="2">
        <v>0</v>
      </c>
      <c r="K87" s="2">
        <f>ROUND(4+1,9)</f>
        <v>5</v>
      </c>
      <c r="L87" s="2"/>
      <c r="M87" s="2"/>
      <c r="N87" s="2"/>
      <c r="O87" s="2">
        <f t="shared" si="73"/>
        <v>733.61</v>
      </c>
      <c r="P87" s="2">
        <f t="shared" si="74"/>
        <v>61.75</v>
      </c>
      <c r="Q87" s="2">
        <f>(ROUND((ROUND((((ET87*1.2))*AV87*I87),2)*BB87),2)+ROUND((ROUND(((AE87-((EU87*1.2)))*AV87*I87),2)*BS87),2))</f>
        <v>180.36</v>
      </c>
      <c r="R87" s="2">
        <f>(ROUND((ROUND((((EU87*1.2))*AV87*I87),2)*BS87),2)+ROUND((ROUND(((AE87-((EU87*1.2)))*AV87*I87),2)*BS87),2))</f>
        <v>19.850000000000001</v>
      </c>
      <c r="S87" s="2">
        <f t="shared" si="75"/>
        <v>491.5</v>
      </c>
      <c r="T87" s="2">
        <f t="shared" si="76"/>
        <v>0</v>
      </c>
      <c r="U87" s="2">
        <f t="shared" si="77"/>
        <v>38.948399999999992</v>
      </c>
      <c r="V87" s="2">
        <f t="shared" si="78"/>
        <v>0</v>
      </c>
      <c r="W87" s="2">
        <f t="shared" si="79"/>
        <v>0</v>
      </c>
      <c r="X87" s="2">
        <f>(ROUND((((S87+ROUND((ROUND((((EU87*1.2))*AV87*I87),2)*BS87),2))*AT87)/100),2)+ROUND(((ROUND((ROUND(((AE87-((EU87*1.2)))*AV87*I87),2)*BS87),2)*AT87)/100),2))</f>
        <v>460.22</v>
      </c>
      <c r="Y87" s="2">
        <f>(ROUND((((S87+ROUND((ROUND((((EU87*1.2))*AV87*I87),2)*BS87),2))*AU87)/100),2)+ROUND(((ROUND((ROUND(((AE87-((EU87*1.2)))*AV87*I87),2)*BS87),2)*AU87)/100),2))</f>
        <v>235.22</v>
      </c>
      <c r="Z87" s="2"/>
      <c r="AA87" s="2">
        <v>55943566</v>
      </c>
      <c r="AB87" s="2">
        <f t="shared" si="80"/>
        <v>140.69</v>
      </c>
      <c r="AC87" s="2">
        <f>ROUND(((ES87*1)),6)</f>
        <v>12.35</v>
      </c>
      <c r="AD87" s="2">
        <f>ROUND(((((ET87*1.2))-((EU87*1.2)))+AE87),6)</f>
        <v>34.451999999999998</v>
      </c>
      <c r="AE87" s="2">
        <f>ROUND(((EU87*1.2)),6)</f>
        <v>3.7919999999999998</v>
      </c>
      <c r="AF87" s="2">
        <f>ROUND(((EV87*1.2)),6)</f>
        <v>93.888000000000005</v>
      </c>
      <c r="AG87" s="2">
        <f t="shared" si="81"/>
        <v>0</v>
      </c>
      <c r="AH87" s="2">
        <f>((EW87*1.2))</f>
        <v>7.4399999999999995</v>
      </c>
      <c r="AI87" s="2">
        <f>((EX87*1.2))</f>
        <v>0</v>
      </c>
      <c r="AJ87" s="2">
        <f t="shared" si="82"/>
        <v>0</v>
      </c>
      <c r="AK87" s="2">
        <v>119.3</v>
      </c>
      <c r="AL87" s="2">
        <v>12.35</v>
      </c>
      <c r="AM87" s="2">
        <v>28.71</v>
      </c>
      <c r="AN87" s="2">
        <v>3.16</v>
      </c>
      <c r="AO87" s="2">
        <v>78.239999999999995</v>
      </c>
      <c r="AP87" s="2">
        <v>0</v>
      </c>
      <c r="AQ87" s="2">
        <v>6.2</v>
      </c>
      <c r="AR87" s="2">
        <v>0</v>
      </c>
      <c r="AS87" s="2">
        <v>0</v>
      </c>
      <c r="AT87" s="2">
        <v>90</v>
      </c>
      <c r="AU87" s="2">
        <v>46</v>
      </c>
      <c r="AV87" s="2">
        <v>1.0469999999999999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2</v>
      </c>
      <c r="BJ87" s="2" t="s">
        <v>40</v>
      </c>
      <c r="BK87" s="2"/>
      <c r="BL87" s="2"/>
      <c r="BM87" s="2">
        <v>68</v>
      </c>
      <c r="BN87" s="2">
        <v>0</v>
      </c>
      <c r="BO87" s="2" t="s">
        <v>38</v>
      </c>
      <c r="BP87" s="2">
        <v>1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90</v>
      </c>
      <c r="CA87" s="2">
        <v>46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351</v>
      </c>
      <c r="CO87" s="2">
        <v>0</v>
      </c>
      <c r="CP87" s="2">
        <f t="shared" si="83"/>
        <v>733.61</v>
      </c>
      <c r="CQ87" s="2">
        <f t="shared" si="84"/>
        <v>12.35</v>
      </c>
      <c r="CR87" s="2">
        <f>(ROUND((ROUND((((ET87*1.2))*AV87*1),2)*BB87),2)+ROUND((ROUND(((AE87-((EU87*1.2)))*AV87*1),2)*BS87),2))</f>
        <v>36.07</v>
      </c>
      <c r="CS87" s="2">
        <f>(ROUND((ROUND((((EU87*1.2))*AV87*1),2)*BS87),2)+ROUND((ROUND(((AE87-((EU87*1.2)))*AV87*1),2)*BS87),2))</f>
        <v>3.97</v>
      </c>
      <c r="CT87" s="2">
        <f t="shared" si="85"/>
        <v>98.3</v>
      </c>
      <c r="CU87" s="2">
        <f t="shared" si="86"/>
        <v>0</v>
      </c>
      <c r="CV87" s="2">
        <f t="shared" si="87"/>
        <v>7.7896799999999988</v>
      </c>
      <c r="CW87" s="2">
        <f t="shared" si="88"/>
        <v>0</v>
      </c>
      <c r="CX87" s="2">
        <f t="shared" si="89"/>
        <v>0</v>
      </c>
      <c r="CY87" s="2">
        <f>(ROUND((((S87+ROUND((ROUND((((EU87*1.2))*AV87*1),2)*BS87),2))*AT87)/100),2)+ROUND(((ROUND((ROUND(((AE87-((EU87*1.2)))*AV87*1),2)*BS87),2)*AT87)/100),2))</f>
        <v>445.92</v>
      </c>
      <c r="CZ87" s="2">
        <f>(ROUND((((S87+ROUND((ROUND((((EU87*1.2))*AV87*1),2)*BS87),2))*AU87)/100),2)+ROUND(((ROUND((ROUND(((AE87-((EU87*1.2)))*AV87*1),2)*BS87),2)*AU87)/100),2))</f>
        <v>227.92</v>
      </c>
      <c r="DA87" s="2"/>
      <c r="DB87" s="2">
        <v>39</v>
      </c>
      <c r="DC87" s="2" t="s">
        <v>3</v>
      </c>
      <c r="DD87" s="2" t="s">
        <v>77</v>
      </c>
      <c r="DE87" s="2" t="s">
        <v>78</v>
      </c>
      <c r="DF87" s="2" t="s">
        <v>78</v>
      </c>
      <c r="DG87" s="2" t="s">
        <v>78</v>
      </c>
      <c r="DH87" s="2" t="s">
        <v>3</v>
      </c>
      <c r="DI87" s="2" t="s">
        <v>78</v>
      </c>
      <c r="DJ87" s="2" t="s">
        <v>78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32</v>
      </c>
      <c r="DW87" s="2" t="s">
        <v>32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55393972</v>
      </c>
      <c r="EF87" s="2">
        <v>40</v>
      </c>
      <c r="EG87" s="2" t="s">
        <v>33</v>
      </c>
      <c r="EH87" s="2">
        <v>0</v>
      </c>
      <c r="EI87" s="2" t="s">
        <v>3</v>
      </c>
      <c r="EJ87" s="2">
        <v>2</v>
      </c>
      <c r="EK87" s="2">
        <v>68</v>
      </c>
      <c r="EL87" s="2" t="s">
        <v>41</v>
      </c>
      <c r="EM87" s="2" t="s">
        <v>42</v>
      </c>
      <c r="EN87" s="2"/>
      <c r="EO87" s="2" t="s">
        <v>82</v>
      </c>
      <c r="EP87" s="2"/>
      <c r="EQ87" s="2">
        <v>131072</v>
      </c>
      <c r="ER87" s="2">
        <v>119.3</v>
      </c>
      <c r="ES87" s="2">
        <v>12.35</v>
      </c>
      <c r="ET87" s="2">
        <v>28.71</v>
      </c>
      <c r="EU87" s="2">
        <v>3.16</v>
      </c>
      <c r="EV87" s="2">
        <v>78.239999999999995</v>
      </c>
      <c r="EW87" s="2">
        <v>6.2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90</v>
      </c>
      <c r="FY87" s="2">
        <v>46</v>
      </c>
      <c r="FZ87" s="2"/>
      <c r="GA87" s="2" t="s">
        <v>3</v>
      </c>
      <c r="GB87" s="2"/>
      <c r="GC87" s="2"/>
      <c r="GD87" s="2">
        <v>1</v>
      </c>
      <c r="GE87" s="2"/>
      <c r="GF87" s="2">
        <v>982292204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90"/>
        <v>0</v>
      </c>
      <c r="GM87" s="2">
        <f t="shared" si="91"/>
        <v>1429.05</v>
      </c>
      <c r="GN87" s="2">
        <f t="shared" si="92"/>
        <v>0</v>
      </c>
      <c r="GO87" s="2">
        <f t="shared" si="93"/>
        <v>1429.05</v>
      </c>
      <c r="GP87" s="2">
        <f t="shared" si="9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95"/>
        <v>0</v>
      </c>
      <c r="GW87" s="2">
        <v>1</v>
      </c>
      <c r="GX87" s="2">
        <f t="shared" si="96"/>
        <v>0</v>
      </c>
      <c r="GY87" s="2"/>
      <c r="GZ87" s="2"/>
      <c r="HA87" s="2">
        <v>0</v>
      </c>
      <c r="HB87" s="2">
        <v>0</v>
      </c>
      <c r="HC87" s="2">
        <f t="shared" si="9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3">
        <v>17</v>
      </c>
      <c r="B88" s="3">
        <v>1</v>
      </c>
      <c r="E88" s="3" t="s">
        <v>152</v>
      </c>
      <c r="F88" s="3" t="s">
        <v>38</v>
      </c>
      <c r="G88" s="3" t="s">
        <v>153</v>
      </c>
      <c r="H88" s="3" t="s">
        <v>32</v>
      </c>
      <c r="I88" s="3">
        <f>ROUND(4+1,9)</f>
        <v>5</v>
      </c>
      <c r="J88" s="3">
        <v>0</v>
      </c>
      <c r="K88" s="3">
        <f>ROUND(4+1,9)</f>
        <v>5</v>
      </c>
      <c r="O88" s="3">
        <f t="shared" si="73"/>
        <v>31518.38</v>
      </c>
      <c r="P88" s="3">
        <f t="shared" si="74"/>
        <v>907.73</v>
      </c>
      <c r="Q88" s="3">
        <f>(ROUND((ROUND((((ET88*1.2))*AV88*I88),2)*BB88),2)+ROUND((ROUND(((AE88-((EU88*1.2)))*AV88*I88),2)*BS88),2))</f>
        <v>2914.62</v>
      </c>
      <c r="R88" s="3">
        <f>(ROUND((ROUND((((EU88*1.2))*AV88*I88),2)*BS88),2)+ROUND((ROUND(((AE88-((EU88*1.2)))*AV88*I88),2)*BS88),2))</f>
        <v>1118.55</v>
      </c>
      <c r="S88" s="3">
        <f t="shared" si="75"/>
        <v>27696.03</v>
      </c>
      <c r="T88" s="3">
        <f t="shared" si="76"/>
        <v>0</v>
      </c>
      <c r="U88" s="3">
        <f t="shared" si="77"/>
        <v>38.948399999999992</v>
      </c>
      <c r="V88" s="3">
        <f t="shared" si="78"/>
        <v>0</v>
      </c>
      <c r="W88" s="3">
        <f t="shared" si="79"/>
        <v>0</v>
      </c>
      <c r="X88" s="3">
        <f>(ROUND((((S88+ROUND((ROUND((((EU88*1.2))*AV88*I88),2)*BS88),2))*AT88)/100),2)+ROUND(((ROUND((ROUND(((AE88-((EU88*1.2)))*AV88*I88),2)*BS88),2)*AT88)/100),2))</f>
        <v>25933.119999999999</v>
      </c>
      <c r="Y88" s="3">
        <f>(ROUND((((S88+ROUND((ROUND((((EU88*1.2))*AV88*I88),2)*BS88),2))*AU88)/100),2)+ROUND(((ROUND((ROUND(((AE88-((EU88*1.2)))*AV88*I88),2)*BS88),2)*AU88)/100),2))</f>
        <v>13254.71</v>
      </c>
      <c r="AA88" s="3">
        <v>55943568</v>
      </c>
      <c r="AB88" s="3">
        <f t="shared" si="80"/>
        <v>140.69</v>
      </c>
      <c r="AC88" s="3">
        <f>ROUND(((ES88*1)),6)</f>
        <v>12.35</v>
      </c>
      <c r="AD88" s="3">
        <f>ROUND(((((ET88*1.2))-((EU88*1.2)))+AE88),6)</f>
        <v>34.451999999999998</v>
      </c>
      <c r="AE88" s="3">
        <f>ROUND(((EU88*1.2)),6)</f>
        <v>3.7919999999999998</v>
      </c>
      <c r="AF88" s="3">
        <f>ROUND(((EV88*1.2)),6)</f>
        <v>93.888000000000005</v>
      </c>
      <c r="AG88" s="3">
        <f t="shared" si="81"/>
        <v>0</v>
      </c>
      <c r="AH88" s="3">
        <f>((EW88*1.2))</f>
        <v>7.4399999999999995</v>
      </c>
      <c r="AI88" s="3">
        <f>((EX88*1.2))</f>
        <v>0</v>
      </c>
      <c r="AJ88" s="3">
        <f t="shared" si="82"/>
        <v>0</v>
      </c>
      <c r="AK88" s="3">
        <v>119.3</v>
      </c>
      <c r="AL88" s="3">
        <v>12.35</v>
      </c>
      <c r="AM88" s="3">
        <v>28.71</v>
      </c>
      <c r="AN88" s="3">
        <v>3.16</v>
      </c>
      <c r="AO88" s="3">
        <v>78.239999999999995</v>
      </c>
      <c r="AP88" s="3">
        <v>0</v>
      </c>
      <c r="AQ88" s="3">
        <v>6.2</v>
      </c>
      <c r="AR88" s="3">
        <v>0</v>
      </c>
      <c r="AS88" s="3">
        <v>0</v>
      </c>
      <c r="AT88" s="3">
        <v>90</v>
      </c>
      <c r="AU88" s="3">
        <v>46</v>
      </c>
      <c r="AV88" s="3">
        <v>1.0469999999999999</v>
      </c>
      <c r="AW88" s="3">
        <v>1</v>
      </c>
      <c r="AZ88" s="3">
        <v>1</v>
      </c>
      <c r="BA88" s="3">
        <v>56.35</v>
      </c>
      <c r="BB88" s="3">
        <v>16.16</v>
      </c>
      <c r="BC88" s="3">
        <v>14.7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2</v>
      </c>
      <c r="BJ88" s="3" t="s">
        <v>40</v>
      </c>
      <c r="BM88" s="3">
        <v>68</v>
      </c>
      <c r="BN88" s="3">
        <v>0</v>
      </c>
      <c r="BO88" s="3" t="s">
        <v>38</v>
      </c>
      <c r="BP88" s="3">
        <v>1</v>
      </c>
      <c r="BQ88" s="3">
        <v>40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90</v>
      </c>
      <c r="CA88" s="3">
        <v>46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351</v>
      </c>
      <c r="CO88" s="3">
        <v>0</v>
      </c>
      <c r="CP88" s="3">
        <f t="shared" si="83"/>
        <v>31518.379999999997</v>
      </c>
      <c r="CQ88" s="3">
        <f t="shared" si="84"/>
        <v>181.55</v>
      </c>
      <c r="CR88" s="3">
        <f>(ROUND((ROUND((((ET88*1.2))*AV88*1),2)*BB88),2)+ROUND((ROUND(((AE88-((EU88*1.2)))*AV88*1),2)*BS88),2))</f>
        <v>582.89</v>
      </c>
      <c r="CS88" s="3">
        <f>(ROUND((ROUND((((EU88*1.2))*AV88*1),2)*BS88),2)+ROUND((ROUND(((AE88-((EU88*1.2)))*AV88*1),2)*BS88),2))</f>
        <v>223.71</v>
      </c>
      <c r="CT88" s="3">
        <f t="shared" si="85"/>
        <v>5539.21</v>
      </c>
      <c r="CU88" s="3">
        <f t="shared" si="86"/>
        <v>0</v>
      </c>
      <c r="CV88" s="3">
        <f t="shared" si="87"/>
        <v>7.7896799999999988</v>
      </c>
      <c r="CW88" s="3">
        <f t="shared" si="88"/>
        <v>0</v>
      </c>
      <c r="CX88" s="3">
        <f t="shared" si="89"/>
        <v>0</v>
      </c>
      <c r="CY88" s="3">
        <f>(ROUND((((S88+ROUND((ROUND((((EU88*1.2))*AV88*1),2)*BS88),2))*AT88)/100),2)+ROUND(((ROUND((ROUND(((AE88-((EU88*1.2)))*AV88*1),2)*BS88),2)*AT88)/100),2))</f>
        <v>25127.77</v>
      </c>
      <c r="CZ88" s="3">
        <f>(ROUND((((S88+ROUND((ROUND((((EU88*1.2))*AV88*1),2)*BS88),2))*AU88)/100),2)+ROUND(((ROUND((ROUND(((AE88-((EU88*1.2)))*AV88*1),2)*BS88),2)*AU88)/100),2))</f>
        <v>12843.08</v>
      </c>
      <c r="DB88" s="3">
        <v>40</v>
      </c>
      <c r="DC88" s="3" t="s">
        <v>3</v>
      </c>
      <c r="DD88" s="3" t="s">
        <v>77</v>
      </c>
      <c r="DE88" s="3" t="s">
        <v>78</v>
      </c>
      <c r="DF88" s="3" t="s">
        <v>78</v>
      </c>
      <c r="DG88" s="3" t="s">
        <v>78</v>
      </c>
      <c r="DH88" s="3" t="s">
        <v>3</v>
      </c>
      <c r="DI88" s="3" t="s">
        <v>78</v>
      </c>
      <c r="DJ88" s="3" t="s">
        <v>78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1013</v>
      </c>
      <c r="DV88" s="3" t="s">
        <v>32</v>
      </c>
      <c r="DW88" s="3" t="s">
        <v>32</v>
      </c>
      <c r="DX88" s="3">
        <v>1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55393972</v>
      </c>
      <c r="EF88" s="3">
        <v>40</v>
      </c>
      <c r="EG88" s="3" t="s">
        <v>33</v>
      </c>
      <c r="EH88" s="3">
        <v>0</v>
      </c>
      <c r="EI88" s="3" t="s">
        <v>3</v>
      </c>
      <c r="EJ88" s="3">
        <v>2</v>
      </c>
      <c r="EK88" s="3">
        <v>68</v>
      </c>
      <c r="EL88" s="3" t="s">
        <v>41</v>
      </c>
      <c r="EM88" s="3" t="s">
        <v>42</v>
      </c>
      <c r="EO88" s="3" t="s">
        <v>82</v>
      </c>
      <c r="EQ88" s="3">
        <v>131072</v>
      </c>
      <c r="ER88" s="3">
        <v>119.3</v>
      </c>
      <c r="ES88" s="3">
        <v>12.35</v>
      </c>
      <c r="ET88" s="3">
        <v>28.71</v>
      </c>
      <c r="EU88" s="3">
        <v>3.16</v>
      </c>
      <c r="EV88" s="3">
        <v>78.239999999999995</v>
      </c>
      <c r="EW88" s="3">
        <v>6.2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90</v>
      </c>
      <c r="FY88" s="3">
        <v>46</v>
      </c>
      <c r="GA88" s="3" t="s">
        <v>3</v>
      </c>
      <c r="GD88" s="3">
        <v>1</v>
      </c>
      <c r="GF88" s="3">
        <v>982292204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90"/>
        <v>0</v>
      </c>
      <c r="GM88" s="3">
        <f t="shared" si="91"/>
        <v>70706.210000000006</v>
      </c>
      <c r="GN88" s="3">
        <f t="shared" si="92"/>
        <v>0</v>
      </c>
      <c r="GO88" s="3">
        <f t="shared" si="93"/>
        <v>70706.210000000006</v>
      </c>
      <c r="GP88" s="3">
        <f t="shared" si="9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95"/>
        <v>0</v>
      </c>
      <c r="GW88" s="3">
        <v>1</v>
      </c>
      <c r="GX88" s="3">
        <f t="shared" si="96"/>
        <v>0</v>
      </c>
      <c r="HA88" s="3">
        <v>0</v>
      </c>
      <c r="HB88" s="3">
        <v>0</v>
      </c>
      <c r="HC88" s="3">
        <f t="shared" si="9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">
      <c r="A89" s="2">
        <v>17</v>
      </c>
      <c r="B89" s="2">
        <v>1</v>
      </c>
      <c r="C89" s="2"/>
      <c r="D89" s="2"/>
      <c r="E89" s="2" t="s">
        <v>154</v>
      </c>
      <c r="F89" s="2" t="s">
        <v>155</v>
      </c>
      <c r="G89" s="2" t="s">
        <v>156</v>
      </c>
      <c r="H89" s="2" t="s">
        <v>147</v>
      </c>
      <c r="I89" s="2">
        <v>4</v>
      </c>
      <c r="J89" s="2">
        <v>0</v>
      </c>
      <c r="K89" s="2">
        <v>4</v>
      </c>
      <c r="L89" s="2"/>
      <c r="M89" s="2"/>
      <c r="N89" s="2"/>
      <c r="O89" s="2">
        <f t="shared" si="73"/>
        <v>41874.519999999997</v>
      </c>
      <c r="P89" s="2">
        <f t="shared" si="74"/>
        <v>41874.519999999997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75"/>
        <v>0</v>
      </c>
      <c r="T89" s="2">
        <f t="shared" si="76"/>
        <v>0</v>
      </c>
      <c r="U89" s="2">
        <f t="shared" si="77"/>
        <v>0</v>
      </c>
      <c r="V89" s="2">
        <f t="shared" si="78"/>
        <v>0</v>
      </c>
      <c r="W89" s="2">
        <f t="shared" si="7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55943566</v>
      </c>
      <c r="AB89" s="2">
        <f t="shared" si="80"/>
        <v>10468.629999999999</v>
      </c>
      <c r="AC89" s="2">
        <f>ROUND((ES89),6)</f>
        <v>10468.629999999999</v>
      </c>
      <c r="AD89" s="2">
        <f>ROUND((((ET89)-(EU89))+AE89),6)</f>
        <v>0</v>
      </c>
      <c r="AE89" s="2">
        <f t="shared" ref="AE89:AF92" si="98">ROUND((EU89),6)</f>
        <v>0</v>
      </c>
      <c r="AF89" s="2">
        <f t="shared" si="98"/>
        <v>0</v>
      </c>
      <c r="AG89" s="2">
        <f t="shared" si="81"/>
        <v>0</v>
      </c>
      <c r="AH89" s="2">
        <f t="shared" ref="AH89:AI92" si="99">(EW89)</f>
        <v>0</v>
      </c>
      <c r="AI89" s="2">
        <f t="shared" si="99"/>
        <v>0</v>
      </c>
      <c r="AJ89" s="2">
        <f t="shared" si="82"/>
        <v>0</v>
      </c>
      <c r="AK89" s="2">
        <v>10468.629999999999</v>
      </c>
      <c r="AL89" s="2">
        <v>10468.629999999999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155</v>
      </c>
      <c r="BK89" s="2"/>
      <c r="BL89" s="2"/>
      <c r="BM89" s="2">
        <v>400007</v>
      </c>
      <c r="BN89" s="2">
        <v>0</v>
      </c>
      <c r="BO89" s="2" t="s">
        <v>3</v>
      </c>
      <c r="BP89" s="2">
        <v>0</v>
      </c>
      <c r="BQ89" s="2">
        <v>214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3"/>
        <v>41874.519999999997</v>
      </c>
      <c r="CQ89" s="2">
        <f t="shared" si="84"/>
        <v>10468.629999999999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85"/>
        <v>0</v>
      </c>
      <c r="CU89" s="2">
        <f t="shared" si="86"/>
        <v>0</v>
      </c>
      <c r="CV89" s="2">
        <f t="shared" si="87"/>
        <v>0</v>
      </c>
      <c r="CW89" s="2">
        <f t="shared" si="88"/>
        <v>0</v>
      </c>
      <c r="CX89" s="2">
        <f t="shared" si="8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147</v>
      </c>
      <c r="DW89" s="2" t="s">
        <v>147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55393904</v>
      </c>
      <c r="EF89" s="2">
        <v>214</v>
      </c>
      <c r="EG89" s="2" t="s">
        <v>148</v>
      </c>
      <c r="EH89" s="2">
        <v>0</v>
      </c>
      <c r="EI89" s="2" t="s">
        <v>3</v>
      </c>
      <c r="EJ89" s="2">
        <v>3</v>
      </c>
      <c r="EK89" s="2">
        <v>400007</v>
      </c>
      <c r="EL89" s="2" t="s">
        <v>148</v>
      </c>
      <c r="EM89" s="2" t="s">
        <v>149</v>
      </c>
      <c r="EN89" s="2"/>
      <c r="EO89" s="2" t="s">
        <v>3</v>
      </c>
      <c r="EP89" s="2"/>
      <c r="EQ89" s="2">
        <v>131088</v>
      </c>
      <c r="ER89" s="2">
        <v>0</v>
      </c>
      <c r="ES89" s="2">
        <v>10468.629999999999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41874.519999999997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157</v>
      </c>
      <c r="GB89" s="2"/>
      <c r="GC89" s="2"/>
      <c r="GD89" s="2">
        <v>1</v>
      </c>
      <c r="GE89" s="2"/>
      <c r="GF89" s="2">
        <v>467054729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90"/>
        <v>0</v>
      </c>
      <c r="GM89" s="2">
        <f t="shared" si="91"/>
        <v>41874.519999999997</v>
      </c>
      <c r="GN89" s="2">
        <f t="shared" si="92"/>
        <v>0</v>
      </c>
      <c r="GO89" s="2">
        <f t="shared" si="93"/>
        <v>0</v>
      </c>
      <c r="GP89" s="2">
        <f t="shared" si="94"/>
        <v>0</v>
      </c>
      <c r="GQ89" s="2"/>
      <c r="GR89" s="2">
        <v>1</v>
      </c>
      <c r="GS89" s="2">
        <v>2</v>
      </c>
      <c r="GT89" s="2">
        <v>0</v>
      </c>
      <c r="GU89" s="2" t="s">
        <v>3</v>
      </c>
      <c r="GV89" s="2">
        <f t="shared" si="95"/>
        <v>0</v>
      </c>
      <c r="GW89" s="2">
        <v>1</v>
      </c>
      <c r="GX89" s="2">
        <f t="shared" si="96"/>
        <v>0</v>
      </c>
      <c r="GY89" s="2"/>
      <c r="GZ89" s="2"/>
      <c r="HA89" s="2">
        <v>0</v>
      </c>
      <c r="HB89" s="2">
        <v>0</v>
      </c>
      <c r="HC89" s="2">
        <f t="shared" si="97"/>
        <v>0</v>
      </c>
      <c r="HD89" s="2"/>
      <c r="HE89" s="2" t="s">
        <v>158</v>
      </c>
      <c r="HF89" s="2" t="s">
        <v>158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3">
        <v>17</v>
      </c>
      <c r="B90" s="3">
        <v>1</v>
      </c>
      <c r="E90" s="3" t="s">
        <v>154</v>
      </c>
      <c r="F90" s="3" t="s">
        <v>155</v>
      </c>
      <c r="G90" s="3" t="s">
        <v>156</v>
      </c>
      <c r="H90" s="3" t="s">
        <v>147</v>
      </c>
      <c r="I90" s="3">
        <v>4</v>
      </c>
      <c r="J90" s="3">
        <v>0</v>
      </c>
      <c r="K90" s="3">
        <v>4</v>
      </c>
      <c r="O90" s="3">
        <f t="shared" si="73"/>
        <v>316990.12</v>
      </c>
      <c r="P90" s="3">
        <f t="shared" si="74"/>
        <v>316990.12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75"/>
        <v>0</v>
      </c>
      <c r="T90" s="3">
        <f t="shared" si="76"/>
        <v>0</v>
      </c>
      <c r="U90" s="3">
        <f t="shared" si="77"/>
        <v>0</v>
      </c>
      <c r="V90" s="3">
        <f t="shared" si="78"/>
        <v>0</v>
      </c>
      <c r="W90" s="3">
        <f t="shared" si="7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55943568</v>
      </c>
      <c r="AB90" s="3">
        <f t="shared" si="80"/>
        <v>10468.629999999999</v>
      </c>
      <c r="AC90" s="3">
        <f>ROUND((ES90),6)</f>
        <v>10468.629999999999</v>
      </c>
      <c r="AD90" s="3">
        <f>ROUND((((ET90)-(EU90))+AE90),6)</f>
        <v>0</v>
      </c>
      <c r="AE90" s="3">
        <f t="shared" si="98"/>
        <v>0</v>
      </c>
      <c r="AF90" s="3">
        <f t="shared" si="98"/>
        <v>0</v>
      </c>
      <c r="AG90" s="3">
        <f t="shared" si="81"/>
        <v>0</v>
      </c>
      <c r="AH90" s="3">
        <f t="shared" si="99"/>
        <v>0</v>
      </c>
      <c r="AI90" s="3">
        <f t="shared" si="99"/>
        <v>0</v>
      </c>
      <c r="AJ90" s="3">
        <f t="shared" si="82"/>
        <v>0</v>
      </c>
      <c r="AK90" s="3">
        <v>10468.629999999999</v>
      </c>
      <c r="AL90" s="3">
        <v>10468.629999999999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7.57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155</v>
      </c>
      <c r="BM90" s="3">
        <v>400007</v>
      </c>
      <c r="BN90" s="3">
        <v>0</v>
      </c>
      <c r="BO90" s="3" t="s">
        <v>3</v>
      </c>
      <c r="BP90" s="3">
        <v>0</v>
      </c>
      <c r="BQ90" s="3">
        <v>214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3</v>
      </c>
      <c r="CO90" s="3">
        <v>0</v>
      </c>
      <c r="CP90" s="3">
        <f t="shared" si="83"/>
        <v>316990.12</v>
      </c>
      <c r="CQ90" s="3">
        <f t="shared" si="84"/>
        <v>79247.53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85"/>
        <v>0</v>
      </c>
      <c r="CU90" s="3">
        <f t="shared" si="86"/>
        <v>0</v>
      </c>
      <c r="CV90" s="3">
        <f t="shared" si="87"/>
        <v>0</v>
      </c>
      <c r="CW90" s="3">
        <f t="shared" si="88"/>
        <v>0</v>
      </c>
      <c r="CX90" s="3">
        <f t="shared" si="8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147</v>
      </c>
      <c r="DW90" s="3" t="s">
        <v>147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55393904</v>
      </c>
      <c r="EF90" s="3">
        <v>214</v>
      </c>
      <c r="EG90" s="3" t="s">
        <v>148</v>
      </c>
      <c r="EH90" s="3">
        <v>0</v>
      </c>
      <c r="EI90" s="3" t="s">
        <v>3</v>
      </c>
      <c r="EJ90" s="3">
        <v>3</v>
      </c>
      <c r="EK90" s="3">
        <v>400007</v>
      </c>
      <c r="EL90" s="3" t="s">
        <v>148</v>
      </c>
      <c r="EM90" s="3" t="s">
        <v>149</v>
      </c>
      <c r="EO90" s="3" t="s">
        <v>3</v>
      </c>
      <c r="EQ90" s="3">
        <v>131088</v>
      </c>
      <c r="ER90" s="3">
        <v>0</v>
      </c>
      <c r="ES90" s="3">
        <v>10468.629999999999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5</v>
      </c>
      <c r="FC90" s="3">
        <v>1</v>
      </c>
      <c r="FD90" s="3">
        <v>18</v>
      </c>
      <c r="FF90" s="3">
        <v>96682</v>
      </c>
      <c r="FQ90" s="3">
        <v>0</v>
      </c>
      <c r="FR90" s="3">
        <f>P90</f>
        <v>316990.12</v>
      </c>
      <c r="FS90" s="3">
        <v>0</v>
      </c>
      <c r="FX90" s="3">
        <v>0</v>
      </c>
      <c r="FY90" s="3">
        <v>0</v>
      </c>
      <c r="GA90" s="3" t="s">
        <v>157</v>
      </c>
      <c r="GD90" s="3">
        <v>1</v>
      </c>
      <c r="GF90" s="3">
        <v>467054729</v>
      </c>
      <c r="GG90" s="3">
        <v>2</v>
      </c>
      <c r="GH90" s="3">
        <v>3</v>
      </c>
      <c r="GI90" s="3">
        <v>3</v>
      </c>
      <c r="GJ90" s="3">
        <v>0</v>
      </c>
      <c r="GK90" s="3">
        <v>0</v>
      </c>
      <c r="GL90" s="3">
        <f t="shared" si="90"/>
        <v>0</v>
      </c>
      <c r="GM90" s="3">
        <f t="shared" si="91"/>
        <v>316990.12</v>
      </c>
      <c r="GN90" s="3">
        <f t="shared" si="92"/>
        <v>0</v>
      </c>
      <c r="GO90" s="3">
        <f t="shared" si="93"/>
        <v>0</v>
      </c>
      <c r="GP90" s="3">
        <f t="shared" si="94"/>
        <v>0</v>
      </c>
      <c r="GR90" s="3">
        <v>1</v>
      </c>
      <c r="GS90" s="3">
        <v>1</v>
      </c>
      <c r="GT90" s="3">
        <v>0</v>
      </c>
      <c r="GU90" s="3" t="s">
        <v>3</v>
      </c>
      <c r="GV90" s="3">
        <f t="shared" si="95"/>
        <v>0</v>
      </c>
      <c r="GW90" s="3">
        <v>1</v>
      </c>
      <c r="GX90" s="3">
        <f t="shared" si="96"/>
        <v>0</v>
      </c>
      <c r="HA90" s="3">
        <v>0</v>
      </c>
      <c r="HB90" s="3">
        <v>0</v>
      </c>
      <c r="HC90" s="3">
        <f t="shared" si="97"/>
        <v>0</v>
      </c>
      <c r="HE90" s="3" t="s">
        <v>158</v>
      </c>
      <c r="HF90" s="3" t="s">
        <v>158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">
      <c r="A91" s="2">
        <v>17</v>
      </c>
      <c r="B91" s="2">
        <v>1</v>
      </c>
      <c r="C91" s="2"/>
      <c r="D91" s="2"/>
      <c r="E91" s="2" t="s">
        <v>159</v>
      </c>
      <c r="F91" s="2" t="s">
        <v>160</v>
      </c>
      <c r="G91" s="2" t="s">
        <v>161</v>
      </c>
      <c r="H91" s="2" t="s">
        <v>147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73"/>
        <v>15062.8</v>
      </c>
      <c r="P91" s="2">
        <f t="shared" si="74"/>
        <v>15062.8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75"/>
        <v>0</v>
      </c>
      <c r="T91" s="2">
        <f t="shared" si="76"/>
        <v>0</v>
      </c>
      <c r="U91" s="2">
        <f t="shared" si="77"/>
        <v>0</v>
      </c>
      <c r="V91" s="2">
        <f t="shared" si="78"/>
        <v>0</v>
      </c>
      <c r="W91" s="2">
        <f t="shared" si="79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55943566</v>
      </c>
      <c r="AB91" s="2">
        <f t="shared" si="80"/>
        <v>15062.8</v>
      </c>
      <c r="AC91" s="2">
        <f>ROUND((ES91),6)</f>
        <v>15062.8</v>
      </c>
      <c r="AD91" s="2">
        <f>ROUND((((ET91)-(EU91))+AE91),6)</f>
        <v>0</v>
      </c>
      <c r="AE91" s="2">
        <f t="shared" si="98"/>
        <v>0</v>
      </c>
      <c r="AF91" s="2">
        <f t="shared" si="98"/>
        <v>0</v>
      </c>
      <c r="AG91" s="2">
        <f t="shared" si="81"/>
        <v>0</v>
      </c>
      <c r="AH91" s="2">
        <f t="shared" si="99"/>
        <v>0</v>
      </c>
      <c r="AI91" s="2">
        <f t="shared" si="99"/>
        <v>0</v>
      </c>
      <c r="AJ91" s="2">
        <f t="shared" si="82"/>
        <v>0</v>
      </c>
      <c r="AK91" s="2">
        <v>15062.8</v>
      </c>
      <c r="AL91" s="2">
        <v>15062.8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3</v>
      </c>
      <c r="BJ91" s="2" t="s">
        <v>160</v>
      </c>
      <c r="BK91" s="2"/>
      <c r="BL91" s="2"/>
      <c r="BM91" s="2">
        <v>400007</v>
      </c>
      <c r="BN91" s="2">
        <v>0</v>
      </c>
      <c r="BO91" s="2" t="s">
        <v>3</v>
      </c>
      <c r="BP91" s="2">
        <v>0</v>
      </c>
      <c r="BQ91" s="2">
        <v>214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83"/>
        <v>15062.8</v>
      </c>
      <c r="CQ91" s="2">
        <f t="shared" si="84"/>
        <v>15062.8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85"/>
        <v>0</v>
      </c>
      <c r="CU91" s="2">
        <f t="shared" si="86"/>
        <v>0</v>
      </c>
      <c r="CV91" s="2">
        <f t="shared" si="87"/>
        <v>0</v>
      </c>
      <c r="CW91" s="2">
        <f t="shared" si="88"/>
        <v>0</v>
      </c>
      <c r="CX91" s="2">
        <f t="shared" si="89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147</v>
      </c>
      <c r="DW91" s="2" t="s">
        <v>147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55393904</v>
      </c>
      <c r="EF91" s="2">
        <v>214</v>
      </c>
      <c r="EG91" s="2" t="s">
        <v>148</v>
      </c>
      <c r="EH91" s="2">
        <v>0</v>
      </c>
      <c r="EI91" s="2" t="s">
        <v>3</v>
      </c>
      <c r="EJ91" s="2">
        <v>3</v>
      </c>
      <c r="EK91" s="2">
        <v>400007</v>
      </c>
      <c r="EL91" s="2" t="s">
        <v>148</v>
      </c>
      <c r="EM91" s="2" t="s">
        <v>149</v>
      </c>
      <c r="EN91" s="2"/>
      <c r="EO91" s="2" t="s">
        <v>3</v>
      </c>
      <c r="EP91" s="2"/>
      <c r="EQ91" s="2">
        <v>131088</v>
      </c>
      <c r="ER91" s="2">
        <v>0</v>
      </c>
      <c r="ES91" s="2">
        <v>15062.8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f>P91</f>
        <v>15062.8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162</v>
      </c>
      <c r="GB91" s="2"/>
      <c r="GC91" s="2"/>
      <c r="GD91" s="2">
        <v>1</v>
      </c>
      <c r="GE91" s="2"/>
      <c r="GF91" s="2">
        <v>-2051834592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90"/>
        <v>0</v>
      </c>
      <c r="GM91" s="2">
        <f t="shared" si="91"/>
        <v>15062.8</v>
      </c>
      <c r="GN91" s="2">
        <f t="shared" si="92"/>
        <v>0</v>
      </c>
      <c r="GO91" s="2">
        <f t="shared" si="93"/>
        <v>0</v>
      </c>
      <c r="GP91" s="2">
        <f t="shared" si="94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95"/>
        <v>0</v>
      </c>
      <c r="GW91" s="2">
        <v>1</v>
      </c>
      <c r="GX91" s="2">
        <f t="shared" si="96"/>
        <v>0</v>
      </c>
      <c r="GY91" s="2"/>
      <c r="GZ91" s="2"/>
      <c r="HA91" s="2">
        <v>0</v>
      </c>
      <c r="HB91" s="2">
        <v>0</v>
      </c>
      <c r="HC91" s="2">
        <f t="shared" si="97"/>
        <v>0</v>
      </c>
      <c r="HD91" s="2"/>
      <c r="HE91" s="2" t="s">
        <v>158</v>
      </c>
      <c r="HF91" s="2" t="s">
        <v>158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3">
        <v>17</v>
      </c>
      <c r="B92" s="3">
        <v>1</v>
      </c>
      <c r="E92" s="3" t="s">
        <v>159</v>
      </c>
      <c r="F92" s="3" t="s">
        <v>160</v>
      </c>
      <c r="G92" s="3" t="s">
        <v>161</v>
      </c>
      <c r="H92" s="3" t="s">
        <v>147</v>
      </c>
      <c r="I92" s="3">
        <v>1</v>
      </c>
      <c r="J92" s="3">
        <v>0</v>
      </c>
      <c r="K92" s="3">
        <v>1</v>
      </c>
      <c r="O92" s="3">
        <f t="shared" si="73"/>
        <v>114025.4</v>
      </c>
      <c r="P92" s="3">
        <f t="shared" si="74"/>
        <v>114025.4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75"/>
        <v>0</v>
      </c>
      <c r="T92" s="3">
        <f t="shared" si="76"/>
        <v>0</v>
      </c>
      <c r="U92" s="3">
        <f t="shared" si="77"/>
        <v>0</v>
      </c>
      <c r="V92" s="3">
        <f t="shared" si="78"/>
        <v>0</v>
      </c>
      <c r="W92" s="3">
        <f t="shared" si="79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55943568</v>
      </c>
      <c r="AB92" s="3">
        <f t="shared" si="80"/>
        <v>15062.8</v>
      </c>
      <c r="AC92" s="3">
        <f>ROUND((ES92),6)</f>
        <v>15062.8</v>
      </c>
      <c r="AD92" s="3">
        <f>ROUND((((ET92)-(EU92))+AE92),6)</f>
        <v>0</v>
      </c>
      <c r="AE92" s="3">
        <f t="shared" si="98"/>
        <v>0</v>
      </c>
      <c r="AF92" s="3">
        <f t="shared" si="98"/>
        <v>0</v>
      </c>
      <c r="AG92" s="3">
        <f t="shared" si="81"/>
        <v>0</v>
      </c>
      <c r="AH92" s="3">
        <f t="shared" si="99"/>
        <v>0</v>
      </c>
      <c r="AI92" s="3">
        <f t="shared" si="99"/>
        <v>0</v>
      </c>
      <c r="AJ92" s="3">
        <f t="shared" si="82"/>
        <v>0</v>
      </c>
      <c r="AK92" s="3">
        <v>15062.8</v>
      </c>
      <c r="AL92" s="3">
        <v>15062.8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7.57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3</v>
      </c>
      <c r="BJ92" s="3" t="s">
        <v>160</v>
      </c>
      <c r="BM92" s="3">
        <v>400007</v>
      </c>
      <c r="BN92" s="3">
        <v>0</v>
      </c>
      <c r="BO92" s="3" t="s">
        <v>3</v>
      </c>
      <c r="BP92" s="3">
        <v>0</v>
      </c>
      <c r="BQ92" s="3">
        <v>214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0</v>
      </c>
      <c r="CA92" s="3">
        <v>0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3</v>
      </c>
      <c r="CO92" s="3">
        <v>0</v>
      </c>
      <c r="CP92" s="3">
        <f t="shared" si="83"/>
        <v>114025.4</v>
      </c>
      <c r="CQ92" s="3">
        <f t="shared" si="84"/>
        <v>114025.4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85"/>
        <v>0</v>
      </c>
      <c r="CU92" s="3">
        <f t="shared" si="86"/>
        <v>0</v>
      </c>
      <c r="CV92" s="3">
        <f t="shared" si="87"/>
        <v>0</v>
      </c>
      <c r="CW92" s="3">
        <f t="shared" si="88"/>
        <v>0</v>
      </c>
      <c r="CX92" s="3">
        <f t="shared" si="89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147</v>
      </c>
      <c r="DW92" s="3" t="s">
        <v>147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55393904</v>
      </c>
      <c r="EF92" s="3">
        <v>214</v>
      </c>
      <c r="EG92" s="3" t="s">
        <v>148</v>
      </c>
      <c r="EH92" s="3">
        <v>0</v>
      </c>
      <c r="EI92" s="3" t="s">
        <v>3</v>
      </c>
      <c r="EJ92" s="3">
        <v>3</v>
      </c>
      <c r="EK92" s="3">
        <v>400007</v>
      </c>
      <c r="EL92" s="3" t="s">
        <v>148</v>
      </c>
      <c r="EM92" s="3" t="s">
        <v>149</v>
      </c>
      <c r="EO92" s="3" t="s">
        <v>3</v>
      </c>
      <c r="EQ92" s="3">
        <v>131088</v>
      </c>
      <c r="ER92" s="3">
        <v>0</v>
      </c>
      <c r="ES92" s="3">
        <v>15062.8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5</v>
      </c>
      <c r="FC92" s="3">
        <v>1</v>
      </c>
      <c r="FD92" s="3">
        <v>18</v>
      </c>
      <c r="FF92" s="3">
        <v>139111</v>
      </c>
      <c r="FQ92" s="3">
        <v>0</v>
      </c>
      <c r="FR92" s="3">
        <f>P92</f>
        <v>114025.4</v>
      </c>
      <c r="FS92" s="3">
        <v>0</v>
      </c>
      <c r="FX92" s="3">
        <v>0</v>
      </c>
      <c r="FY92" s="3">
        <v>0</v>
      </c>
      <c r="GA92" s="3" t="s">
        <v>162</v>
      </c>
      <c r="GD92" s="3">
        <v>1</v>
      </c>
      <c r="GF92" s="3">
        <v>-2051834592</v>
      </c>
      <c r="GG92" s="3">
        <v>2</v>
      </c>
      <c r="GH92" s="3">
        <v>3</v>
      </c>
      <c r="GI92" s="3">
        <v>3</v>
      </c>
      <c r="GJ92" s="3">
        <v>0</v>
      </c>
      <c r="GK92" s="3">
        <v>0</v>
      </c>
      <c r="GL92" s="3">
        <f t="shared" si="90"/>
        <v>0</v>
      </c>
      <c r="GM92" s="3">
        <f t="shared" si="91"/>
        <v>114025.4</v>
      </c>
      <c r="GN92" s="3">
        <f t="shared" si="92"/>
        <v>0</v>
      </c>
      <c r="GO92" s="3">
        <f t="shared" si="93"/>
        <v>0</v>
      </c>
      <c r="GP92" s="3">
        <f t="shared" si="94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95"/>
        <v>0</v>
      </c>
      <c r="GW92" s="3">
        <v>1</v>
      </c>
      <c r="GX92" s="3">
        <f t="shared" si="96"/>
        <v>0</v>
      </c>
      <c r="HA92" s="3">
        <v>0</v>
      </c>
      <c r="HB92" s="3">
        <v>0</v>
      </c>
      <c r="HC92" s="3">
        <f t="shared" si="97"/>
        <v>0</v>
      </c>
      <c r="HE92" s="3" t="s">
        <v>158</v>
      </c>
      <c r="HF92" s="3" t="s">
        <v>158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">
      <c r="A93" s="2">
        <v>17</v>
      </c>
      <c r="B93" s="2">
        <v>1</v>
      </c>
      <c r="C93" s="2"/>
      <c r="D93" s="2"/>
      <c r="E93" s="2" t="s">
        <v>163</v>
      </c>
      <c r="F93" s="2" t="s">
        <v>44</v>
      </c>
      <c r="G93" s="2" t="s">
        <v>164</v>
      </c>
      <c r="H93" s="2" t="s">
        <v>28</v>
      </c>
      <c r="I93" s="2">
        <v>2</v>
      </c>
      <c r="J93" s="2">
        <v>0</v>
      </c>
      <c r="K93" s="2">
        <v>2</v>
      </c>
      <c r="L93" s="2"/>
      <c r="M93" s="2"/>
      <c r="N93" s="2"/>
      <c r="O93" s="2">
        <f t="shared" si="73"/>
        <v>145.18</v>
      </c>
      <c r="P93" s="2">
        <f t="shared" si="74"/>
        <v>102.06</v>
      </c>
      <c r="Q93" s="2">
        <f>(ROUND((ROUND((((ET93*1.2))*AV93*I93),2)*BB93),2)+ROUND((ROUND(((AE93-((EU93*1.2)))*AV93*I93),2)*BS93),2))</f>
        <v>13.49</v>
      </c>
      <c r="R93" s="2">
        <f>(ROUND((ROUND((((EU93*1.2))*AV93*I93),2)*BS93),2)+ROUND((ROUND(((AE93-((EU93*1.2)))*AV93*I93),2)*BS93),2))</f>
        <v>3.09</v>
      </c>
      <c r="S93" s="2">
        <f t="shared" si="75"/>
        <v>29.63</v>
      </c>
      <c r="T93" s="2">
        <f t="shared" si="76"/>
        <v>0</v>
      </c>
      <c r="U93" s="2">
        <f t="shared" si="77"/>
        <v>2.5881839999999996</v>
      </c>
      <c r="V93" s="2">
        <f t="shared" si="78"/>
        <v>0</v>
      </c>
      <c r="W93" s="2">
        <f t="shared" si="79"/>
        <v>0</v>
      </c>
      <c r="X93" s="2">
        <f>(ROUND((((S93+ROUND((ROUND((((EU93*1.2))*AV93*I93),2)*BS93),2))*AT93)/100),2)+ROUND(((ROUND((ROUND(((AE93-((EU93*1.2)))*AV93*I93),2)*BS93),2)*AT93)/100),2))</f>
        <v>29.45</v>
      </c>
      <c r="Y93" s="2">
        <f>(ROUND((((S93+ROUND((ROUND((((EU93*1.2))*AV93*I93),2)*BS93),2))*AU93)/100),2)+ROUND(((ROUND((ROUND(((AE93-((EU93*1.2)))*AV93*I93),2)*BS93),2)*AU93)/100),2))</f>
        <v>15.05</v>
      </c>
      <c r="Z93" s="2"/>
      <c r="AA93" s="2">
        <v>55943566</v>
      </c>
      <c r="AB93" s="2">
        <f t="shared" si="80"/>
        <v>71.622</v>
      </c>
      <c r="AC93" s="2">
        <f>ROUND(((ES93*1)),6)</f>
        <v>51.03</v>
      </c>
      <c r="AD93" s="2">
        <f>ROUND(((((ET93*1.2))-((EU93*1.2)))+AE93),6)</f>
        <v>6.444</v>
      </c>
      <c r="AE93" s="2">
        <f>ROUND(((EU93*1.2)),6)</f>
        <v>1.476</v>
      </c>
      <c r="AF93" s="2">
        <f>ROUND(((EV93*1.2)),6)</f>
        <v>14.148</v>
      </c>
      <c r="AG93" s="2">
        <f t="shared" si="81"/>
        <v>0</v>
      </c>
      <c r="AH93" s="2">
        <f>((EW93*1.2))</f>
        <v>1.236</v>
      </c>
      <c r="AI93" s="2">
        <f>((EX93*1.2))</f>
        <v>0</v>
      </c>
      <c r="AJ93" s="2">
        <f t="shared" si="82"/>
        <v>0</v>
      </c>
      <c r="AK93" s="2">
        <v>68.19</v>
      </c>
      <c r="AL93" s="2">
        <v>51.03</v>
      </c>
      <c r="AM93" s="2">
        <v>5.37</v>
      </c>
      <c r="AN93" s="2">
        <v>1.23</v>
      </c>
      <c r="AO93" s="2">
        <v>11.79</v>
      </c>
      <c r="AP93" s="2">
        <v>0</v>
      </c>
      <c r="AQ93" s="2">
        <v>1.03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46</v>
      </c>
      <c r="BK93" s="2"/>
      <c r="BL93" s="2"/>
      <c r="BM93" s="2">
        <v>72</v>
      </c>
      <c r="BN93" s="2">
        <v>0</v>
      </c>
      <c r="BO93" s="2" t="s">
        <v>44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351</v>
      </c>
      <c r="CO93" s="2">
        <v>0</v>
      </c>
      <c r="CP93" s="2">
        <f t="shared" si="83"/>
        <v>145.18</v>
      </c>
      <c r="CQ93" s="2">
        <f t="shared" si="84"/>
        <v>51.03</v>
      </c>
      <c r="CR93" s="2">
        <f>(ROUND((ROUND((((ET93*1.2))*AV93*1),2)*BB93),2)+ROUND((ROUND(((AE93-((EU93*1.2)))*AV93*1),2)*BS93),2))</f>
        <v>6.75</v>
      </c>
      <c r="CS93" s="2">
        <f>(ROUND((ROUND((((EU93*1.2))*AV93*1),2)*BS93),2)+ROUND((ROUND(((AE93-((EU93*1.2)))*AV93*1),2)*BS93),2))</f>
        <v>1.55</v>
      </c>
      <c r="CT93" s="2">
        <f t="shared" si="85"/>
        <v>14.81</v>
      </c>
      <c r="CU93" s="2">
        <f t="shared" si="86"/>
        <v>0</v>
      </c>
      <c r="CV93" s="2">
        <f t="shared" si="87"/>
        <v>1.2940919999999998</v>
      </c>
      <c r="CW93" s="2">
        <f t="shared" si="88"/>
        <v>0</v>
      </c>
      <c r="CX93" s="2">
        <f t="shared" si="89"/>
        <v>0</v>
      </c>
      <c r="CY93" s="2">
        <f>(ROUND((((S93+ROUND((ROUND((((EU93*1.2))*AV93*1),2)*BS93),2))*AT93)/100),2)+ROUND(((ROUND((ROUND(((AE93-((EU93*1.2)))*AV93*1),2)*BS93),2)*AT93)/100),2))</f>
        <v>28.06</v>
      </c>
      <c r="CZ93" s="2">
        <f>(ROUND((((S93+ROUND((ROUND((((EU93*1.2))*AV93*1),2)*BS93),2))*AU93)/100),2)+ROUND(((ROUND((ROUND(((AE93-((EU93*1.2)))*AV93*1),2)*BS93),2)*AU93)/100),2))</f>
        <v>14.34</v>
      </c>
      <c r="DA93" s="2"/>
      <c r="DB93" s="2">
        <v>41</v>
      </c>
      <c r="DC93" s="2" t="s">
        <v>3</v>
      </c>
      <c r="DD93" s="2" t="s">
        <v>77</v>
      </c>
      <c r="DE93" s="2" t="s">
        <v>78</v>
      </c>
      <c r="DF93" s="2" t="s">
        <v>78</v>
      </c>
      <c r="DG93" s="2" t="s">
        <v>78</v>
      </c>
      <c r="DH93" s="2" t="s">
        <v>3</v>
      </c>
      <c r="DI93" s="2" t="s">
        <v>78</v>
      </c>
      <c r="DJ93" s="2" t="s">
        <v>78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28</v>
      </c>
      <c r="DW93" s="2" t="s">
        <v>32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55393976</v>
      </c>
      <c r="EF93" s="2">
        <v>40</v>
      </c>
      <c r="EG93" s="2" t="s">
        <v>33</v>
      </c>
      <c r="EH93" s="2">
        <v>0</v>
      </c>
      <c r="EI93" s="2" t="s">
        <v>3</v>
      </c>
      <c r="EJ93" s="2">
        <v>2</v>
      </c>
      <c r="EK93" s="2">
        <v>72</v>
      </c>
      <c r="EL93" s="2" t="s">
        <v>34</v>
      </c>
      <c r="EM93" s="2" t="s">
        <v>35</v>
      </c>
      <c r="EN93" s="2"/>
      <c r="EO93" s="2" t="s">
        <v>82</v>
      </c>
      <c r="EP93" s="2"/>
      <c r="EQ93" s="2">
        <v>131072</v>
      </c>
      <c r="ER93" s="2">
        <v>68.19</v>
      </c>
      <c r="ES93" s="2">
        <v>51.03</v>
      </c>
      <c r="ET93" s="2">
        <v>5.37</v>
      </c>
      <c r="EU93" s="2">
        <v>1.23</v>
      </c>
      <c r="EV93" s="2">
        <v>11.79</v>
      </c>
      <c r="EW93" s="2">
        <v>1.03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-1093617697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90"/>
        <v>0</v>
      </c>
      <c r="GM93" s="2">
        <f t="shared" si="91"/>
        <v>189.68</v>
      </c>
      <c r="GN93" s="2">
        <f t="shared" si="92"/>
        <v>0</v>
      </c>
      <c r="GO93" s="2">
        <f t="shared" si="93"/>
        <v>189.68</v>
      </c>
      <c r="GP93" s="2">
        <f t="shared" si="9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95"/>
        <v>0</v>
      </c>
      <c r="GW93" s="2">
        <v>1</v>
      </c>
      <c r="GX93" s="2">
        <f t="shared" si="96"/>
        <v>0</v>
      </c>
      <c r="GY93" s="2"/>
      <c r="GZ93" s="2"/>
      <c r="HA93" s="2">
        <v>0</v>
      </c>
      <c r="HB93" s="2">
        <v>0</v>
      </c>
      <c r="HC93" s="2">
        <f t="shared" si="9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17</v>
      </c>
      <c r="B94" s="3">
        <v>1</v>
      </c>
      <c r="E94" s="3" t="s">
        <v>163</v>
      </c>
      <c r="F94" s="3" t="s">
        <v>44</v>
      </c>
      <c r="G94" s="3" t="s">
        <v>164</v>
      </c>
      <c r="H94" s="3" t="s">
        <v>28</v>
      </c>
      <c r="I94" s="3">
        <v>2</v>
      </c>
      <c r="J94" s="3">
        <v>0</v>
      </c>
      <c r="K94" s="3">
        <v>2</v>
      </c>
      <c r="O94" s="3">
        <f t="shared" si="73"/>
        <v>2888.37</v>
      </c>
      <c r="P94" s="3">
        <f t="shared" si="74"/>
        <v>913.44</v>
      </c>
      <c r="Q94" s="3">
        <f>(ROUND((ROUND((((ET94*1.2))*AV94*I94),2)*BB94),2)+ROUND((ROUND(((AE94-((EU94*1.2)))*AV94*I94),2)*BS94),2))</f>
        <v>305.27999999999997</v>
      </c>
      <c r="R94" s="3">
        <f>(ROUND((ROUND((((EU94*1.2))*AV94*I94),2)*BS94),2)+ROUND((ROUND(((AE94-((EU94*1.2)))*AV94*I94),2)*BS94),2))</f>
        <v>174.12</v>
      </c>
      <c r="S94" s="3">
        <f t="shared" si="75"/>
        <v>1669.65</v>
      </c>
      <c r="T94" s="3">
        <f t="shared" si="76"/>
        <v>0</v>
      </c>
      <c r="U94" s="3">
        <f t="shared" si="77"/>
        <v>2.5881839999999996</v>
      </c>
      <c r="V94" s="3">
        <f t="shared" si="78"/>
        <v>0</v>
      </c>
      <c r="W94" s="3">
        <f t="shared" si="79"/>
        <v>0</v>
      </c>
      <c r="X94" s="3">
        <f>(ROUND((((S94+ROUND((ROUND((((EU94*1.2))*AV94*I94),2)*BS94),2))*AT94)/100),2)+ROUND(((ROUND((ROUND(((AE94-((EU94*1.2)))*AV94*I94),2)*BS94),2)*AT94)/100),2))</f>
        <v>1659.39</v>
      </c>
      <c r="Y94" s="3">
        <f>(ROUND((((S94+ROUND((ROUND((((EU94*1.2))*AV94*I94),2)*BS94),2))*AU94)/100),2)+ROUND(((ROUND((ROUND(((AE94-((EU94*1.2)))*AV94*I94),2)*BS94),2)*AU94)/100),2))</f>
        <v>848.13</v>
      </c>
      <c r="AA94" s="3">
        <v>55943568</v>
      </c>
      <c r="AB94" s="3">
        <f t="shared" si="80"/>
        <v>71.622</v>
      </c>
      <c r="AC94" s="3">
        <f>ROUND(((ES94*1)),6)</f>
        <v>51.03</v>
      </c>
      <c r="AD94" s="3">
        <f>ROUND(((((ET94*1.2))-((EU94*1.2)))+AE94),6)</f>
        <v>6.444</v>
      </c>
      <c r="AE94" s="3">
        <f>ROUND(((EU94*1.2)),6)</f>
        <v>1.476</v>
      </c>
      <c r="AF94" s="3">
        <f>ROUND(((EV94*1.2)),6)</f>
        <v>14.148</v>
      </c>
      <c r="AG94" s="3">
        <f t="shared" si="81"/>
        <v>0</v>
      </c>
      <c r="AH94" s="3">
        <f>((EW94*1.2))</f>
        <v>1.236</v>
      </c>
      <c r="AI94" s="3">
        <f>((EX94*1.2))</f>
        <v>0</v>
      </c>
      <c r="AJ94" s="3">
        <f t="shared" si="82"/>
        <v>0</v>
      </c>
      <c r="AK94" s="3">
        <v>68.19</v>
      </c>
      <c r="AL94" s="3">
        <v>51.03</v>
      </c>
      <c r="AM94" s="3">
        <v>5.37</v>
      </c>
      <c r="AN94" s="3">
        <v>1.23</v>
      </c>
      <c r="AO94" s="3">
        <v>11.79</v>
      </c>
      <c r="AP94" s="3">
        <v>0</v>
      </c>
      <c r="AQ94" s="3">
        <v>1.03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22.63</v>
      </c>
      <c r="BC94" s="3">
        <v>8.9499999999999993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46</v>
      </c>
      <c r="BM94" s="3">
        <v>72</v>
      </c>
      <c r="BN94" s="3">
        <v>0</v>
      </c>
      <c r="BO94" s="3" t="s">
        <v>44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351</v>
      </c>
      <c r="CO94" s="3">
        <v>0</v>
      </c>
      <c r="CP94" s="3">
        <f t="shared" si="83"/>
        <v>2888.37</v>
      </c>
      <c r="CQ94" s="3">
        <f t="shared" si="84"/>
        <v>456.72</v>
      </c>
      <c r="CR94" s="3">
        <f>(ROUND((ROUND((((ET94*1.2))*AV94*1),2)*BB94),2)+ROUND((ROUND(((AE94-((EU94*1.2)))*AV94*1),2)*BS94),2))</f>
        <v>152.75</v>
      </c>
      <c r="CS94" s="3">
        <f>(ROUND((ROUND((((EU94*1.2))*AV94*1),2)*BS94),2)+ROUND((ROUND(((AE94-((EU94*1.2)))*AV94*1),2)*BS94),2))</f>
        <v>87.34</v>
      </c>
      <c r="CT94" s="3">
        <f t="shared" si="85"/>
        <v>834.54</v>
      </c>
      <c r="CU94" s="3">
        <f t="shared" si="86"/>
        <v>0</v>
      </c>
      <c r="CV94" s="3">
        <f t="shared" si="87"/>
        <v>1.2940919999999998</v>
      </c>
      <c r="CW94" s="3">
        <f t="shared" si="88"/>
        <v>0</v>
      </c>
      <c r="CX94" s="3">
        <f t="shared" si="89"/>
        <v>0</v>
      </c>
      <c r="CY94" s="3">
        <f>(ROUND((((S94+ROUND((ROUND((((EU94*1.2))*AV94*1),2)*BS94),2))*AT94)/100),2)+ROUND(((ROUND((ROUND(((AE94-((EU94*1.2)))*AV94*1),2)*BS94),2)*AT94)/100),2))</f>
        <v>1581.29</v>
      </c>
      <c r="CZ94" s="3">
        <f>(ROUND((((S94+ROUND((ROUND((((EU94*1.2))*AV94*1),2)*BS94),2))*AU94)/100),2)+ROUND(((ROUND((ROUND(((AE94-((EU94*1.2)))*AV94*1),2)*BS94),2)*AU94)/100),2))</f>
        <v>808.22</v>
      </c>
      <c r="DB94" s="3">
        <v>42</v>
      </c>
      <c r="DC94" s="3" t="s">
        <v>3</v>
      </c>
      <c r="DD94" s="3" t="s">
        <v>77</v>
      </c>
      <c r="DE94" s="3" t="s">
        <v>78</v>
      </c>
      <c r="DF94" s="3" t="s">
        <v>78</v>
      </c>
      <c r="DG94" s="3" t="s">
        <v>78</v>
      </c>
      <c r="DH94" s="3" t="s">
        <v>3</v>
      </c>
      <c r="DI94" s="3" t="s">
        <v>78</v>
      </c>
      <c r="DJ94" s="3" t="s">
        <v>78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28</v>
      </c>
      <c r="DW94" s="3" t="s">
        <v>32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55393976</v>
      </c>
      <c r="EF94" s="3">
        <v>40</v>
      </c>
      <c r="EG94" s="3" t="s">
        <v>33</v>
      </c>
      <c r="EH94" s="3">
        <v>0</v>
      </c>
      <c r="EI94" s="3" t="s">
        <v>3</v>
      </c>
      <c r="EJ94" s="3">
        <v>2</v>
      </c>
      <c r="EK94" s="3">
        <v>72</v>
      </c>
      <c r="EL94" s="3" t="s">
        <v>34</v>
      </c>
      <c r="EM94" s="3" t="s">
        <v>35</v>
      </c>
      <c r="EO94" s="3" t="s">
        <v>82</v>
      </c>
      <c r="EQ94" s="3">
        <v>131072</v>
      </c>
      <c r="ER94" s="3">
        <v>68.19</v>
      </c>
      <c r="ES94" s="3">
        <v>51.03</v>
      </c>
      <c r="ET94" s="3">
        <v>5.37</v>
      </c>
      <c r="EU94" s="3">
        <v>1.23</v>
      </c>
      <c r="EV94" s="3">
        <v>11.79</v>
      </c>
      <c r="EW94" s="3">
        <v>1.03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-1093617697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90"/>
        <v>0</v>
      </c>
      <c r="GM94" s="3">
        <f t="shared" si="91"/>
        <v>5395.89</v>
      </c>
      <c r="GN94" s="3">
        <f t="shared" si="92"/>
        <v>0</v>
      </c>
      <c r="GO94" s="3">
        <f t="shared" si="93"/>
        <v>5395.89</v>
      </c>
      <c r="GP94" s="3">
        <f t="shared" si="9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5"/>
        <v>0</v>
      </c>
      <c r="GW94" s="3">
        <v>1</v>
      </c>
      <c r="GX94" s="3">
        <f t="shared" si="96"/>
        <v>0</v>
      </c>
      <c r="HA94" s="3">
        <v>0</v>
      </c>
      <c r="HB94" s="3">
        <v>0</v>
      </c>
      <c r="HC94" s="3">
        <f t="shared" si="97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18</v>
      </c>
      <c r="B95" s="2">
        <v>1</v>
      </c>
      <c r="C95" s="2"/>
      <c r="D95" s="2"/>
      <c r="E95" s="2" t="s">
        <v>165</v>
      </c>
      <c r="F95" s="2" t="s">
        <v>166</v>
      </c>
      <c r="G95" s="2" t="s">
        <v>167</v>
      </c>
      <c r="H95" s="2" t="s">
        <v>168</v>
      </c>
      <c r="I95" s="2">
        <f>I93*J95</f>
        <v>2.0000000000000002E-5</v>
      </c>
      <c r="J95" s="2">
        <v>1.0000000000000001E-5</v>
      </c>
      <c r="K95" s="2">
        <v>1.0000000000000001E-5</v>
      </c>
      <c r="L95" s="2"/>
      <c r="M95" s="2"/>
      <c r="N95" s="2"/>
      <c r="O95" s="2">
        <f t="shared" si="73"/>
        <v>0.36</v>
      </c>
      <c r="P95" s="2">
        <f t="shared" si="74"/>
        <v>0.36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75"/>
        <v>0</v>
      </c>
      <c r="T95" s="2">
        <f t="shared" si="76"/>
        <v>0</v>
      </c>
      <c r="U95" s="2">
        <f t="shared" si="77"/>
        <v>0</v>
      </c>
      <c r="V95" s="2">
        <f t="shared" si="78"/>
        <v>0</v>
      </c>
      <c r="W95" s="2">
        <f t="shared" si="7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55943566</v>
      </c>
      <c r="AB95" s="2">
        <f t="shared" si="80"/>
        <v>17868.28</v>
      </c>
      <c r="AC95" s="2">
        <f>ROUND((ES95),6)</f>
        <v>17868.28</v>
      </c>
      <c r="AD95" s="2">
        <f>ROUND((((ET95)-(EU95))+AE95),6)</f>
        <v>0</v>
      </c>
      <c r="AE95" s="2">
        <f t="shared" ref="AE95:AF98" si="100">ROUND((EU95),6)</f>
        <v>0</v>
      </c>
      <c r="AF95" s="2">
        <f t="shared" si="100"/>
        <v>0</v>
      </c>
      <c r="AG95" s="2">
        <f t="shared" si="81"/>
        <v>0</v>
      </c>
      <c r="AH95" s="2">
        <f t="shared" ref="AH95:AI98" si="101">(EW95)</f>
        <v>0</v>
      </c>
      <c r="AI95" s="2">
        <f t="shared" si="101"/>
        <v>0</v>
      </c>
      <c r="AJ95" s="2">
        <f t="shared" si="82"/>
        <v>0</v>
      </c>
      <c r="AK95" s="2">
        <v>17868.28</v>
      </c>
      <c r="AL95" s="2">
        <v>17868.28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90</v>
      </c>
      <c r="AU95" s="2">
        <v>46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2</v>
      </c>
      <c r="BJ95" s="2" t="s">
        <v>169</v>
      </c>
      <c r="BK95" s="2"/>
      <c r="BL95" s="2"/>
      <c r="BM95" s="2">
        <v>72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83"/>
        <v>0.36</v>
      </c>
      <c r="CQ95" s="2">
        <f t="shared" si="84"/>
        <v>17868.28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85"/>
        <v>0</v>
      </c>
      <c r="CU95" s="2">
        <f t="shared" si="86"/>
        <v>0</v>
      </c>
      <c r="CV95" s="2">
        <f t="shared" si="87"/>
        <v>0</v>
      </c>
      <c r="CW95" s="2">
        <f t="shared" si="88"/>
        <v>0</v>
      </c>
      <c r="CX95" s="2">
        <f t="shared" si="8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1009</v>
      </c>
      <c r="DV95" s="2" t="s">
        <v>168</v>
      </c>
      <c r="DW95" s="2" t="s">
        <v>168</v>
      </c>
      <c r="DX95" s="2">
        <v>1000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55393976</v>
      </c>
      <c r="EF95" s="2">
        <v>40</v>
      </c>
      <c r="EG95" s="2" t="s">
        <v>33</v>
      </c>
      <c r="EH95" s="2">
        <v>0</v>
      </c>
      <c r="EI95" s="2" t="s">
        <v>3</v>
      </c>
      <c r="EJ95" s="2">
        <v>2</v>
      </c>
      <c r="EK95" s="2">
        <v>72</v>
      </c>
      <c r="EL95" s="2" t="s">
        <v>34</v>
      </c>
      <c r="EM95" s="2" t="s">
        <v>35</v>
      </c>
      <c r="EN95" s="2"/>
      <c r="EO95" s="2" t="s">
        <v>3</v>
      </c>
      <c r="EP95" s="2"/>
      <c r="EQ95" s="2">
        <v>0</v>
      </c>
      <c r="ER95" s="2">
        <v>17868.28</v>
      </c>
      <c r="ES95" s="2">
        <v>17868.28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-1123198217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90"/>
        <v>0</v>
      </c>
      <c r="GM95" s="2">
        <f t="shared" si="91"/>
        <v>0.36</v>
      </c>
      <c r="GN95" s="2">
        <f t="shared" si="92"/>
        <v>0</v>
      </c>
      <c r="GO95" s="2">
        <f t="shared" si="93"/>
        <v>0.36</v>
      </c>
      <c r="GP95" s="2">
        <f t="shared" si="9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18</v>
      </c>
      <c r="B96" s="3">
        <v>1</v>
      </c>
      <c r="E96" s="3" t="s">
        <v>165</v>
      </c>
      <c r="F96" s="3" t="s">
        <v>166</v>
      </c>
      <c r="G96" s="3" t="s">
        <v>167</v>
      </c>
      <c r="H96" s="3" t="s">
        <v>168</v>
      </c>
      <c r="I96" s="3">
        <f>I94*J96</f>
        <v>2.0000000000000002E-5</v>
      </c>
      <c r="J96" s="3">
        <v>1.0000000000000001E-5</v>
      </c>
      <c r="K96" s="3">
        <v>1.0000000000000001E-5</v>
      </c>
      <c r="O96" s="3">
        <f t="shared" si="73"/>
        <v>2.4500000000000002</v>
      </c>
      <c r="P96" s="3">
        <f t="shared" si="74"/>
        <v>2.4500000000000002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75"/>
        <v>0</v>
      </c>
      <c r="T96" s="3">
        <f t="shared" si="76"/>
        <v>0</v>
      </c>
      <c r="U96" s="3">
        <f t="shared" si="77"/>
        <v>0</v>
      </c>
      <c r="V96" s="3">
        <f t="shared" si="78"/>
        <v>0</v>
      </c>
      <c r="W96" s="3">
        <f t="shared" si="7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55943568</v>
      </c>
      <c r="AB96" s="3">
        <f t="shared" si="80"/>
        <v>17868.28</v>
      </c>
      <c r="AC96" s="3">
        <f>ROUND((ES96),6)</f>
        <v>17868.28</v>
      </c>
      <c r="AD96" s="3">
        <f>ROUND((((ET96)-(EU96))+AE96),6)</f>
        <v>0</v>
      </c>
      <c r="AE96" s="3">
        <f t="shared" si="100"/>
        <v>0</v>
      </c>
      <c r="AF96" s="3">
        <f t="shared" si="100"/>
        <v>0</v>
      </c>
      <c r="AG96" s="3">
        <f t="shared" si="81"/>
        <v>0</v>
      </c>
      <c r="AH96" s="3">
        <f t="shared" si="101"/>
        <v>0</v>
      </c>
      <c r="AI96" s="3">
        <f t="shared" si="101"/>
        <v>0</v>
      </c>
      <c r="AJ96" s="3">
        <f t="shared" si="82"/>
        <v>0</v>
      </c>
      <c r="AK96" s="3">
        <v>17868.28</v>
      </c>
      <c r="AL96" s="3">
        <v>17868.28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90</v>
      </c>
      <c r="AU96" s="3">
        <v>46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6.81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2</v>
      </c>
      <c r="BJ96" s="3" t="s">
        <v>169</v>
      </c>
      <c r="BM96" s="3">
        <v>72</v>
      </c>
      <c r="BN96" s="3">
        <v>0</v>
      </c>
      <c r="BO96" s="3" t="s">
        <v>166</v>
      </c>
      <c r="BP96" s="3">
        <v>1</v>
      </c>
      <c r="BQ96" s="3">
        <v>40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83"/>
        <v>2.4500000000000002</v>
      </c>
      <c r="CQ96" s="3">
        <f t="shared" si="84"/>
        <v>121682.99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85"/>
        <v>0</v>
      </c>
      <c r="CU96" s="3">
        <f t="shared" si="86"/>
        <v>0</v>
      </c>
      <c r="CV96" s="3">
        <f t="shared" si="87"/>
        <v>0</v>
      </c>
      <c r="CW96" s="3">
        <f t="shared" si="88"/>
        <v>0</v>
      </c>
      <c r="CX96" s="3">
        <f t="shared" si="8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1009</v>
      </c>
      <c r="DV96" s="3" t="s">
        <v>168</v>
      </c>
      <c r="DW96" s="3" t="s">
        <v>168</v>
      </c>
      <c r="DX96" s="3">
        <v>1000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55393976</v>
      </c>
      <c r="EF96" s="3">
        <v>40</v>
      </c>
      <c r="EG96" s="3" t="s">
        <v>33</v>
      </c>
      <c r="EH96" s="3">
        <v>0</v>
      </c>
      <c r="EI96" s="3" t="s">
        <v>3</v>
      </c>
      <c r="EJ96" s="3">
        <v>2</v>
      </c>
      <c r="EK96" s="3">
        <v>72</v>
      </c>
      <c r="EL96" s="3" t="s">
        <v>34</v>
      </c>
      <c r="EM96" s="3" t="s">
        <v>35</v>
      </c>
      <c r="EO96" s="3" t="s">
        <v>3</v>
      </c>
      <c r="EQ96" s="3">
        <v>0</v>
      </c>
      <c r="ER96" s="3">
        <v>17868.28</v>
      </c>
      <c r="ES96" s="3">
        <v>17868.28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90</v>
      </c>
      <c r="FY96" s="3">
        <v>46</v>
      </c>
      <c r="GA96" s="3" t="s">
        <v>3</v>
      </c>
      <c r="GD96" s="3">
        <v>1</v>
      </c>
      <c r="GF96" s="3">
        <v>-1123198217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90"/>
        <v>0</v>
      </c>
      <c r="GM96" s="3">
        <f t="shared" si="91"/>
        <v>2.4500000000000002</v>
      </c>
      <c r="GN96" s="3">
        <f t="shared" si="92"/>
        <v>0</v>
      </c>
      <c r="GO96" s="3">
        <f t="shared" si="93"/>
        <v>2.4500000000000002</v>
      </c>
      <c r="GP96" s="3">
        <f t="shared" si="9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95"/>
        <v>0</v>
      </c>
      <c r="GW96" s="3">
        <v>1</v>
      </c>
      <c r="GX96" s="3">
        <f t="shared" si="96"/>
        <v>0</v>
      </c>
      <c r="HA96" s="3">
        <v>0</v>
      </c>
      <c r="HB96" s="3">
        <v>0</v>
      </c>
      <c r="HC96" s="3">
        <f t="shared" si="97"/>
        <v>0</v>
      </c>
      <c r="HE96" s="3" t="s">
        <v>3</v>
      </c>
      <c r="HF96" s="3" t="s">
        <v>3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">
      <c r="A97" s="2">
        <v>17</v>
      </c>
      <c r="B97" s="2">
        <v>1</v>
      </c>
      <c r="C97" s="2"/>
      <c r="D97" s="2"/>
      <c r="E97" s="2" t="s">
        <v>170</v>
      </c>
      <c r="F97" s="2" t="s">
        <v>171</v>
      </c>
      <c r="G97" s="2" t="s">
        <v>172</v>
      </c>
      <c r="H97" s="2" t="s">
        <v>147</v>
      </c>
      <c r="I97" s="2">
        <v>2</v>
      </c>
      <c r="J97" s="2">
        <v>0</v>
      </c>
      <c r="K97" s="2">
        <v>2</v>
      </c>
      <c r="L97" s="2"/>
      <c r="M97" s="2"/>
      <c r="N97" s="2"/>
      <c r="O97" s="2">
        <f t="shared" si="73"/>
        <v>925.94</v>
      </c>
      <c r="P97" s="2">
        <f t="shared" si="74"/>
        <v>925.94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75"/>
        <v>0</v>
      </c>
      <c r="T97" s="2">
        <f t="shared" si="76"/>
        <v>0</v>
      </c>
      <c r="U97" s="2">
        <f t="shared" si="77"/>
        <v>0</v>
      </c>
      <c r="V97" s="2">
        <f t="shared" si="78"/>
        <v>0</v>
      </c>
      <c r="W97" s="2">
        <f t="shared" si="79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55943566</v>
      </c>
      <c r="AB97" s="2">
        <f t="shared" si="80"/>
        <v>462.97</v>
      </c>
      <c r="AC97" s="2">
        <f>ROUND((ES97),6)</f>
        <v>462.97</v>
      </c>
      <c r="AD97" s="2">
        <f>ROUND((((ET97)-(EU97))+AE97),6)</f>
        <v>0</v>
      </c>
      <c r="AE97" s="2">
        <f t="shared" si="100"/>
        <v>0</v>
      </c>
      <c r="AF97" s="2">
        <f t="shared" si="100"/>
        <v>0</v>
      </c>
      <c r="AG97" s="2">
        <f t="shared" si="81"/>
        <v>0</v>
      </c>
      <c r="AH97" s="2">
        <f t="shared" si="101"/>
        <v>0</v>
      </c>
      <c r="AI97" s="2">
        <f t="shared" si="101"/>
        <v>0</v>
      </c>
      <c r="AJ97" s="2">
        <f t="shared" si="82"/>
        <v>0</v>
      </c>
      <c r="AK97" s="2">
        <v>462.96999999999997</v>
      </c>
      <c r="AL97" s="2">
        <v>462.96999999999997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1</v>
      </c>
      <c r="BJ97" s="2" t="s">
        <v>171</v>
      </c>
      <c r="BK97" s="2"/>
      <c r="BL97" s="2"/>
      <c r="BM97" s="2">
        <v>400005</v>
      </c>
      <c r="BN97" s="2">
        <v>0</v>
      </c>
      <c r="BO97" s="2" t="s">
        <v>3</v>
      </c>
      <c r="BP97" s="2">
        <v>0</v>
      </c>
      <c r="BQ97" s="2">
        <v>213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0</v>
      </c>
      <c r="CA97" s="2">
        <v>0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83"/>
        <v>925.94</v>
      </c>
      <c r="CQ97" s="2">
        <f t="shared" si="84"/>
        <v>462.97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85"/>
        <v>0</v>
      </c>
      <c r="CU97" s="2">
        <f t="shared" si="86"/>
        <v>0</v>
      </c>
      <c r="CV97" s="2">
        <f t="shared" si="87"/>
        <v>0</v>
      </c>
      <c r="CW97" s="2">
        <f t="shared" si="88"/>
        <v>0</v>
      </c>
      <c r="CX97" s="2">
        <f t="shared" si="89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147</v>
      </c>
      <c r="DW97" s="2" t="s">
        <v>147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55393902</v>
      </c>
      <c r="EF97" s="2">
        <v>213</v>
      </c>
      <c r="EG97" s="2" t="s">
        <v>173</v>
      </c>
      <c r="EH97" s="2">
        <v>0</v>
      </c>
      <c r="EI97" s="2" t="s">
        <v>3</v>
      </c>
      <c r="EJ97" s="2">
        <v>1</v>
      </c>
      <c r="EK97" s="2">
        <v>400005</v>
      </c>
      <c r="EL97" s="2" t="s">
        <v>173</v>
      </c>
      <c r="EM97" s="2" t="s">
        <v>174</v>
      </c>
      <c r="EN97" s="2"/>
      <c r="EO97" s="2" t="s">
        <v>3</v>
      </c>
      <c r="EP97" s="2"/>
      <c r="EQ97" s="2">
        <v>131088</v>
      </c>
      <c r="ER97" s="2">
        <v>0</v>
      </c>
      <c r="ES97" s="2">
        <v>462.96999999999997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0</v>
      </c>
      <c r="FY97" s="2">
        <v>0</v>
      </c>
      <c r="FZ97" s="2"/>
      <c r="GA97" s="2" t="s">
        <v>175</v>
      </c>
      <c r="GB97" s="2"/>
      <c r="GC97" s="2"/>
      <c r="GD97" s="2">
        <v>1</v>
      </c>
      <c r="GE97" s="2"/>
      <c r="GF97" s="2">
        <v>335141282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90"/>
        <v>0</v>
      </c>
      <c r="GM97" s="2">
        <f t="shared" si="91"/>
        <v>925.94</v>
      </c>
      <c r="GN97" s="2">
        <f t="shared" si="92"/>
        <v>925.94</v>
      </c>
      <c r="GO97" s="2">
        <f t="shared" si="93"/>
        <v>0</v>
      </c>
      <c r="GP97" s="2">
        <f t="shared" si="94"/>
        <v>0</v>
      </c>
      <c r="GQ97" s="2"/>
      <c r="GR97" s="2">
        <v>0</v>
      </c>
      <c r="GS97" s="2">
        <v>2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158</v>
      </c>
      <c r="HF97" s="2" t="s">
        <v>37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E98" s="3" t="s">
        <v>170</v>
      </c>
      <c r="F98" s="3" t="s">
        <v>171</v>
      </c>
      <c r="G98" s="3" t="s">
        <v>172</v>
      </c>
      <c r="H98" s="3" t="s">
        <v>147</v>
      </c>
      <c r="I98" s="3">
        <v>2</v>
      </c>
      <c r="J98" s="3">
        <v>0</v>
      </c>
      <c r="K98" s="3">
        <v>2</v>
      </c>
      <c r="O98" s="3">
        <f t="shared" si="73"/>
        <v>9111.25</v>
      </c>
      <c r="P98" s="3">
        <f t="shared" si="74"/>
        <v>9111.25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75"/>
        <v>0</v>
      </c>
      <c r="T98" s="3">
        <f t="shared" si="76"/>
        <v>0</v>
      </c>
      <c r="U98" s="3">
        <f t="shared" si="77"/>
        <v>0</v>
      </c>
      <c r="V98" s="3">
        <f t="shared" si="78"/>
        <v>0</v>
      </c>
      <c r="W98" s="3">
        <f t="shared" si="79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AA98" s="3">
        <v>55943568</v>
      </c>
      <c r="AB98" s="3">
        <f t="shared" si="80"/>
        <v>462.97</v>
      </c>
      <c r="AC98" s="3">
        <f>ROUND((ES98),6)</f>
        <v>462.97</v>
      </c>
      <c r="AD98" s="3">
        <f>ROUND((((ET98)-(EU98))+AE98),6)</f>
        <v>0</v>
      </c>
      <c r="AE98" s="3">
        <f t="shared" si="100"/>
        <v>0</v>
      </c>
      <c r="AF98" s="3">
        <f t="shared" si="100"/>
        <v>0</v>
      </c>
      <c r="AG98" s="3">
        <f t="shared" si="81"/>
        <v>0</v>
      </c>
      <c r="AH98" s="3">
        <f t="shared" si="101"/>
        <v>0</v>
      </c>
      <c r="AI98" s="3">
        <f t="shared" si="101"/>
        <v>0</v>
      </c>
      <c r="AJ98" s="3">
        <f t="shared" si="82"/>
        <v>0</v>
      </c>
      <c r="AK98" s="3">
        <v>462.96999999999997</v>
      </c>
      <c r="AL98" s="3">
        <v>462.96999999999997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Z98" s="3">
        <v>1</v>
      </c>
      <c r="BA98" s="3">
        <v>1</v>
      </c>
      <c r="BB98" s="3">
        <v>1</v>
      </c>
      <c r="BC98" s="3">
        <v>9.84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1</v>
      </c>
      <c r="BJ98" s="3" t="s">
        <v>171</v>
      </c>
      <c r="BM98" s="3">
        <v>400005</v>
      </c>
      <c r="BN98" s="3">
        <v>0</v>
      </c>
      <c r="BO98" s="3" t="s">
        <v>3</v>
      </c>
      <c r="BP98" s="3">
        <v>0</v>
      </c>
      <c r="BQ98" s="3">
        <v>213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0</v>
      </c>
      <c r="CA98" s="3">
        <v>0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3</v>
      </c>
      <c r="CO98" s="3">
        <v>0</v>
      </c>
      <c r="CP98" s="3">
        <f t="shared" si="83"/>
        <v>9111.25</v>
      </c>
      <c r="CQ98" s="3">
        <f t="shared" si="84"/>
        <v>4555.62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85"/>
        <v>0</v>
      </c>
      <c r="CU98" s="3">
        <f t="shared" si="86"/>
        <v>0</v>
      </c>
      <c r="CV98" s="3">
        <f t="shared" si="87"/>
        <v>0</v>
      </c>
      <c r="CW98" s="3">
        <f t="shared" si="88"/>
        <v>0</v>
      </c>
      <c r="CX98" s="3">
        <f t="shared" si="89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147</v>
      </c>
      <c r="DW98" s="3" t="s">
        <v>147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55393902</v>
      </c>
      <c r="EF98" s="3">
        <v>213</v>
      </c>
      <c r="EG98" s="3" t="s">
        <v>173</v>
      </c>
      <c r="EH98" s="3">
        <v>0</v>
      </c>
      <c r="EI98" s="3" t="s">
        <v>3</v>
      </c>
      <c r="EJ98" s="3">
        <v>1</v>
      </c>
      <c r="EK98" s="3">
        <v>400005</v>
      </c>
      <c r="EL98" s="3" t="s">
        <v>173</v>
      </c>
      <c r="EM98" s="3" t="s">
        <v>174</v>
      </c>
      <c r="EO98" s="3" t="s">
        <v>3</v>
      </c>
      <c r="EQ98" s="3">
        <v>131088</v>
      </c>
      <c r="ER98" s="3">
        <v>462.03000000000003</v>
      </c>
      <c r="ES98" s="3">
        <v>462.96999999999997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5</v>
      </c>
      <c r="FC98" s="3">
        <v>1</v>
      </c>
      <c r="FD98" s="3">
        <v>18</v>
      </c>
      <c r="FF98" s="3">
        <v>5448.84</v>
      </c>
      <c r="FQ98" s="3">
        <v>0</v>
      </c>
      <c r="FR98" s="3">
        <v>0</v>
      </c>
      <c r="FS98" s="3">
        <v>0</v>
      </c>
      <c r="FX98" s="3">
        <v>0</v>
      </c>
      <c r="FY98" s="3">
        <v>0</v>
      </c>
      <c r="GA98" s="3" t="s">
        <v>175</v>
      </c>
      <c r="GD98" s="3">
        <v>1</v>
      </c>
      <c r="GF98" s="3">
        <v>335141282</v>
      </c>
      <c r="GG98" s="3">
        <v>2</v>
      </c>
      <c r="GH98" s="3">
        <v>3</v>
      </c>
      <c r="GI98" s="3">
        <v>3</v>
      </c>
      <c r="GJ98" s="3">
        <v>0</v>
      </c>
      <c r="GK98" s="3">
        <v>0</v>
      </c>
      <c r="GL98" s="3">
        <f t="shared" si="90"/>
        <v>0</v>
      </c>
      <c r="GM98" s="3">
        <f t="shared" si="91"/>
        <v>9111.25</v>
      </c>
      <c r="GN98" s="3">
        <f t="shared" si="92"/>
        <v>9111.25</v>
      </c>
      <c r="GO98" s="3">
        <f t="shared" si="93"/>
        <v>0</v>
      </c>
      <c r="GP98" s="3">
        <f t="shared" si="94"/>
        <v>0</v>
      </c>
      <c r="GR98" s="3">
        <v>1</v>
      </c>
      <c r="GS98" s="3">
        <v>1</v>
      </c>
      <c r="GT98" s="3">
        <v>0</v>
      </c>
      <c r="GU98" s="3" t="s">
        <v>3</v>
      </c>
      <c r="GV98" s="3">
        <f t="shared" si="95"/>
        <v>0</v>
      </c>
      <c r="GW98" s="3">
        <v>1</v>
      </c>
      <c r="GX98" s="3">
        <f t="shared" si="96"/>
        <v>0</v>
      </c>
      <c r="HA98" s="3">
        <v>0</v>
      </c>
      <c r="HB98" s="3">
        <v>0</v>
      </c>
      <c r="HC98" s="3">
        <f t="shared" si="97"/>
        <v>0</v>
      </c>
      <c r="HE98" s="3" t="s">
        <v>158</v>
      </c>
      <c r="HF98" s="3" t="s">
        <v>37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176</v>
      </c>
      <c r="F99" s="2" t="s">
        <v>48</v>
      </c>
      <c r="G99" s="2" t="s">
        <v>177</v>
      </c>
      <c r="H99" s="2" t="s">
        <v>28</v>
      </c>
      <c r="I99" s="2">
        <v>2</v>
      </c>
      <c r="J99" s="2">
        <v>0</v>
      </c>
      <c r="K99" s="2">
        <v>2</v>
      </c>
      <c r="L99" s="2"/>
      <c r="M99" s="2"/>
      <c r="N99" s="2"/>
      <c r="O99" s="2">
        <f t="shared" si="73"/>
        <v>33.22</v>
      </c>
      <c r="P99" s="2">
        <f t="shared" si="74"/>
        <v>3.34</v>
      </c>
      <c r="Q99" s="2">
        <f>(ROUND((ROUND((((ET99*1.2))*AV99*I99),2)*BB99),2)+ROUND((ROUND(((AE99-((EU99*1.2)))*AV99*I99),2)*BS99),2))</f>
        <v>0</v>
      </c>
      <c r="R99" s="2">
        <f>(ROUND((ROUND((((EU99*1.2))*AV99*I99),2)*BS99),2)+ROUND((ROUND(((AE99-((EU99*1.2)))*AV99*I99),2)*BS99),2))</f>
        <v>0</v>
      </c>
      <c r="S99" s="2">
        <f t="shared" si="75"/>
        <v>29.88</v>
      </c>
      <c r="T99" s="2">
        <f t="shared" si="76"/>
        <v>0</v>
      </c>
      <c r="U99" s="2">
        <f t="shared" si="77"/>
        <v>2.5127999999999999</v>
      </c>
      <c r="V99" s="2">
        <f t="shared" si="78"/>
        <v>0</v>
      </c>
      <c r="W99" s="2">
        <f t="shared" si="79"/>
        <v>0</v>
      </c>
      <c r="X99" s="2">
        <f>(ROUND((((S99+ROUND((ROUND((((EU99*1.2))*AV99*I99),2)*BS99),2))*AT99)/100),2)+ROUND(((ROUND((ROUND(((AE99-((EU99*1.2)))*AV99*I99),2)*BS99),2)*AT99)/100),2))</f>
        <v>28.39</v>
      </c>
      <c r="Y99" s="2">
        <f>(ROUND((((S99+ROUND((ROUND((((EU99*1.2))*AV99*I99),2)*BS99),2))*AU99)/100),2)+ROUND(((ROUND((ROUND(((AE99-((EU99*1.2)))*AV99*I99),2)*BS99),2)*AU99)/100),2))</f>
        <v>15.84</v>
      </c>
      <c r="Z99" s="2"/>
      <c r="AA99" s="2">
        <v>55943566</v>
      </c>
      <c r="AB99" s="2">
        <f t="shared" si="80"/>
        <v>15.938000000000001</v>
      </c>
      <c r="AC99" s="2">
        <f>ROUND(((ES99*1)),6)</f>
        <v>1.67</v>
      </c>
      <c r="AD99" s="2">
        <f>ROUND(((((ET99*1.2))-((EU99*1.2)))+AE99),6)</f>
        <v>0</v>
      </c>
      <c r="AE99" s="2">
        <f>ROUND(((EU99*1.2)),6)</f>
        <v>0</v>
      </c>
      <c r="AF99" s="2">
        <f>ROUND(((EV99*1.2)),6)</f>
        <v>14.268000000000001</v>
      </c>
      <c r="AG99" s="2">
        <f t="shared" si="81"/>
        <v>0</v>
      </c>
      <c r="AH99" s="2">
        <f>((EW99*1.2))</f>
        <v>1.2</v>
      </c>
      <c r="AI99" s="2">
        <f>((EX99*1.2))</f>
        <v>0</v>
      </c>
      <c r="AJ99" s="2">
        <f t="shared" si="82"/>
        <v>0</v>
      </c>
      <c r="AK99" s="2">
        <v>13.56</v>
      </c>
      <c r="AL99" s="2">
        <v>1.67</v>
      </c>
      <c r="AM99" s="2">
        <v>0</v>
      </c>
      <c r="AN99" s="2">
        <v>0</v>
      </c>
      <c r="AO99" s="2">
        <v>11.89</v>
      </c>
      <c r="AP99" s="2">
        <v>0</v>
      </c>
      <c r="AQ99" s="2">
        <v>1</v>
      </c>
      <c r="AR99" s="2">
        <v>0</v>
      </c>
      <c r="AS99" s="2">
        <v>0</v>
      </c>
      <c r="AT99" s="2">
        <v>95</v>
      </c>
      <c r="AU99" s="2">
        <v>53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50</v>
      </c>
      <c r="BK99" s="2"/>
      <c r="BL99" s="2"/>
      <c r="BM99" s="2">
        <v>69</v>
      </c>
      <c r="BN99" s="2">
        <v>0</v>
      </c>
      <c r="BO99" s="2" t="s">
        <v>48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95</v>
      </c>
      <c r="CA99" s="2">
        <v>53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351</v>
      </c>
      <c r="CO99" s="2">
        <v>0</v>
      </c>
      <c r="CP99" s="2">
        <f t="shared" si="83"/>
        <v>33.22</v>
      </c>
      <c r="CQ99" s="2">
        <f t="shared" si="84"/>
        <v>1.67</v>
      </c>
      <c r="CR99" s="2">
        <f>(ROUND((ROUND((((ET99*1.2))*AV99*1),2)*BB99),2)+ROUND((ROUND(((AE99-((EU99*1.2)))*AV99*1),2)*BS99),2))</f>
        <v>0</v>
      </c>
      <c r="CS99" s="2">
        <f>(ROUND((ROUND((((EU99*1.2))*AV99*1),2)*BS99),2)+ROUND((ROUND(((AE99-((EU99*1.2)))*AV99*1),2)*BS99),2))</f>
        <v>0</v>
      </c>
      <c r="CT99" s="2">
        <f t="shared" si="85"/>
        <v>14.94</v>
      </c>
      <c r="CU99" s="2">
        <f t="shared" si="86"/>
        <v>0</v>
      </c>
      <c r="CV99" s="2">
        <f t="shared" si="87"/>
        <v>1.2564</v>
      </c>
      <c r="CW99" s="2">
        <f t="shared" si="88"/>
        <v>0</v>
      </c>
      <c r="CX99" s="2">
        <f t="shared" si="89"/>
        <v>0</v>
      </c>
      <c r="CY99" s="2">
        <f>(ROUND((((S99+ROUND((ROUND((((EU99*1.2))*AV99*1),2)*BS99),2))*AT99)/100),2)+ROUND(((ROUND((ROUND(((AE99-((EU99*1.2)))*AV99*1),2)*BS99),2)*AT99)/100),2))</f>
        <v>28.39</v>
      </c>
      <c r="CZ99" s="2">
        <f>(ROUND((((S99+ROUND((ROUND((((EU99*1.2))*AV99*1),2)*BS99),2))*AU99)/100),2)+ROUND(((ROUND((ROUND(((AE99-((EU99*1.2)))*AV99*1),2)*BS99),2)*AU99)/100),2))</f>
        <v>15.84</v>
      </c>
      <c r="DA99" s="2"/>
      <c r="DB99" s="2">
        <v>43</v>
      </c>
      <c r="DC99" s="2" t="s">
        <v>3</v>
      </c>
      <c r="DD99" s="2" t="s">
        <v>77</v>
      </c>
      <c r="DE99" s="2" t="s">
        <v>78</v>
      </c>
      <c r="DF99" s="2" t="s">
        <v>78</v>
      </c>
      <c r="DG99" s="2" t="s">
        <v>78</v>
      </c>
      <c r="DH99" s="2" t="s">
        <v>3</v>
      </c>
      <c r="DI99" s="2" t="s">
        <v>78</v>
      </c>
      <c r="DJ99" s="2" t="s">
        <v>78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28</v>
      </c>
      <c r="DW99" s="2" t="s">
        <v>32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55393973</v>
      </c>
      <c r="EF99" s="2">
        <v>40</v>
      </c>
      <c r="EG99" s="2" t="s">
        <v>33</v>
      </c>
      <c r="EH99" s="2">
        <v>0</v>
      </c>
      <c r="EI99" s="2" t="s">
        <v>3</v>
      </c>
      <c r="EJ99" s="2">
        <v>2</v>
      </c>
      <c r="EK99" s="2">
        <v>69</v>
      </c>
      <c r="EL99" s="2" t="s">
        <v>51</v>
      </c>
      <c r="EM99" s="2" t="s">
        <v>52</v>
      </c>
      <c r="EN99" s="2"/>
      <c r="EO99" s="2" t="s">
        <v>82</v>
      </c>
      <c r="EP99" s="2"/>
      <c r="EQ99" s="2">
        <v>131072</v>
      </c>
      <c r="ER99" s="2">
        <v>13.56</v>
      </c>
      <c r="ES99" s="2">
        <v>1.67</v>
      </c>
      <c r="ET99" s="2">
        <v>0</v>
      </c>
      <c r="EU99" s="2">
        <v>0</v>
      </c>
      <c r="EV99" s="2">
        <v>11.89</v>
      </c>
      <c r="EW99" s="2">
        <v>1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95</v>
      </c>
      <c r="FY99" s="2">
        <v>53</v>
      </c>
      <c r="FZ99" s="2"/>
      <c r="GA99" s="2" t="s">
        <v>3</v>
      </c>
      <c r="GB99" s="2"/>
      <c r="GC99" s="2"/>
      <c r="GD99" s="2">
        <v>1</v>
      </c>
      <c r="GE99" s="2"/>
      <c r="GF99" s="2">
        <v>659640111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90"/>
        <v>0</v>
      </c>
      <c r="GM99" s="2">
        <f t="shared" si="91"/>
        <v>77.45</v>
      </c>
      <c r="GN99" s="2">
        <f t="shared" si="92"/>
        <v>0</v>
      </c>
      <c r="GO99" s="2">
        <f t="shared" si="93"/>
        <v>77.45</v>
      </c>
      <c r="GP99" s="2">
        <f t="shared" si="9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E100" s="3" t="s">
        <v>176</v>
      </c>
      <c r="F100" s="3" t="s">
        <v>48</v>
      </c>
      <c r="G100" s="3" t="s">
        <v>177</v>
      </c>
      <c r="H100" s="3" t="s">
        <v>28</v>
      </c>
      <c r="I100" s="3">
        <v>2</v>
      </c>
      <c r="J100" s="3">
        <v>0</v>
      </c>
      <c r="K100" s="3">
        <v>2</v>
      </c>
      <c r="O100" s="3">
        <f t="shared" si="73"/>
        <v>1743.43</v>
      </c>
      <c r="P100" s="3">
        <f t="shared" si="74"/>
        <v>59.69</v>
      </c>
      <c r="Q100" s="3">
        <f>(ROUND((ROUND((((ET100*1.2))*AV100*I100),2)*BB100),2)+ROUND((ROUND(((AE100-((EU100*1.2)))*AV100*I100),2)*BS100),2))</f>
        <v>0</v>
      </c>
      <c r="R100" s="3">
        <f>(ROUND((ROUND((((EU100*1.2))*AV100*I100),2)*BS100),2)+ROUND((ROUND(((AE100-((EU100*1.2)))*AV100*I100),2)*BS100),2))</f>
        <v>0</v>
      </c>
      <c r="S100" s="3">
        <f t="shared" si="75"/>
        <v>1683.74</v>
      </c>
      <c r="T100" s="3">
        <f t="shared" si="76"/>
        <v>0</v>
      </c>
      <c r="U100" s="3">
        <f t="shared" si="77"/>
        <v>2.5127999999999999</v>
      </c>
      <c r="V100" s="3">
        <f t="shared" si="78"/>
        <v>0</v>
      </c>
      <c r="W100" s="3">
        <f t="shared" si="79"/>
        <v>0</v>
      </c>
      <c r="X100" s="3">
        <f>(ROUND((((S100+ROUND((ROUND((((EU100*1.2))*AV100*I100),2)*BS100),2))*AT100)/100),2)+ROUND(((ROUND((ROUND(((AE100-((EU100*1.2)))*AV100*I100),2)*BS100),2)*AT100)/100),2))</f>
        <v>1599.55</v>
      </c>
      <c r="Y100" s="3">
        <f>(ROUND((((S100+ROUND((ROUND((((EU100*1.2))*AV100*I100),2)*BS100),2))*AU100)/100),2)+ROUND(((ROUND((ROUND(((AE100-((EU100*1.2)))*AV100*I100),2)*BS100),2)*AU100)/100),2))</f>
        <v>892.38</v>
      </c>
      <c r="AA100" s="3">
        <v>55943568</v>
      </c>
      <c r="AB100" s="3">
        <f t="shared" si="80"/>
        <v>15.938000000000001</v>
      </c>
      <c r="AC100" s="3">
        <f>ROUND(((ES100*1)),6)</f>
        <v>1.67</v>
      </c>
      <c r="AD100" s="3">
        <f>ROUND(((((ET100*1.2))-((EU100*1.2)))+AE100),6)</f>
        <v>0</v>
      </c>
      <c r="AE100" s="3">
        <f>ROUND(((EU100*1.2)),6)</f>
        <v>0</v>
      </c>
      <c r="AF100" s="3">
        <f>ROUND(((EV100*1.2)),6)</f>
        <v>14.268000000000001</v>
      </c>
      <c r="AG100" s="3">
        <f t="shared" si="81"/>
        <v>0</v>
      </c>
      <c r="AH100" s="3">
        <f>((EW100*1.2))</f>
        <v>1.2</v>
      </c>
      <c r="AI100" s="3">
        <f>((EX100*1.2))</f>
        <v>0</v>
      </c>
      <c r="AJ100" s="3">
        <f t="shared" si="82"/>
        <v>0</v>
      </c>
      <c r="AK100" s="3">
        <v>13.56</v>
      </c>
      <c r="AL100" s="3">
        <v>1.67</v>
      </c>
      <c r="AM100" s="3">
        <v>0</v>
      </c>
      <c r="AN100" s="3">
        <v>0</v>
      </c>
      <c r="AO100" s="3">
        <v>11.89</v>
      </c>
      <c r="AP100" s="3">
        <v>0</v>
      </c>
      <c r="AQ100" s="3">
        <v>1</v>
      </c>
      <c r="AR100" s="3">
        <v>0</v>
      </c>
      <c r="AS100" s="3">
        <v>0</v>
      </c>
      <c r="AT100" s="3">
        <v>95</v>
      </c>
      <c r="AU100" s="3">
        <v>53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1</v>
      </c>
      <c r="BC100" s="3">
        <v>17.87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50</v>
      </c>
      <c r="BM100" s="3">
        <v>69</v>
      </c>
      <c r="BN100" s="3">
        <v>0</v>
      </c>
      <c r="BO100" s="3" t="s">
        <v>48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95</v>
      </c>
      <c r="CA100" s="3">
        <v>53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351</v>
      </c>
      <c r="CO100" s="3">
        <v>0</v>
      </c>
      <c r="CP100" s="3">
        <f t="shared" si="83"/>
        <v>1743.43</v>
      </c>
      <c r="CQ100" s="3">
        <f t="shared" si="84"/>
        <v>29.84</v>
      </c>
      <c r="CR100" s="3">
        <f>(ROUND((ROUND((((ET100*1.2))*AV100*1),2)*BB100),2)+ROUND((ROUND(((AE100-((EU100*1.2)))*AV100*1),2)*BS100),2))</f>
        <v>0</v>
      </c>
      <c r="CS100" s="3">
        <f>(ROUND((ROUND((((EU100*1.2))*AV100*1),2)*BS100),2)+ROUND((ROUND(((AE100-((EU100*1.2)))*AV100*1),2)*BS100),2))</f>
        <v>0</v>
      </c>
      <c r="CT100" s="3">
        <f t="shared" si="85"/>
        <v>841.87</v>
      </c>
      <c r="CU100" s="3">
        <f t="shared" si="86"/>
        <v>0</v>
      </c>
      <c r="CV100" s="3">
        <f t="shared" si="87"/>
        <v>1.2564</v>
      </c>
      <c r="CW100" s="3">
        <f t="shared" si="88"/>
        <v>0</v>
      </c>
      <c r="CX100" s="3">
        <f t="shared" si="89"/>
        <v>0</v>
      </c>
      <c r="CY100" s="3">
        <f>(ROUND((((S100+ROUND((ROUND((((EU100*1.2))*AV100*1),2)*BS100),2))*AT100)/100),2)+ROUND(((ROUND((ROUND(((AE100-((EU100*1.2)))*AV100*1),2)*BS100),2)*AT100)/100),2))</f>
        <v>1599.55</v>
      </c>
      <c r="CZ100" s="3">
        <f>(ROUND((((S100+ROUND((ROUND((((EU100*1.2))*AV100*1),2)*BS100),2))*AU100)/100),2)+ROUND(((ROUND((ROUND(((AE100-((EU100*1.2)))*AV100*1),2)*BS100),2)*AU100)/100),2))</f>
        <v>892.38</v>
      </c>
      <c r="DB100" s="3">
        <v>44</v>
      </c>
      <c r="DC100" s="3" t="s">
        <v>3</v>
      </c>
      <c r="DD100" s="3" t="s">
        <v>77</v>
      </c>
      <c r="DE100" s="3" t="s">
        <v>78</v>
      </c>
      <c r="DF100" s="3" t="s">
        <v>78</v>
      </c>
      <c r="DG100" s="3" t="s">
        <v>78</v>
      </c>
      <c r="DH100" s="3" t="s">
        <v>3</v>
      </c>
      <c r="DI100" s="3" t="s">
        <v>78</v>
      </c>
      <c r="DJ100" s="3" t="s">
        <v>78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28</v>
      </c>
      <c r="DW100" s="3" t="s">
        <v>32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55393973</v>
      </c>
      <c r="EF100" s="3">
        <v>40</v>
      </c>
      <c r="EG100" s="3" t="s">
        <v>33</v>
      </c>
      <c r="EH100" s="3">
        <v>0</v>
      </c>
      <c r="EI100" s="3" t="s">
        <v>3</v>
      </c>
      <c r="EJ100" s="3">
        <v>2</v>
      </c>
      <c r="EK100" s="3">
        <v>69</v>
      </c>
      <c r="EL100" s="3" t="s">
        <v>51</v>
      </c>
      <c r="EM100" s="3" t="s">
        <v>52</v>
      </c>
      <c r="EO100" s="3" t="s">
        <v>82</v>
      </c>
      <c r="EQ100" s="3">
        <v>131072</v>
      </c>
      <c r="ER100" s="3">
        <v>13.56</v>
      </c>
      <c r="ES100" s="3">
        <v>1.67</v>
      </c>
      <c r="ET100" s="3">
        <v>0</v>
      </c>
      <c r="EU100" s="3">
        <v>0</v>
      </c>
      <c r="EV100" s="3">
        <v>11.89</v>
      </c>
      <c r="EW100" s="3">
        <v>1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95</v>
      </c>
      <c r="FY100" s="3">
        <v>53</v>
      </c>
      <c r="GA100" s="3" t="s">
        <v>3</v>
      </c>
      <c r="GD100" s="3">
        <v>1</v>
      </c>
      <c r="GF100" s="3">
        <v>659640111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90"/>
        <v>0</v>
      </c>
      <c r="GM100" s="3">
        <f t="shared" si="91"/>
        <v>4235.3599999999997</v>
      </c>
      <c r="GN100" s="3">
        <f t="shared" si="92"/>
        <v>0</v>
      </c>
      <c r="GO100" s="3">
        <f t="shared" si="93"/>
        <v>4235.3599999999997</v>
      </c>
      <c r="GP100" s="3">
        <f t="shared" si="94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95"/>
        <v>0</v>
      </c>
      <c r="GW100" s="3">
        <v>1</v>
      </c>
      <c r="GX100" s="3">
        <f t="shared" si="96"/>
        <v>0</v>
      </c>
      <c r="HA100" s="3">
        <v>0</v>
      </c>
      <c r="HB100" s="3">
        <v>0</v>
      </c>
      <c r="HC100" s="3">
        <f t="shared" si="97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178</v>
      </c>
      <c r="F101" s="2" t="s">
        <v>179</v>
      </c>
      <c r="G101" s="2" t="s">
        <v>180</v>
      </c>
      <c r="H101" s="2" t="s">
        <v>147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3"/>
        <v>963.68</v>
      </c>
      <c r="P101" s="2">
        <f t="shared" si="74"/>
        <v>963.68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75"/>
        <v>0</v>
      </c>
      <c r="T101" s="2">
        <f t="shared" si="76"/>
        <v>0</v>
      </c>
      <c r="U101" s="2">
        <f t="shared" si="77"/>
        <v>0</v>
      </c>
      <c r="V101" s="2">
        <f t="shared" si="78"/>
        <v>0</v>
      </c>
      <c r="W101" s="2">
        <f t="shared" si="7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55943566</v>
      </c>
      <c r="AB101" s="2">
        <f t="shared" si="80"/>
        <v>963.68</v>
      </c>
      <c r="AC101" s="2">
        <f>ROUND((ES101),6)</f>
        <v>963.68</v>
      </c>
      <c r="AD101" s="2">
        <f>ROUND((((ET101)-(EU101))+AE101),6)</f>
        <v>0</v>
      </c>
      <c r="AE101" s="2">
        <f t="shared" ref="AE101:AF104" si="102">ROUND((EU101),6)</f>
        <v>0</v>
      </c>
      <c r="AF101" s="2">
        <f t="shared" si="102"/>
        <v>0</v>
      </c>
      <c r="AG101" s="2">
        <f t="shared" si="81"/>
        <v>0</v>
      </c>
      <c r="AH101" s="2">
        <f t="shared" ref="AH101:AI104" si="103">(EW101)</f>
        <v>0</v>
      </c>
      <c r="AI101" s="2">
        <f t="shared" si="103"/>
        <v>0</v>
      </c>
      <c r="AJ101" s="2">
        <f t="shared" si="82"/>
        <v>0</v>
      </c>
      <c r="AK101" s="2">
        <v>963.68</v>
      </c>
      <c r="AL101" s="2">
        <v>963.68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3</v>
      </c>
      <c r="BJ101" s="2" t="s">
        <v>179</v>
      </c>
      <c r="BK101" s="2"/>
      <c r="BL101" s="2"/>
      <c r="BM101" s="2">
        <v>400007</v>
      </c>
      <c r="BN101" s="2">
        <v>0</v>
      </c>
      <c r="BO101" s="2" t="s">
        <v>3</v>
      </c>
      <c r="BP101" s="2">
        <v>0</v>
      </c>
      <c r="BQ101" s="2">
        <v>214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83"/>
        <v>963.68</v>
      </c>
      <c r="CQ101" s="2">
        <f t="shared" si="84"/>
        <v>963.68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85"/>
        <v>0</v>
      </c>
      <c r="CU101" s="2">
        <f t="shared" si="86"/>
        <v>0</v>
      </c>
      <c r="CV101" s="2">
        <f t="shared" si="87"/>
        <v>0</v>
      </c>
      <c r="CW101" s="2">
        <f t="shared" si="88"/>
        <v>0</v>
      </c>
      <c r="CX101" s="2">
        <f t="shared" si="8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147</v>
      </c>
      <c r="DW101" s="2" t="s">
        <v>147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55393904</v>
      </c>
      <c r="EF101" s="2">
        <v>214</v>
      </c>
      <c r="EG101" s="2" t="s">
        <v>148</v>
      </c>
      <c r="EH101" s="2">
        <v>0</v>
      </c>
      <c r="EI101" s="2" t="s">
        <v>3</v>
      </c>
      <c r="EJ101" s="2">
        <v>3</v>
      </c>
      <c r="EK101" s="2">
        <v>400007</v>
      </c>
      <c r="EL101" s="2" t="s">
        <v>148</v>
      </c>
      <c r="EM101" s="2" t="s">
        <v>149</v>
      </c>
      <c r="EN101" s="2"/>
      <c r="EO101" s="2" t="s">
        <v>3</v>
      </c>
      <c r="EP101" s="2"/>
      <c r="EQ101" s="2">
        <v>131088</v>
      </c>
      <c r="ER101" s="2">
        <v>0</v>
      </c>
      <c r="ES101" s="2">
        <v>963.68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f>P101</f>
        <v>963.68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181</v>
      </c>
      <c r="GB101" s="2"/>
      <c r="GC101" s="2"/>
      <c r="GD101" s="2">
        <v>1</v>
      </c>
      <c r="GE101" s="2"/>
      <c r="GF101" s="2">
        <v>-1102805674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963.68</v>
      </c>
      <c r="GN101" s="2">
        <f t="shared" si="92"/>
        <v>0</v>
      </c>
      <c r="GO101" s="2">
        <f t="shared" si="93"/>
        <v>0</v>
      </c>
      <c r="GP101" s="2">
        <f t="shared" si="94"/>
        <v>0</v>
      </c>
      <c r="GQ101" s="2"/>
      <c r="GR101" s="2">
        <v>1</v>
      </c>
      <c r="GS101" s="2">
        <v>2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158</v>
      </c>
      <c r="HF101" s="2" t="s">
        <v>158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E102" s="3" t="s">
        <v>178</v>
      </c>
      <c r="F102" s="3" t="s">
        <v>179</v>
      </c>
      <c r="G102" s="3" t="s">
        <v>180</v>
      </c>
      <c r="H102" s="3" t="s">
        <v>147</v>
      </c>
      <c r="I102" s="3">
        <v>1</v>
      </c>
      <c r="J102" s="3">
        <v>0</v>
      </c>
      <c r="K102" s="3">
        <v>1</v>
      </c>
      <c r="O102" s="3">
        <f t="shared" si="73"/>
        <v>7295.06</v>
      </c>
      <c r="P102" s="3">
        <f t="shared" si="74"/>
        <v>7295.06</v>
      </c>
      <c r="Q102" s="3">
        <f>(ROUND((ROUND(((ET102)*AV102*I102),2)*BB102),2)+ROUND((ROUND(((AE102-(EU102))*AV102*I102),2)*BS102),2))</f>
        <v>0</v>
      </c>
      <c r="R102" s="3">
        <f>(ROUND((ROUND(((EU102)*AV102*I102),2)*BS102),2)+ROUND((ROUND(((AE102-(EU102))*AV102*I102),2)*BS102),2))</f>
        <v>0</v>
      </c>
      <c r="S102" s="3">
        <f t="shared" si="75"/>
        <v>0</v>
      </c>
      <c r="T102" s="3">
        <f t="shared" si="76"/>
        <v>0</v>
      </c>
      <c r="U102" s="3">
        <f t="shared" si="77"/>
        <v>0</v>
      </c>
      <c r="V102" s="3">
        <f t="shared" si="78"/>
        <v>0</v>
      </c>
      <c r="W102" s="3">
        <f t="shared" si="79"/>
        <v>0</v>
      </c>
      <c r="X102" s="3">
        <f>(ROUND((((S102+ROUND((ROUND(((EU102)*AV102*I102),2)*BS102),2))*AT102)/100),2)+ROUND(((ROUND((ROUND(((AE102-(EU102))*AV102*I102),2)*BS102),2)*AT102)/100),2))</f>
        <v>0</v>
      </c>
      <c r="Y102" s="3">
        <f>(ROUND((((S102+ROUND((ROUND(((EU102)*AV102*I102),2)*BS102),2))*AU102)/100),2)+ROUND(((ROUND((ROUND(((AE102-(EU102))*AV102*I102),2)*BS102),2)*AU102)/100),2))</f>
        <v>0</v>
      </c>
      <c r="AA102" s="3">
        <v>55943568</v>
      </c>
      <c r="AB102" s="3">
        <f t="shared" si="80"/>
        <v>963.68</v>
      </c>
      <c r="AC102" s="3">
        <f>ROUND((ES102),6)</f>
        <v>963.68</v>
      </c>
      <c r="AD102" s="3">
        <f>ROUND((((ET102)-(EU102))+AE102),6)</f>
        <v>0</v>
      </c>
      <c r="AE102" s="3">
        <f t="shared" si="102"/>
        <v>0</v>
      </c>
      <c r="AF102" s="3">
        <f t="shared" si="102"/>
        <v>0</v>
      </c>
      <c r="AG102" s="3">
        <f t="shared" si="81"/>
        <v>0</v>
      </c>
      <c r="AH102" s="3">
        <f t="shared" si="103"/>
        <v>0</v>
      </c>
      <c r="AI102" s="3">
        <f t="shared" si="103"/>
        <v>0</v>
      </c>
      <c r="AJ102" s="3">
        <f t="shared" si="82"/>
        <v>0</v>
      </c>
      <c r="AK102" s="3">
        <v>963.68</v>
      </c>
      <c r="AL102" s="3">
        <v>963.68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7.57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3</v>
      </c>
      <c r="BJ102" s="3" t="s">
        <v>179</v>
      </c>
      <c r="BM102" s="3">
        <v>400007</v>
      </c>
      <c r="BN102" s="3">
        <v>0</v>
      </c>
      <c r="BO102" s="3" t="s">
        <v>3</v>
      </c>
      <c r="BP102" s="3">
        <v>0</v>
      </c>
      <c r="BQ102" s="3">
        <v>214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0</v>
      </c>
      <c r="CA102" s="3">
        <v>0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3</v>
      </c>
      <c r="CO102" s="3">
        <v>0</v>
      </c>
      <c r="CP102" s="3">
        <f t="shared" si="83"/>
        <v>7295.06</v>
      </c>
      <c r="CQ102" s="3">
        <f t="shared" si="84"/>
        <v>7295.06</v>
      </c>
      <c r="CR102" s="3">
        <f>(ROUND((ROUND(((ET102)*AV102*1),2)*BB102),2)+ROUND((ROUND(((AE102-(EU102))*AV102*1),2)*BS102),2))</f>
        <v>0</v>
      </c>
      <c r="CS102" s="3">
        <f>(ROUND((ROUND(((EU102)*AV102*1),2)*BS102),2)+ROUND((ROUND(((AE102-(EU102))*AV102*1),2)*BS102),2))</f>
        <v>0</v>
      </c>
      <c r="CT102" s="3">
        <f t="shared" si="85"/>
        <v>0</v>
      </c>
      <c r="CU102" s="3">
        <f t="shared" si="86"/>
        <v>0</v>
      </c>
      <c r="CV102" s="3">
        <f t="shared" si="87"/>
        <v>0</v>
      </c>
      <c r="CW102" s="3">
        <f t="shared" si="88"/>
        <v>0</v>
      </c>
      <c r="CX102" s="3">
        <f t="shared" si="89"/>
        <v>0</v>
      </c>
      <c r="CY102" s="3">
        <f>(ROUND((((S102+ROUND((ROUND(((EU102)*AV102*1),2)*BS102),2))*AT102)/100),2)+ROUND(((ROUND((ROUND(((AE102-(EU102))*AV102*1),2)*BS102),2)*AT102)/100),2))</f>
        <v>0</v>
      </c>
      <c r="CZ102" s="3">
        <f>(ROUND((((S102+ROUND((ROUND(((EU102)*AV102*1),2)*BS102),2))*AU102)/100),2)+ROUND(((ROUND((ROUND(((AE102-(EU102))*AV102*1),2)*BS102),2)*AU102)/100),2))</f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147</v>
      </c>
      <c r="DW102" s="3" t="s">
        <v>147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55393904</v>
      </c>
      <c r="EF102" s="3">
        <v>214</v>
      </c>
      <c r="EG102" s="3" t="s">
        <v>148</v>
      </c>
      <c r="EH102" s="3">
        <v>0</v>
      </c>
      <c r="EI102" s="3" t="s">
        <v>3</v>
      </c>
      <c r="EJ102" s="3">
        <v>3</v>
      </c>
      <c r="EK102" s="3">
        <v>400007</v>
      </c>
      <c r="EL102" s="3" t="s">
        <v>148</v>
      </c>
      <c r="EM102" s="3" t="s">
        <v>149</v>
      </c>
      <c r="EO102" s="3" t="s">
        <v>3</v>
      </c>
      <c r="EQ102" s="3">
        <v>131088</v>
      </c>
      <c r="ER102" s="3">
        <v>0</v>
      </c>
      <c r="ES102" s="3">
        <v>963.68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5</v>
      </c>
      <c r="FC102" s="3">
        <v>1</v>
      </c>
      <c r="FD102" s="3">
        <v>18</v>
      </c>
      <c r="FF102" s="3">
        <v>8900</v>
      </c>
      <c r="FQ102" s="3">
        <v>0</v>
      </c>
      <c r="FR102" s="3">
        <f>P102</f>
        <v>7295.06</v>
      </c>
      <c r="FS102" s="3">
        <v>0</v>
      </c>
      <c r="FX102" s="3">
        <v>0</v>
      </c>
      <c r="FY102" s="3">
        <v>0</v>
      </c>
      <c r="GA102" s="3" t="s">
        <v>181</v>
      </c>
      <c r="GD102" s="3">
        <v>1</v>
      </c>
      <c r="GF102" s="3">
        <v>-1102805674</v>
      </c>
      <c r="GG102" s="3">
        <v>2</v>
      </c>
      <c r="GH102" s="3">
        <v>3</v>
      </c>
      <c r="GI102" s="3">
        <v>3</v>
      </c>
      <c r="GJ102" s="3">
        <v>0</v>
      </c>
      <c r="GK102" s="3">
        <v>0</v>
      </c>
      <c r="GL102" s="3">
        <f t="shared" si="90"/>
        <v>0</v>
      </c>
      <c r="GM102" s="3">
        <f t="shared" si="91"/>
        <v>7295.06</v>
      </c>
      <c r="GN102" s="3">
        <f t="shared" si="92"/>
        <v>0</v>
      </c>
      <c r="GO102" s="3">
        <f t="shared" si="93"/>
        <v>0</v>
      </c>
      <c r="GP102" s="3">
        <f t="shared" si="94"/>
        <v>0</v>
      </c>
      <c r="GR102" s="3">
        <v>1</v>
      </c>
      <c r="GS102" s="3">
        <v>1</v>
      </c>
      <c r="GT102" s="3">
        <v>0</v>
      </c>
      <c r="GU102" s="3" t="s">
        <v>3</v>
      </c>
      <c r="GV102" s="3">
        <f t="shared" si="95"/>
        <v>0</v>
      </c>
      <c r="GW102" s="3">
        <v>1</v>
      </c>
      <c r="GX102" s="3">
        <f t="shared" si="96"/>
        <v>0</v>
      </c>
      <c r="HA102" s="3">
        <v>0</v>
      </c>
      <c r="HB102" s="3">
        <v>0</v>
      </c>
      <c r="HC102" s="3">
        <f t="shared" si="97"/>
        <v>0</v>
      </c>
      <c r="HE102" s="3" t="s">
        <v>158</v>
      </c>
      <c r="HF102" s="3" t="s">
        <v>158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182</v>
      </c>
      <c r="F103" s="2" t="s">
        <v>183</v>
      </c>
      <c r="G103" s="2" t="s">
        <v>184</v>
      </c>
      <c r="H103" s="2" t="s">
        <v>147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3"/>
        <v>1894.88</v>
      </c>
      <c r="P103" s="2">
        <f t="shared" si="74"/>
        <v>1894.88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5"/>
        <v>0</v>
      </c>
      <c r="T103" s="2">
        <f t="shared" si="76"/>
        <v>0</v>
      </c>
      <c r="U103" s="2">
        <f t="shared" si="77"/>
        <v>0</v>
      </c>
      <c r="V103" s="2">
        <f t="shared" si="78"/>
        <v>0</v>
      </c>
      <c r="W103" s="2">
        <f t="shared" si="7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55943566</v>
      </c>
      <c r="AB103" s="2">
        <f t="shared" si="80"/>
        <v>1894.88</v>
      </c>
      <c r="AC103" s="2">
        <f>ROUND((ES103),6)</f>
        <v>1894.88</v>
      </c>
      <c r="AD103" s="2">
        <f>ROUND((((ET103)-(EU103))+AE103),6)</f>
        <v>0</v>
      </c>
      <c r="AE103" s="2">
        <f t="shared" si="102"/>
        <v>0</v>
      </c>
      <c r="AF103" s="2">
        <f t="shared" si="102"/>
        <v>0</v>
      </c>
      <c r="AG103" s="2">
        <f t="shared" si="81"/>
        <v>0</v>
      </c>
      <c r="AH103" s="2">
        <f t="shared" si="103"/>
        <v>0</v>
      </c>
      <c r="AI103" s="2">
        <f t="shared" si="103"/>
        <v>0</v>
      </c>
      <c r="AJ103" s="2">
        <f t="shared" si="82"/>
        <v>0</v>
      </c>
      <c r="AK103" s="2">
        <v>1894.88</v>
      </c>
      <c r="AL103" s="2">
        <v>1894.88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183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1894.88</v>
      </c>
      <c r="CQ103" s="2">
        <f t="shared" si="84"/>
        <v>1894.88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5"/>
        <v>0</v>
      </c>
      <c r="CU103" s="2">
        <f t="shared" si="86"/>
        <v>0</v>
      </c>
      <c r="CV103" s="2">
        <f t="shared" si="87"/>
        <v>0</v>
      </c>
      <c r="CW103" s="2">
        <f t="shared" si="88"/>
        <v>0</v>
      </c>
      <c r="CX103" s="2">
        <f t="shared" si="8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147</v>
      </c>
      <c r="DW103" s="2" t="s">
        <v>147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55393904</v>
      </c>
      <c r="EF103" s="2">
        <v>214</v>
      </c>
      <c r="EG103" s="2" t="s">
        <v>148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148</v>
      </c>
      <c r="EM103" s="2" t="s">
        <v>149</v>
      </c>
      <c r="EN103" s="2"/>
      <c r="EO103" s="2" t="s">
        <v>3</v>
      </c>
      <c r="EP103" s="2"/>
      <c r="EQ103" s="2">
        <v>131088</v>
      </c>
      <c r="ER103" s="2">
        <v>0</v>
      </c>
      <c r="ES103" s="2">
        <v>1894.88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1894.88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185</v>
      </c>
      <c r="GB103" s="2"/>
      <c r="GC103" s="2"/>
      <c r="GD103" s="2">
        <v>1</v>
      </c>
      <c r="GE103" s="2"/>
      <c r="GF103" s="2">
        <v>1330220109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1894.88</v>
      </c>
      <c r="GN103" s="2">
        <f t="shared" si="92"/>
        <v>0</v>
      </c>
      <c r="GO103" s="2">
        <f t="shared" si="93"/>
        <v>0</v>
      </c>
      <c r="GP103" s="2">
        <f t="shared" si="9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158</v>
      </c>
      <c r="HF103" s="2" t="s">
        <v>158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E104" s="3" t="s">
        <v>182</v>
      </c>
      <c r="F104" s="3" t="s">
        <v>183</v>
      </c>
      <c r="G104" s="3" t="s">
        <v>184</v>
      </c>
      <c r="H104" s="3" t="s">
        <v>147</v>
      </c>
      <c r="I104" s="3">
        <v>1</v>
      </c>
      <c r="J104" s="3">
        <v>0</v>
      </c>
      <c r="K104" s="3">
        <v>1</v>
      </c>
      <c r="O104" s="3">
        <f t="shared" si="73"/>
        <v>14344.24</v>
      </c>
      <c r="P104" s="3">
        <f t="shared" si="74"/>
        <v>14344.24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5"/>
        <v>0</v>
      </c>
      <c r="T104" s="3">
        <f t="shared" si="76"/>
        <v>0</v>
      </c>
      <c r="U104" s="3">
        <f t="shared" si="77"/>
        <v>0</v>
      </c>
      <c r="V104" s="3">
        <f t="shared" si="78"/>
        <v>0</v>
      </c>
      <c r="W104" s="3">
        <f t="shared" si="7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55943568</v>
      </c>
      <c r="AB104" s="3">
        <f t="shared" si="80"/>
        <v>1894.88</v>
      </c>
      <c r="AC104" s="3">
        <f>ROUND((ES104),6)</f>
        <v>1894.88</v>
      </c>
      <c r="AD104" s="3">
        <f>ROUND((((ET104)-(EU104))+AE104),6)</f>
        <v>0</v>
      </c>
      <c r="AE104" s="3">
        <f t="shared" si="102"/>
        <v>0</v>
      </c>
      <c r="AF104" s="3">
        <f t="shared" si="102"/>
        <v>0</v>
      </c>
      <c r="AG104" s="3">
        <f t="shared" si="81"/>
        <v>0</v>
      </c>
      <c r="AH104" s="3">
        <f t="shared" si="103"/>
        <v>0</v>
      </c>
      <c r="AI104" s="3">
        <f t="shared" si="103"/>
        <v>0</v>
      </c>
      <c r="AJ104" s="3">
        <f t="shared" si="82"/>
        <v>0</v>
      </c>
      <c r="AK104" s="3">
        <v>1894.88</v>
      </c>
      <c r="AL104" s="3">
        <v>1894.88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183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3"/>
        <v>14344.24</v>
      </c>
      <c r="CQ104" s="3">
        <f t="shared" si="84"/>
        <v>14344.24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5"/>
        <v>0</v>
      </c>
      <c r="CU104" s="3">
        <f t="shared" si="86"/>
        <v>0</v>
      </c>
      <c r="CV104" s="3">
        <f t="shared" si="87"/>
        <v>0</v>
      </c>
      <c r="CW104" s="3">
        <f t="shared" si="88"/>
        <v>0</v>
      </c>
      <c r="CX104" s="3">
        <f t="shared" si="8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147</v>
      </c>
      <c r="DW104" s="3" t="s">
        <v>147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55393904</v>
      </c>
      <c r="EF104" s="3">
        <v>214</v>
      </c>
      <c r="EG104" s="3" t="s">
        <v>148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148</v>
      </c>
      <c r="EM104" s="3" t="s">
        <v>149</v>
      </c>
      <c r="EO104" s="3" t="s">
        <v>3</v>
      </c>
      <c r="EQ104" s="3">
        <v>131088</v>
      </c>
      <c r="ER104" s="3">
        <v>0</v>
      </c>
      <c r="ES104" s="3">
        <v>1894.88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17500</v>
      </c>
      <c r="FQ104" s="3">
        <v>0</v>
      </c>
      <c r="FR104" s="3">
        <f>P104</f>
        <v>14344.24</v>
      </c>
      <c r="FS104" s="3">
        <v>0</v>
      </c>
      <c r="FX104" s="3">
        <v>0</v>
      </c>
      <c r="FY104" s="3">
        <v>0</v>
      </c>
      <c r="GA104" s="3" t="s">
        <v>185</v>
      </c>
      <c r="GD104" s="3">
        <v>1</v>
      </c>
      <c r="GF104" s="3">
        <v>1330220109</v>
      </c>
      <c r="GG104" s="3">
        <v>2</v>
      </c>
      <c r="GH104" s="3">
        <v>3</v>
      </c>
      <c r="GI104" s="3">
        <v>3</v>
      </c>
      <c r="GJ104" s="3">
        <v>0</v>
      </c>
      <c r="GK104" s="3">
        <v>0</v>
      </c>
      <c r="GL104" s="3">
        <f t="shared" si="90"/>
        <v>0</v>
      </c>
      <c r="GM104" s="3">
        <f t="shared" si="91"/>
        <v>14344.24</v>
      </c>
      <c r="GN104" s="3">
        <f t="shared" si="92"/>
        <v>0</v>
      </c>
      <c r="GO104" s="3">
        <f t="shared" si="93"/>
        <v>0</v>
      </c>
      <c r="GP104" s="3">
        <f t="shared" si="9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95"/>
        <v>0</v>
      </c>
      <c r="GW104" s="3">
        <v>1</v>
      </c>
      <c r="GX104" s="3">
        <f t="shared" si="96"/>
        <v>0</v>
      </c>
      <c r="HA104" s="3">
        <v>0</v>
      </c>
      <c r="HB104" s="3">
        <v>0</v>
      </c>
      <c r="HC104" s="3">
        <f t="shared" si="97"/>
        <v>0</v>
      </c>
      <c r="HE104" s="3" t="s">
        <v>158</v>
      </c>
      <c r="HF104" s="3" t="s">
        <v>158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186</v>
      </c>
      <c r="F105" s="2" t="s">
        <v>54</v>
      </c>
      <c r="G105" s="2" t="s">
        <v>187</v>
      </c>
      <c r="H105" s="2" t="s">
        <v>28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73"/>
        <v>39.43</v>
      </c>
      <c r="P105" s="2">
        <f t="shared" si="74"/>
        <v>7.72</v>
      </c>
      <c r="Q105" s="2">
        <f>(ROUND((ROUND((((ET105*1.2))*AV105*I105),2)*BB105),2)+ROUND((ROUND(((AE105-((EU105*1.2)))*AV105*I105),2)*BS105),2))</f>
        <v>0</v>
      </c>
      <c r="R105" s="2">
        <f>(ROUND((ROUND((((EU105*1.2))*AV105*I105),2)*BS105),2)+ROUND((ROUND(((AE105-((EU105*1.2)))*AV105*I105),2)*BS105),2))</f>
        <v>0</v>
      </c>
      <c r="S105" s="2">
        <f t="shared" si="75"/>
        <v>31.71</v>
      </c>
      <c r="T105" s="2">
        <f t="shared" si="76"/>
        <v>0</v>
      </c>
      <c r="U105" s="2">
        <f t="shared" si="77"/>
        <v>2.5127999999999999</v>
      </c>
      <c r="V105" s="2">
        <f t="shared" si="78"/>
        <v>0</v>
      </c>
      <c r="W105" s="2">
        <f t="shared" si="79"/>
        <v>0</v>
      </c>
      <c r="X105" s="2">
        <f>(ROUND((((S105+ROUND((ROUND((((EU105*1.2))*AV105*I105),2)*BS105),2))*AT105)/100),2)+ROUND(((ROUND((ROUND(((AE105-((EU105*1.2)))*AV105*I105),2)*BS105),2)*AT105)/100),2))</f>
        <v>30.12</v>
      </c>
      <c r="Y105" s="2">
        <f>(ROUND((((S105+ROUND((ROUND((((EU105*1.2))*AV105*I105),2)*BS105),2))*AU105)/100),2)+ROUND(((ROUND((ROUND(((AE105-((EU105*1.2)))*AV105*I105),2)*BS105),2)*AU105)/100),2))</f>
        <v>16.809999999999999</v>
      </c>
      <c r="Z105" s="2"/>
      <c r="AA105" s="2">
        <v>55943566</v>
      </c>
      <c r="AB105" s="2">
        <f t="shared" si="80"/>
        <v>38.008000000000003</v>
      </c>
      <c r="AC105" s="2">
        <f>ROUND(((ES105*1)),6)</f>
        <v>7.72</v>
      </c>
      <c r="AD105" s="2">
        <f>ROUND(((((ET105*1.2))-((EU105*1.2)))+AE105),6)</f>
        <v>0</v>
      </c>
      <c r="AE105" s="2">
        <f>ROUND(((EU105*1.2)),6)</f>
        <v>0</v>
      </c>
      <c r="AF105" s="2">
        <f>ROUND(((EV105*1.2)),6)</f>
        <v>30.288</v>
      </c>
      <c r="AG105" s="2">
        <f t="shared" si="81"/>
        <v>0</v>
      </c>
      <c r="AH105" s="2">
        <f>((EW105*1.2))</f>
        <v>2.4</v>
      </c>
      <c r="AI105" s="2">
        <f>((EX105*1.2))</f>
        <v>0</v>
      </c>
      <c r="AJ105" s="2">
        <f t="shared" si="82"/>
        <v>0</v>
      </c>
      <c r="AK105" s="2">
        <v>32.96</v>
      </c>
      <c r="AL105" s="2">
        <v>7.72</v>
      </c>
      <c r="AM105" s="2">
        <v>0</v>
      </c>
      <c r="AN105" s="2">
        <v>0</v>
      </c>
      <c r="AO105" s="2">
        <v>25.24</v>
      </c>
      <c r="AP105" s="2">
        <v>0</v>
      </c>
      <c r="AQ105" s="2">
        <v>2</v>
      </c>
      <c r="AR105" s="2">
        <v>0</v>
      </c>
      <c r="AS105" s="2">
        <v>0</v>
      </c>
      <c r="AT105" s="2">
        <v>95</v>
      </c>
      <c r="AU105" s="2">
        <v>53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56</v>
      </c>
      <c r="BK105" s="2"/>
      <c r="BL105" s="2"/>
      <c r="BM105" s="2">
        <v>69</v>
      </c>
      <c r="BN105" s="2">
        <v>0</v>
      </c>
      <c r="BO105" s="2" t="s">
        <v>54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95</v>
      </c>
      <c r="CA105" s="2">
        <v>53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351</v>
      </c>
      <c r="CO105" s="2">
        <v>0</v>
      </c>
      <c r="CP105" s="2">
        <f t="shared" si="83"/>
        <v>39.43</v>
      </c>
      <c r="CQ105" s="2">
        <f t="shared" si="84"/>
        <v>7.72</v>
      </c>
      <c r="CR105" s="2">
        <f>(ROUND((ROUND((((ET105*1.2))*AV105*1),2)*BB105),2)+ROUND((ROUND(((AE105-((EU105*1.2)))*AV105*1),2)*BS105),2))</f>
        <v>0</v>
      </c>
      <c r="CS105" s="2">
        <f>(ROUND((ROUND((((EU105*1.2))*AV105*1),2)*BS105),2)+ROUND((ROUND(((AE105-((EU105*1.2)))*AV105*1),2)*BS105),2))</f>
        <v>0</v>
      </c>
      <c r="CT105" s="2">
        <f t="shared" si="85"/>
        <v>31.71</v>
      </c>
      <c r="CU105" s="2">
        <f t="shared" si="86"/>
        <v>0</v>
      </c>
      <c r="CV105" s="2">
        <f t="shared" si="87"/>
        <v>2.5127999999999999</v>
      </c>
      <c r="CW105" s="2">
        <f t="shared" si="88"/>
        <v>0</v>
      </c>
      <c r="CX105" s="2">
        <f t="shared" si="89"/>
        <v>0</v>
      </c>
      <c r="CY105" s="2">
        <f>(ROUND((((S105+ROUND((ROUND((((EU105*1.2))*AV105*1),2)*BS105),2))*AT105)/100),2)+ROUND(((ROUND((ROUND(((AE105-((EU105*1.2)))*AV105*1),2)*BS105),2)*AT105)/100),2))</f>
        <v>30.12</v>
      </c>
      <c r="CZ105" s="2">
        <f>(ROUND((((S105+ROUND((ROUND((((EU105*1.2))*AV105*1),2)*BS105),2))*AU105)/100),2)+ROUND(((ROUND((ROUND(((AE105-((EU105*1.2)))*AV105*1),2)*BS105),2)*AU105)/100),2))</f>
        <v>16.809999999999999</v>
      </c>
      <c r="DA105" s="2"/>
      <c r="DB105" s="2">
        <v>45</v>
      </c>
      <c r="DC105" s="2" t="s">
        <v>3</v>
      </c>
      <c r="DD105" s="2" t="s">
        <v>77</v>
      </c>
      <c r="DE105" s="2" t="s">
        <v>78</v>
      </c>
      <c r="DF105" s="2" t="s">
        <v>78</v>
      </c>
      <c r="DG105" s="2" t="s">
        <v>78</v>
      </c>
      <c r="DH105" s="2" t="s">
        <v>3</v>
      </c>
      <c r="DI105" s="2" t="s">
        <v>78</v>
      </c>
      <c r="DJ105" s="2" t="s">
        <v>78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28</v>
      </c>
      <c r="DW105" s="2" t="s">
        <v>32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55393973</v>
      </c>
      <c r="EF105" s="2">
        <v>40</v>
      </c>
      <c r="EG105" s="2" t="s">
        <v>33</v>
      </c>
      <c r="EH105" s="2">
        <v>0</v>
      </c>
      <c r="EI105" s="2" t="s">
        <v>3</v>
      </c>
      <c r="EJ105" s="2">
        <v>2</v>
      </c>
      <c r="EK105" s="2">
        <v>69</v>
      </c>
      <c r="EL105" s="2" t="s">
        <v>51</v>
      </c>
      <c r="EM105" s="2" t="s">
        <v>52</v>
      </c>
      <c r="EN105" s="2"/>
      <c r="EO105" s="2" t="s">
        <v>82</v>
      </c>
      <c r="EP105" s="2"/>
      <c r="EQ105" s="2">
        <v>131072</v>
      </c>
      <c r="ER105" s="2">
        <v>32.96</v>
      </c>
      <c r="ES105" s="2">
        <v>7.72</v>
      </c>
      <c r="ET105" s="2">
        <v>0</v>
      </c>
      <c r="EU105" s="2">
        <v>0</v>
      </c>
      <c r="EV105" s="2">
        <v>25.24</v>
      </c>
      <c r="EW105" s="2">
        <v>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95</v>
      </c>
      <c r="FY105" s="2">
        <v>53</v>
      </c>
      <c r="FZ105" s="2"/>
      <c r="GA105" s="2" t="s">
        <v>3</v>
      </c>
      <c r="GB105" s="2"/>
      <c r="GC105" s="2"/>
      <c r="GD105" s="2">
        <v>1</v>
      </c>
      <c r="GE105" s="2"/>
      <c r="GF105" s="2">
        <v>-2133243250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86.36</v>
      </c>
      <c r="GN105" s="2">
        <f t="shared" si="92"/>
        <v>0</v>
      </c>
      <c r="GO105" s="2">
        <f t="shared" si="93"/>
        <v>86.36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E106" s="3" t="s">
        <v>186</v>
      </c>
      <c r="F106" s="3" t="s">
        <v>54</v>
      </c>
      <c r="G106" s="3" t="s">
        <v>187</v>
      </c>
      <c r="H106" s="3" t="s">
        <v>28</v>
      </c>
      <c r="I106" s="3">
        <v>1</v>
      </c>
      <c r="J106" s="3">
        <v>0</v>
      </c>
      <c r="K106" s="3">
        <v>1</v>
      </c>
      <c r="O106" s="3">
        <f t="shared" si="73"/>
        <v>1842.21</v>
      </c>
      <c r="P106" s="3">
        <f t="shared" si="74"/>
        <v>55.35</v>
      </c>
      <c r="Q106" s="3">
        <f>(ROUND((ROUND((((ET106*1.2))*AV106*I106),2)*BB106),2)+ROUND((ROUND(((AE106-((EU106*1.2)))*AV106*I106),2)*BS106),2))</f>
        <v>0</v>
      </c>
      <c r="R106" s="3">
        <f>(ROUND((ROUND((((EU106*1.2))*AV106*I106),2)*BS106),2)+ROUND((ROUND(((AE106-((EU106*1.2)))*AV106*I106),2)*BS106),2))</f>
        <v>0</v>
      </c>
      <c r="S106" s="3">
        <f t="shared" si="75"/>
        <v>1786.86</v>
      </c>
      <c r="T106" s="3">
        <f t="shared" si="76"/>
        <v>0</v>
      </c>
      <c r="U106" s="3">
        <f t="shared" si="77"/>
        <v>2.5127999999999999</v>
      </c>
      <c r="V106" s="3">
        <f t="shared" si="78"/>
        <v>0</v>
      </c>
      <c r="W106" s="3">
        <f t="shared" si="79"/>
        <v>0</v>
      </c>
      <c r="X106" s="3">
        <f>(ROUND((((S106+ROUND((ROUND((((EU106*1.2))*AV106*I106),2)*BS106),2))*AT106)/100),2)+ROUND(((ROUND((ROUND(((AE106-((EU106*1.2)))*AV106*I106),2)*BS106),2)*AT106)/100),2))</f>
        <v>1697.52</v>
      </c>
      <c r="Y106" s="3">
        <f>(ROUND((((S106+ROUND((ROUND((((EU106*1.2))*AV106*I106),2)*BS106),2))*AU106)/100),2)+ROUND(((ROUND((ROUND(((AE106-((EU106*1.2)))*AV106*I106),2)*BS106),2)*AU106)/100),2))</f>
        <v>947.04</v>
      </c>
      <c r="AA106" s="3">
        <v>55943568</v>
      </c>
      <c r="AB106" s="3">
        <f t="shared" si="80"/>
        <v>38.008000000000003</v>
      </c>
      <c r="AC106" s="3">
        <f>ROUND(((ES106*1)),6)</f>
        <v>7.72</v>
      </c>
      <c r="AD106" s="3">
        <f>ROUND(((((ET106*1.2))-((EU106*1.2)))+AE106),6)</f>
        <v>0</v>
      </c>
      <c r="AE106" s="3">
        <f>ROUND(((EU106*1.2)),6)</f>
        <v>0</v>
      </c>
      <c r="AF106" s="3">
        <f>ROUND(((EV106*1.2)),6)</f>
        <v>30.288</v>
      </c>
      <c r="AG106" s="3">
        <f t="shared" si="81"/>
        <v>0</v>
      </c>
      <c r="AH106" s="3">
        <f>((EW106*1.2))</f>
        <v>2.4</v>
      </c>
      <c r="AI106" s="3">
        <f>((EX106*1.2))</f>
        <v>0</v>
      </c>
      <c r="AJ106" s="3">
        <f t="shared" si="82"/>
        <v>0</v>
      </c>
      <c r="AK106" s="3">
        <v>32.96</v>
      </c>
      <c r="AL106" s="3">
        <v>7.72</v>
      </c>
      <c r="AM106" s="3">
        <v>0</v>
      </c>
      <c r="AN106" s="3">
        <v>0</v>
      </c>
      <c r="AO106" s="3">
        <v>25.24</v>
      </c>
      <c r="AP106" s="3">
        <v>0</v>
      </c>
      <c r="AQ106" s="3">
        <v>2</v>
      </c>
      <c r="AR106" s="3">
        <v>0</v>
      </c>
      <c r="AS106" s="3">
        <v>0</v>
      </c>
      <c r="AT106" s="3">
        <v>95</v>
      </c>
      <c r="AU106" s="3">
        <v>53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</v>
      </c>
      <c r="BC106" s="3">
        <v>7.17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56</v>
      </c>
      <c r="BM106" s="3">
        <v>69</v>
      </c>
      <c r="BN106" s="3">
        <v>0</v>
      </c>
      <c r="BO106" s="3" t="s">
        <v>54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95</v>
      </c>
      <c r="CA106" s="3">
        <v>53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351</v>
      </c>
      <c r="CO106" s="3">
        <v>0</v>
      </c>
      <c r="CP106" s="3">
        <f t="shared" si="83"/>
        <v>1842.2099999999998</v>
      </c>
      <c r="CQ106" s="3">
        <f t="shared" si="84"/>
        <v>55.35</v>
      </c>
      <c r="CR106" s="3">
        <f>(ROUND((ROUND((((ET106*1.2))*AV106*1),2)*BB106),2)+ROUND((ROUND(((AE106-((EU106*1.2)))*AV106*1),2)*BS106),2))</f>
        <v>0</v>
      </c>
      <c r="CS106" s="3">
        <f>(ROUND((ROUND((((EU106*1.2))*AV106*1),2)*BS106),2)+ROUND((ROUND(((AE106-((EU106*1.2)))*AV106*1),2)*BS106),2))</f>
        <v>0</v>
      </c>
      <c r="CT106" s="3">
        <f t="shared" si="85"/>
        <v>1786.86</v>
      </c>
      <c r="CU106" s="3">
        <f t="shared" si="86"/>
        <v>0</v>
      </c>
      <c r="CV106" s="3">
        <f t="shared" si="87"/>
        <v>2.5127999999999999</v>
      </c>
      <c r="CW106" s="3">
        <f t="shared" si="88"/>
        <v>0</v>
      </c>
      <c r="CX106" s="3">
        <f t="shared" si="89"/>
        <v>0</v>
      </c>
      <c r="CY106" s="3">
        <f>(ROUND((((S106+ROUND((ROUND((((EU106*1.2))*AV106*1),2)*BS106),2))*AT106)/100),2)+ROUND(((ROUND((ROUND(((AE106-((EU106*1.2)))*AV106*1),2)*BS106),2)*AT106)/100),2))</f>
        <v>1697.52</v>
      </c>
      <c r="CZ106" s="3">
        <f>(ROUND((((S106+ROUND((ROUND((((EU106*1.2))*AV106*1),2)*BS106),2))*AU106)/100),2)+ROUND(((ROUND((ROUND(((AE106-((EU106*1.2)))*AV106*1),2)*BS106),2)*AU106)/100),2))</f>
        <v>947.04</v>
      </c>
      <c r="DB106" s="3">
        <v>46</v>
      </c>
      <c r="DC106" s="3" t="s">
        <v>3</v>
      </c>
      <c r="DD106" s="3" t="s">
        <v>77</v>
      </c>
      <c r="DE106" s="3" t="s">
        <v>78</v>
      </c>
      <c r="DF106" s="3" t="s">
        <v>78</v>
      </c>
      <c r="DG106" s="3" t="s">
        <v>78</v>
      </c>
      <c r="DH106" s="3" t="s">
        <v>3</v>
      </c>
      <c r="DI106" s="3" t="s">
        <v>78</v>
      </c>
      <c r="DJ106" s="3" t="s">
        <v>78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28</v>
      </c>
      <c r="DW106" s="3" t="s">
        <v>32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55393973</v>
      </c>
      <c r="EF106" s="3">
        <v>40</v>
      </c>
      <c r="EG106" s="3" t="s">
        <v>33</v>
      </c>
      <c r="EH106" s="3">
        <v>0</v>
      </c>
      <c r="EI106" s="3" t="s">
        <v>3</v>
      </c>
      <c r="EJ106" s="3">
        <v>2</v>
      </c>
      <c r="EK106" s="3">
        <v>69</v>
      </c>
      <c r="EL106" s="3" t="s">
        <v>51</v>
      </c>
      <c r="EM106" s="3" t="s">
        <v>52</v>
      </c>
      <c r="EO106" s="3" t="s">
        <v>82</v>
      </c>
      <c r="EQ106" s="3">
        <v>131072</v>
      </c>
      <c r="ER106" s="3">
        <v>32.96</v>
      </c>
      <c r="ES106" s="3">
        <v>7.72</v>
      </c>
      <c r="ET106" s="3">
        <v>0</v>
      </c>
      <c r="EU106" s="3">
        <v>0</v>
      </c>
      <c r="EV106" s="3">
        <v>25.24</v>
      </c>
      <c r="EW106" s="3">
        <v>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95</v>
      </c>
      <c r="FY106" s="3">
        <v>53</v>
      </c>
      <c r="GA106" s="3" t="s">
        <v>3</v>
      </c>
      <c r="GD106" s="3">
        <v>1</v>
      </c>
      <c r="GF106" s="3">
        <v>-2133243250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0"/>
        <v>0</v>
      </c>
      <c r="GM106" s="3">
        <f t="shared" si="91"/>
        <v>4486.7700000000004</v>
      </c>
      <c r="GN106" s="3">
        <f t="shared" si="92"/>
        <v>0</v>
      </c>
      <c r="GO106" s="3">
        <f t="shared" si="93"/>
        <v>4486.7700000000004</v>
      </c>
      <c r="GP106" s="3">
        <f t="shared" si="9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5"/>
        <v>0</v>
      </c>
      <c r="GW106" s="3">
        <v>1</v>
      </c>
      <c r="GX106" s="3">
        <f t="shared" si="96"/>
        <v>0</v>
      </c>
      <c r="HA106" s="3">
        <v>0</v>
      </c>
      <c r="HB106" s="3">
        <v>0</v>
      </c>
      <c r="HC106" s="3">
        <f t="shared" si="9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188</v>
      </c>
      <c r="F107" s="2" t="s">
        <v>189</v>
      </c>
      <c r="G107" s="2" t="s">
        <v>190</v>
      </c>
      <c r="H107" s="2" t="s">
        <v>147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73"/>
        <v>1070.8800000000001</v>
      </c>
      <c r="P107" s="2">
        <f t="shared" si="74"/>
        <v>1070.8800000000001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5"/>
        <v>0</v>
      </c>
      <c r="T107" s="2">
        <f t="shared" si="76"/>
        <v>0</v>
      </c>
      <c r="U107" s="2">
        <f t="shared" si="77"/>
        <v>0</v>
      </c>
      <c r="V107" s="2">
        <f t="shared" si="78"/>
        <v>0</v>
      </c>
      <c r="W107" s="2">
        <f t="shared" si="7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55943566</v>
      </c>
      <c r="AB107" s="2">
        <f t="shared" si="80"/>
        <v>1070.8800000000001</v>
      </c>
      <c r="AC107" s="2">
        <f>ROUND((ES107),6)</f>
        <v>1070.8800000000001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81"/>
        <v>0</v>
      </c>
      <c r="AH107" s="2">
        <f>(EW107)</f>
        <v>0</v>
      </c>
      <c r="AI107" s="2">
        <f>(EX107)</f>
        <v>0</v>
      </c>
      <c r="AJ107" s="2">
        <f t="shared" si="82"/>
        <v>0</v>
      </c>
      <c r="AK107" s="2">
        <v>1070.8800000000001</v>
      </c>
      <c r="AL107" s="2">
        <v>1070.8800000000001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189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3"/>
        <v>1070.8800000000001</v>
      </c>
      <c r="CQ107" s="2">
        <f t="shared" si="84"/>
        <v>1070.8800000000001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5"/>
        <v>0</v>
      </c>
      <c r="CU107" s="2">
        <f t="shared" si="86"/>
        <v>0</v>
      </c>
      <c r="CV107" s="2">
        <f t="shared" si="87"/>
        <v>0</v>
      </c>
      <c r="CW107" s="2">
        <f t="shared" si="88"/>
        <v>0</v>
      </c>
      <c r="CX107" s="2">
        <f t="shared" si="8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147</v>
      </c>
      <c r="DW107" s="2" t="s">
        <v>147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55393904</v>
      </c>
      <c r="EF107" s="2">
        <v>214</v>
      </c>
      <c r="EG107" s="2" t="s">
        <v>148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148</v>
      </c>
      <c r="EM107" s="2" t="s">
        <v>149</v>
      </c>
      <c r="EN107" s="2"/>
      <c r="EO107" s="2" t="s">
        <v>3</v>
      </c>
      <c r="EP107" s="2"/>
      <c r="EQ107" s="2">
        <v>131088</v>
      </c>
      <c r="ER107" s="2">
        <v>0</v>
      </c>
      <c r="ES107" s="2">
        <v>1070.8800000000001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1070.8800000000001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191</v>
      </c>
      <c r="GB107" s="2"/>
      <c r="GC107" s="2"/>
      <c r="GD107" s="2">
        <v>1</v>
      </c>
      <c r="GE107" s="2"/>
      <c r="GF107" s="2">
        <v>1433473047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1070.8800000000001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158</v>
      </c>
      <c r="HF107" s="2" t="s">
        <v>158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E108" s="3" t="s">
        <v>188</v>
      </c>
      <c r="F108" s="3" t="s">
        <v>189</v>
      </c>
      <c r="G108" s="3" t="s">
        <v>190</v>
      </c>
      <c r="H108" s="3" t="s">
        <v>147</v>
      </c>
      <c r="I108" s="3">
        <v>1</v>
      </c>
      <c r="J108" s="3">
        <v>0</v>
      </c>
      <c r="K108" s="3">
        <v>1</v>
      </c>
      <c r="O108" s="3">
        <f t="shared" si="73"/>
        <v>8106.56</v>
      </c>
      <c r="P108" s="3">
        <f t="shared" si="74"/>
        <v>8106.56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5"/>
        <v>0</v>
      </c>
      <c r="T108" s="3">
        <f t="shared" si="76"/>
        <v>0</v>
      </c>
      <c r="U108" s="3">
        <f t="shared" si="77"/>
        <v>0</v>
      </c>
      <c r="V108" s="3">
        <f t="shared" si="78"/>
        <v>0</v>
      </c>
      <c r="W108" s="3">
        <f t="shared" si="7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55943568</v>
      </c>
      <c r="AB108" s="3">
        <f t="shared" si="80"/>
        <v>1070.8800000000001</v>
      </c>
      <c r="AC108" s="3">
        <f>ROUND((ES108),6)</f>
        <v>1070.8800000000001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81"/>
        <v>0</v>
      </c>
      <c r="AH108" s="3">
        <f>(EW108)</f>
        <v>0</v>
      </c>
      <c r="AI108" s="3">
        <f>(EX108)</f>
        <v>0</v>
      </c>
      <c r="AJ108" s="3">
        <f t="shared" si="82"/>
        <v>0</v>
      </c>
      <c r="AK108" s="3">
        <v>1070.8800000000001</v>
      </c>
      <c r="AL108" s="3">
        <v>1070.8800000000001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189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3"/>
        <v>8106.56</v>
      </c>
      <c r="CQ108" s="3">
        <f t="shared" si="84"/>
        <v>8106.56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5"/>
        <v>0</v>
      </c>
      <c r="CU108" s="3">
        <f t="shared" si="86"/>
        <v>0</v>
      </c>
      <c r="CV108" s="3">
        <f t="shared" si="87"/>
        <v>0</v>
      </c>
      <c r="CW108" s="3">
        <f t="shared" si="88"/>
        <v>0</v>
      </c>
      <c r="CX108" s="3">
        <f t="shared" si="8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147</v>
      </c>
      <c r="DW108" s="3" t="s">
        <v>147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55393904</v>
      </c>
      <c r="EF108" s="3">
        <v>214</v>
      </c>
      <c r="EG108" s="3" t="s">
        <v>148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148</v>
      </c>
      <c r="EM108" s="3" t="s">
        <v>149</v>
      </c>
      <c r="EO108" s="3" t="s">
        <v>3</v>
      </c>
      <c r="EQ108" s="3">
        <v>131088</v>
      </c>
      <c r="ER108" s="3">
        <v>0</v>
      </c>
      <c r="ES108" s="3">
        <v>1070.8800000000001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9890</v>
      </c>
      <c r="FQ108" s="3">
        <v>0</v>
      </c>
      <c r="FR108" s="3">
        <f>P108</f>
        <v>8106.56</v>
      </c>
      <c r="FS108" s="3">
        <v>0</v>
      </c>
      <c r="FX108" s="3">
        <v>0</v>
      </c>
      <c r="FY108" s="3">
        <v>0</v>
      </c>
      <c r="GA108" s="3" t="s">
        <v>191</v>
      </c>
      <c r="GD108" s="3">
        <v>1</v>
      </c>
      <c r="GF108" s="3">
        <v>1433473047</v>
      </c>
      <c r="GG108" s="3">
        <v>2</v>
      </c>
      <c r="GH108" s="3">
        <v>3</v>
      </c>
      <c r="GI108" s="3">
        <v>3</v>
      </c>
      <c r="GJ108" s="3">
        <v>0</v>
      </c>
      <c r="GK108" s="3">
        <v>0</v>
      </c>
      <c r="GL108" s="3">
        <f t="shared" si="90"/>
        <v>0</v>
      </c>
      <c r="GM108" s="3">
        <f t="shared" si="91"/>
        <v>8106.56</v>
      </c>
      <c r="GN108" s="3">
        <f t="shared" si="92"/>
        <v>0</v>
      </c>
      <c r="GO108" s="3">
        <f t="shared" si="93"/>
        <v>0</v>
      </c>
      <c r="GP108" s="3">
        <f t="shared" si="9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5"/>
        <v>0</v>
      </c>
      <c r="GW108" s="3">
        <v>1</v>
      </c>
      <c r="GX108" s="3">
        <f t="shared" si="96"/>
        <v>0</v>
      </c>
      <c r="HA108" s="3">
        <v>0</v>
      </c>
      <c r="HB108" s="3">
        <v>0</v>
      </c>
      <c r="HC108" s="3">
        <f t="shared" si="97"/>
        <v>0</v>
      </c>
      <c r="HE108" s="3" t="s">
        <v>158</v>
      </c>
      <c r="HF108" s="3" t="s">
        <v>158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192</v>
      </c>
      <c r="F109" s="2" t="s">
        <v>58</v>
      </c>
      <c r="G109" s="2" t="s">
        <v>193</v>
      </c>
      <c r="H109" s="2" t="s">
        <v>60</v>
      </c>
      <c r="I109" s="2">
        <f>ROUND(31/10,9)</f>
        <v>3.1</v>
      </c>
      <c r="J109" s="2">
        <v>0</v>
      </c>
      <c r="K109" s="2">
        <f>ROUND(31/10,9)</f>
        <v>3.1</v>
      </c>
      <c r="L109" s="2"/>
      <c r="M109" s="2"/>
      <c r="N109" s="2"/>
      <c r="O109" s="2">
        <f t="shared" si="73"/>
        <v>917.04</v>
      </c>
      <c r="P109" s="2">
        <f t="shared" si="74"/>
        <v>7.56</v>
      </c>
      <c r="Q109" s="2">
        <f>(ROUND((ROUND((((ET109*1.2))*AV109*I109),2)*BB109),2)+ROUND((ROUND(((AE109-((EU109*1.2)))*AV109*I109),2)*BS109),2))</f>
        <v>23.64</v>
      </c>
      <c r="R109" s="2">
        <f>(ROUND((ROUND((((EU109*1.2))*AV109*I109),2)*BS109),2)+ROUND((ROUND(((AE109-((EU109*1.2)))*AV109*I109),2)*BS109),2))</f>
        <v>2.96</v>
      </c>
      <c r="S109" s="2">
        <f t="shared" si="75"/>
        <v>885.84</v>
      </c>
      <c r="T109" s="2">
        <f t="shared" si="76"/>
        <v>0</v>
      </c>
      <c r="U109" s="2">
        <f t="shared" si="77"/>
        <v>57.0204576</v>
      </c>
      <c r="V109" s="2">
        <f t="shared" si="78"/>
        <v>0</v>
      </c>
      <c r="W109" s="2">
        <f t="shared" si="79"/>
        <v>0</v>
      </c>
      <c r="X109" s="2">
        <f>(ROUND((((S109+ROUND((ROUND((((EU109*1.2))*AV109*I109),2)*BS109),2))*AT109)/100),2)+ROUND(((ROUND((ROUND(((AE109-((EU109*1.2)))*AV109*I109),2)*BS109),2)*AT109)/100),2))</f>
        <v>799.92</v>
      </c>
      <c r="Y109" s="2">
        <f>(ROUND((((S109+ROUND((ROUND((((EU109*1.2))*AV109*I109),2)*BS109),2))*AU109)/100),2)+ROUND(((ROUND((ROUND(((AE109-((EU109*1.2)))*AV109*I109),2)*BS109),2)*AU109)/100),2))</f>
        <v>408.85</v>
      </c>
      <c r="Z109" s="2"/>
      <c r="AA109" s="2">
        <v>55943566</v>
      </c>
      <c r="AB109" s="2">
        <f t="shared" si="80"/>
        <v>282.65199999999999</v>
      </c>
      <c r="AC109" s="2">
        <f>ROUND(((ES109*1)),6)</f>
        <v>2.44</v>
      </c>
      <c r="AD109" s="2">
        <f>ROUND(((((ET109*1.2))-((EU109*1.2)))+AE109),6)</f>
        <v>7.2839999999999998</v>
      </c>
      <c r="AE109" s="2">
        <f>ROUND(((EU109*1.2)),6)</f>
        <v>0.91200000000000003</v>
      </c>
      <c r="AF109" s="2">
        <f>ROUND(((EV109*1.2)),6)</f>
        <v>272.928</v>
      </c>
      <c r="AG109" s="2">
        <f t="shared" si="81"/>
        <v>0</v>
      </c>
      <c r="AH109" s="2">
        <f>((EW109*1.2))</f>
        <v>17.568000000000001</v>
      </c>
      <c r="AI109" s="2">
        <f>((EX109*1.2))</f>
        <v>0</v>
      </c>
      <c r="AJ109" s="2">
        <f t="shared" si="82"/>
        <v>0</v>
      </c>
      <c r="AK109" s="2">
        <v>235.95</v>
      </c>
      <c r="AL109" s="2">
        <v>2.44</v>
      </c>
      <c r="AM109" s="2">
        <v>6.07</v>
      </c>
      <c r="AN109" s="2">
        <v>0.76</v>
      </c>
      <c r="AO109" s="2">
        <v>227.44</v>
      </c>
      <c r="AP109" s="2">
        <v>0</v>
      </c>
      <c r="AQ109" s="2">
        <v>14.64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61</v>
      </c>
      <c r="BK109" s="2"/>
      <c r="BL109" s="2"/>
      <c r="BM109" s="2">
        <v>68</v>
      </c>
      <c r="BN109" s="2">
        <v>0</v>
      </c>
      <c r="BO109" s="2" t="s">
        <v>58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351</v>
      </c>
      <c r="CO109" s="2">
        <v>0</v>
      </c>
      <c r="CP109" s="2">
        <f t="shared" si="83"/>
        <v>917.04000000000008</v>
      </c>
      <c r="CQ109" s="2">
        <f t="shared" si="84"/>
        <v>2.44</v>
      </c>
      <c r="CR109" s="2">
        <f>(ROUND((ROUND((((ET109*1.2))*AV109*1),2)*BB109),2)+ROUND((ROUND(((AE109-((EU109*1.2)))*AV109*1),2)*BS109),2))</f>
        <v>7.63</v>
      </c>
      <c r="CS109" s="2">
        <f>(ROUND((ROUND((((EU109*1.2))*AV109*1),2)*BS109),2)+ROUND((ROUND(((AE109-((EU109*1.2)))*AV109*1),2)*BS109),2))</f>
        <v>0.95</v>
      </c>
      <c r="CT109" s="2">
        <f t="shared" si="85"/>
        <v>285.76</v>
      </c>
      <c r="CU109" s="2">
        <f t="shared" si="86"/>
        <v>0</v>
      </c>
      <c r="CV109" s="2">
        <f t="shared" si="87"/>
        <v>18.393695999999998</v>
      </c>
      <c r="CW109" s="2">
        <f t="shared" si="88"/>
        <v>0</v>
      </c>
      <c r="CX109" s="2">
        <f t="shared" si="89"/>
        <v>0</v>
      </c>
      <c r="CY109" s="2">
        <f>(ROUND((((S109+ROUND((ROUND((((EU109*1.2))*AV109*1),2)*BS109),2))*AT109)/100),2)+ROUND(((ROUND((ROUND(((AE109-((EU109*1.2)))*AV109*1),2)*BS109),2)*AT109)/100),2))</f>
        <v>798.11</v>
      </c>
      <c r="CZ109" s="2">
        <f>(ROUND((((S109+ROUND((ROUND((((EU109*1.2))*AV109*1),2)*BS109),2))*AU109)/100),2)+ROUND(((ROUND((ROUND(((AE109-((EU109*1.2)))*AV109*1),2)*BS109),2)*AU109)/100),2))</f>
        <v>407.92</v>
      </c>
      <c r="DA109" s="2"/>
      <c r="DB109" s="2">
        <v>47</v>
      </c>
      <c r="DC109" s="2" t="s">
        <v>3</v>
      </c>
      <c r="DD109" s="2" t="s">
        <v>77</v>
      </c>
      <c r="DE109" s="2" t="s">
        <v>78</v>
      </c>
      <c r="DF109" s="2" t="s">
        <v>78</v>
      </c>
      <c r="DG109" s="2" t="s">
        <v>78</v>
      </c>
      <c r="DH109" s="2" t="s">
        <v>3</v>
      </c>
      <c r="DI109" s="2" t="s">
        <v>78</v>
      </c>
      <c r="DJ109" s="2" t="s">
        <v>78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60</v>
      </c>
      <c r="DW109" s="2" t="s">
        <v>60</v>
      </c>
      <c r="DX109" s="2">
        <v>10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55393972</v>
      </c>
      <c r="EF109" s="2">
        <v>40</v>
      </c>
      <c r="EG109" s="2" t="s">
        <v>33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41</v>
      </c>
      <c r="EM109" s="2" t="s">
        <v>42</v>
      </c>
      <c r="EN109" s="2"/>
      <c r="EO109" s="2" t="s">
        <v>82</v>
      </c>
      <c r="EP109" s="2"/>
      <c r="EQ109" s="2">
        <v>131072</v>
      </c>
      <c r="ER109" s="2">
        <v>235.95</v>
      </c>
      <c r="ES109" s="2">
        <v>2.44</v>
      </c>
      <c r="ET109" s="2">
        <v>6.07</v>
      </c>
      <c r="EU109" s="2">
        <v>0.76</v>
      </c>
      <c r="EV109" s="2">
        <v>227.44</v>
      </c>
      <c r="EW109" s="2">
        <v>14.64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-1147212458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2125.81</v>
      </c>
      <c r="GN109" s="2">
        <f t="shared" si="92"/>
        <v>0</v>
      </c>
      <c r="GO109" s="2">
        <f t="shared" si="93"/>
        <v>2125.81</v>
      </c>
      <c r="GP109" s="2">
        <f t="shared" si="9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17</v>
      </c>
      <c r="B110" s="3">
        <v>1</v>
      </c>
      <c r="E110" s="3" t="s">
        <v>192</v>
      </c>
      <c r="F110" s="3" t="s">
        <v>58</v>
      </c>
      <c r="G110" s="3" t="s">
        <v>193</v>
      </c>
      <c r="H110" s="3" t="s">
        <v>60</v>
      </c>
      <c r="I110" s="3">
        <f>ROUND(31/10,9)</f>
        <v>3.1</v>
      </c>
      <c r="J110" s="3">
        <v>0</v>
      </c>
      <c r="K110" s="3">
        <f>ROUND(31/10,9)</f>
        <v>3.1</v>
      </c>
      <c r="O110" s="3">
        <f t="shared" si="73"/>
        <v>50346.47</v>
      </c>
      <c r="P110" s="3">
        <f t="shared" si="74"/>
        <v>57.53</v>
      </c>
      <c r="Q110" s="3">
        <f>(ROUND((ROUND((((ET110*1.2))*AV110*I110),2)*BB110),2)+ROUND((ROUND(((AE110-((EU110*1.2)))*AV110*I110),2)*BS110),2))</f>
        <v>371.86</v>
      </c>
      <c r="R110" s="3">
        <f>(ROUND((ROUND((((EU110*1.2))*AV110*I110),2)*BS110),2)+ROUND((ROUND(((AE110-((EU110*1.2)))*AV110*I110),2)*BS110),2))</f>
        <v>166.8</v>
      </c>
      <c r="S110" s="3">
        <f t="shared" si="75"/>
        <v>49917.08</v>
      </c>
      <c r="T110" s="3">
        <f t="shared" si="76"/>
        <v>0</v>
      </c>
      <c r="U110" s="3">
        <f t="shared" si="77"/>
        <v>57.0204576</v>
      </c>
      <c r="V110" s="3">
        <f t="shared" si="78"/>
        <v>0</v>
      </c>
      <c r="W110" s="3">
        <f t="shared" si="79"/>
        <v>0</v>
      </c>
      <c r="X110" s="3">
        <f>(ROUND((((S110+ROUND((ROUND((((EU110*1.2))*AV110*I110),2)*BS110),2))*AT110)/100),2)+ROUND(((ROUND((ROUND(((AE110-((EU110*1.2)))*AV110*I110),2)*BS110),2)*AT110)/100),2))</f>
        <v>45075.49</v>
      </c>
      <c r="Y110" s="3">
        <f>(ROUND((((S110+ROUND((ROUND((((EU110*1.2))*AV110*I110),2)*BS110),2))*AU110)/100),2)+ROUND(((ROUND((ROUND(((AE110-((EU110*1.2)))*AV110*I110),2)*BS110),2)*AU110)/100),2))</f>
        <v>23038.58</v>
      </c>
      <c r="AA110" s="3">
        <v>55943568</v>
      </c>
      <c r="AB110" s="3">
        <f t="shared" si="80"/>
        <v>282.65199999999999</v>
      </c>
      <c r="AC110" s="3">
        <f>ROUND(((ES110*1)),6)</f>
        <v>2.44</v>
      </c>
      <c r="AD110" s="3">
        <f>ROUND(((((ET110*1.2))-((EU110*1.2)))+AE110),6)</f>
        <v>7.2839999999999998</v>
      </c>
      <c r="AE110" s="3">
        <f>ROUND(((EU110*1.2)),6)</f>
        <v>0.91200000000000003</v>
      </c>
      <c r="AF110" s="3">
        <f>ROUND(((EV110*1.2)),6)</f>
        <v>272.928</v>
      </c>
      <c r="AG110" s="3">
        <f t="shared" si="81"/>
        <v>0</v>
      </c>
      <c r="AH110" s="3">
        <f>((EW110*1.2))</f>
        <v>17.568000000000001</v>
      </c>
      <c r="AI110" s="3">
        <f>((EX110*1.2))</f>
        <v>0</v>
      </c>
      <c r="AJ110" s="3">
        <f t="shared" si="82"/>
        <v>0</v>
      </c>
      <c r="AK110" s="3">
        <v>235.95</v>
      </c>
      <c r="AL110" s="3">
        <v>2.44</v>
      </c>
      <c r="AM110" s="3">
        <v>6.07</v>
      </c>
      <c r="AN110" s="3">
        <v>0.76</v>
      </c>
      <c r="AO110" s="3">
        <v>227.44</v>
      </c>
      <c r="AP110" s="3">
        <v>0</v>
      </c>
      <c r="AQ110" s="3">
        <v>14.64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15.73</v>
      </c>
      <c r="BC110" s="3">
        <v>7.61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61</v>
      </c>
      <c r="BM110" s="3">
        <v>68</v>
      </c>
      <c r="BN110" s="3">
        <v>0</v>
      </c>
      <c r="BO110" s="3" t="s">
        <v>58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351</v>
      </c>
      <c r="CO110" s="3">
        <v>0</v>
      </c>
      <c r="CP110" s="3">
        <f t="shared" si="83"/>
        <v>50346.47</v>
      </c>
      <c r="CQ110" s="3">
        <f t="shared" si="84"/>
        <v>18.57</v>
      </c>
      <c r="CR110" s="3">
        <f>(ROUND((ROUND((((ET110*1.2))*AV110*1),2)*BB110),2)+ROUND((ROUND(((AE110-((EU110*1.2)))*AV110*1),2)*BS110),2))</f>
        <v>120.02</v>
      </c>
      <c r="CS110" s="3">
        <f>(ROUND((ROUND((((EU110*1.2))*AV110*1),2)*BS110),2)+ROUND((ROUND(((AE110-((EU110*1.2)))*AV110*1),2)*BS110),2))</f>
        <v>53.53</v>
      </c>
      <c r="CT110" s="3">
        <f t="shared" si="85"/>
        <v>16102.58</v>
      </c>
      <c r="CU110" s="3">
        <f t="shared" si="86"/>
        <v>0</v>
      </c>
      <c r="CV110" s="3">
        <f t="shared" si="87"/>
        <v>18.393695999999998</v>
      </c>
      <c r="CW110" s="3">
        <f t="shared" si="88"/>
        <v>0</v>
      </c>
      <c r="CX110" s="3">
        <f t="shared" si="89"/>
        <v>0</v>
      </c>
      <c r="CY110" s="3">
        <f>(ROUND((((S110+ROUND((ROUND((((EU110*1.2))*AV110*1),2)*BS110),2))*AT110)/100),2)+ROUND(((ROUND((ROUND(((AE110-((EU110*1.2)))*AV110*1),2)*BS110),2)*AT110)/100),2))</f>
        <v>44973.55</v>
      </c>
      <c r="CZ110" s="3">
        <f>(ROUND((((S110+ROUND((ROUND((((EU110*1.2))*AV110*1),2)*BS110),2))*AU110)/100),2)+ROUND(((ROUND((ROUND(((AE110-((EU110*1.2)))*AV110*1),2)*BS110),2)*AU110)/100),2))</f>
        <v>22986.48</v>
      </c>
      <c r="DB110" s="3">
        <v>48</v>
      </c>
      <c r="DC110" s="3" t="s">
        <v>3</v>
      </c>
      <c r="DD110" s="3" t="s">
        <v>77</v>
      </c>
      <c r="DE110" s="3" t="s">
        <v>78</v>
      </c>
      <c r="DF110" s="3" t="s">
        <v>78</v>
      </c>
      <c r="DG110" s="3" t="s">
        <v>78</v>
      </c>
      <c r="DH110" s="3" t="s">
        <v>3</v>
      </c>
      <c r="DI110" s="3" t="s">
        <v>78</v>
      </c>
      <c r="DJ110" s="3" t="s">
        <v>78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60</v>
      </c>
      <c r="DW110" s="3" t="s">
        <v>60</v>
      </c>
      <c r="DX110" s="3">
        <v>10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55393972</v>
      </c>
      <c r="EF110" s="3">
        <v>40</v>
      </c>
      <c r="EG110" s="3" t="s">
        <v>33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41</v>
      </c>
      <c r="EM110" s="3" t="s">
        <v>42</v>
      </c>
      <c r="EO110" s="3" t="s">
        <v>82</v>
      </c>
      <c r="EQ110" s="3">
        <v>131072</v>
      </c>
      <c r="ER110" s="3">
        <v>235.95</v>
      </c>
      <c r="ES110" s="3">
        <v>2.44</v>
      </c>
      <c r="ET110" s="3">
        <v>6.07</v>
      </c>
      <c r="EU110" s="3">
        <v>0.76</v>
      </c>
      <c r="EV110" s="3">
        <v>227.44</v>
      </c>
      <c r="EW110" s="3">
        <v>14.64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-1147212458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90"/>
        <v>0</v>
      </c>
      <c r="GM110" s="3">
        <f t="shared" si="91"/>
        <v>118460.54</v>
      </c>
      <c r="GN110" s="3">
        <f t="shared" si="92"/>
        <v>0</v>
      </c>
      <c r="GO110" s="3">
        <f t="shared" si="93"/>
        <v>118460.54</v>
      </c>
      <c r="GP110" s="3">
        <f t="shared" si="94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5"/>
        <v>0</v>
      </c>
      <c r="GW110" s="3">
        <v>1</v>
      </c>
      <c r="GX110" s="3">
        <f t="shared" si="96"/>
        <v>0</v>
      </c>
      <c r="HA110" s="3">
        <v>0</v>
      </c>
      <c r="HB110" s="3">
        <v>0</v>
      </c>
      <c r="HC110" s="3">
        <f t="shared" si="97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194</v>
      </c>
      <c r="F111" s="2" t="s">
        <v>195</v>
      </c>
      <c r="G111" s="2" t="s">
        <v>196</v>
      </c>
      <c r="H111" s="2" t="s">
        <v>147</v>
      </c>
      <c r="I111" s="2">
        <v>2</v>
      </c>
      <c r="J111" s="2">
        <v>0</v>
      </c>
      <c r="K111" s="2">
        <v>2</v>
      </c>
      <c r="L111" s="2"/>
      <c r="M111" s="2"/>
      <c r="N111" s="2"/>
      <c r="O111" s="2">
        <f t="shared" si="73"/>
        <v>9812.68</v>
      </c>
      <c r="P111" s="2">
        <f t="shared" si="74"/>
        <v>9812.68</v>
      </c>
      <c r="Q111" s="2">
        <f t="shared" ref="Q111:Q116" si="104">(ROUND((ROUND(((ET111)*AV111*I111),2)*BB111),2)+ROUND((ROUND(((AE111-(EU111))*AV111*I111),2)*BS111),2))</f>
        <v>0</v>
      </c>
      <c r="R111" s="2">
        <f t="shared" ref="R111:R116" si="105">(ROUND((ROUND(((EU111)*AV111*I111),2)*BS111),2)+ROUND((ROUND(((AE111-(EU111))*AV111*I111),2)*BS111),2))</f>
        <v>0</v>
      </c>
      <c r="S111" s="2">
        <f t="shared" si="75"/>
        <v>0</v>
      </c>
      <c r="T111" s="2">
        <f t="shared" si="76"/>
        <v>0</v>
      </c>
      <c r="U111" s="2">
        <f t="shared" si="77"/>
        <v>0</v>
      </c>
      <c r="V111" s="2">
        <f t="shared" si="78"/>
        <v>0</v>
      </c>
      <c r="W111" s="2">
        <f t="shared" si="79"/>
        <v>0</v>
      </c>
      <c r="X111" s="2">
        <f t="shared" ref="X111:X116" si="106">(ROUND((((S111+ROUND((ROUND(((EU111)*AV111*I111),2)*BS111),2))*AT111)/100),2)+ROUND(((ROUND((ROUND(((AE111-(EU111))*AV111*I111),2)*BS111),2)*AT111)/100),2))</f>
        <v>0</v>
      </c>
      <c r="Y111" s="2">
        <f t="shared" ref="Y111:Y116" si="107">(ROUND((((S111+ROUND((ROUND(((EU111)*AV111*I111),2)*BS111),2))*AU111)/100),2)+ROUND(((ROUND((ROUND(((AE111-(EU111))*AV111*I111),2)*BS111),2)*AU111)/100),2))</f>
        <v>0</v>
      </c>
      <c r="Z111" s="2"/>
      <c r="AA111" s="2">
        <v>55943566</v>
      </c>
      <c r="AB111" s="2">
        <f t="shared" si="80"/>
        <v>4906.34</v>
      </c>
      <c r="AC111" s="2">
        <f t="shared" ref="AC111:AC116" si="108">ROUND((ES111),6)</f>
        <v>4906.34</v>
      </c>
      <c r="AD111" s="2">
        <f t="shared" ref="AD111:AD116" si="109">ROUND((((ET111)-(EU111))+AE111),6)</f>
        <v>0</v>
      </c>
      <c r="AE111" s="2">
        <f t="shared" ref="AE111:AF116" si="110">ROUND((EU111),6)</f>
        <v>0</v>
      </c>
      <c r="AF111" s="2">
        <f t="shared" si="110"/>
        <v>0</v>
      </c>
      <c r="AG111" s="2">
        <f t="shared" si="81"/>
        <v>0</v>
      </c>
      <c r="AH111" s="2">
        <f t="shared" ref="AH111:AI116" si="111">(EW111)</f>
        <v>0</v>
      </c>
      <c r="AI111" s="2">
        <f t="shared" si="111"/>
        <v>0</v>
      </c>
      <c r="AJ111" s="2">
        <f t="shared" si="82"/>
        <v>0</v>
      </c>
      <c r="AK111" s="2">
        <v>4906.34</v>
      </c>
      <c r="AL111" s="2">
        <v>4906.34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195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3"/>
        <v>9812.68</v>
      </c>
      <c r="CQ111" s="2">
        <f t="shared" si="84"/>
        <v>4906.34</v>
      </c>
      <c r="CR111" s="2">
        <f t="shared" ref="CR111:CR116" si="112">(ROUND((ROUND(((ET111)*AV111*1),2)*BB111),2)+ROUND((ROUND(((AE111-(EU111))*AV111*1),2)*BS111),2))</f>
        <v>0</v>
      </c>
      <c r="CS111" s="2">
        <f t="shared" ref="CS111:CS116" si="113">(ROUND((ROUND(((EU111)*AV111*1),2)*BS111),2)+ROUND((ROUND(((AE111-(EU111))*AV111*1),2)*BS111),2))</f>
        <v>0</v>
      </c>
      <c r="CT111" s="2">
        <f t="shared" si="85"/>
        <v>0</v>
      </c>
      <c r="CU111" s="2">
        <f t="shared" si="86"/>
        <v>0</v>
      </c>
      <c r="CV111" s="2">
        <f t="shared" si="87"/>
        <v>0</v>
      </c>
      <c r="CW111" s="2">
        <f t="shared" si="88"/>
        <v>0</v>
      </c>
      <c r="CX111" s="2">
        <f t="shared" si="89"/>
        <v>0</v>
      </c>
      <c r="CY111" s="2">
        <f t="shared" ref="CY111:CY116" si="114">(ROUND((((S111+ROUND((ROUND(((EU111)*AV111*1),2)*BS111),2))*AT111)/100),2)+ROUND(((ROUND((ROUND(((AE111-(EU111))*AV111*1),2)*BS111),2)*AT111)/100),2))</f>
        <v>0</v>
      </c>
      <c r="CZ111" s="2">
        <f t="shared" ref="CZ111:CZ116" si="115"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147</v>
      </c>
      <c r="DW111" s="2" t="s">
        <v>147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55393904</v>
      </c>
      <c r="EF111" s="2">
        <v>214</v>
      </c>
      <c r="EG111" s="2" t="s">
        <v>148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148</v>
      </c>
      <c r="EM111" s="2" t="s">
        <v>149</v>
      </c>
      <c r="EN111" s="2"/>
      <c r="EO111" s="2" t="s">
        <v>3</v>
      </c>
      <c r="EP111" s="2"/>
      <c r="EQ111" s="2">
        <v>131088</v>
      </c>
      <c r="ER111" s="2">
        <v>0</v>
      </c>
      <c r="ES111" s="2">
        <v>4906.34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ref="FR111:FR116" si="116">P111</f>
        <v>9812.68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197</v>
      </c>
      <c r="GB111" s="2"/>
      <c r="GC111" s="2"/>
      <c r="GD111" s="2">
        <v>1</v>
      </c>
      <c r="GE111" s="2"/>
      <c r="GF111" s="2">
        <v>640782031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9812.68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158</v>
      </c>
      <c r="HF111" s="2" t="s">
        <v>158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E112" s="3" t="s">
        <v>194</v>
      </c>
      <c r="F112" s="3" t="s">
        <v>195</v>
      </c>
      <c r="G112" s="3" t="s">
        <v>196</v>
      </c>
      <c r="H112" s="3" t="s">
        <v>147</v>
      </c>
      <c r="I112" s="3">
        <v>2</v>
      </c>
      <c r="J112" s="3">
        <v>0</v>
      </c>
      <c r="K112" s="3">
        <v>2</v>
      </c>
      <c r="O112" s="3">
        <f t="shared" si="73"/>
        <v>74281.990000000005</v>
      </c>
      <c r="P112" s="3">
        <f t="shared" si="74"/>
        <v>74281.990000000005</v>
      </c>
      <c r="Q112" s="3">
        <f t="shared" si="104"/>
        <v>0</v>
      </c>
      <c r="R112" s="3">
        <f t="shared" si="105"/>
        <v>0</v>
      </c>
      <c r="S112" s="3">
        <f t="shared" si="75"/>
        <v>0</v>
      </c>
      <c r="T112" s="3">
        <f t="shared" si="76"/>
        <v>0</v>
      </c>
      <c r="U112" s="3">
        <f t="shared" si="77"/>
        <v>0</v>
      </c>
      <c r="V112" s="3">
        <f t="shared" si="78"/>
        <v>0</v>
      </c>
      <c r="W112" s="3">
        <f t="shared" si="79"/>
        <v>0</v>
      </c>
      <c r="X112" s="3">
        <f t="shared" si="106"/>
        <v>0</v>
      </c>
      <c r="Y112" s="3">
        <f t="shared" si="107"/>
        <v>0</v>
      </c>
      <c r="AA112" s="3">
        <v>55943568</v>
      </c>
      <c r="AB112" s="3">
        <f t="shared" si="80"/>
        <v>4906.34</v>
      </c>
      <c r="AC112" s="3">
        <f t="shared" si="108"/>
        <v>4906.34</v>
      </c>
      <c r="AD112" s="3">
        <f t="shared" si="109"/>
        <v>0</v>
      </c>
      <c r="AE112" s="3">
        <f t="shared" si="110"/>
        <v>0</v>
      </c>
      <c r="AF112" s="3">
        <f t="shared" si="110"/>
        <v>0</v>
      </c>
      <c r="AG112" s="3">
        <f t="shared" si="81"/>
        <v>0</v>
      </c>
      <c r="AH112" s="3">
        <f t="shared" si="111"/>
        <v>0</v>
      </c>
      <c r="AI112" s="3">
        <f t="shared" si="111"/>
        <v>0</v>
      </c>
      <c r="AJ112" s="3">
        <f t="shared" si="82"/>
        <v>0</v>
      </c>
      <c r="AK112" s="3">
        <v>4906.34</v>
      </c>
      <c r="AL112" s="3">
        <v>4906.34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195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3"/>
        <v>74281.990000000005</v>
      </c>
      <c r="CQ112" s="3">
        <f t="shared" si="84"/>
        <v>37140.99</v>
      </c>
      <c r="CR112" s="3">
        <f t="shared" si="112"/>
        <v>0</v>
      </c>
      <c r="CS112" s="3">
        <f t="shared" si="113"/>
        <v>0</v>
      </c>
      <c r="CT112" s="3">
        <f t="shared" si="85"/>
        <v>0</v>
      </c>
      <c r="CU112" s="3">
        <f t="shared" si="86"/>
        <v>0</v>
      </c>
      <c r="CV112" s="3">
        <f t="shared" si="87"/>
        <v>0</v>
      </c>
      <c r="CW112" s="3">
        <f t="shared" si="88"/>
        <v>0</v>
      </c>
      <c r="CX112" s="3">
        <f t="shared" si="89"/>
        <v>0</v>
      </c>
      <c r="CY112" s="3">
        <f t="shared" si="114"/>
        <v>0</v>
      </c>
      <c r="CZ112" s="3">
        <f t="shared" si="115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147</v>
      </c>
      <c r="DW112" s="3" t="s">
        <v>147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55393904</v>
      </c>
      <c r="EF112" s="3">
        <v>214</v>
      </c>
      <c r="EG112" s="3" t="s">
        <v>148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148</v>
      </c>
      <c r="EM112" s="3" t="s">
        <v>149</v>
      </c>
      <c r="EO112" s="3" t="s">
        <v>3</v>
      </c>
      <c r="EQ112" s="3">
        <v>131088</v>
      </c>
      <c r="ER112" s="3">
        <v>0</v>
      </c>
      <c r="ES112" s="3">
        <v>4906.34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45312</v>
      </c>
      <c r="FQ112" s="3">
        <v>0</v>
      </c>
      <c r="FR112" s="3">
        <f t="shared" si="116"/>
        <v>74281.990000000005</v>
      </c>
      <c r="FS112" s="3">
        <v>0</v>
      </c>
      <c r="FX112" s="3">
        <v>0</v>
      </c>
      <c r="FY112" s="3">
        <v>0</v>
      </c>
      <c r="GA112" s="3" t="s">
        <v>197</v>
      </c>
      <c r="GD112" s="3">
        <v>1</v>
      </c>
      <c r="GF112" s="3">
        <v>640782031</v>
      </c>
      <c r="GG112" s="3">
        <v>2</v>
      </c>
      <c r="GH112" s="3">
        <v>3</v>
      </c>
      <c r="GI112" s="3">
        <v>3</v>
      </c>
      <c r="GJ112" s="3">
        <v>0</v>
      </c>
      <c r="GK112" s="3">
        <v>0</v>
      </c>
      <c r="GL112" s="3">
        <f t="shared" si="90"/>
        <v>0</v>
      </c>
      <c r="GM112" s="3">
        <f t="shared" si="91"/>
        <v>74281.990000000005</v>
      </c>
      <c r="GN112" s="3">
        <f t="shared" si="92"/>
        <v>0</v>
      </c>
      <c r="GO112" s="3">
        <f t="shared" si="93"/>
        <v>0</v>
      </c>
      <c r="GP112" s="3">
        <f t="shared" si="94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95"/>
        <v>0</v>
      </c>
      <c r="GW112" s="3">
        <v>1</v>
      </c>
      <c r="GX112" s="3">
        <f t="shared" si="96"/>
        <v>0</v>
      </c>
      <c r="HA112" s="3">
        <v>0</v>
      </c>
      <c r="HB112" s="3">
        <v>0</v>
      </c>
      <c r="HC112" s="3">
        <f t="shared" si="97"/>
        <v>0</v>
      </c>
      <c r="HE112" s="3" t="s">
        <v>158</v>
      </c>
      <c r="HF112" s="3" t="s">
        <v>158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198</v>
      </c>
      <c r="F113" s="2" t="s">
        <v>199</v>
      </c>
      <c r="G113" s="2" t="s">
        <v>200</v>
      </c>
      <c r="H113" s="2" t="s">
        <v>147</v>
      </c>
      <c r="I113" s="2">
        <v>20</v>
      </c>
      <c r="J113" s="2">
        <v>0</v>
      </c>
      <c r="K113" s="2">
        <v>20</v>
      </c>
      <c r="L113" s="2"/>
      <c r="M113" s="2"/>
      <c r="N113" s="2"/>
      <c r="O113" s="2">
        <f t="shared" si="73"/>
        <v>115698.2</v>
      </c>
      <c r="P113" s="2">
        <f t="shared" si="74"/>
        <v>115698.2</v>
      </c>
      <c r="Q113" s="2">
        <f t="shared" si="104"/>
        <v>0</v>
      </c>
      <c r="R113" s="2">
        <f t="shared" si="105"/>
        <v>0</v>
      </c>
      <c r="S113" s="2">
        <f t="shared" si="75"/>
        <v>0</v>
      </c>
      <c r="T113" s="2">
        <f t="shared" si="76"/>
        <v>0</v>
      </c>
      <c r="U113" s="2">
        <f t="shared" si="77"/>
        <v>0</v>
      </c>
      <c r="V113" s="2">
        <f t="shared" si="78"/>
        <v>0</v>
      </c>
      <c r="W113" s="2">
        <f t="shared" si="79"/>
        <v>0</v>
      </c>
      <c r="X113" s="2">
        <f t="shared" si="106"/>
        <v>0</v>
      </c>
      <c r="Y113" s="2">
        <f t="shared" si="107"/>
        <v>0</v>
      </c>
      <c r="Z113" s="2"/>
      <c r="AA113" s="2">
        <v>55943566</v>
      </c>
      <c r="AB113" s="2">
        <f t="shared" si="80"/>
        <v>5784.91</v>
      </c>
      <c r="AC113" s="2">
        <f t="shared" si="108"/>
        <v>5784.91</v>
      </c>
      <c r="AD113" s="2">
        <f t="shared" si="109"/>
        <v>0</v>
      </c>
      <c r="AE113" s="2">
        <f t="shared" si="110"/>
        <v>0</v>
      </c>
      <c r="AF113" s="2">
        <f t="shared" si="110"/>
        <v>0</v>
      </c>
      <c r="AG113" s="2">
        <f t="shared" si="81"/>
        <v>0</v>
      </c>
      <c r="AH113" s="2">
        <f t="shared" si="111"/>
        <v>0</v>
      </c>
      <c r="AI113" s="2">
        <f t="shared" si="111"/>
        <v>0</v>
      </c>
      <c r="AJ113" s="2">
        <f t="shared" si="82"/>
        <v>0</v>
      </c>
      <c r="AK113" s="2">
        <v>5784.91</v>
      </c>
      <c r="AL113" s="2">
        <v>5784.91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199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3"/>
        <v>115698.2</v>
      </c>
      <c r="CQ113" s="2">
        <f t="shared" si="84"/>
        <v>5784.91</v>
      </c>
      <c r="CR113" s="2">
        <f t="shared" si="112"/>
        <v>0</v>
      </c>
      <c r="CS113" s="2">
        <f t="shared" si="113"/>
        <v>0</v>
      </c>
      <c r="CT113" s="2">
        <f t="shared" si="85"/>
        <v>0</v>
      </c>
      <c r="CU113" s="2">
        <f t="shared" si="86"/>
        <v>0</v>
      </c>
      <c r="CV113" s="2">
        <f t="shared" si="87"/>
        <v>0</v>
      </c>
      <c r="CW113" s="2">
        <f t="shared" si="88"/>
        <v>0</v>
      </c>
      <c r="CX113" s="2">
        <f t="shared" si="89"/>
        <v>0</v>
      </c>
      <c r="CY113" s="2">
        <f t="shared" si="114"/>
        <v>0</v>
      </c>
      <c r="CZ113" s="2">
        <f t="shared" si="115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147</v>
      </c>
      <c r="DW113" s="2" t="s">
        <v>147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55393904</v>
      </c>
      <c r="EF113" s="2">
        <v>214</v>
      </c>
      <c r="EG113" s="2" t="s">
        <v>148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148</v>
      </c>
      <c r="EM113" s="2" t="s">
        <v>149</v>
      </c>
      <c r="EN113" s="2"/>
      <c r="EO113" s="2" t="s">
        <v>3</v>
      </c>
      <c r="EP113" s="2"/>
      <c r="EQ113" s="2">
        <v>131088</v>
      </c>
      <c r="ER113" s="2">
        <v>0</v>
      </c>
      <c r="ES113" s="2">
        <v>5784.91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16"/>
        <v>115698.2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201</v>
      </c>
      <c r="GB113" s="2"/>
      <c r="GC113" s="2"/>
      <c r="GD113" s="2">
        <v>1</v>
      </c>
      <c r="GE113" s="2"/>
      <c r="GF113" s="2">
        <v>-1693349900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115698.2</v>
      </c>
      <c r="GN113" s="2">
        <f t="shared" si="92"/>
        <v>0</v>
      </c>
      <c r="GO113" s="2">
        <f t="shared" si="93"/>
        <v>0</v>
      </c>
      <c r="GP113" s="2">
        <f t="shared" si="94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158</v>
      </c>
      <c r="HF113" s="2" t="s">
        <v>158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E114" s="3" t="s">
        <v>198</v>
      </c>
      <c r="F114" s="3" t="s">
        <v>199</v>
      </c>
      <c r="G114" s="3" t="s">
        <v>200</v>
      </c>
      <c r="H114" s="3" t="s">
        <v>147</v>
      </c>
      <c r="I114" s="3">
        <v>20</v>
      </c>
      <c r="J114" s="3">
        <v>0</v>
      </c>
      <c r="K114" s="3">
        <v>20</v>
      </c>
      <c r="O114" s="3">
        <f t="shared" si="73"/>
        <v>875835.37</v>
      </c>
      <c r="P114" s="3">
        <f t="shared" si="74"/>
        <v>875835.37</v>
      </c>
      <c r="Q114" s="3">
        <f t="shared" si="104"/>
        <v>0</v>
      </c>
      <c r="R114" s="3">
        <f t="shared" si="105"/>
        <v>0</v>
      </c>
      <c r="S114" s="3">
        <f t="shared" si="75"/>
        <v>0</v>
      </c>
      <c r="T114" s="3">
        <f t="shared" si="76"/>
        <v>0</v>
      </c>
      <c r="U114" s="3">
        <f t="shared" si="77"/>
        <v>0</v>
      </c>
      <c r="V114" s="3">
        <f t="shared" si="78"/>
        <v>0</v>
      </c>
      <c r="W114" s="3">
        <f t="shared" si="79"/>
        <v>0</v>
      </c>
      <c r="X114" s="3">
        <f t="shared" si="106"/>
        <v>0</v>
      </c>
      <c r="Y114" s="3">
        <f t="shared" si="107"/>
        <v>0</v>
      </c>
      <c r="AA114" s="3">
        <v>55943568</v>
      </c>
      <c r="AB114" s="3">
        <f t="shared" si="80"/>
        <v>5784.91</v>
      </c>
      <c r="AC114" s="3">
        <f t="shared" si="108"/>
        <v>5784.91</v>
      </c>
      <c r="AD114" s="3">
        <f t="shared" si="109"/>
        <v>0</v>
      </c>
      <c r="AE114" s="3">
        <f t="shared" si="110"/>
        <v>0</v>
      </c>
      <c r="AF114" s="3">
        <f t="shared" si="110"/>
        <v>0</v>
      </c>
      <c r="AG114" s="3">
        <f t="shared" si="81"/>
        <v>0</v>
      </c>
      <c r="AH114" s="3">
        <f t="shared" si="111"/>
        <v>0</v>
      </c>
      <c r="AI114" s="3">
        <f t="shared" si="111"/>
        <v>0</v>
      </c>
      <c r="AJ114" s="3">
        <f t="shared" si="82"/>
        <v>0</v>
      </c>
      <c r="AK114" s="3">
        <v>5784.91</v>
      </c>
      <c r="AL114" s="3">
        <v>5784.91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199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83"/>
        <v>875835.37</v>
      </c>
      <c r="CQ114" s="3">
        <f t="shared" si="84"/>
        <v>43791.77</v>
      </c>
      <c r="CR114" s="3">
        <f t="shared" si="112"/>
        <v>0</v>
      </c>
      <c r="CS114" s="3">
        <f t="shared" si="113"/>
        <v>0</v>
      </c>
      <c r="CT114" s="3">
        <f t="shared" si="85"/>
        <v>0</v>
      </c>
      <c r="CU114" s="3">
        <f t="shared" si="86"/>
        <v>0</v>
      </c>
      <c r="CV114" s="3">
        <f t="shared" si="87"/>
        <v>0</v>
      </c>
      <c r="CW114" s="3">
        <f t="shared" si="88"/>
        <v>0</v>
      </c>
      <c r="CX114" s="3">
        <f t="shared" si="89"/>
        <v>0</v>
      </c>
      <c r="CY114" s="3">
        <f t="shared" si="114"/>
        <v>0</v>
      </c>
      <c r="CZ114" s="3">
        <f t="shared" si="115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147</v>
      </c>
      <c r="DW114" s="3" t="s">
        <v>147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55393904</v>
      </c>
      <c r="EF114" s="3">
        <v>214</v>
      </c>
      <c r="EG114" s="3" t="s">
        <v>148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148</v>
      </c>
      <c r="EM114" s="3" t="s">
        <v>149</v>
      </c>
      <c r="EO114" s="3" t="s">
        <v>3</v>
      </c>
      <c r="EQ114" s="3">
        <v>131088</v>
      </c>
      <c r="ER114" s="3">
        <v>0</v>
      </c>
      <c r="ES114" s="3">
        <v>5784.91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53426</v>
      </c>
      <c r="FQ114" s="3">
        <v>0</v>
      </c>
      <c r="FR114" s="3">
        <f t="shared" si="116"/>
        <v>875835.37</v>
      </c>
      <c r="FS114" s="3">
        <v>0</v>
      </c>
      <c r="FX114" s="3">
        <v>0</v>
      </c>
      <c r="FY114" s="3">
        <v>0</v>
      </c>
      <c r="GA114" s="3" t="s">
        <v>201</v>
      </c>
      <c r="GD114" s="3">
        <v>1</v>
      </c>
      <c r="GF114" s="3">
        <v>-1693349900</v>
      </c>
      <c r="GG114" s="3">
        <v>2</v>
      </c>
      <c r="GH114" s="3">
        <v>3</v>
      </c>
      <c r="GI114" s="3">
        <v>3</v>
      </c>
      <c r="GJ114" s="3">
        <v>0</v>
      </c>
      <c r="GK114" s="3">
        <v>0</v>
      </c>
      <c r="GL114" s="3">
        <f t="shared" si="90"/>
        <v>0</v>
      </c>
      <c r="GM114" s="3">
        <f t="shared" si="91"/>
        <v>875835.37</v>
      </c>
      <c r="GN114" s="3">
        <f t="shared" si="92"/>
        <v>0</v>
      </c>
      <c r="GO114" s="3">
        <f t="shared" si="93"/>
        <v>0</v>
      </c>
      <c r="GP114" s="3">
        <f t="shared" si="94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95"/>
        <v>0</v>
      </c>
      <c r="GW114" s="3">
        <v>1</v>
      </c>
      <c r="GX114" s="3">
        <f t="shared" si="96"/>
        <v>0</v>
      </c>
      <c r="HA114" s="3">
        <v>0</v>
      </c>
      <c r="HB114" s="3">
        <v>0</v>
      </c>
      <c r="HC114" s="3">
        <f t="shared" si="97"/>
        <v>0</v>
      </c>
      <c r="HE114" s="3" t="s">
        <v>158</v>
      </c>
      <c r="HF114" s="3" t="s">
        <v>158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202</v>
      </c>
      <c r="F115" s="2" t="s">
        <v>203</v>
      </c>
      <c r="G115" s="2" t="s">
        <v>204</v>
      </c>
      <c r="H115" s="2" t="s">
        <v>147</v>
      </c>
      <c r="I115" s="2">
        <v>9</v>
      </c>
      <c r="J115" s="2">
        <v>0</v>
      </c>
      <c r="K115" s="2">
        <v>9</v>
      </c>
      <c r="L115" s="2"/>
      <c r="M115" s="2"/>
      <c r="N115" s="2"/>
      <c r="O115" s="2">
        <f t="shared" si="73"/>
        <v>52064.19</v>
      </c>
      <c r="P115" s="2">
        <f t="shared" si="74"/>
        <v>52064.19</v>
      </c>
      <c r="Q115" s="2">
        <f t="shared" si="104"/>
        <v>0</v>
      </c>
      <c r="R115" s="2">
        <f t="shared" si="105"/>
        <v>0</v>
      </c>
      <c r="S115" s="2">
        <f t="shared" si="75"/>
        <v>0</v>
      </c>
      <c r="T115" s="2">
        <f t="shared" si="76"/>
        <v>0</v>
      </c>
      <c r="U115" s="2">
        <f t="shared" si="77"/>
        <v>0</v>
      </c>
      <c r="V115" s="2">
        <f t="shared" si="78"/>
        <v>0</v>
      </c>
      <c r="W115" s="2">
        <f t="shared" si="79"/>
        <v>0</v>
      </c>
      <c r="X115" s="2">
        <f t="shared" si="106"/>
        <v>0</v>
      </c>
      <c r="Y115" s="2">
        <f t="shared" si="107"/>
        <v>0</v>
      </c>
      <c r="Z115" s="2"/>
      <c r="AA115" s="2">
        <v>55943566</v>
      </c>
      <c r="AB115" s="2">
        <f t="shared" si="80"/>
        <v>5784.91</v>
      </c>
      <c r="AC115" s="2">
        <f t="shared" si="108"/>
        <v>5784.91</v>
      </c>
      <c r="AD115" s="2">
        <f t="shared" si="109"/>
        <v>0</v>
      </c>
      <c r="AE115" s="2">
        <f t="shared" si="110"/>
        <v>0</v>
      </c>
      <c r="AF115" s="2">
        <f t="shared" si="110"/>
        <v>0</v>
      </c>
      <c r="AG115" s="2">
        <f t="shared" si="81"/>
        <v>0</v>
      </c>
      <c r="AH115" s="2">
        <f t="shared" si="111"/>
        <v>0</v>
      </c>
      <c r="AI115" s="2">
        <f t="shared" si="111"/>
        <v>0</v>
      </c>
      <c r="AJ115" s="2">
        <f t="shared" si="82"/>
        <v>0</v>
      </c>
      <c r="AK115" s="2">
        <v>5784.91</v>
      </c>
      <c r="AL115" s="2">
        <v>5784.91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203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3"/>
        <v>52064.19</v>
      </c>
      <c r="CQ115" s="2">
        <f t="shared" si="84"/>
        <v>5784.91</v>
      </c>
      <c r="CR115" s="2">
        <f t="shared" si="112"/>
        <v>0</v>
      </c>
      <c r="CS115" s="2">
        <f t="shared" si="113"/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 t="shared" si="114"/>
        <v>0</v>
      </c>
      <c r="CZ115" s="2">
        <f t="shared" si="115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147</v>
      </c>
      <c r="DW115" s="2" t="s">
        <v>147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55393904</v>
      </c>
      <c r="EF115" s="2">
        <v>214</v>
      </c>
      <c r="EG115" s="2" t="s">
        <v>148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148</v>
      </c>
      <c r="EM115" s="2" t="s">
        <v>149</v>
      </c>
      <c r="EN115" s="2"/>
      <c r="EO115" s="2" t="s">
        <v>3</v>
      </c>
      <c r="EP115" s="2"/>
      <c r="EQ115" s="2">
        <v>131088</v>
      </c>
      <c r="ER115" s="2">
        <v>0</v>
      </c>
      <c r="ES115" s="2">
        <v>5784.91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16"/>
        <v>52064.19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201</v>
      </c>
      <c r="GB115" s="2"/>
      <c r="GC115" s="2"/>
      <c r="GD115" s="2">
        <v>1</v>
      </c>
      <c r="GE115" s="2"/>
      <c r="GF115" s="2">
        <v>-733479885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52064.19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158</v>
      </c>
      <c r="HF115" s="2" t="s">
        <v>158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E116" s="3" t="s">
        <v>202</v>
      </c>
      <c r="F116" s="3" t="s">
        <v>203</v>
      </c>
      <c r="G116" s="3" t="s">
        <v>204</v>
      </c>
      <c r="H116" s="3" t="s">
        <v>147</v>
      </c>
      <c r="I116" s="3">
        <v>9</v>
      </c>
      <c r="J116" s="3">
        <v>0</v>
      </c>
      <c r="K116" s="3">
        <v>9</v>
      </c>
      <c r="O116" s="3">
        <f t="shared" si="73"/>
        <v>394125.92</v>
      </c>
      <c r="P116" s="3">
        <f t="shared" si="74"/>
        <v>394125.92</v>
      </c>
      <c r="Q116" s="3">
        <f t="shared" si="104"/>
        <v>0</v>
      </c>
      <c r="R116" s="3">
        <f t="shared" si="105"/>
        <v>0</v>
      </c>
      <c r="S116" s="3">
        <f t="shared" si="75"/>
        <v>0</v>
      </c>
      <c r="T116" s="3">
        <f t="shared" si="76"/>
        <v>0</v>
      </c>
      <c r="U116" s="3">
        <f t="shared" si="77"/>
        <v>0</v>
      </c>
      <c r="V116" s="3">
        <f t="shared" si="78"/>
        <v>0</v>
      </c>
      <c r="W116" s="3">
        <f t="shared" si="79"/>
        <v>0</v>
      </c>
      <c r="X116" s="3">
        <f t="shared" si="106"/>
        <v>0</v>
      </c>
      <c r="Y116" s="3">
        <f t="shared" si="107"/>
        <v>0</v>
      </c>
      <c r="AA116" s="3">
        <v>55943568</v>
      </c>
      <c r="AB116" s="3">
        <f t="shared" si="80"/>
        <v>5784.91</v>
      </c>
      <c r="AC116" s="3">
        <f t="shared" si="108"/>
        <v>5784.91</v>
      </c>
      <c r="AD116" s="3">
        <f t="shared" si="109"/>
        <v>0</v>
      </c>
      <c r="AE116" s="3">
        <f t="shared" si="110"/>
        <v>0</v>
      </c>
      <c r="AF116" s="3">
        <f t="shared" si="110"/>
        <v>0</v>
      </c>
      <c r="AG116" s="3">
        <f t="shared" si="81"/>
        <v>0</v>
      </c>
      <c r="AH116" s="3">
        <f t="shared" si="111"/>
        <v>0</v>
      </c>
      <c r="AI116" s="3">
        <f t="shared" si="111"/>
        <v>0</v>
      </c>
      <c r="AJ116" s="3">
        <f t="shared" si="82"/>
        <v>0</v>
      </c>
      <c r="AK116" s="3">
        <v>5784.91</v>
      </c>
      <c r="AL116" s="3">
        <v>5784.91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203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3"/>
        <v>394125.92</v>
      </c>
      <c r="CQ116" s="3">
        <f t="shared" si="84"/>
        <v>43791.77</v>
      </c>
      <c r="CR116" s="3">
        <f t="shared" si="112"/>
        <v>0</v>
      </c>
      <c r="CS116" s="3">
        <f t="shared" si="113"/>
        <v>0</v>
      </c>
      <c r="CT116" s="3">
        <f t="shared" si="85"/>
        <v>0</v>
      </c>
      <c r="CU116" s="3">
        <f t="shared" si="86"/>
        <v>0</v>
      </c>
      <c r="CV116" s="3">
        <f t="shared" si="87"/>
        <v>0</v>
      </c>
      <c r="CW116" s="3">
        <f t="shared" si="88"/>
        <v>0</v>
      </c>
      <c r="CX116" s="3">
        <f t="shared" si="89"/>
        <v>0</v>
      </c>
      <c r="CY116" s="3">
        <f t="shared" si="114"/>
        <v>0</v>
      </c>
      <c r="CZ116" s="3">
        <f t="shared" si="115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147</v>
      </c>
      <c r="DW116" s="3" t="s">
        <v>147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55393904</v>
      </c>
      <c r="EF116" s="3">
        <v>214</v>
      </c>
      <c r="EG116" s="3" t="s">
        <v>148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148</v>
      </c>
      <c r="EM116" s="3" t="s">
        <v>149</v>
      </c>
      <c r="EO116" s="3" t="s">
        <v>3</v>
      </c>
      <c r="EQ116" s="3">
        <v>131088</v>
      </c>
      <c r="ER116" s="3">
        <v>0</v>
      </c>
      <c r="ES116" s="3">
        <v>5784.91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53426</v>
      </c>
      <c r="FQ116" s="3">
        <v>0</v>
      </c>
      <c r="FR116" s="3">
        <f t="shared" si="116"/>
        <v>394125.92</v>
      </c>
      <c r="FS116" s="3">
        <v>0</v>
      </c>
      <c r="FX116" s="3">
        <v>0</v>
      </c>
      <c r="FY116" s="3">
        <v>0</v>
      </c>
      <c r="GA116" s="3" t="s">
        <v>201</v>
      </c>
      <c r="GD116" s="3">
        <v>1</v>
      </c>
      <c r="GF116" s="3">
        <v>-733479885</v>
      </c>
      <c r="GG116" s="3">
        <v>2</v>
      </c>
      <c r="GH116" s="3">
        <v>3</v>
      </c>
      <c r="GI116" s="3">
        <v>3</v>
      </c>
      <c r="GJ116" s="3">
        <v>0</v>
      </c>
      <c r="GK116" s="3">
        <v>0</v>
      </c>
      <c r="GL116" s="3">
        <f t="shared" si="90"/>
        <v>0</v>
      </c>
      <c r="GM116" s="3">
        <f t="shared" si="91"/>
        <v>394125.92</v>
      </c>
      <c r="GN116" s="3">
        <f t="shared" si="92"/>
        <v>0</v>
      </c>
      <c r="GO116" s="3">
        <f t="shared" si="93"/>
        <v>0</v>
      </c>
      <c r="GP116" s="3">
        <f t="shared" si="94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95"/>
        <v>0</v>
      </c>
      <c r="GW116" s="3">
        <v>1</v>
      </c>
      <c r="GX116" s="3">
        <f t="shared" si="96"/>
        <v>0</v>
      </c>
      <c r="HA116" s="3">
        <v>0</v>
      </c>
      <c r="HB116" s="3">
        <v>0</v>
      </c>
      <c r="HC116" s="3">
        <f t="shared" si="97"/>
        <v>0</v>
      </c>
      <c r="HE116" s="3" t="s">
        <v>158</v>
      </c>
      <c r="HF116" s="3" t="s">
        <v>158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x14ac:dyDescent="0.2">
      <c r="A118" s="11">
        <v>51</v>
      </c>
      <c r="B118" s="11">
        <f>B79</f>
        <v>1</v>
      </c>
      <c r="C118" s="11">
        <f>A79</f>
        <v>4</v>
      </c>
      <c r="D118" s="11">
        <f>ROW(A79)</f>
        <v>79</v>
      </c>
      <c r="E118" s="11"/>
      <c r="F118" s="11" t="str">
        <f>IF(F79&lt;&gt;"",F79,"")</f>
        <v>Новый раздел</v>
      </c>
      <c r="G118" s="11" t="str">
        <f>IF(G79&lt;&gt;"",G79,"")</f>
        <v>Оборудование системы двусторонней связи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117">ROUND(AB118,2)</f>
        <v>255351.62</v>
      </c>
      <c r="P118" s="11">
        <f t="shared" si="117"/>
        <v>253634.39</v>
      </c>
      <c r="Q118" s="11">
        <f t="shared" si="117"/>
        <v>234.2</v>
      </c>
      <c r="R118" s="11">
        <f t="shared" si="117"/>
        <v>28.44</v>
      </c>
      <c r="S118" s="11">
        <f t="shared" si="117"/>
        <v>1483.03</v>
      </c>
      <c r="T118" s="11">
        <f t="shared" si="117"/>
        <v>0</v>
      </c>
      <c r="U118" s="11">
        <f>AH118</f>
        <v>104.87673359999999</v>
      </c>
      <c r="V118" s="11">
        <f>AI118</f>
        <v>0</v>
      </c>
      <c r="W118" s="11">
        <f>ROUND(AJ118,2)</f>
        <v>0</v>
      </c>
      <c r="X118" s="11">
        <f>ROUND(AK118,2)</f>
        <v>1363.41</v>
      </c>
      <c r="Y118" s="11">
        <f>ROUND(AL118,2)</f>
        <v>699.59</v>
      </c>
      <c r="Z118" s="11"/>
      <c r="AA118" s="11"/>
      <c r="AB118" s="11">
        <f>ROUND(SUMIF(AA83:AA116,"=55943566",O83:O116),2)</f>
        <v>255351.62</v>
      </c>
      <c r="AC118" s="11">
        <f>ROUND(SUMIF(AA83:AA116,"=55943566",P83:P116),2)</f>
        <v>253634.39</v>
      </c>
      <c r="AD118" s="11">
        <f>ROUND(SUMIF(AA83:AA116,"=55943566",Q83:Q116),2)</f>
        <v>234.2</v>
      </c>
      <c r="AE118" s="11">
        <f>ROUND(SUMIF(AA83:AA116,"=55943566",R83:R116),2)</f>
        <v>28.44</v>
      </c>
      <c r="AF118" s="11">
        <f>ROUND(SUMIF(AA83:AA116,"=55943566",S83:S116),2)</f>
        <v>1483.03</v>
      </c>
      <c r="AG118" s="11">
        <f>ROUND(SUMIF(AA83:AA116,"=55943566",T83:T116),2)</f>
        <v>0</v>
      </c>
      <c r="AH118" s="11">
        <f>SUMIF(AA83:AA116,"=55943566",U83:U116)</f>
        <v>104.87673359999999</v>
      </c>
      <c r="AI118" s="11">
        <f>SUMIF(AA83:AA116,"=55943566",V83:V116)</f>
        <v>0</v>
      </c>
      <c r="AJ118" s="11">
        <f>ROUND(SUMIF(AA83:AA116,"=55943566",W83:W116),2)</f>
        <v>0</v>
      </c>
      <c r="AK118" s="11">
        <f>ROUND(SUMIF(AA83:AA116,"=55943566",X83:X116),2)</f>
        <v>1363.41</v>
      </c>
      <c r="AL118" s="11">
        <f>ROUND(SUMIF(AA83:AA116,"=55943566",Y83:Y116),2)</f>
        <v>699.59</v>
      </c>
      <c r="AM118" s="11"/>
      <c r="AN118" s="11"/>
      <c r="AO118" s="11">
        <f t="shared" ref="AO118:BD118" si="118">ROUND(BX118,2)</f>
        <v>0</v>
      </c>
      <c r="AP118" s="11">
        <f t="shared" si="118"/>
        <v>252525.66</v>
      </c>
      <c r="AQ118" s="11">
        <f t="shared" si="118"/>
        <v>0</v>
      </c>
      <c r="AR118" s="11">
        <f t="shared" si="118"/>
        <v>257414.62</v>
      </c>
      <c r="AS118" s="11">
        <f t="shared" si="118"/>
        <v>925.94</v>
      </c>
      <c r="AT118" s="11">
        <f t="shared" si="118"/>
        <v>3963.02</v>
      </c>
      <c r="AU118" s="11">
        <f t="shared" si="118"/>
        <v>0</v>
      </c>
      <c r="AV118" s="11">
        <f t="shared" si="118"/>
        <v>253634.39</v>
      </c>
      <c r="AW118" s="11">
        <f t="shared" si="118"/>
        <v>1108.73</v>
      </c>
      <c r="AX118" s="11">
        <f t="shared" si="118"/>
        <v>0</v>
      </c>
      <c r="AY118" s="11">
        <f t="shared" si="118"/>
        <v>1108.73</v>
      </c>
      <c r="AZ118" s="11">
        <f t="shared" si="118"/>
        <v>252525.66</v>
      </c>
      <c r="BA118" s="11">
        <f t="shared" si="118"/>
        <v>0</v>
      </c>
      <c r="BB118" s="11">
        <f t="shared" si="118"/>
        <v>0</v>
      </c>
      <c r="BC118" s="11">
        <f t="shared" si="118"/>
        <v>0</v>
      </c>
      <c r="BD118" s="11">
        <f t="shared" si="118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ROUND(SUMIF(AA83:AA116,"=55943566",FQ83:FQ116),2)</f>
        <v>0</v>
      </c>
      <c r="BY118" s="11">
        <f>ROUND(SUMIF(AA83:AA116,"=55943566",FR83:FR116),2)</f>
        <v>252525.66</v>
      </c>
      <c r="BZ118" s="11">
        <f>ROUND(SUMIF(AA83:AA116,"=55943566",GL83:GL116),2)</f>
        <v>0</v>
      </c>
      <c r="CA118" s="11">
        <f>ROUND(SUMIF(AA83:AA116,"=55943566",GM83:GM116),2)</f>
        <v>257414.62</v>
      </c>
      <c r="CB118" s="11">
        <f>ROUND(SUMIF(AA83:AA116,"=55943566",GN83:GN116),2)</f>
        <v>925.94</v>
      </c>
      <c r="CC118" s="11">
        <f>ROUND(SUMIF(AA83:AA116,"=55943566",GO83:GO116),2)</f>
        <v>3963.02</v>
      </c>
      <c r="CD118" s="11">
        <f>ROUND(SUMIF(AA83:AA116,"=55943566",GP83:GP116),2)</f>
        <v>0</v>
      </c>
      <c r="CE118" s="11">
        <f>AC118-BX118</f>
        <v>253634.39</v>
      </c>
      <c r="CF118" s="11">
        <f>AC118-BY118</f>
        <v>1108.7300000000105</v>
      </c>
      <c r="CG118" s="11">
        <f>BX118-BZ118</f>
        <v>0</v>
      </c>
      <c r="CH118" s="11">
        <f>AC118-BX118-BY118+BZ118</f>
        <v>1108.7300000000105</v>
      </c>
      <c r="CI118" s="11">
        <f>BY118-BZ118</f>
        <v>252525.66</v>
      </c>
      <c r="CJ118" s="11">
        <f>ROUND(SUMIF(AA83:AA116,"=55943566",GX83:GX116),2)</f>
        <v>0</v>
      </c>
      <c r="CK118" s="11">
        <f>ROUND(SUMIF(AA83:AA116,"=55943566",GY83:GY116),2)</f>
        <v>0</v>
      </c>
      <c r="CL118" s="11">
        <f>ROUND(SUMIF(AA83:AA116,"=55943566",GZ83:GZ116),2)</f>
        <v>0</v>
      </c>
      <c r="CM118" s="11">
        <f>ROUND(SUMIF(AA83:AA116,"=55943566",HD83:HD116),2)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19">ROUND(DT118,2)</f>
        <v>2010172.26</v>
      </c>
      <c r="DH118" s="12">
        <f t="shared" si="119"/>
        <v>1922726.69</v>
      </c>
      <c r="DI118" s="12">
        <f t="shared" si="119"/>
        <v>3876.83</v>
      </c>
      <c r="DJ118" s="12">
        <f t="shared" si="119"/>
        <v>1602.6</v>
      </c>
      <c r="DK118" s="12">
        <f t="shared" si="119"/>
        <v>83568.740000000005</v>
      </c>
      <c r="DL118" s="12">
        <f t="shared" si="119"/>
        <v>0</v>
      </c>
      <c r="DM118" s="12">
        <f>DZ118</f>
        <v>104.87673359999999</v>
      </c>
      <c r="DN118" s="12">
        <f>EA118</f>
        <v>0</v>
      </c>
      <c r="DO118" s="12">
        <f>ROUND(EB118,2)</f>
        <v>0</v>
      </c>
      <c r="DP118" s="12">
        <f>ROUND(EC118,2)</f>
        <v>76827.73</v>
      </c>
      <c r="DQ118" s="12">
        <f>ROUND(ED118,2)</f>
        <v>39421.75</v>
      </c>
      <c r="DR118" s="12"/>
      <c r="DS118" s="12"/>
      <c r="DT118" s="12">
        <f>ROUND(SUMIF(AA83:AA116,"=55943568",O83:O116),2)</f>
        <v>2010172.26</v>
      </c>
      <c r="DU118" s="12">
        <f>ROUND(SUMIF(AA83:AA116,"=55943568",P83:P116),2)</f>
        <v>1922726.69</v>
      </c>
      <c r="DV118" s="12">
        <f>ROUND(SUMIF(AA83:AA116,"=55943568",Q83:Q116),2)</f>
        <v>3876.83</v>
      </c>
      <c r="DW118" s="12">
        <f>ROUND(SUMIF(AA83:AA116,"=55943568",R83:R116),2)</f>
        <v>1602.6</v>
      </c>
      <c r="DX118" s="12">
        <f>ROUND(SUMIF(AA83:AA116,"=55943568",S83:S116),2)</f>
        <v>83568.740000000005</v>
      </c>
      <c r="DY118" s="12">
        <f>ROUND(SUMIF(AA83:AA116,"=55943568",T83:T116),2)</f>
        <v>0</v>
      </c>
      <c r="DZ118" s="12">
        <f>SUMIF(AA83:AA116,"=55943568",U83:U116)</f>
        <v>104.87673359999999</v>
      </c>
      <c r="EA118" s="12">
        <f>SUMIF(AA83:AA116,"=55943568",V83:V116)</f>
        <v>0</v>
      </c>
      <c r="EB118" s="12">
        <f>ROUND(SUMIF(AA83:AA116,"=55943568",W83:W116),2)</f>
        <v>0</v>
      </c>
      <c r="EC118" s="12">
        <f>ROUND(SUMIF(AA83:AA116,"=55943568",X83:X116),2)</f>
        <v>76827.73</v>
      </c>
      <c r="ED118" s="12">
        <f>ROUND(SUMIF(AA83:AA116,"=55943568",Y83:Y116),2)</f>
        <v>39421.75</v>
      </c>
      <c r="EE118" s="12"/>
      <c r="EF118" s="12"/>
      <c r="EG118" s="12">
        <f t="shared" ref="EG118:EV118" si="120">ROUND(FP118,2)</f>
        <v>0</v>
      </c>
      <c r="EH118" s="12">
        <f t="shared" si="120"/>
        <v>1911619.25</v>
      </c>
      <c r="EI118" s="12">
        <f t="shared" si="120"/>
        <v>0</v>
      </c>
      <c r="EJ118" s="12">
        <f t="shared" si="120"/>
        <v>2126421.7400000002</v>
      </c>
      <c r="EK118" s="12">
        <f t="shared" si="120"/>
        <v>9111.25</v>
      </c>
      <c r="EL118" s="12">
        <f t="shared" si="120"/>
        <v>205691.24</v>
      </c>
      <c r="EM118" s="12">
        <f t="shared" si="120"/>
        <v>0</v>
      </c>
      <c r="EN118" s="12">
        <f t="shared" si="120"/>
        <v>1922726.69</v>
      </c>
      <c r="EO118" s="12">
        <f t="shared" si="120"/>
        <v>11107.44</v>
      </c>
      <c r="EP118" s="12">
        <f t="shared" si="120"/>
        <v>0</v>
      </c>
      <c r="EQ118" s="12">
        <f t="shared" si="120"/>
        <v>11107.44</v>
      </c>
      <c r="ER118" s="12">
        <f t="shared" si="120"/>
        <v>1911619.25</v>
      </c>
      <c r="ES118" s="12">
        <f t="shared" si="120"/>
        <v>0</v>
      </c>
      <c r="ET118" s="12">
        <f t="shared" si="120"/>
        <v>0</v>
      </c>
      <c r="EU118" s="12">
        <f t="shared" si="120"/>
        <v>0</v>
      </c>
      <c r="EV118" s="12">
        <f t="shared" si="120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ROUND(SUMIF(AA83:AA116,"=55943568",FQ83:FQ116),2)</f>
        <v>0</v>
      </c>
      <c r="FQ118" s="12">
        <f>ROUND(SUMIF(AA83:AA116,"=55943568",FR83:FR116),2)</f>
        <v>1911619.25</v>
      </c>
      <c r="FR118" s="12">
        <f>ROUND(SUMIF(AA83:AA116,"=55943568",GL83:GL116),2)</f>
        <v>0</v>
      </c>
      <c r="FS118" s="12">
        <f>ROUND(SUMIF(AA83:AA116,"=55943568",GM83:GM116),2)</f>
        <v>2126421.7400000002</v>
      </c>
      <c r="FT118" s="12">
        <f>ROUND(SUMIF(AA83:AA116,"=55943568",GN83:GN116),2)</f>
        <v>9111.25</v>
      </c>
      <c r="FU118" s="12">
        <f>ROUND(SUMIF(AA83:AA116,"=55943568",GO83:GO116),2)</f>
        <v>205691.24</v>
      </c>
      <c r="FV118" s="12">
        <f>ROUND(SUMIF(AA83:AA116,"=55943568",GP83:GP116),2)</f>
        <v>0</v>
      </c>
      <c r="FW118" s="12">
        <f>DU118-FP118</f>
        <v>1922726.69</v>
      </c>
      <c r="FX118" s="12">
        <f>DU118-FQ118</f>
        <v>11107.439999999944</v>
      </c>
      <c r="FY118" s="12">
        <f>FP118-FR118</f>
        <v>0</v>
      </c>
      <c r="FZ118" s="12">
        <f>DU118-FP118-FQ118+FR118</f>
        <v>11107.439999999944</v>
      </c>
      <c r="GA118" s="12">
        <f>FQ118-FR118</f>
        <v>1911619.25</v>
      </c>
      <c r="GB118" s="12">
        <f>ROUND(SUMIF(AA83:AA116,"=55943568",GX83:GX116),2)</f>
        <v>0</v>
      </c>
      <c r="GC118" s="12">
        <f>ROUND(SUMIF(AA83:AA116,"=55943568",GY83:GY116),2)</f>
        <v>0</v>
      </c>
      <c r="GD118" s="12">
        <f>ROUND(SUMIF(AA83:AA116,"=55943568",GZ83:GZ116),2)</f>
        <v>0</v>
      </c>
      <c r="GE118" s="12">
        <f>ROUND(SUMIF(AA83:AA116,"=55943568",HD83:HD116),2)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255351.62</v>
      </c>
      <c r="G120" s="13" t="s">
        <v>87</v>
      </c>
      <c r="H120" s="13" t="s">
        <v>88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2010172.26</v>
      </c>
      <c r="Q120" s="13"/>
      <c r="R120" s="13"/>
      <c r="S120" s="13"/>
      <c r="T120" s="13"/>
      <c r="U120" s="13"/>
      <c r="V120" s="13"/>
      <c r="W120" s="13">
        <v>255351.62</v>
      </c>
      <c r="X120" s="13">
        <v>1</v>
      </c>
      <c r="Y120" s="13">
        <v>255351.62</v>
      </c>
      <c r="Z120" s="13">
        <v>2010172.26</v>
      </c>
      <c r="AA120" s="13">
        <v>1</v>
      </c>
      <c r="AB120" s="13">
        <v>2010172.26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253634.39</v>
      </c>
      <c r="G121" s="13" t="s">
        <v>89</v>
      </c>
      <c r="H121" s="13" t="s">
        <v>90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1922726.69</v>
      </c>
      <c r="Q121" s="13"/>
      <c r="R121" s="13"/>
      <c r="S121" s="13"/>
      <c r="T121" s="13"/>
      <c r="U121" s="13"/>
      <c r="V121" s="13"/>
      <c r="W121" s="13">
        <v>253634.39</v>
      </c>
      <c r="X121" s="13">
        <v>1</v>
      </c>
      <c r="Y121" s="13">
        <v>253634.39</v>
      </c>
      <c r="Z121" s="13">
        <v>1922726.69</v>
      </c>
      <c r="AA121" s="13">
        <v>1</v>
      </c>
      <c r="AB121" s="13">
        <v>1922726.69</v>
      </c>
    </row>
    <row r="122" spans="1:255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91</v>
      </c>
      <c r="H122" s="13" t="s">
        <v>92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253634.39</v>
      </c>
      <c r="G123" s="13" t="s">
        <v>93</v>
      </c>
      <c r="H123" s="13" t="s">
        <v>94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1922726.69</v>
      </c>
      <c r="Q123" s="13"/>
      <c r="R123" s="13"/>
      <c r="S123" s="13"/>
      <c r="T123" s="13"/>
      <c r="U123" s="13"/>
      <c r="V123" s="13"/>
      <c r="W123" s="13">
        <v>253634.39</v>
      </c>
      <c r="X123" s="13">
        <v>1</v>
      </c>
      <c r="Y123" s="13">
        <v>253634.39</v>
      </c>
      <c r="Z123" s="13">
        <v>1922726.69</v>
      </c>
      <c r="AA123" s="13">
        <v>1</v>
      </c>
      <c r="AB123" s="13">
        <v>1922726.69</v>
      </c>
    </row>
    <row r="124" spans="1:255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1108.73</v>
      </c>
      <c r="G124" s="13" t="s">
        <v>95</v>
      </c>
      <c r="H124" s="13" t="s">
        <v>96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11107.44</v>
      </c>
      <c r="Q124" s="13"/>
      <c r="R124" s="13"/>
      <c r="S124" s="13"/>
      <c r="T124" s="13"/>
      <c r="U124" s="13"/>
      <c r="V124" s="13"/>
      <c r="W124" s="13">
        <v>1108.73</v>
      </c>
      <c r="X124" s="13">
        <v>1</v>
      </c>
      <c r="Y124" s="13">
        <v>1108.73</v>
      </c>
      <c r="Z124" s="13">
        <v>11107.44</v>
      </c>
      <c r="AA124" s="13">
        <v>1</v>
      </c>
      <c r="AB124" s="13">
        <v>11107.44</v>
      </c>
    </row>
    <row r="125" spans="1:255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97</v>
      </c>
      <c r="H125" s="13" t="s">
        <v>98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1108.73</v>
      </c>
      <c r="G126" s="13" t="s">
        <v>99</v>
      </c>
      <c r="H126" s="13" t="s">
        <v>100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11107.44</v>
      </c>
      <c r="Q126" s="13"/>
      <c r="R126" s="13"/>
      <c r="S126" s="13"/>
      <c r="T126" s="13"/>
      <c r="U126" s="13"/>
      <c r="V126" s="13"/>
      <c r="W126" s="13">
        <v>1108.73</v>
      </c>
      <c r="X126" s="13">
        <v>1</v>
      </c>
      <c r="Y126" s="13">
        <v>1108.73</v>
      </c>
      <c r="Z126" s="13">
        <v>11107.44</v>
      </c>
      <c r="AA126" s="13">
        <v>1</v>
      </c>
      <c r="AB126" s="13">
        <v>11107.44</v>
      </c>
    </row>
    <row r="127" spans="1:255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252525.66</v>
      </c>
      <c r="G127" s="13" t="s">
        <v>101</v>
      </c>
      <c r="H127" s="13" t="s">
        <v>102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1911619.25</v>
      </c>
      <c r="Q127" s="13"/>
      <c r="R127" s="13"/>
      <c r="S127" s="13"/>
      <c r="T127" s="13"/>
      <c r="U127" s="13"/>
      <c r="V127" s="13"/>
      <c r="W127" s="13">
        <v>252525.66</v>
      </c>
      <c r="X127" s="13">
        <v>1</v>
      </c>
      <c r="Y127" s="13">
        <v>252525.66</v>
      </c>
      <c r="Z127" s="13">
        <v>1911619.25</v>
      </c>
      <c r="AA127" s="13">
        <v>1</v>
      </c>
      <c r="AB127" s="13">
        <v>1911619.25</v>
      </c>
    </row>
    <row r="128" spans="1:255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103</v>
      </c>
      <c r="H128" s="13" t="s">
        <v>104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252525.66</v>
      </c>
      <c r="G129" s="13" t="s">
        <v>105</v>
      </c>
      <c r="H129" s="13" t="s">
        <v>106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1911619.25</v>
      </c>
      <c r="Q129" s="13"/>
      <c r="R129" s="13"/>
      <c r="S129" s="13"/>
      <c r="T129" s="13"/>
      <c r="U129" s="13"/>
      <c r="V129" s="13"/>
      <c r="W129" s="13">
        <v>252525.66</v>
      </c>
      <c r="X129" s="13">
        <v>1</v>
      </c>
      <c r="Y129" s="13">
        <v>252525.66</v>
      </c>
      <c r="Z129" s="13">
        <v>1911619.25</v>
      </c>
      <c r="AA129" s="13">
        <v>1</v>
      </c>
      <c r="AB129" s="13">
        <v>1911619.25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234.2</v>
      </c>
      <c r="G130" s="13" t="s">
        <v>107</v>
      </c>
      <c r="H130" s="13" t="s">
        <v>108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3876.83</v>
      </c>
      <c r="Q130" s="13"/>
      <c r="R130" s="13"/>
      <c r="S130" s="13"/>
      <c r="T130" s="13"/>
      <c r="U130" s="13"/>
      <c r="V130" s="13"/>
      <c r="W130" s="13">
        <v>234.2</v>
      </c>
      <c r="X130" s="13">
        <v>1</v>
      </c>
      <c r="Y130" s="13">
        <v>234.2</v>
      </c>
      <c r="Z130" s="13">
        <v>3876.83</v>
      </c>
      <c r="AA130" s="13">
        <v>1</v>
      </c>
      <c r="AB130" s="13">
        <v>3876.83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109</v>
      </c>
      <c r="H131" s="13" t="s">
        <v>110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28.44</v>
      </c>
      <c r="G132" s="13" t="s">
        <v>111</v>
      </c>
      <c r="H132" s="13" t="s">
        <v>112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1602.6</v>
      </c>
      <c r="Q132" s="13"/>
      <c r="R132" s="13"/>
      <c r="S132" s="13"/>
      <c r="T132" s="13"/>
      <c r="U132" s="13"/>
      <c r="V132" s="13"/>
      <c r="W132" s="13">
        <v>28.44</v>
      </c>
      <c r="X132" s="13">
        <v>1</v>
      </c>
      <c r="Y132" s="13">
        <v>28.44</v>
      </c>
      <c r="Z132" s="13">
        <v>1602.6</v>
      </c>
      <c r="AA132" s="13">
        <v>1</v>
      </c>
      <c r="AB132" s="13">
        <v>1602.6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1483.03</v>
      </c>
      <c r="G133" s="13" t="s">
        <v>113</v>
      </c>
      <c r="H133" s="13" t="s">
        <v>114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83568.740000000005</v>
      </c>
      <c r="Q133" s="13"/>
      <c r="R133" s="13"/>
      <c r="S133" s="13"/>
      <c r="T133" s="13"/>
      <c r="U133" s="13"/>
      <c r="V133" s="13"/>
      <c r="W133" s="13">
        <v>1483.03</v>
      </c>
      <c r="X133" s="13">
        <v>1</v>
      </c>
      <c r="Y133" s="13">
        <v>1483.03</v>
      </c>
      <c r="Z133" s="13">
        <v>83568.740000000005</v>
      </c>
      <c r="AA133" s="13">
        <v>1</v>
      </c>
      <c r="AB133" s="13">
        <v>83568.740000000005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115</v>
      </c>
      <c r="H134" s="13" t="s">
        <v>116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925.94</v>
      </c>
      <c r="G135" s="13" t="s">
        <v>117</v>
      </c>
      <c r="H135" s="13" t="s">
        <v>118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9111.25</v>
      </c>
      <c r="Q135" s="13"/>
      <c r="R135" s="13"/>
      <c r="S135" s="13"/>
      <c r="T135" s="13"/>
      <c r="U135" s="13"/>
      <c r="V135" s="13"/>
      <c r="W135" s="13">
        <v>925.94</v>
      </c>
      <c r="X135" s="13">
        <v>1</v>
      </c>
      <c r="Y135" s="13">
        <v>925.94</v>
      </c>
      <c r="Z135" s="13">
        <v>9111.25</v>
      </c>
      <c r="AA135" s="13">
        <v>1</v>
      </c>
      <c r="AB135" s="13">
        <v>9111.25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3963.02</v>
      </c>
      <c r="G136" s="13" t="s">
        <v>119</v>
      </c>
      <c r="H136" s="13" t="s">
        <v>120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205691.24</v>
      </c>
      <c r="Q136" s="13"/>
      <c r="R136" s="13"/>
      <c r="S136" s="13"/>
      <c r="T136" s="13"/>
      <c r="U136" s="13"/>
      <c r="V136" s="13"/>
      <c r="W136" s="13">
        <v>3963.02</v>
      </c>
      <c r="X136" s="13">
        <v>1</v>
      </c>
      <c r="Y136" s="13">
        <v>3963.02</v>
      </c>
      <c r="Z136" s="13">
        <v>205691.24</v>
      </c>
      <c r="AA136" s="13">
        <v>1</v>
      </c>
      <c r="AB136" s="13">
        <v>205691.24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121</v>
      </c>
      <c r="H137" s="13" t="s">
        <v>122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123</v>
      </c>
      <c r="H138" s="13" t="s">
        <v>124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125</v>
      </c>
      <c r="H139" s="13" t="s">
        <v>126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104.87673359999999</v>
      </c>
      <c r="G140" s="13" t="s">
        <v>127</v>
      </c>
      <c r="H140" s="13" t="s">
        <v>128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104.87673359999999</v>
      </c>
      <c r="Q140" s="13"/>
      <c r="R140" s="13"/>
      <c r="S140" s="13"/>
      <c r="T140" s="13"/>
      <c r="U140" s="13"/>
      <c r="V140" s="13"/>
      <c r="W140" s="13">
        <v>104.87673359999999</v>
      </c>
      <c r="X140" s="13">
        <v>1</v>
      </c>
      <c r="Y140" s="13">
        <v>104.87673359999999</v>
      </c>
      <c r="Z140" s="13">
        <v>104.87673359999999</v>
      </c>
      <c r="AA140" s="13">
        <v>1</v>
      </c>
      <c r="AB140" s="13">
        <v>104.87673359999999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129</v>
      </c>
      <c r="H141" s="13" t="s">
        <v>130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131</v>
      </c>
      <c r="H142" s="13" t="s">
        <v>132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133</v>
      </c>
      <c r="H143" s="13" t="s">
        <v>134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1363.41</v>
      </c>
      <c r="G144" s="13" t="s">
        <v>135</v>
      </c>
      <c r="H144" s="13" t="s">
        <v>136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76827.73</v>
      </c>
      <c r="Q144" s="13"/>
      <c r="R144" s="13"/>
      <c r="S144" s="13"/>
      <c r="T144" s="13"/>
      <c r="U144" s="13"/>
      <c r="V144" s="13"/>
      <c r="W144" s="13">
        <v>1363.41</v>
      </c>
      <c r="X144" s="13">
        <v>1</v>
      </c>
      <c r="Y144" s="13">
        <v>1363.41</v>
      </c>
      <c r="Z144" s="13">
        <v>76827.73</v>
      </c>
      <c r="AA144" s="13">
        <v>1</v>
      </c>
      <c r="AB144" s="13">
        <v>76827.73</v>
      </c>
    </row>
    <row r="145" spans="1:255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699.59</v>
      </c>
      <c r="G145" s="13" t="s">
        <v>137</v>
      </c>
      <c r="H145" s="13" t="s">
        <v>138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39421.75</v>
      </c>
      <c r="Q145" s="13"/>
      <c r="R145" s="13"/>
      <c r="S145" s="13"/>
      <c r="T145" s="13"/>
      <c r="U145" s="13"/>
      <c r="V145" s="13"/>
      <c r="W145" s="13">
        <v>699.59</v>
      </c>
      <c r="X145" s="13">
        <v>1</v>
      </c>
      <c r="Y145" s="13">
        <v>699.59</v>
      </c>
      <c r="Z145" s="13">
        <v>39421.75</v>
      </c>
      <c r="AA145" s="13">
        <v>1</v>
      </c>
      <c r="AB145" s="13">
        <v>39421.75</v>
      </c>
    </row>
    <row r="146" spans="1:255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257414.62</v>
      </c>
      <c r="G146" s="13" t="s">
        <v>139</v>
      </c>
      <c r="H146" s="13" t="s">
        <v>140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2126421.7400000002</v>
      </c>
      <c r="Q146" s="13"/>
      <c r="R146" s="13"/>
      <c r="S146" s="13"/>
      <c r="T146" s="13"/>
      <c r="U146" s="13"/>
      <c r="V146" s="13"/>
      <c r="W146" s="13">
        <v>257414.62</v>
      </c>
      <c r="X146" s="13">
        <v>1</v>
      </c>
      <c r="Y146" s="13">
        <v>257414.62</v>
      </c>
      <c r="Z146" s="13">
        <v>2126421.7400000002</v>
      </c>
      <c r="AA146" s="13">
        <v>1</v>
      </c>
      <c r="AB146" s="13">
        <v>2126421.7400000002</v>
      </c>
    </row>
    <row r="148" spans="1:255" x14ac:dyDescent="0.2">
      <c r="A148" s="10">
        <v>4</v>
      </c>
      <c r="B148" s="10">
        <v>1</v>
      </c>
      <c r="C148" s="10"/>
      <c r="D148" s="10">
        <f>ROW(A161)</f>
        <v>161</v>
      </c>
      <c r="E148" s="10"/>
      <c r="F148" s="10" t="s">
        <v>23</v>
      </c>
      <c r="G148" s="10" t="s">
        <v>205</v>
      </c>
      <c r="H148" s="10" t="s">
        <v>3</v>
      </c>
      <c r="I148" s="10">
        <v>0</v>
      </c>
      <c r="J148" s="10"/>
      <c r="K148" s="10">
        <v>0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2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x14ac:dyDescent="0.2">
      <c r="A150" s="11">
        <v>52</v>
      </c>
      <c r="B150" s="11">
        <f t="shared" ref="B150:G150" si="121">B161</f>
        <v>1</v>
      </c>
      <c r="C150" s="11">
        <f t="shared" si="121"/>
        <v>4</v>
      </c>
      <c r="D150" s="11">
        <f t="shared" si="121"/>
        <v>148</v>
      </c>
      <c r="E150" s="11">
        <f t="shared" si="121"/>
        <v>0</v>
      </c>
      <c r="F150" s="11" t="str">
        <f t="shared" si="121"/>
        <v>Новый раздел</v>
      </c>
      <c r="G150" s="11" t="str">
        <f t="shared" si="121"/>
        <v>Электрооборудование</v>
      </c>
      <c r="H150" s="11"/>
      <c r="I150" s="11"/>
      <c r="J150" s="11"/>
      <c r="K150" s="11"/>
      <c r="L150" s="11"/>
      <c r="M150" s="11"/>
      <c r="N150" s="11"/>
      <c r="O150" s="11">
        <f t="shared" ref="O150:AT150" si="122">O161</f>
        <v>9005.9500000000007</v>
      </c>
      <c r="P150" s="11">
        <f t="shared" si="122"/>
        <v>8827.64</v>
      </c>
      <c r="Q150" s="11">
        <f t="shared" si="122"/>
        <v>0.05</v>
      </c>
      <c r="R150" s="11">
        <f t="shared" si="122"/>
        <v>0</v>
      </c>
      <c r="S150" s="11">
        <f t="shared" si="122"/>
        <v>178.26</v>
      </c>
      <c r="T150" s="11">
        <f t="shared" si="122"/>
        <v>0</v>
      </c>
      <c r="U150" s="11">
        <f t="shared" si="122"/>
        <v>13.770143999999998</v>
      </c>
      <c r="V150" s="11">
        <f t="shared" si="122"/>
        <v>0</v>
      </c>
      <c r="W150" s="11">
        <f t="shared" si="122"/>
        <v>0</v>
      </c>
      <c r="X150" s="11">
        <f t="shared" si="122"/>
        <v>169.58</v>
      </c>
      <c r="Y150" s="11">
        <f t="shared" si="122"/>
        <v>88.53</v>
      </c>
      <c r="Z150" s="11">
        <f t="shared" si="122"/>
        <v>0</v>
      </c>
      <c r="AA150" s="11">
        <f t="shared" si="122"/>
        <v>0</v>
      </c>
      <c r="AB150" s="11">
        <f t="shared" si="122"/>
        <v>9005.9500000000007</v>
      </c>
      <c r="AC150" s="11">
        <f t="shared" si="122"/>
        <v>8827.64</v>
      </c>
      <c r="AD150" s="11">
        <f t="shared" si="122"/>
        <v>0.05</v>
      </c>
      <c r="AE150" s="11">
        <f t="shared" si="122"/>
        <v>0</v>
      </c>
      <c r="AF150" s="11">
        <f t="shared" si="122"/>
        <v>178.26</v>
      </c>
      <c r="AG150" s="11">
        <f t="shared" si="122"/>
        <v>0</v>
      </c>
      <c r="AH150" s="11">
        <f t="shared" si="122"/>
        <v>13.770143999999998</v>
      </c>
      <c r="AI150" s="11">
        <f t="shared" si="122"/>
        <v>0</v>
      </c>
      <c r="AJ150" s="11">
        <f t="shared" si="122"/>
        <v>0</v>
      </c>
      <c r="AK150" s="11">
        <f t="shared" si="122"/>
        <v>169.58</v>
      </c>
      <c r="AL150" s="11">
        <f t="shared" si="122"/>
        <v>88.53</v>
      </c>
      <c r="AM150" s="11">
        <f t="shared" si="122"/>
        <v>0</v>
      </c>
      <c r="AN150" s="11">
        <f t="shared" si="122"/>
        <v>0</v>
      </c>
      <c r="AO150" s="11">
        <f t="shared" si="122"/>
        <v>0</v>
      </c>
      <c r="AP150" s="11">
        <f t="shared" si="122"/>
        <v>8730.7999999999993</v>
      </c>
      <c r="AQ150" s="11">
        <f t="shared" si="122"/>
        <v>0</v>
      </c>
      <c r="AR150" s="11">
        <f t="shared" si="122"/>
        <v>9264.06</v>
      </c>
      <c r="AS150" s="11">
        <f t="shared" si="122"/>
        <v>0</v>
      </c>
      <c r="AT150" s="11">
        <f t="shared" si="122"/>
        <v>533.26</v>
      </c>
      <c r="AU150" s="11">
        <f t="shared" ref="AU150:BZ150" si="123">AU161</f>
        <v>0</v>
      </c>
      <c r="AV150" s="11">
        <f t="shared" si="123"/>
        <v>8827.64</v>
      </c>
      <c r="AW150" s="11">
        <f t="shared" si="123"/>
        <v>96.84</v>
      </c>
      <c r="AX150" s="11">
        <f t="shared" si="123"/>
        <v>0</v>
      </c>
      <c r="AY150" s="11">
        <f t="shared" si="123"/>
        <v>96.84</v>
      </c>
      <c r="AZ150" s="11">
        <f t="shared" si="123"/>
        <v>8730.7999999999993</v>
      </c>
      <c r="BA150" s="11">
        <f t="shared" si="123"/>
        <v>0</v>
      </c>
      <c r="BB150" s="11">
        <f t="shared" si="123"/>
        <v>0</v>
      </c>
      <c r="BC150" s="11">
        <f t="shared" si="123"/>
        <v>0</v>
      </c>
      <c r="BD150" s="11">
        <f t="shared" si="123"/>
        <v>0</v>
      </c>
      <c r="BE150" s="11">
        <f t="shared" si="123"/>
        <v>0</v>
      </c>
      <c r="BF150" s="11">
        <f t="shared" si="123"/>
        <v>0</v>
      </c>
      <c r="BG150" s="11">
        <f t="shared" si="123"/>
        <v>0</v>
      </c>
      <c r="BH150" s="11">
        <f t="shared" si="123"/>
        <v>0</v>
      </c>
      <c r="BI150" s="11">
        <f t="shared" si="123"/>
        <v>0</v>
      </c>
      <c r="BJ150" s="11">
        <f t="shared" si="123"/>
        <v>0</v>
      </c>
      <c r="BK150" s="11">
        <f t="shared" si="123"/>
        <v>0</v>
      </c>
      <c r="BL150" s="11">
        <f t="shared" si="123"/>
        <v>0</v>
      </c>
      <c r="BM150" s="11">
        <f t="shared" si="123"/>
        <v>0</v>
      </c>
      <c r="BN150" s="11">
        <f t="shared" si="123"/>
        <v>0</v>
      </c>
      <c r="BO150" s="11">
        <f t="shared" si="123"/>
        <v>0</v>
      </c>
      <c r="BP150" s="11">
        <f t="shared" si="123"/>
        <v>0</v>
      </c>
      <c r="BQ150" s="11">
        <f t="shared" si="123"/>
        <v>0</v>
      </c>
      <c r="BR150" s="11">
        <f t="shared" si="123"/>
        <v>0</v>
      </c>
      <c r="BS150" s="11">
        <f t="shared" si="123"/>
        <v>0</v>
      </c>
      <c r="BT150" s="11">
        <f t="shared" si="123"/>
        <v>0</v>
      </c>
      <c r="BU150" s="11">
        <f t="shared" si="123"/>
        <v>0</v>
      </c>
      <c r="BV150" s="11">
        <f t="shared" si="123"/>
        <v>0</v>
      </c>
      <c r="BW150" s="11">
        <f t="shared" si="123"/>
        <v>0</v>
      </c>
      <c r="BX150" s="11">
        <f t="shared" si="123"/>
        <v>0</v>
      </c>
      <c r="BY150" s="11">
        <f t="shared" si="123"/>
        <v>8730.7999999999993</v>
      </c>
      <c r="BZ150" s="11">
        <f t="shared" si="123"/>
        <v>0</v>
      </c>
      <c r="CA150" s="11">
        <f t="shared" ref="CA150:DF150" si="124">CA161</f>
        <v>9264.06</v>
      </c>
      <c r="CB150" s="11">
        <f t="shared" si="124"/>
        <v>0</v>
      </c>
      <c r="CC150" s="11">
        <f t="shared" si="124"/>
        <v>533.26</v>
      </c>
      <c r="CD150" s="11">
        <f t="shared" si="124"/>
        <v>0</v>
      </c>
      <c r="CE150" s="11">
        <f t="shared" si="124"/>
        <v>8827.64</v>
      </c>
      <c r="CF150" s="11">
        <f t="shared" si="124"/>
        <v>96.840000000000146</v>
      </c>
      <c r="CG150" s="11">
        <f t="shared" si="124"/>
        <v>0</v>
      </c>
      <c r="CH150" s="11">
        <f t="shared" si="124"/>
        <v>96.840000000000146</v>
      </c>
      <c r="CI150" s="11">
        <f t="shared" si="124"/>
        <v>8730.7999999999993</v>
      </c>
      <c r="CJ150" s="11">
        <f t="shared" si="124"/>
        <v>0</v>
      </c>
      <c r="CK150" s="11">
        <f t="shared" si="124"/>
        <v>0</v>
      </c>
      <c r="CL150" s="11">
        <f t="shared" si="124"/>
        <v>0</v>
      </c>
      <c r="CM150" s="11">
        <f t="shared" si="124"/>
        <v>0</v>
      </c>
      <c r="CN150" s="11">
        <f t="shared" si="124"/>
        <v>0</v>
      </c>
      <c r="CO150" s="11">
        <f t="shared" si="124"/>
        <v>0</v>
      </c>
      <c r="CP150" s="11">
        <f t="shared" si="124"/>
        <v>0</v>
      </c>
      <c r="CQ150" s="11">
        <f t="shared" si="124"/>
        <v>0</v>
      </c>
      <c r="CR150" s="11">
        <f t="shared" si="124"/>
        <v>0</v>
      </c>
      <c r="CS150" s="11">
        <f t="shared" si="124"/>
        <v>0</v>
      </c>
      <c r="CT150" s="11">
        <f t="shared" si="124"/>
        <v>0</v>
      </c>
      <c r="CU150" s="11">
        <f t="shared" si="124"/>
        <v>0</v>
      </c>
      <c r="CV150" s="11">
        <f t="shared" si="124"/>
        <v>0</v>
      </c>
      <c r="CW150" s="11">
        <f t="shared" si="124"/>
        <v>0</v>
      </c>
      <c r="CX150" s="11">
        <f t="shared" si="124"/>
        <v>0</v>
      </c>
      <c r="CY150" s="11">
        <f t="shared" si="124"/>
        <v>0</v>
      </c>
      <c r="CZ150" s="11">
        <f t="shared" si="124"/>
        <v>0</v>
      </c>
      <c r="DA150" s="11">
        <f t="shared" si="124"/>
        <v>0</v>
      </c>
      <c r="DB150" s="11">
        <f t="shared" si="124"/>
        <v>0</v>
      </c>
      <c r="DC150" s="11">
        <f t="shared" si="124"/>
        <v>0</v>
      </c>
      <c r="DD150" s="11">
        <f t="shared" si="124"/>
        <v>0</v>
      </c>
      <c r="DE150" s="11">
        <f t="shared" si="124"/>
        <v>0</v>
      </c>
      <c r="DF150" s="11">
        <f t="shared" si="124"/>
        <v>0</v>
      </c>
      <c r="DG150" s="12">
        <f t="shared" ref="DG150:EL150" si="125">DG161</f>
        <v>78522.39</v>
      </c>
      <c r="DH150" s="12">
        <f t="shared" si="125"/>
        <v>68476.89</v>
      </c>
      <c r="DI150" s="12">
        <f t="shared" si="125"/>
        <v>0.55000000000000004</v>
      </c>
      <c r="DJ150" s="12">
        <f t="shared" si="125"/>
        <v>0</v>
      </c>
      <c r="DK150" s="12">
        <f t="shared" si="125"/>
        <v>10044.950000000001</v>
      </c>
      <c r="DL150" s="12">
        <f t="shared" si="125"/>
        <v>0</v>
      </c>
      <c r="DM150" s="12">
        <f t="shared" si="125"/>
        <v>13.770143999999998</v>
      </c>
      <c r="DN150" s="12">
        <f t="shared" si="125"/>
        <v>0</v>
      </c>
      <c r="DO150" s="12">
        <f t="shared" si="125"/>
        <v>0</v>
      </c>
      <c r="DP150" s="12">
        <f t="shared" si="125"/>
        <v>9555.8799999999992</v>
      </c>
      <c r="DQ150" s="12">
        <f t="shared" si="125"/>
        <v>4988.84</v>
      </c>
      <c r="DR150" s="12">
        <f t="shared" si="125"/>
        <v>0</v>
      </c>
      <c r="DS150" s="12">
        <f t="shared" si="125"/>
        <v>0</v>
      </c>
      <c r="DT150" s="12">
        <f t="shared" si="125"/>
        <v>78522.39</v>
      </c>
      <c r="DU150" s="12">
        <f t="shared" si="125"/>
        <v>68476.89</v>
      </c>
      <c r="DV150" s="12">
        <f t="shared" si="125"/>
        <v>0.55000000000000004</v>
      </c>
      <c r="DW150" s="12">
        <f t="shared" si="125"/>
        <v>0</v>
      </c>
      <c r="DX150" s="12">
        <f t="shared" si="125"/>
        <v>10044.950000000001</v>
      </c>
      <c r="DY150" s="12">
        <f t="shared" si="125"/>
        <v>0</v>
      </c>
      <c r="DZ150" s="12">
        <f t="shared" si="125"/>
        <v>13.770143999999998</v>
      </c>
      <c r="EA150" s="12">
        <f t="shared" si="125"/>
        <v>0</v>
      </c>
      <c r="EB150" s="12">
        <f t="shared" si="125"/>
        <v>0</v>
      </c>
      <c r="EC150" s="12">
        <f t="shared" si="125"/>
        <v>9555.8799999999992</v>
      </c>
      <c r="ED150" s="12">
        <f t="shared" si="125"/>
        <v>4988.84</v>
      </c>
      <c r="EE150" s="12">
        <f t="shared" si="125"/>
        <v>0</v>
      </c>
      <c r="EF150" s="12">
        <f t="shared" si="125"/>
        <v>0</v>
      </c>
      <c r="EG150" s="12">
        <f t="shared" si="125"/>
        <v>0</v>
      </c>
      <c r="EH150" s="12">
        <f t="shared" si="125"/>
        <v>68054.8</v>
      </c>
      <c r="EI150" s="12">
        <f t="shared" si="125"/>
        <v>0</v>
      </c>
      <c r="EJ150" s="12">
        <f t="shared" si="125"/>
        <v>93067.11</v>
      </c>
      <c r="EK150" s="12">
        <f t="shared" si="125"/>
        <v>0</v>
      </c>
      <c r="EL150" s="12">
        <f t="shared" si="125"/>
        <v>25012.31</v>
      </c>
      <c r="EM150" s="12">
        <f t="shared" ref="EM150:FR150" si="126">EM161</f>
        <v>0</v>
      </c>
      <c r="EN150" s="12">
        <f t="shared" si="126"/>
        <v>68476.89</v>
      </c>
      <c r="EO150" s="12">
        <f t="shared" si="126"/>
        <v>422.09</v>
      </c>
      <c r="EP150" s="12">
        <f t="shared" si="126"/>
        <v>0</v>
      </c>
      <c r="EQ150" s="12">
        <f t="shared" si="126"/>
        <v>422.09</v>
      </c>
      <c r="ER150" s="12">
        <f t="shared" si="126"/>
        <v>68054.8</v>
      </c>
      <c r="ES150" s="12">
        <f t="shared" si="126"/>
        <v>0</v>
      </c>
      <c r="ET150" s="12">
        <f t="shared" si="126"/>
        <v>0</v>
      </c>
      <c r="EU150" s="12">
        <f t="shared" si="126"/>
        <v>0</v>
      </c>
      <c r="EV150" s="12">
        <f t="shared" si="126"/>
        <v>0</v>
      </c>
      <c r="EW150" s="12">
        <f t="shared" si="126"/>
        <v>0</v>
      </c>
      <c r="EX150" s="12">
        <f t="shared" si="126"/>
        <v>0</v>
      </c>
      <c r="EY150" s="12">
        <f t="shared" si="126"/>
        <v>0</v>
      </c>
      <c r="EZ150" s="12">
        <f t="shared" si="126"/>
        <v>0</v>
      </c>
      <c r="FA150" s="12">
        <f t="shared" si="126"/>
        <v>0</v>
      </c>
      <c r="FB150" s="12">
        <f t="shared" si="126"/>
        <v>0</v>
      </c>
      <c r="FC150" s="12">
        <f t="shared" si="126"/>
        <v>0</v>
      </c>
      <c r="FD150" s="12">
        <f t="shared" si="126"/>
        <v>0</v>
      </c>
      <c r="FE150" s="12">
        <f t="shared" si="126"/>
        <v>0</v>
      </c>
      <c r="FF150" s="12">
        <f t="shared" si="126"/>
        <v>0</v>
      </c>
      <c r="FG150" s="12">
        <f t="shared" si="126"/>
        <v>0</v>
      </c>
      <c r="FH150" s="12">
        <f t="shared" si="126"/>
        <v>0</v>
      </c>
      <c r="FI150" s="12">
        <f t="shared" si="126"/>
        <v>0</v>
      </c>
      <c r="FJ150" s="12">
        <f t="shared" si="126"/>
        <v>0</v>
      </c>
      <c r="FK150" s="12">
        <f t="shared" si="126"/>
        <v>0</v>
      </c>
      <c r="FL150" s="12">
        <f t="shared" si="126"/>
        <v>0</v>
      </c>
      <c r="FM150" s="12">
        <f t="shared" si="126"/>
        <v>0</v>
      </c>
      <c r="FN150" s="12">
        <f t="shared" si="126"/>
        <v>0</v>
      </c>
      <c r="FO150" s="12">
        <f t="shared" si="126"/>
        <v>0</v>
      </c>
      <c r="FP150" s="12">
        <f t="shared" si="126"/>
        <v>0</v>
      </c>
      <c r="FQ150" s="12">
        <f t="shared" si="126"/>
        <v>68054.8</v>
      </c>
      <c r="FR150" s="12">
        <f t="shared" si="126"/>
        <v>0</v>
      </c>
      <c r="FS150" s="12">
        <f t="shared" ref="FS150:GX150" si="127">FS161</f>
        <v>93067.11</v>
      </c>
      <c r="FT150" s="12">
        <f t="shared" si="127"/>
        <v>0</v>
      </c>
      <c r="FU150" s="12">
        <f t="shared" si="127"/>
        <v>25012.31</v>
      </c>
      <c r="FV150" s="12">
        <f t="shared" si="127"/>
        <v>0</v>
      </c>
      <c r="FW150" s="12">
        <f t="shared" si="127"/>
        <v>68476.89</v>
      </c>
      <c r="FX150" s="12">
        <f t="shared" si="127"/>
        <v>422.08999999999651</v>
      </c>
      <c r="FY150" s="12">
        <f t="shared" si="127"/>
        <v>0</v>
      </c>
      <c r="FZ150" s="12">
        <f t="shared" si="127"/>
        <v>422.08999999999651</v>
      </c>
      <c r="GA150" s="12">
        <f t="shared" si="127"/>
        <v>68054.8</v>
      </c>
      <c r="GB150" s="12">
        <f t="shared" si="127"/>
        <v>0</v>
      </c>
      <c r="GC150" s="12">
        <f t="shared" si="127"/>
        <v>0</v>
      </c>
      <c r="GD150" s="12">
        <f t="shared" si="127"/>
        <v>0</v>
      </c>
      <c r="GE150" s="12">
        <f t="shared" si="127"/>
        <v>0</v>
      </c>
      <c r="GF150" s="12">
        <f t="shared" si="127"/>
        <v>0</v>
      </c>
      <c r="GG150" s="12">
        <f t="shared" si="127"/>
        <v>0</v>
      </c>
      <c r="GH150" s="12">
        <f t="shared" si="127"/>
        <v>0</v>
      </c>
      <c r="GI150" s="12">
        <f t="shared" si="127"/>
        <v>0</v>
      </c>
      <c r="GJ150" s="12">
        <f t="shared" si="127"/>
        <v>0</v>
      </c>
      <c r="GK150" s="12">
        <f t="shared" si="127"/>
        <v>0</v>
      </c>
      <c r="GL150" s="12">
        <f t="shared" si="127"/>
        <v>0</v>
      </c>
      <c r="GM150" s="12">
        <f t="shared" si="127"/>
        <v>0</v>
      </c>
      <c r="GN150" s="12">
        <f t="shared" si="127"/>
        <v>0</v>
      </c>
      <c r="GO150" s="12">
        <f t="shared" si="127"/>
        <v>0</v>
      </c>
      <c r="GP150" s="12">
        <f t="shared" si="127"/>
        <v>0</v>
      </c>
      <c r="GQ150" s="12">
        <f t="shared" si="127"/>
        <v>0</v>
      </c>
      <c r="GR150" s="12">
        <f t="shared" si="127"/>
        <v>0</v>
      </c>
      <c r="GS150" s="12">
        <f t="shared" si="127"/>
        <v>0</v>
      </c>
      <c r="GT150" s="12">
        <f t="shared" si="127"/>
        <v>0</v>
      </c>
      <c r="GU150" s="12">
        <f t="shared" si="127"/>
        <v>0</v>
      </c>
      <c r="GV150" s="12">
        <f t="shared" si="127"/>
        <v>0</v>
      </c>
      <c r="GW150" s="12">
        <f t="shared" si="127"/>
        <v>0</v>
      </c>
      <c r="GX150" s="12">
        <f t="shared" si="127"/>
        <v>0</v>
      </c>
    </row>
    <row r="152" spans="1:255" x14ac:dyDescent="0.2">
      <c r="A152" s="2">
        <v>17</v>
      </c>
      <c r="B152" s="2">
        <v>1</v>
      </c>
      <c r="C152" s="2"/>
      <c r="D152" s="2"/>
      <c r="E152" s="2" t="s">
        <v>206</v>
      </c>
      <c r="F152" s="2" t="s">
        <v>63</v>
      </c>
      <c r="G152" s="2" t="s">
        <v>207</v>
      </c>
      <c r="H152" s="2" t="s">
        <v>28</v>
      </c>
      <c r="I152" s="2">
        <v>2</v>
      </c>
      <c r="J152" s="2">
        <v>0</v>
      </c>
      <c r="K152" s="2">
        <v>2</v>
      </c>
      <c r="L152" s="2"/>
      <c r="M152" s="2"/>
      <c r="N152" s="2"/>
      <c r="O152" s="2">
        <f t="shared" ref="O152:O159" si="128">ROUND(CP152,2)</f>
        <v>52.32</v>
      </c>
      <c r="P152" s="2">
        <f>ROUND((ROUND((AC152*AW152*I152),2)*BC152),2)</f>
        <v>4.68</v>
      </c>
      <c r="Q152" s="2">
        <f>(ROUND((ROUND((((ET152*1.2))*AV152*I152),2)*BB152),2)+ROUND((ROUND(((AE152-((EU152*1.2)))*AV152*I152),2)*BS152),2))</f>
        <v>0.05</v>
      </c>
      <c r="R152" s="2">
        <f>(ROUND((ROUND((((EU152*1.2))*AV152*I152),2)*BS152),2)+ROUND((ROUND(((AE152-((EU152*1.2)))*AV152*I152),2)*BS152),2))</f>
        <v>0</v>
      </c>
      <c r="S152" s="2">
        <f t="shared" ref="S152:S159" si="129">ROUND((ROUND((AF152*AV152*I152),2)*BA152),2)</f>
        <v>47.59</v>
      </c>
      <c r="T152" s="2">
        <f t="shared" ref="T152:T159" si="130">ROUND(CU152*I152,2)</f>
        <v>0</v>
      </c>
      <c r="U152" s="2">
        <f t="shared" ref="U152:U159" si="131">CV152*I152</f>
        <v>3.417408</v>
      </c>
      <c r="V152" s="2">
        <f t="shared" ref="V152:V159" si="132">CW152*I152</f>
        <v>0</v>
      </c>
      <c r="W152" s="2">
        <f t="shared" ref="W152:W159" si="133">ROUND(CX152*I152,2)</f>
        <v>0</v>
      </c>
      <c r="X152" s="2">
        <f>(ROUND((((S152+ROUND((ROUND((((EU152*1.2))*AV152*I152),2)*BS152),2))*AT152)/100),2)+ROUND(((ROUND((ROUND(((AE152-((EU152*1.2)))*AV152*I152),2)*BS152),2)*AT152)/100),2))</f>
        <v>42.83</v>
      </c>
      <c r="Y152" s="2">
        <f>(ROUND((((S152+ROUND((ROUND((((EU152*1.2))*AV152*I152),2)*BS152),2))*AU152)/100),2)+ROUND(((ROUND((ROUND(((AE152-((EU152*1.2)))*AV152*I152),2)*BS152),2)*AU152)/100),2))</f>
        <v>21.89</v>
      </c>
      <c r="Z152" s="2"/>
      <c r="AA152" s="2">
        <v>55943566</v>
      </c>
      <c r="AB152" s="2">
        <f t="shared" ref="AB152:AB159" si="134">ROUND((AC152+AD152+AF152),6)</f>
        <v>25.091999999999999</v>
      </c>
      <c r="AC152" s="2">
        <f>ROUND(((ES152*1)),6)</f>
        <v>2.34</v>
      </c>
      <c r="AD152" s="2">
        <f>ROUND(((((ET152*1.2))-((EU152*1.2)))+AE152),6)</f>
        <v>2.4E-2</v>
      </c>
      <c r="AE152" s="2">
        <f>ROUND(((EU152*1.2)),6)</f>
        <v>0</v>
      </c>
      <c r="AF152" s="2">
        <f>ROUND(((EV152*1.2)),6)</f>
        <v>22.728000000000002</v>
      </c>
      <c r="AG152" s="2">
        <f t="shared" ref="AG152:AG159" si="135">ROUND((AP152),6)</f>
        <v>0</v>
      </c>
      <c r="AH152" s="2">
        <f>((EW152*1.2))</f>
        <v>1.6320000000000001</v>
      </c>
      <c r="AI152" s="2">
        <f>((EX152*1.2))</f>
        <v>0</v>
      </c>
      <c r="AJ152" s="2">
        <f t="shared" ref="AJ152:AJ159" si="136">(AS152)</f>
        <v>0</v>
      </c>
      <c r="AK152" s="2">
        <v>21.3</v>
      </c>
      <c r="AL152" s="2">
        <v>2.34</v>
      </c>
      <c r="AM152" s="2">
        <v>0.02</v>
      </c>
      <c r="AN152" s="2">
        <v>0</v>
      </c>
      <c r="AO152" s="2">
        <v>18.940000000000001</v>
      </c>
      <c r="AP152" s="2">
        <v>0</v>
      </c>
      <c r="AQ152" s="2">
        <v>1.36</v>
      </c>
      <c r="AR152" s="2">
        <v>0</v>
      </c>
      <c r="AS152" s="2">
        <v>0</v>
      </c>
      <c r="AT152" s="2">
        <v>90</v>
      </c>
      <c r="AU152" s="2">
        <v>46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65</v>
      </c>
      <c r="BK152" s="2"/>
      <c r="BL152" s="2"/>
      <c r="BM152" s="2">
        <v>68</v>
      </c>
      <c r="BN152" s="2">
        <v>0</v>
      </c>
      <c r="BO152" s="2" t="s">
        <v>63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351</v>
      </c>
      <c r="CO152" s="2">
        <v>0</v>
      </c>
      <c r="CP152" s="2">
        <f t="shared" ref="CP152:CP159" si="137">(P152+Q152+S152)</f>
        <v>52.32</v>
      </c>
      <c r="CQ152" s="2">
        <f>ROUND((ROUND((AC152*AW152*1),2)*BC152),2)</f>
        <v>2.34</v>
      </c>
      <c r="CR152" s="2">
        <f>(ROUND((ROUND((((ET152*1.2))*AV152*1),2)*BB152),2)+ROUND((ROUND(((AE152-((EU152*1.2)))*AV152*1),2)*BS152),2))</f>
        <v>0.03</v>
      </c>
      <c r="CS152" s="2">
        <f>(ROUND((ROUND((((EU152*1.2))*AV152*1),2)*BS152),2)+ROUND((ROUND(((AE152-((EU152*1.2)))*AV152*1),2)*BS152),2))</f>
        <v>0</v>
      </c>
      <c r="CT152" s="2">
        <f t="shared" ref="CT152:CT159" si="138">ROUND((ROUND((AF152*AV152*1),2)*BA152),2)</f>
        <v>23.8</v>
      </c>
      <c r="CU152" s="2">
        <f t="shared" ref="CU152:CU159" si="139">AG152</f>
        <v>0</v>
      </c>
      <c r="CV152" s="2">
        <f t="shared" ref="CV152:CV159" si="140">(AH152*AV152)</f>
        <v>1.708704</v>
      </c>
      <c r="CW152" s="2">
        <f t="shared" ref="CW152:CX159" si="141">AI152</f>
        <v>0</v>
      </c>
      <c r="CX152" s="2">
        <f t="shared" si="141"/>
        <v>0</v>
      </c>
      <c r="CY152" s="2">
        <f>(ROUND((((S152+ROUND((ROUND((((EU152*1.2))*AV152*1),2)*BS152),2))*AT152)/100),2)+ROUND(((ROUND((ROUND(((AE152-((EU152*1.2)))*AV152*1),2)*BS152),2)*AT152)/100),2))</f>
        <v>42.83</v>
      </c>
      <c r="CZ152" s="2">
        <f>(ROUND((((S152+ROUND((ROUND((((EU152*1.2))*AV152*1),2)*BS152),2))*AU152)/100),2)+ROUND(((ROUND((ROUND(((AE152-((EU152*1.2)))*AV152*1),2)*BS152),2)*AU152)/100),2))</f>
        <v>21.89</v>
      </c>
      <c r="DA152" s="2"/>
      <c r="DB152" s="2">
        <v>49</v>
      </c>
      <c r="DC152" s="2" t="s">
        <v>3</v>
      </c>
      <c r="DD152" s="2" t="s">
        <v>77</v>
      </c>
      <c r="DE152" s="2" t="s">
        <v>78</v>
      </c>
      <c r="DF152" s="2" t="s">
        <v>78</v>
      </c>
      <c r="DG152" s="2" t="s">
        <v>78</v>
      </c>
      <c r="DH152" s="2" t="s">
        <v>3</v>
      </c>
      <c r="DI152" s="2" t="s">
        <v>78</v>
      </c>
      <c r="DJ152" s="2" t="s">
        <v>78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28</v>
      </c>
      <c r="DW152" s="2" t="s">
        <v>32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55393972</v>
      </c>
      <c r="EF152" s="2">
        <v>40</v>
      </c>
      <c r="EG152" s="2" t="s">
        <v>33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41</v>
      </c>
      <c r="EM152" s="2" t="s">
        <v>42</v>
      </c>
      <c r="EN152" s="2"/>
      <c r="EO152" s="2" t="s">
        <v>82</v>
      </c>
      <c r="EP152" s="2"/>
      <c r="EQ152" s="2">
        <v>131072</v>
      </c>
      <c r="ER152" s="2">
        <v>21.3</v>
      </c>
      <c r="ES152" s="2">
        <v>2.34</v>
      </c>
      <c r="ET152" s="2">
        <v>0.02</v>
      </c>
      <c r="EU152" s="2">
        <v>0</v>
      </c>
      <c r="EV152" s="2">
        <v>18.940000000000001</v>
      </c>
      <c r="EW152" s="2">
        <v>1.36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3</v>
      </c>
      <c r="GB152" s="2"/>
      <c r="GC152" s="2"/>
      <c r="GD152" s="2">
        <v>1</v>
      </c>
      <c r="GE152" s="2"/>
      <c r="GF152" s="2">
        <v>550442336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59" si="142">ROUND(IF(AND(BH152=3,BI152=3,FS152&lt;&gt;0),P152,0),2)</f>
        <v>0</v>
      </c>
      <c r="GM152" s="2">
        <f t="shared" ref="GM152:GM159" si="143">ROUND(O152+X152+Y152,2)+GX152</f>
        <v>117.04</v>
      </c>
      <c r="GN152" s="2">
        <f t="shared" ref="GN152:GN159" si="144">IF(OR(BI152=0,BI152=1),GM152-GX152,0)</f>
        <v>0</v>
      </c>
      <c r="GO152" s="2">
        <f t="shared" ref="GO152:GO159" si="145">IF(BI152=2,GM152-GX152,0)</f>
        <v>117.04</v>
      </c>
      <c r="GP152" s="2">
        <f t="shared" ref="GP152:GP159" si="146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59" si="147">ROUND((GT152),6)</f>
        <v>0</v>
      </c>
      <c r="GW152" s="2">
        <v>1</v>
      </c>
      <c r="GX152" s="2">
        <f t="shared" ref="GX152:GX159" si="148">ROUND(HC152*I152,2)</f>
        <v>0</v>
      </c>
      <c r="GY152" s="2"/>
      <c r="GZ152" s="2"/>
      <c r="HA152" s="2">
        <v>0</v>
      </c>
      <c r="HB152" s="2">
        <v>0</v>
      </c>
      <c r="HC152" s="2">
        <f t="shared" ref="HC152:HC159" si="149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17</v>
      </c>
      <c r="B153" s="3">
        <v>1</v>
      </c>
      <c r="E153" s="3" t="s">
        <v>206</v>
      </c>
      <c r="F153" s="3" t="s">
        <v>63</v>
      </c>
      <c r="G153" s="3" t="s">
        <v>207</v>
      </c>
      <c r="H153" s="3" t="s">
        <v>28</v>
      </c>
      <c r="I153" s="3">
        <v>2</v>
      </c>
      <c r="J153" s="3">
        <v>0</v>
      </c>
      <c r="K153" s="3">
        <v>2</v>
      </c>
      <c r="O153" s="3">
        <f t="shared" si="128"/>
        <v>2730.17</v>
      </c>
      <c r="P153" s="3">
        <f>ROUND((ROUND((AC153*AW153*I153),2)*BC153),2)</f>
        <v>47.92</v>
      </c>
      <c r="Q153" s="3">
        <f>(ROUND((ROUND((((ET153*1.2))*AV153*I153),2)*BB153),2)+ROUND((ROUND(((AE153-((EU153*1.2)))*AV153*I153),2)*BS153),2))</f>
        <v>0.55000000000000004</v>
      </c>
      <c r="R153" s="3">
        <f>(ROUND((ROUND((((EU153*1.2))*AV153*I153),2)*BS153),2)+ROUND((ROUND(((AE153-((EU153*1.2)))*AV153*I153),2)*BS153),2))</f>
        <v>0</v>
      </c>
      <c r="S153" s="3">
        <f t="shared" si="129"/>
        <v>2681.7</v>
      </c>
      <c r="T153" s="3">
        <f t="shared" si="130"/>
        <v>0</v>
      </c>
      <c r="U153" s="3">
        <f t="shared" si="131"/>
        <v>3.417408</v>
      </c>
      <c r="V153" s="3">
        <f t="shared" si="132"/>
        <v>0</v>
      </c>
      <c r="W153" s="3">
        <f t="shared" si="133"/>
        <v>0</v>
      </c>
      <c r="X153" s="3">
        <f>(ROUND((((S153+ROUND((ROUND((((EU153*1.2))*AV153*I153),2)*BS153),2))*AT153)/100),2)+ROUND(((ROUND((ROUND(((AE153-((EU153*1.2)))*AV153*I153),2)*BS153),2)*AT153)/100),2))</f>
        <v>2413.5300000000002</v>
      </c>
      <c r="Y153" s="3">
        <f>(ROUND((((S153+ROUND((ROUND((((EU153*1.2))*AV153*I153),2)*BS153),2))*AU153)/100),2)+ROUND(((ROUND((ROUND(((AE153-((EU153*1.2)))*AV153*I153),2)*BS153),2)*AU153)/100),2))</f>
        <v>1233.58</v>
      </c>
      <c r="AA153" s="3">
        <v>55943568</v>
      </c>
      <c r="AB153" s="3">
        <f t="shared" si="134"/>
        <v>25.091999999999999</v>
      </c>
      <c r="AC153" s="3">
        <f>ROUND(((ES153*1)),6)</f>
        <v>2.34</v>
      </c>
      <c r="AD153" s="3">
        <f>ROUND(((((ET153*1.2))-((EU153*1.2)))+AE153),6)</f>
        <v>2.4E-2</v>
      </c>
      <c r="AE153" s="3">
        <f>ROUND(((EU153*1.2)),6)</f>
        <v>0</v>
      </c>
      <c r="AF153" s="3">
        <f>ROUND(((EV153*1.2)),6)</f>
        <v>22.728000000000002</v>
      </c>
      <c r="AG153" s="3">
        <f t="shared" si="135"/>
        <v>0</v>
      </c>
      <c r="AH153" s="3">
        <f>((EW153*1.2))</f>
        <v>1.6320000000000001</v>
      </c>
      <c r="AI153" s="3">
        <f>((EX153*1.2))</f>
        <v>0</v>
      </c>
      <c r="AJ153" s="3">
        <f t="shared" si="136"/>
        <v>0</v>
      </c>
      <c r="AK153" s="3">
        <v>21.3</v>
      </c>
      <c r="AL153" s="3">
        <v>2.34</v>
      </c>
      <c r="AM153" s="3">
        <v>0.02</v>
      </c>
      <c r="AN153" s="3">
        <v>0</v>
      </c>
      <c r="AO153" s="3">
        <v>18.940000000000001</v>
      </c>
      <c r="AP153" s="3">
        <v>0</v>
      </c>
      <c r="AQ153" s="3">
        <v>1.36</v>
      </c>
      <c r="AR153" s="3">
        <v>0</v>
      </c>
      <c r="AS153" s="3">
        <v>0</v>
      </c>
      <c r="AT153" s="3">
        <v>90</v>
      </c>
      <c r="AU153" s="3">
        <v>46</v>
      </c>
      <c r="AV153" s="3">
        <v>1.0469999999999999</v>
      </c>
      <c r="AW153" s="3">
        <v>1</v>
      </c>
      <c r="AZ153" s="3">
        <v>1</v>
      </c>
      <c r="BA153" s="3">
        <v>56.35</v>
      </c>
      <c r="BB153" s="3">
        <v>11</v>
      </c>
      <c r="BC153" s="3">
        <v>10.24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2</v>
      </c>
      <c r="BJ153" s="3" t="s">
        <v>65</v>
      </c>
      <c r="BM153" s="3">
        <v>68</v>
      </c>
      <c r="BN153" s="3">
        <v>0</v>
      </c>
      <c r="BO153" s="3" t="s">
        <v>63</v>
      </c>
      <c r="BP153" s="3">
        <v>1</v>
      </c>
      <c r="BQ153" s="3">
        <v>40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351</v>
      </c>
      <c r="CO153" s="3">
        <v>0</v>
      </c>
      <c r="CP153" s="3">
        <f t="shared" si="137"/>
        <v>2730.1699999999996</v>
      </c>
      <c r="CQ153" s="3">
        <f>ROUND((ROUND((AC153*AW153*1),2)*BC153),2)</f>
        <v>23.96</v>
      </c>
      <c r="CR153" s="3">
        <f>(ROUND((ROUND((((ET153*1.2))*AV153*1),2)*BB153),2)+ROUND((ROUND(((AE153-((EU153*1.2)))*AV153*1),2)*BS153),2))</f>
        <v>0.33</v>
      </c>
      <c r="CS153" s="3">
        <f>(ROUND((ROUND((((EU153*1.2))*AV153*1),2)*BS153),2)+ROUND((ROUND(((AE153-((EU153*1.2)))*AV153*1),2)*BS153),2))</f>
        <v>0</v>
      </c>
      <c r="CT153" s="3">
        <f t="shared" si="138"/>
        <v>1341.13</v>
      </c>
      <c r="CU153" s="3">
        <f t="shared" si="139"/>
        <v>0</v>
      </c>
      <c r="CV153" s="3">
        <f t="shared" si="140"/>
        <v>1.708704</v>
      </c>
      <c r="CW153" s="3">
        <f t="shared" si="141"/>
        <v>0</v>
      </c>
      <c r="CX153" s="3">
        <f t="shared" si="141"/>
        <v>0</v>
      </c>
      <c r="CY153" s="3">
        <f>(ROUND((((S153+ROUND((ROUND((((EU153*1.2))*AV153*1),2)*BS153),2))*AT153)/100),2)+ROUND(((ROUND((ROUND(((AE153-((EU153*1.2)))*AV153*1),2)*BS153),2)*AT153)/100),2))</f>
        <v>2413.5300000000002</v>
      </c>
      <c r="CZ153" s="3">
        <f>(ROUND((((S153+ROUND((ROUND((((EU153*1.2))*AV153*1),2)*BS153),2))*AU153)/100),2)+ROUND(((ROUND((ROUND(((AE153-((EU153*1.2)))*AV153*1),2)*BS153),2)*AU153)/100),2))</f>
        <v>1233.58</v>
      </c>
      <c r="DB153" s="3">
        <v>50</v>
      </c>
      <c r="DC153" s="3" t="s">
        <v>3</v>
      </c>
      <c r="DD153" s="3" t="s">
        <v>77</v>
      </c>
      <c r="DE153" s="3" t="s">
        <v>78</v>
      </c>
      <c r="DF153" s="3" t="s">
        <v>78</v>
      </c>
      <c r="DG153" s="3" t="s">
        <v>78</v>
      </c>
      <c r="DH153" s="3" t="s">
        <v>3</v>
      </c>
      <c r="DI153" s="3" t="s">
        <v>78</v>
      </c>
      <c r="DJ153" s="3" t="s">
        <v>78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28</v>
      </c>
      <c r="DW153" s="3" t="s">
        <v>32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55393972</v>
      </c>
      <c r="EF153" s="3">
        <v>40</v>
      </c>
      <c r="EG153" s="3" t="s">
        <v>33</v>
      </c>
      <c r="EH153" s="3">
        <v>0</v>
      </c>
      <c r="EI153" s="3" t="s">
        <v>3</v>
      </c>
      <c r="EJ153" s="3">
        <v>2</v>
      </c>
      <c r="EK153" s="3">
        <v>68</v>
      </c>
      <c r="EL153" s="3" t="s">
        <v>41</v>
      </c>
      <c r="EM153" s="3" t="s">
        <v>42</v>
      </c>
      <c r="EO153" s="3" t="s">
        <v>82</v>
      </c>
      <c r="EQ153" s="3">
        <v>131072</v>
      </c>
      <c r="ER153" s="3">
        <v>21.3</v>
      </c>
      <c r="ES153" s="3">
        <v>2.34</v>
      </c>
      <c r="ET153" s="3">
        <v>0.02</v>
      </c>
      <c r="EU153" s="3">
        <v>0</v>
      </c>
      <c r="EV153" s="3">
        <v>18.940000000000001</v>
      </c>
      <c r="EW153" s="3">
        <v>1.36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90</v>
      </c>
      <c r="FY153" s="3">
        <v>46</v>
      </c>
      <c r="GA153" s="3" t="s">
        <v>3</v>
      </c>
      <c r="GD153" s="3">
        <v>1</v>
      </c>
      <c r="GF153" s="3">
        <v>550442336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42"/>
        <v>0</v>
      </c>
      <c r="GM153" s="3">
        <f t="shared" si="143"/>
        <v>6377.28</v>
      </c>
      <c r="GN153" s="3">
        <f t="shared" si="144"/>
        <v>0</v>
      </c>
      <c r="GO153" s="3">
        <f t="shared" si="145"/>
        <v>6377.28</v>
      </c>
      <c r="GP153" s="3">
        <f t="shared" si="146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47"/>
        <v>0</v>
      </c>
      <c r="GW153" s="3">
        <v>1</v>
      </c>
      <c r="GX153" s="3">
        <f t="shared" si="148"/>
        <v>0</v>
      </c>
      <c r="HA153" s="3">
        <v>0</v>
      </c>
      <c r="HB153" s="3">
        <v>0</v>
      </c>
      <c r="HC153" s="3">
        <f t="shared" si="149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">
      <c r="A154" s="2">
        <v>17</v>
      </c>
      <c r="B154" s="2">
        <v>1</v>
      </c>
      <c r="C154" s="2"/>
      <c r="D154" s="2"/>
      <c r="E154" s="2" t="s">
        <v>208</v>
      </c>
      <c r="F154" s="2" t="s">
        <v>209</v>
      </c>
      <c r="G154" s="2" t="s">
        <v>210</v>
      </c>
      <c r="H154" s="2" t="s">
        <v>211</v>
      </c>
      <c r="I154" s="2">
        <v>2</v>
      </c>
      <c r="J154" s="2">
        <v>0</v>
      </c>
      <c r="K154" s="2">
        <v>2</v>
      </c>
      <c r="L154" s="2"/>
      <c r="M154" s="2"/>
      <c r="N154" s="2"/>
      <c r="O154" s="2">
        <f t="shared" si="128"/>
        <v>1752.36</v>
      </c>
      <c r="P154" s="2">
        <f>ROUND((ROUND((AC154*I154),2)*BC154),2)</f>
        <v>1752.36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29"/>
        <v>0</v>
      </c>
      <c r="T154" s="2">
        <f t="shared" si="130"/>
        <v>0</v>
      </c>
      <c r="U154" s="2">
        <f t="shared" si="131"/>
        <v>0</v>
      </c>
      <c r="V154" s="2">
        <f t="shared" si="132"/>
        <v>0</v>
      </c>
      <c r="W154" s="2">
        <f t="shared" si="133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55943566</v>
      </c>
      <c r="AB154" s="2">
        <f t="shared" si="134"/>
        <v>876.18</v>
      </c>
      <c r="AC154" s="2">
        <f>ROUND((ES154),6)</f>
        <v>876.18</v>
      </c>
      <c r="AD154" s="2">
        <f>ROUND((((ET154)-(EU154))+AE154),6)</f>
        <v>0</v>
      </c>
      <c r="AE154" s="2">
        <f>ROUND((EU154),6)</f>
        <v>0</v>
      </c>
      <c r="AF154" s="2">
        <f>ROUND((EV154),6)</f>
        <v>0</v>
      </c>
      <c r="AG154" s="2">
        <f t="shared" si="135"/>
        <v>0</v>
      </c>
      <c r="AH154" s="2">
        <f>(EW154)</f>
        <v>0</v>
      </c>
      <c r="AI154" s="2">
        <f>(EX154)</f>
        <v>0</v>
      </c>
      <c r="AJ154" s="2">
        <f t="shared" si="136"/>
        <v>0</v>
      </c>
      <c r="AK154" s="2">
        <v>876.18</v>
      </c>
      <c r="AL154" s="2">
        <v>876.18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3</v>
      </c>
      <c r="BK154" s="2"/>
      <c r="BL154" s="2"/>
      <c r="BM154" s="2">
        <v>746</v>
      </c>
      <c r="BN154" s="2">
        <v>0</v>
      </c>
      <c r="BO154" s="2" t="s">
        <v>3</v>
      </c>
      <c r="BP154" s="2">
        <v>0</v>
      </c>
      <c r="BQ154" s="2">
        <v>130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37"/>
        <v>1752.36</v>
      </c>
      <c r="CQ154" s="2">
        <f>ROUND((ROUND((AC154*1),2)*BC154),2)</f>
        <v>876.18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38"/>
        <v>0</v>
      </c>
      <c r="CU154" s="2">
        <f t="shared" si="139"/>
        <v>0</v>
      </c>
      <c r="CV154" s="2">
        <f t="shared" si="140"/>
        <v>0</v>
      </c>
      <c r="CW154" s="2">
        <f t="shared" si="141"/>
        <v>0</v>
      </c>
      <c r="CX154" s="2">
        <f t="shared" si="141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211</v>
      </c>
      <c r="DW154" s="2" t="s">
        <v>211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55393877</v>
      </c>
      <c r="EF154" s="2">
        <v>130</v>
      </c>
      <c r="EG154" s="2" t="s">
        <v>212</v>
      </c>
      <c r="EH154" s="2">
        <v>0</v>
      </c>
      <c r="EI154" s="2" t="s">
        <v>3</v>
      </c>
      <c r="EJ154" s="2">
        <v>3</v>
      </c>
      <c r="EK154" s="2">
        <v>746</v>
      </c>
      <c r="EL154" s="2" t="s">
        <v>213</v>
      </c>
      <c r="EM154" s="2" t="s">
        <v>214</v>
      </c>
      <c r="EN154" s="2"/>
      <c r="EO154" s="2" t="s">
        <v>3</v>
      </c>
      <c r="EP154" s="2"/>
      <c r="EQ154" s="2">
        <v>131072</v>
      </c>
      <c r="ER154" s="2">
        <v>876.18</v>
      </c>
      <c r="ES154" s="2">
        <v>876.18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1752.36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3</v>
      </c>
      <c r="GB154" s="2"/>
      <c r="GC154" s="2"/>
      <c r="GD154" s="2">
        <v>1</v>
      </c>
      <c r="GE154" s="2"/>
      <c r="GF154" s="2">
        <v>-254200720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42"/>
        <v>0</v>
      </c>
      <c r="GM154" s="2">
        <f t="shared" si="143"/>
        <v>1752.36</v>
      </c>
      <c r="GN154" s="2">
        <f t="shared" si="144"/>
        <v>0</v>
      </c>
      <c r="GO154" s="2">
        <f t="shared" si="145"/>
        <v>0</v>
      </c>
      <c r="GP154" s="2">
        <f t="shared" si="146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47"/>
        <v>0</v>
      </c>
      <c r="GW154" s="2">
        <v>1</v>
      </c>
      <c r="GX154" s="2">
        <f t="shared" si="148"/>
        <v>0</v>
      </c>
      <c r="GY154" s="2"/>
      <c r="GZ154" s="2"/>
      <c r="HA154" s="2">
        <v>0</v>
      </c>
      <c r="HB154" s="2">
        <v>0</v>
      </c>
      <c r="HC154" s="2">
        <f t="shared" si="149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17</v>
      </c>
      <c r="B155" s="3">
        <v>1</v>
      </c>
      <c r="E155" s="3" t="s">
        <v>208</v>
      </c>
      <c r="F155" s="3" t="s">
        <v>209</v>
      </c>
      <c r="G155" s="3" t="s">
        <v>210</v>
      </c>
      <c r="H155" s="3" t="s">
        <v>211</v>
      </c>
      <c r="I155" s="3">
        <v>2</v>
      </c>
      <c r="J155" s="3">
        <v>0</v>
      </c>
      <c r="K155" s="3">
        <v>2</v>
      </c>
      <c r="O155" s="3">
        <f t="shared" si="128"/>
        <v>15228.01</v>
      </c>
      <c r="P155" s="3">
        <f>ROUND((ROUND((AC155*I155),2)*BC155),2)</f>
        <v>15228.01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29"/>
        <v>0</v>
      </c>
      <c r="T155" s="3">
        <f t="shared" si="130"/>
        <v>0</v>
      </c>
      <c r="U155" s="3">
        <f t="shared" si="131"/>
        <v>0</v>
      </c>
      <c r="V155" s="3">
        <f t="shared" si="132"/>
        <v>0</v>
      </c>
      <c r="W155" s="3">
        <f t="shared" si="133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AA155" s="3">
        <v>55943568</v>
      </c>
      <c r="AB155" s="3">
        <f t="shared" si="134"/>
        <v>876.18</v>
      </c>
      <c r="AC155" s="3">
        <f>ROUND((ES155),6)</f>
        <v>876.18</v>
      </c>
      <c r="AD155" s="3">
        <f>ROUND((((ET155)-(EU155))+AE155),6)</f>
        <v>0</v>
      </c>
      <c r="AE155" s="3">
        <f>ROUND((EU155),6)</f>
        <v>0</v>
      </c>
      <c r="AF155" s="3">
        <f>ROUND((EV155),6)</f>
        <v>0</v>
      </c>
      <c r="AG155" s="3">
        <f t="shared" si="135"/>
        <v>0</v>
      </c>
      <c r="AH155" s="3">
        <f>(EW155)</f>
        <v>0</v>
      </c>
      <c r="AI155" s="3">
        <f>(EX155)</f>
        <v>0</v>
      </c>
      <c r="AJ155" s="3">
        <f t="shared" si="136"/>
        <v>0</v>
      </c>
      <c r="AK155" s="3">
        <v>876.18</v>
      </c>
      <c r="AL155" s="3">
        <v>876.18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8.69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3</v>
      </c>
      <c r="BM155" s="3">
        <v>746</v>
      </c>
      <c r="BN155" s="3">
        <v>0</v>
      </c>
      <c r="BO155" s="3" t="s">
        <v>3</v>
      </c>
      <c r="BP155" s="3">
        <v>0</v>
      </c>
      <c r="BQ155" s="3">
        <v>130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37"/>
        <v>15228.01</v>
      </c>
      <c r="CQ155" s="3">
        <f>ROUND((ROUND((AC155*1),2)*BC155),2)</f>
        <v>7614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38"/>
        <v>0</v>
      </c>
      <c r="CU155" s="3">
        <f t="shared" si="139"/>
        <v>0</v>
      </c>
      <c r="CV155" s="3">
        <f t="shared" si="140"/>
        <v>0</v>
      </c>
      <c r="CW155" s="3">
        <f t="shared" si="141"/>
        <v>0</v>
      </c>
      <c r="CX155" s="3">
        <f t="shared" si="141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211</v>
      </c>
      <c r="DW155" s="3" t="s">
        <v>211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55393877</v>
      </c>
      <c r="EF155" s="3">
        <v>130</v>
      </c>
      <c r="EG155" s="3" t="s">
        <v>212</v>
      </c>
      <c r="EH155" s="3">
        <v>0</v>
      </c>
      <c r="EI155" s="3" t="s">
        <v>3</v>
      </c>
      <c r="EJ155" s="3">
        <v>3</v>
      </c>
      <c r="EK155" s="3">
        <v>746</v>
      </c>
      <c r="EL155" s="3" t="s">
        <v>213</v>
      </c>
      <c r="EM155" s="3" t="s">
        <v>214</v>
      </c>
      <c r="EO155" s="3" t="s">
        <v>3</v>
      </c>
      <c r="EQ155" s="3">
        <v>131072</v>
      </c>
      <c r="ER155" s="3">
        <v>876.18</v>
      </c>
      <c r="ES155" s="3">
        <v>876.18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FQ155" s="3">
        <v>0</v>
      </c>
      <c r="FR155" s="3">
        <f>P155</f>
        <v>15228.01</v>
      </c>
      <c r="FS155" s="3">
        <v>0</v>
      </c>
      <c r="FX155" s="3">
        <v>0</v>
      </c>
      <c r="FY155" s="3">
        <v>0</v>
      </c>
      <c r="GA155" s="3" t="s">
        <v>3</v>
      </c>
      <c r="GD155" s="3">
        <v>1</v>
      </c>
      <c r="GF155" s="3">
        <v>-254200720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42"/>
        <v>0</v>
      </c>
      <c r="GM155" s="3">
        <f t="shared" si="143"/>
        <v>15228.01</v>
      </c>
      <c r="GN155" s="3">
        <f t="shared" si="144"/>
        <v>0</v>
      </c>
      <c r="GO155" s="3">
        <f t="shared" si="145"/>
        <v>0</v>
      </c>
      <c r="GP155" s="3">
        <f t="shared" si="14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47"/>
        <v>0</v>
      </c>
      <c r="GW155" s="3">
        <v>1</v>
      </c>
      <c r="GX155" s="3">
        <f t="shared" si="148"/>
        <v>0</v>
      </c>
      <c r="HA155" s="3">
        <v>0</v>
      </c>
      <c r="HB155" s="3">
        <v>0</v>
      </c>
      <c r="HC155" s="3">
        <f t="shared" si="14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17</v>
      </c>
      <c r="B156" s="2">
        <v>1</v>
      </c>
      <c r="C156" s="2"/>
      <c r="D156" s="2"/>
      <c r="E156" s="2" t="s">
        <v>215</v>
      </c>
      <c r="F156" s="2" t="s">
        <v>67</v>
      </c>
      <c r="G156" s="2" t="s">
        <v>216</v>
      </c>
      <c r="H156" s="2" t="s">
        <v>28</v>
      </c>
      <c r="I156" s="2">
        <v>4</v>
      </c>
      <c r="J156" s="2">
        <v>0</v>
      </c>
      <c r="K156" s="2">
        <v>4</v>
      </c>
      <c r="L156" s="2"/>
      <c r="M156" s="2"/>
      <c r="N156" s="2"/>
      <c r="O156" s="2">
        <f t="shared" si="128"/>
        <v>222.83</v>
      </c>
      <c r="P156" s="2">
        <f>ROUND((ROUND((AC156*AW156*I156),2)*BC156),2)</f>
        <v>92.16</v>
      </c>
      <c r="Q156" s="2">
        <f>(ROUND((ROUND((((ET156*1.2))*AV156*I156),2)*BB156),2)+ROUND((ROUND(((AE156-((EU156*1.2)))*AV156*I156),2)*BS156),2))</f>
        <v>0</v>
      </c>
      <c r="R156" s="2">
        <f>(ROUND((ROUND((((EU156*1.2))*AV156*I156),2)*BS156),2)+ROUND((ROUND(((AE156-((EU156*1.2)))*AV156*I156),2)*BS156),2))</f>
        <v>0</v>
      </c>
      <c r="S156" s="2">
        <f t="shared" si="129"/>
        <v>130.66999999999999</v>
      </c>
      <c r="T156" s="2">
        <f t="shared" si="130"/>
        <v>0</v>
      </c>
      <c r="U156" s="2">
        <f t="shared" si="131"/>
        <v>10.352735999999998</v>
      </c>
      <c r="V156" s="2">
        <f t="shared" si="132"/>
        <v>0</v>
      </c>
      <c r="W156" s="2">
        <f t="shared" si="133"/>
        <v>0</v>
      </c>
      <c r="X156" s="2">
        <f>(ROUND((((S156+ROUND((ROUND((((EU156*1.2))*AV156*I156),2)*BS156),2))*AT156)/100),2)+ROUND(((ROUND((ROUND(((AE156-((EU156*1.2)))*AV156*I156),2)*BS156),2)*AT156)/100),2))</f>
        <v>126.75</v>
      </c>
      <c r="Y156" s="2">
        <f>(ROUND((((S156+ROUND((ROUND((((EU156*1.2))*AV156*I156),2)*BS156),2))*AU156)/100),2)+ROUND(((ROUND((ROUND(((AE156-((EU156*1.2)))*AV156*I156),2)*BS156),2)*AU156)/100),2))</f>
        <v>66.64</v>
      </c>
      <c r="Z156" s="2"/>
      <c r="AA156" s="2">
        <v>55943566</v>
      </c>
      <c r="AB156" s="2">
        <f t="shared" si="134"/>
        <v>54.24</v>
      </c>
      <c r="AC156" s="2">
        <f>ROUND(((ES156*1)),6)</f>
        <v>23.04</v>
      </c>
      <c r="AD156" s="2">
        <f>ROUND(((((ET156*1.2))-((EU156*1.2)))+AE156),6)</f>
        <v>0</v>
      </c>
      <c r="AE156" s="2">
        <f>ROUND(((EU156*1.2)),6)</f>
        <v>0</v>
      </c>
      <c r="AF156" s="2">
        <f>ROUND(((EV156*1.2)),6)</f>
        <v>31.2</v>
      </c>
      <c r="AG156" s="2">
        <f t="shared" si="135"/>
        <v>0</v>
      </c>
      <c r="AH156" s="2">
        <f>((EW156*1.2))</f>
        <v>2.472</v>
      </c>
      <c r="AI156" s="2">
        <f>((EX156*1.2))</f>
        <v>0</v>
      </c>
      <c r="AJ156" s="2">
        <f t="shared" si="136"/>
        <v>0</v>
      </c>
      <c r="AK156" s="2">
        <v>49.04</v>
      </c>
      <c r="AL156" s="2">
        <v>23.04</v>
      </c>
      <c r="AM156" s="2">
        <v>0</v>
      </c>
      <c r="AN156" s="2">
        <v>0</v>
      </c>
      <c r="AO156" s="2">
        <v>26</v>
      </c>
      <c r="AP156" s="2">
        <v>0</v>
      </c>
      <c r="AQ156" s="2">
        <v>2.06</v>
      </c>
      <c r="AR156" s="2">
        <v>0</v>
      </c>
      <c r="AS156" s="2">
        <v>0</v>
      </c>
      <c r="AT156" s="2">
        <v>97</v>
      </c>
      <c r="AU156" s="2">
        <v>51</v>
      </c>
      <c r="AV156" s="2">
        <v>1.0469999999999999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2</v>
      </c>
      <c r="BJ156" s="2" t="s">
        <v>69</v>
      </c>
      <c r="BK156" s="2"/>
      <c r="BL156" s="2"/>
      <c r="BM156" s="2">
        <v>67</v>
      </c>
      <c r="BN156" s="2">
        <v>0</v>
      </c>
      <c r="BO156" s="2" t="s">
        <v>67</v>
      </c>
      <c r="BP156" s="2">
        <v>1</v>
      </c>
      <c r="BQ156" s="2">
        <v>40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97</v>
      </c>
      <c r="CA156" s="2">
        <v>51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351</v>
      </c>
      <c r="CO156" s="2">
        <v>0</v>
      </c>
      <c r="CP156" s="2">
        <f t="shared" si="137"/>
        <v>222.82999999999998</v>
      </c>
      <c r="CQ156" s="2">
        <f>ROUND((ROUND((AC156*AW156*1),2)*BC156),2)</f>
        <v>23.04</v>
      </c>
      <c r="CR156" s="2">
        <f>(ROUND((ROUND((((ET156*1.2))*AV156*1),2)*BB156),2)+ROUND((ROUND(((AE156-((EU156*1.2)))*AV156*1),2)*BS156),2))</f>
        <v>0</v>
      </c>
      <c r="CS156" s="2">
        <f>(ROUND((ROUND((((EU156*1.2))*AV156*1),2)*BS156),2)+ROUND((ROUND(((AE156-((EU156*1.2)))*AV156*1),2)*BS156),2))</f>
        <v>0</v>
      </c>
      <c r="CT156" s="2">
        <f t="shared" si="138"/>
        <v>32.67</v>
      </c>
      <c r="CU156" s="2">
        <f t="shared" si="139"/>
        <v>0</v>
      </c>
      <c r="CV156" s="2">
        <f t="shared" si="140"/>
        <v>2.5881839999999996</v>
      </c>
      <c r="CW156" s="2">
        <f t="shared" si="141"/>
        <v>0</v>
      </c>
      <c r="CX156" s="2">
        <f t="shared" si="141"/>
        <v>0</v>
      </c>
      <c r="CY156" s="2">
        <f>(ROUND((((S156+ROUND((ROUND((((EU156*1.2))*AV156*1),2)*BS156),2))*AT156)/100),2)+ROUND(((ROUND((ROUND(((AE156-((EU156*1.2)))*AV156*1),2)*BS156),2)*AT156)/100),2))</f>
        <v>126.75</v>
      </c>
      <c r="CZ156" s="2">
        <f>(ROUND((((S156+ROUND((ROUND((((EU156*1.2))*AV156*1),2)*BS156),2))*AU156)/100),2)+ROUND(((ROUND((ROUND(((AE156-((EU156*1.2)))*AV156*1),2)*BS156),2)*AU156)/100),2))</f>
        <v>66.64</v>
      </c>
      <c r="DA156" s="2"/>
      <c r="DB156" s="2">
        <v>51</v>
      </c>
      <c r="DC156" s="2" t="s">
        <v>3</v>
      </c>
      <c r="DD156" s="2" t="s">
        <v>77</v>
      </c>
      <c r="DE156" s="2" t="s">
        <v>78</v>
      </c>
      <c r="DF156" s="2" t="s">
        <v>78</v>
      </c>
      <c r="DG156" s="2" t="s">
        <v>78</v>
      </c>
      <c r="DH156" s="2" t="s">
        <v>3</v>
      </c>
      <c r="DI156" s="2" t="s">
        <v>78</v>
      </c>
      <c r="DJ156" s="2" t="s">
        <v>78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28</v>
      </c>
      <c r="DW156" s="2" t="s">
        <v>32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55393971</v>
      </c>
      <c r="EF156" s="2">
        <v>40</v>
      </c>
      <c r="EG156" s="2" t="s">
        <v>33</v>
      </c>
      <c r="EH156" s="2">
        <v>0</v>
      </c>
      <c r="EI156" s="2" t="s">
        <v>3</v>
      </c>
      <c r="EJ156" s="2">
        <v>2</v>
      </c>
      <c r="EK156" s="2">
        <v>67</v>
      </c>
      <c r="EL156" s="2" t="s">
        <v>70</v>
      </c>
      <c r="EM156" s="2" t="s">
        <v>71</v>
      </c>
      <c r="EN156" s="2"/>
      <c r="EO156" s="2" t="s">
        <v>82</v>
      </c>
      <c r="EP156" s="2"/>
      <c r="EQ156" s="2">
        <v>131072</v>
      </c>
      <c r="ER156" s="2">
        <v>49.04</v>
      </c>
      <c r="ES156" s="2">
        <v>23.04</v>
      </c>
      <c r="ET156" s="2">
        <v>0</v>
      </c>
      <c r="EU156" s="2">
        <v>0</v>
      </c>
      <c r="EV156" s="2">
        <v>26</v>
      </c>
      <c r="EW156" s="2">
        <v>2.06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97</v>
      </c>
      <c r="FY156" s="2">
        <v>51</v>
      </c>
      <c r="FZ156" s="2"/>
      <c r="GA156" s="2" t="s">
        <v>3</v>
      </c>
      <c r="GB156" s="2"/>
      <c r="GC156" s="2"/>
      <c r="GD156" s="2">
        <v>1</v>
      </c>
      <c r="GE156" s="2"/>
      <c r="GF156" s="2">
        <v>-882174624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si="142"/>
        <v>0</v>
      </c>
      <c r="GM156" s="2">
        <f t="shared" si="143"/>
        <v>416.22</v>
      </c>
      <c r="GN156" s="2">
        <f t="shared" si="144"/>
        <v>0</v>
      </c>
      <c r="GO156" s="2">
        <f t="shared" si="145"/>
        <v>416.22</v>
      </c>
      <c r="GP156" s="2">
        <f t="shared" si="146"/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si="147"/>
        <v>0</v>
      </c>
      <c r="GW156" s="2">
        <v>1</v>
      </c>
      <c r="GX156" s="2">
        <f t="shared" si="148"/>
        <v>0</v>
      </c>
      <c r="GY156" s="2"/>
      <c r="GZ156" s="2"/>
      <c r="HA156" s="2">
        <v>0</v>
      </c>
      <c r="HB156" s="2">
        <v>0</v>
      </c>
      <c r="HC156" s="2">
        <f t="shared" si="149"/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17</v>
      </c>
      <c r="B157" s="3">
        <v>1</v>
      </c>
      <c r="E157" s="3" t="s">
        <v>215</v>
      </c>
      <c r="F157" s="3" t="s">
        <v>67</v>
      </c>
      <c r="G157" s="3" t="s">
        <v>216</v>
      </c>
      <c r="H157" s="3" t="s">
        <v>28</v>
      </c>
      <c r="I157" s="3">
        <v>4</v>
      </c>
      <c r="J157" s="3">
        <v>0</v>
      </c>
      <c r="K157" s="3">
        <v>4</v>
      </c>
      <c r="O157" s="3">
        <f t="shared" si="128"/>
        <v>7737.42</v>
      </c>
      <c r="P157" s="3">
        <f>ROUND((ROUND((AC157*AW157*I157),2)*BC157),2)</f>
        <v>374.17</v>
      </c>
      <c r="Q157" s="3">
        <f>(ROUND((ROUND((((ET157*1.2))*AV157*I157),2)*BB157),2)+ROUND((ROUND(((AE157-((EU157*1.2)))*AV157*I157),2)*BS157),2))</f>
        <v>0</v>
      </c>
      <c r="R157" s="3">
        <f>(ROUND((ROUND((((EU157*1.2))*AV157*I157),2)*BS157),2)+ROUND((ROUND(((AE157-((EU157*1.2)))*AV157*I157),2)*BS157),2))</f>
        <v>0</v>
      </c>
      <c r="S157" s="3">
        <f t="shared" si="129"/>
        <v>7363.25</v>
      </c>
      <c r="T157" s="3">
        <f t="shared" si="130"/>
        <v>0</v>
      </c>
      <c r="U157" s="3">
        <f t="shared" si="131"/>
        <v>10.352735999999998</v>
      </c>
      <c r="V157" s="3">
        <f t="shared" si="132"/>
        <v>0</v>
      </c>
      <c r="W157" s="3">
        <f t="shared" si="133"/>
        <v>0</v>
      </c>
      <c r="X157" s="3">
        <f>(ROUND((((S157+ROUND((ROUND((((EU157*1.2))*AV157*I157),2)*BS157),2))*AT157)/100),2)+ROUND(((ROUND((ROUND(((AE157-((EU157*1.2)))*AV157*I157),2)*BS157),2)*AT157)/100),2))</f>
        <v>7142.35</v>
      </c>
      <c r="Y157" s="3">
        <f>(ROUND((((S157+ROUND((ROUND((((EU157*1.2))*AV157*I157),2)*BS157),2))*AU157)/100),2)+ROUND(((ROUND((ROUND(((AE157-((EU157*1.2)))*AV157*I157),2)*BS157),2)*AU157)/100),2))</f>
        <v>3755.26</v>
      </c>
      <c r="AA157" s="3">
        <v>55943568</v>
      </c>
      <c r="AB157" s="3">
        <f t="shared" si="134"/>
        <v>54.24</v>
      </c>
      <c r="AC157" s="3">
        <f>ROUND(((ES157*1)),6)</f>
        <v>23.04</v>
      </c>
      <c r="AD157" s="3">
        <f>ROUND(((((ET157*1.2))-((EU157*1.2)))+AE157),6)</f>
        <v>0</v>
      </c>
      <c r="AE157" s="3">
        <f>ROUND(((EU157*1.2)),6)</f>
        <v>0</v>
      </c>
      <c r="AF157" s="3">
        <f>ROUND(((EV157*1.2)),6)</f>
        <v>31.2</v>
      </c>
      <c r="AG157" s="3">
        <f t="shared" si="135"/>
        <v>0</v>
      </c>
      <c r="AH157" s="3">
        <f>((EW157*1.2))</f>
        <v>2.472</v>
      </c>
      <c r="AI157" s="3">
        <f>((EX157*1.2))</f>
        <v>0</v>
      </c>
      <c r="AJ157" s="3">
        <f t="shared" si="136"/>
        <v>0</v>
      </c>
      <c r="AK157" s="3">
        <v>49.04</v>
      </c>
      <c r="AL157" s="3">
        <v>23.04</v>
      </c>
      <c r="AM157" s="3">
        <v>0</v>
      </c>
      <c r="AN157" s="3">
        <v>0</v>
      </c>
      <c r="AO157" s="3">
        <v>26</v>
      </c>
      <c r="AP157" s="3">
        <v>0</v>
      </c>
      <c r="AQ157" s="3">
        <v>2.06</v>
      </c>
      <c r="AR157" s="3">
        <v>0</v>
      </c>
      <c r="AS157" s="3">
        <v>0</v>
      </c>
      <c r="AT157" s="3">
        <v>97</v>
      </c>
      <c r="AU157" s="3">
        <v>51</v>
      </c>
      <c r="AV157" s="3">
        <v>1.0469999999999999</v>
      </c>
      <c r="AW157" s="3">
        <v>1</v>
      </c>
      <c r="AZ157" s="3">
        <v>1</v>
      </c>
      <c r="BA157" s="3">
        <v>56.35</v>
      </c>
      <c r="BB157" s="3">
        <v>1</v>
      </c>
      <c r="BC157" s="3">
        <v>4.0599999999999996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0</v>
      </c>
      <c r="BI157" s="3">
        <v>2</v>
      </c>
      <c r="BJ157" s="3" t="s">
        <v>69</v>
      </c>
      <c r="BM157" s="3">
        <v>67</v>
      </c>
      <c r="BN157" s="3">
        <v>0</v>
      </c>
      <c r="BO157" s="3" t="s">
        <v>67</v>
      </c>
      <c r="BP157" s="3">
        <v>1</v>
      </c>
      <c r="BQ157" s="3">
        <v>40</v>
      </c>
      <c r="BR157" s="3">
        <v>0</v>
      </c>
      <c r="BS157" s="3">
        <v>56.35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97</v>
      </c>
      <c r="CA157" s="3">
        <v>51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351</v>
      </c>
      <c r="CO157" s="3">
        <v>0</v>
      </c>
      <c r="CP157" s="3">
        <f t="shared" si="137"/>
        <v>7737.42</v>
      </c>
      <c r="CQ157" s="3">
        <f>ROUND((ROUND((AC157*AW157*1),2)*BC157),2)</f>
        <v>93.54</v>
      </c>
      <c r="CR157" s="3">
        <f>(ROUND((ROUND((((ET157*1.2))*AV157*1),2)*BB157),2)+ROUND((ROUND(((AE157-((EU157*1.2)))*AV157*1),2)*BS157),2))</f>
        <v>0</v>
      </c>
      <c r="CS157" s="3">
        <f>(ROUND((ROUND((((EU157*1.2))*AV157*1),2)*BS157),2)+ROUND((ROUND(((AE157-((EU157*1.2)))*AV157*1),2)*BS157),2))</f>
        <v>0</v>
      </c>
      <c r="CT157" s="3">
        <f t="shared" si="138"/>
        <v>1840.95</v>
      </c>
      <c r="CU157" s="3">
        <f t="shared" si="139"/>
        <v>0</v>
      </c>
      <c r="CV157" s="3">
        <f t="shared" si="140"/>
        <v>2.5881839999999996</v>
      </c>
      <c r="CW157" s="3">
        <f t="shared" si="141"/>
        <v>0</v>
      </c>
      <c r="CX157" s="3">
        <f t="shared" si="141"/>
        <v>0</v>
      </c>
      <c r="CY157" s="3">
        <f>(ROUND((((S157+ROUND((ROUND((((EU157*1.2))*AV157*1),2)*BS157),2))*AT157)/100),2)+ROUND(((ROUND((ROUND(((AE157-((EU157*1.2)))*AV157*1),2)*BS157),2)*AT157)/100),2))</f>
        <v>7142.35</v>
      </c>
      <c r="CZ157" s="3">
        <f>(ROUND((((S157+ROUND((ROUND((((EU157*1.2))*AV157*1),2)*BS157),2))*AU157)/100),2)+ROUND(((ROUND((ROUND(((AE157-((EU157*1.2)))*AV157*1),2)*BS157),2)*AU157)/100),2))</f>
        <v>3755.26</v>
      </c>
      <c r="DB157" s="3">
        <v>52</v>
      </c>
      <c r="DC157" s="3" t="s">
        <v>3</v>
      </c>
      <c r="DD157" s="3" t="s">
        <v>77</v>
      </c>
      <c r="DE157" s="3" t="s">
        <v>78</v>
      </c>
      <c r="DF157" s="3" t="s">
        <v>78</v>
      </c>
      <c r="DG157" s="3" t="s">
        <v>78</v>
      </c>
      <c r="DH157" s="3" t="s">
        <v>3</v>
      </c>
      <c r="DI157" s="3" t="s">
        <v>78</v>
      </c>
      <c r="DJ157" s="3" t="s">
        <v>78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28</v>
      </c>
      <c r="DW157" s="3" t="s">
        <v>32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55393971</v>
      </c>
      <c r="EF157" s="3">
        <v>40</v>
      </c>
      <c r="EG157" s="3" t="s">
        <v>33</v>
      </c>
      <c r="EH157" s="3">
        <v>0</v>
      </c>
      <c r="EI157" s="3" t="s">
        <v>3</v>
      </c>
      <c r="EJ157" s="3">
        <v>2</v>
      </c>
      <c r="EK157" s="3">
        <v>67</v>
      </c>
      <c r="EL157" s="3" t="s">
        <v>70</v>
      </c>
      <c r="EM157" s="3" t="s">
        <v>71</v>
      </c>
      <c r="EO157" s="3" t="s">
        <v>82</v>
      </c>
      <c r="EQ157" s="3">
        <v>131072</v>
      </c>
      <c r="ER157" s="3">
        <v>49.04</v>
      </c>
      <c r="ES157" s="3">
        <v>23.04</v>
      </c>
      <c r="ET157" s="3">
        <v>0</v>
      </c>
      <c r="EU157" s="3">
        <v>0</v>
      </c>
      <c r="EV157" s="3">
        <v>26</v>
      </c>
      <c r="EW157" s="3">
        <v>2.06</v>
      </c>
      <c r="EX157" s="3">
        <v>0</v>
      </c>
      <c r="EY157" s="3">
        <v>0</v>
      </c>
      <c r="FQ157" s="3">
        <v>0</v>
      </c>
      <c r="FR157" s="3">
        <v>0</v>
      </c>
      <c r="FS157" s="3">
        <v>0</v>
      </c>
      <c r="FX157" s="3">
        <v>97</v>
      </c>
      <c r="FY157" s="3">
        <v>51</v>
      </c>
      <c r="GA157" s="3" t="s">
        <v>3</v>
      </c>
      <c r="GD157" s="3">
        <v>1</v>
      </c>
      <c r="GF157" s="3">
        <v>-882174624</v>
      </c>
      <c r="GG157" s="3">
        <v>2</v>
      </c>
      <c r="GH157" s="3">
        <v>1</v>
      </c>
      <c r="GI157" s="3">
        <v>2</v>
      </c>
      <c r="GJ157" s="3">
        <v>0</v>
      </c>
      <c r="GK157" s="3">
        <v>0</v>
      </c>
      <c r="GL157" s="3">
        <f t="shared" si="142"/>
        <v>0</v>
      </c>
      <c r="GM157" s="3">
        <f t="shared" si="143"/>
        <v>18635.03</v>
      </c>
      <c r="GN157" s="3">
        <f t="shared" si="144"/>
        <v>0</v>
      </c>
      <c r="GO157" s="3">
        <f t="shared" si="145"/>
        <v>18635.03</v>
      </c>
      <c r="GP157" s="3">
        <f t="shared" si="146"/>
        <v>0</v>
      </c>
      <c r="GR157" s="3">
        <v>0</v>
      </c>
      <c r="GS157" s="3">
        <v>3</v>
      </c>
      <c r="GT157" s="3">
        <v>0</v>
      </c>
      <c r="GU157" s="3" t="s">
        <v>3</v>
      </c>
      <c r="GV157" s="3">
        <f t="shared" si="147"/>
        <v>0</v>
      </c>
      <c r="GW157" s="3">
        <v>1</v>
      </c>
      <c r="GX157" s="3">
        <f t="shared" si="148"/>
        <v>0</v>
      </c>
      <c r="HA157" s="3">
        <v>0</v>
      </c>
      <c r="HB157" s="3">
        <v>0</v>
      </c>
      <c r="HC157" s="3">
        <f t="shared" si="149"/>
        <v>0</v>
      </c>
      <c r="HE157" s="3" t="s">
        <v>3</v>
      </c>
      <c r="HF157" s="3" t="s">
        <v>3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17</v>
      </c>
      <c r="B158" s="2">
        <v>1</v>
      </c>
      <c r="C158" s="2"/>
      <c r="D158" s="2"/>
      <c r="E158" s="2" t="s">
        <v>217</v>
      </c>
      <c r="F158" s="2" t="s">
        <v>218</v>
      </c>
      <c r="G158" s="2" t="s">
        <v>219</v>
      </c>
      <c r="H158" s="2" t="s">
        <v>147</v>
      </c>
      <c r="I158" s="2">
        <v>4</v>
      </c>
      <c r="J158" s="2">
        <v>0</v>
      </c>
      <c r="K158" s="2">
        <v>4</v>
      </c>
      <c r="L158" s="2"/>
      <c r="M158" s="2"/>
      <c r="N158" s="2"/>
      <c r="O158" s="2">
        <f t="shared" si="128"/>
        <v>6978.44</v>
      </c>
      <c r="P158" s="2">
        <f>ROUND((ROUND((AC158*AW158*I158),2)*BC158),2)</f>
        <v>6978.44</v>
      </c>
      <c r="Q158" s="2">
        <f>(ROUND((ROUND(((ET158)*AV158*I158),2)*BB158),2)+ROUND((ROUND(((AE158-(EU158))*AV158*I158),2)*BS158),2))</f>
        <v>0</v>
      </c>
      <c r="R158" s="2">
        <f>(ROUND((ROUND(((EU158)*AV158*I158),2)*BS158),2)+ROUND((ROUND(((AE158-(EU158))*AV158*I158),2)*BS158),2))</f>
        <v>0</v>
      </c>
      <c r="S158" s="2">
        <f t="shared" si="129"/>
        <v>0</v>
      </c>
      <c r="T158" s="2">
        <f t="shared" si="130"/>
        <v>0</v>
      </c>
      <c r="U158" s="2">
        <f t="shared" si="131"/>
        <v>0</v>
      </c>
      <c r="V158" s="2">
        <f t="shared" si="132"/>
        <v>0</v>
      </c>
      <c r="W158" s="2">
        <f t="shared" si="133"/>
        <v>0</v>
      </c>
      <c r="X158" s="2">
        <f>(ROUND((((S158+ROUND((ROUND(((EU158)*AV158*I158),2)*BS158),2))*AT158)/100),2)+ROUND(((ROUND((ROUND(((AE158-(EU158))*AV158*I158),2)*BS158),2)*AT158)/100),2))</f>
        <v>0</v>
      </c>
      <c r="Y158" s="2">
        <f>(ROUND((((S158+ROUND((ROUND(((EU158)*AV158*I158),2)*BS158),2))*AU158)/100),2)+ROUND(((ROUND((ROUND(((AE158-(EU158))*AV158*I158),2)*BS158),2)*AU158)/100),2))</f>
        <v>0</v>
      </c>
      <c r="Z158" s="2"/>
      <c r="AA158" s="2">
        <v>55943566</v>
      </c>
      <c r="AB158" s="2">
        <f t="shared" si="134"/>
        <v>1744.61</v>
      </c>
      <c r="AC158" s="2">
        <f>ROUND((ES158),6)</f>
        <v>1744.61</v>
      </c>
      <c r="AD158" s="2">
        <f>ROUND((((ET158)-(EU158))+AE158),6)</f>
        <v>0</v>
      </c>
      <c r="AE158" s="2">
        <f>ROUND((EU158),6)</f>
        <v>0</v>
      </c>
      <c r="AF158" s="2">
        <f>ROUND((EV158),6)</f>
        <v>0</v>
      </c>
      <c r="AG158" s="2">
        <f t="shared" si="135"/>
        <v>0</v>
      </c>
      <c r="AH158" s="2">
        <f>(EW158)</f>
        <v>0</v>
      </c>
      <c r="AI158" s="2">
        <f>(EX158)</f>
        <v>0</v>
      </c>
      <c r="AJ158" s="2">
        <f t="shared" si="136"/>
        <v>0</v>
      </c>
      <c r="AK158" s="2">
        <v>1744.61</v>
      </c>
      <c r="AL158" s="2">
        <v>1744.61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3</v>
      </c>
      <c r="BJ158" s="2" t="s">
        <v>218</v>
      </c>
      <c r="BK158" s="2"/>
      <c r="BL158" s="2"/>
      <c r="BM158" s="2">
        <v>400007</v>
      </c>
      <c r="BN158" s="2">
        <v>0</v>
      </c>
      <c r="BO158" s="2" t="s">
        <v>3</v>
      </c>
      <c r="BP158" s="2">
        <v>0</v>
      </c>
      <c r="BQ158" s="2">
        <v>214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0</v>
      </c>
      <c r="CA158" s="2">
        <v>0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37"/>
        <v>6978.44</v>
      </c>
      <c r="CQ158" s="2">
        <f>ROUND((ROUND((AC158*AW158*1),2)*BC158),2)</f>
        <v>1744.61</v>
      </c>
      <c r="CR158" s="2">
        <f>(ROUND((ROUND(((ET158)*AV158*1),2)*BB158),2)+ROUND((ROUND(((AE158-(EU158))*AV158*1),2)*BS158),2))</f>
        <v>0</v>
      </c>
      <c r="CS158" s="2">
        <f>(ROUND((ROUND(((EU158)*AV158*1),2)*BS158),2)+ROUND((ROUND(((AE158-(EU158))*AV158*1),2)*BS158),2))</f>
        <v>0</v>
      </c>
      <c r="CT158" s="2">
        <f t="shared" si="138"/>
        <v>0</v>
      </c>
      <c r="CU158" s="2">
        <f t="shared" si="139"/>
        <v>0</v>
      </c>
      <c r="CV158" s="2">
        <f t="shared" si="140"/>
        <v>0</v>
      </c>
      <c r="CW158" s="2">
        <f t="shared" si="141"/>
        <v>0</v>
      </c>
      <c r="CX158" s="2">
        <f t="shared" si="141"/>
        <v>0</v>
      </c>
      <c r="CY158" s="2">
        <f>(ROUND((((S158+ROUND((ROUND(((EU158)*AV158*1),2)*BS158),2))*AT158)/100),2)+ROUND(((ROUND((ROUND(((AE158-(EU158))*AV158*1),2)*BS158),2)*AT158)/100),2))</f>
        <v>0</v>
      </c>
      <c r="CZ158" s="2">
        <f>(ROUND((((S158+ROUND((ROUND(((EU158)*AV158*1),2)*BS158),2))*AU158)/100),2)+ROUND(((ROUND((ROUND(((AE158-(EU158))*AV158*1),2)*BS158),2)*AU158)/100),2))</f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147</v>
      </c>
      <c r="DW158" s="2" t="s">
        <v>147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55393904</v>
      </c>
      <c r="EF158" s="2">
        <v>214</v>
      </c>
      <c r="EG158" s="2" t="s">
        <v>148</v>
      </c>
      <c r="EH158" s="2">
        <v>0</v>
      </c>
      <c r="EI158" s="2" t="s">
        <v>3</v>
      </c>
      <c r="EJ158" s="2">
        <v>3</v>
      </c>
      <c r="EK158" s="2">
        <v>400007</v>
      </c>
      <c r="EL158" s="2" t="s">
        <v>148</v>
      </c>
      <c r="EM158" s="2" t="s">
        <v>149</v>
      </c>
      <c r="EN158" s="2"/>
      <c r="EO158" s="2" t="s">
        <v>3</v>
      </c>
      <c r="EP158" s="2"/>
      <c r="EQ158" s="2">
        <v>131088</v>
      </c>
      <c r="ER158" s="2">
        <v>0</v>
      </c>
      <c r="ES158" s="2">
        <v>1744.61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f>P158</f>
        <v>6978.44</v>
      </c>
      <c r="FS158" s="2">
        <v>0</v>
      </c>
      <c r="FT158" s="2"/>
      <c r="FU158" s="2"/>
      <c r="FV158" s="2"/>
      <c r="FW158" s="2"/>
      <c r="FX158" s="2">
        <v>0</v>
      </c>
      <c r="FY158" s="2">
        <v>0</v>
      </c>
      <c r="FZ158" s="2"/>
      <c r="GA158" s="2" t="s">
        <v>220</v>
      </c>
      <c r="GB158" s="2"/>
      <c r="GC158" s="2"/>
      <c r="GD158" s="2">
        <v>1</v>
      </c>
      <c r="GE158" s="2"/>
      <c r="GF158" s="2">
        <v>-1951676542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42"/>
        <v>0</v>
      </c>
      <c r="GM158" s="2">
        <f t="shared" si="143"/>
        <v>6978.44</v>
      </c>
      <c r="GN158" s="2">
        <f t="shared" si="144"/>
        <v>0</v>
      </c>
      <c r="GO158" s="2">
        <f t="shared" si="145"/>
        <v>0</v>
      </c>
      <c r="GP158" s="2">
        <f t="shared" si="146"/>
        <v>0</v>
      </c>
      <c r="GQ158" s="2"/>
      <c r="GR158" s="2">
        <v>1</v>
      </c>
      <c r="GS158" s="2">
        <v>2</v>
      </c>
      <c r="GT158" s="2">
        <v>0</v>
      </c>
      <c r="GU158" s="2" t="s">
        <v>3</v>
      </c>
      <c r="GV158" s="2">
        <f t="shared" si="147"/>
        <v>0</v>
      </c>
      <c r="GW158" s="2">
        <v>1</v>
      </c>
      <c r="GX158" s="2">
        <f t="shared" si="148"/>
        <v>0</v>
      </c>
      <c r="GY158" s="2"/>
      <c r="GZ158" s="2"/>
      <c r="HA158" s="2">
        <v>0</v>
      </c>
      <c r="HB158" s="2">
        <v>0</v>
      </c>
      <c r="HC158" s="2">
        <f t="shared" si="149"/>
        <v>0</v>
      </c>
      <c r="HD158" s="2"/>
      <c r="HE158" s="2" t="s">
        <v>158</v>
      </c>
      <c r="HF158" s="2" t="s">
        <v>158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17</v>
      </c>
      <c r="B159" s="3">
        <v>1</v>
      </c>
      <c r="E159" s="3" t="s">
        <v>217</v>
      </c>
      <c r="F159" s="3" t="s">
        <v>218</v>
      </c>
      <c r="G159" s="3" t="s">
        <v>219</v>
      </c>
      <c r="H159" s="3" t="s">
        <v>147</v>
      </c>
      <c r="I159" s="3">
        <v>4</v>
      </c>
      <c r="J159" s="3">
        <v>0</v>
      </c>
      <c r="K159" s="3">
        <v>4</v>
      </c>
      <c r="O159" s="3">
        <f t="shared" si="128"/>
        <v>52826.79</v>
      </c>
      <c r="P159" s="3">
        <f>ROUND((ROUND((AC159*AW159*I159),2)*BC159),2)</f>
        <v>52826.79</v>
      </c>
      <c r="Q159" s="3">
        <f>(ROUND((ROUND(((ET159)*AV159*I159),2)*BB159),2)+ROUND((ROUND(((AE159-(EU159))*AV159*I159),2)*BS159),2))</f>
        <v>0</v>
      </c>
      <c r="R159" s="3">
        <f>(ROUND((ROUND(((EU159)*AV159*I159),2)*BS159),2)+ROUND((ROUND(((AE159-(EU159))*AV159*I159),2)*BS159),2))</f>
        <v>0</v>
      </c>
      <c r="S159" s="3">
        <f t="shared" si="129"/>
        <v>0</v>
      </c>
      <c r="T159" s="3">
        <f t="shared" si="130"/>
        <v>0</v>
      </c>
      <c r="U159" s="3">
        <f t="shared" si="131"/>
        <v>0</v>
      </c>
      <c r="V159" s="3">
        <f t="shared" si="132"/>
        <v>0</v>
      </c>
      <c r="W159" s="3">
        <f t="shared" si="133"/>
        <v>0</v>
      </c>
      <c r="X159" s="3">
        <f>(ROUND((((S159+ROUND((ROUND(((EU159)*AV159*I159),2)*BS159),2))*AT159)/100),2)+ROUND(((ROUND((ROUND(((AE159-(EU159))*AV159*I159),2)*BS159),2)*AT159)/100),2))</f>
        <v>0</v>
      </c>
      <c r="Y159" s="3">
        <f>(ROUND((((S159+ROUND((ROUND(((EU159)*AV159*I159),2)*BS159),2))*AU159)/100),2)+ROUND(((ROUND((ROUND(((AE159-(EU159))*AV159*I159),2)*BS159),2)*AU159)/100),2))</f>
        <v>0</v>
      </c>
      <c r="AA159" s="3">
        <v>55943568</v>
      </c>
      <c r="AB159" s="3">
        <f t="shared" si="134"/>
        <v>1744.61</v>
      </c>
      <c r="AC159" s="3">
        <f>ROUND((ES159),6)</f>
        <v>1744.61</v>
      </c>
      <c r="AD159" s="3">
        <f>ROUND((((ET159)-(EU159))+AE159),6)</f>
        <v>0</v>
      </c>
      <c r="AE159" s="3">
        <f>ROUND((EU159),6)</f>
        <v>0</v>
      </c>
      <c r="AF159" s="3">
        <f>ROUND((EV159),6)</f>
        <v>0</v>
      </c>
      <c r="AG159" s="3">
        <f t="shared" si="135"/>
        <v>0</v>
      </c>
      <c r="AH159" s="3">
        <f>(EW159)</f>
        <v>0</v>
      </c>
      <c r="AI159" s="3">
        <f>(EX159)</f>
        <v>0</v>
      </c>
      <c r="AJ159" s="3">
        <f t="shared" si="136"/>
        <v>0</v>
      </c>
      <c r="AK159" s="3">
        <v>1744.61</v>
      </c>
      <c r="AL159" s="3">
        <v>1744.61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7.57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3</v>
      </c>
      <c r="BJ159" s="3" t="s">
        <v>218</v>
      </c>
      <c r="BM159" s="3">
        <v>400007</v>
      </c>
      <c r="BN159" s="3">
        <v>0</v>
      </c>
      <c r="BO159" s="3" t="s">
        <v>3</v>
      </c>
      <c r="BP159" s="3">
        <v>0</v>
      </c>
      <c r="BQ159" s="3">
        <v>214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0</v>
      </c>
      <c r="CA159" s="3">
        <v>0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37"/>
        <v>52826.79</v>
      </c>
      <c r="CQ159" s="3">
        <f>ROUND((ROUND((AC159*AW159*1),2)*BC159),2)</f>
        <v>13206.7</v>
      </c>
      <c r="CR159" s="3">
        <f>(ROUND((ROUND(((ET159)*AV159*1),2)*BB159),2)+ROUND((ROUND(((AE159-(EU159))*AV159*1),2)*BS159),2))</f>
        <v>0</v>
      </c>
      <c r="CS159" s="3">
        <f>(ROUND((ROUND(((EU159)*AV159*1),2)*BS159),2)+ROUND((ROUND(((AE159-(EU159))*AV159*1),2)*BS159),2))</f>
        <v>0</v>
      </c>
      <c r="CT159" s="3">
        <f t="shared" si="138"/>
        <v>0</v>
      </c>
      <c r="CU159" s="3">
        <f t="shared" si="139"/>
        <v>0</v>
      </c>
      <c r="CV159" s="3">
        <f t="shared" si="140"/>
        <v>0</v>
      </c>
      <c r="CW159" s="3">
        <f t="shared" si="141"/>
        <v>0</v>
      </c>
      <c r="CX159" s="3">
        <f t="shared" si="141"/>
        <v>0</v>
      </c>
      <c r="CY159" s="3">
        <f>(ROUND((((S159+ROUND((ROUND(((EU159)*AV159*1),2)*BS159),2))*AT159)/100),2)+ROUND(((ROUND((ROUND(((AE159-(EU159))*AV159*1),2)*BS159),2)*AT159)/100),2))</f>
        <v>0</v>
      </c>
      <c r="CZ159" s="3">
        <f>(ROUND((((S159+ROUND((ROUND(((EU159)*AV159*1),2)*BS159),2))*AU159)/100),2)+ROUND(((ROUND((ROUND(((AE159-(EU159))*AV159*1),2)*BS159),2)*AU159)/100),2))</f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147</v>
      </c>
      <c r="DW159" s="3" t="s">
        <v>147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55393904</v>
      </c>
      <c r="EF159" s="3">
        <v>214</v>
      </c>
      <c r="EG159" s="3" t="s">
        <v>148</v>
      </c>
      <c r="EH159" s="3">
        <v>0</v>
      </c>
      <c r="EI159" s="3" t="s">
        <v>3</v>
      </c>
      <c r="EJ159" s="3">
        <v>3</v>
      </c>
      <c r="EK159" s="3">
        <v>400007</v>
      </c>
      <c r="EL159" s="3" t="s">
        <v>148</v>
      </c>
      <c r="EM159" s="3" t="s">
        <v>149</v>
      </c>
      <c r="EO159" s="3" t="s">
        <v>3</v>
      </c>
      <c r="EQ159" s="3">
        <v>131088</v>
      </c>
      <c r="ER159" s="3">
        <v>0</v>
      </c>
      <c r="ES159" s="3">
        <v>1744.61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5</v>
      </c>
      <c r="FC159" s="3">
        <v>1</v>
      </c>
      <c r="FD159" s="3">
        <v>18</v>
      </c>
      <c r="FF159" s="3">
        <v>16112.17</v>
      </c>
      <c r="FQ159" s="3">
        <v>0</v>
      </c>
      <c r="FR159" s="3">
        <f>P159</f>
        <v>52826.79</v>
      </c>
      <c r="FS159" s="3">
        <v>0</v>
      </c>
      <c r="FX159" s="3">
        <v>0</v>
      </c>
      <c r="FY159" s="3">
        <v>0</v>
      </c>
      <c r="GA159" s="3" t="s">
        <v>220</v>
      </c>
      <c r="GD159" s="3">
        <v>1</v>
      </c>
      <c r="GF159" s="3">
        <v>-1951676542</v>
      </c>
      <c r="GG159" s="3">
        <v>2</v>
      </c>
      <c r="GH159" s="3">
        <v>3</v>
      </c>
      <c r="GI159" s="3">
        <v>3</v>
      </c>
      <c r="GJ159" s="3">
        <v>0</v>
      </c>
      <c r="GK159" s="3">
        <v>0</v>
      </c>
      <c r="GL159" s="3">
        <f t="shared" si="142"/>
        <v>0</v>
      </c>
      <c r="GM159" s="3">
        <f t="shared" si="143"/>
        <v>52826.79</v>
      </c>
      <c r="GN159" s="3">
        <f t="shared" si="144"/>
        <v>0</v>
      </c>
      <c r="GO159" s="3">
        <f t="shared" si="145"/>
        <v>0</v>
      </c>
      <c r="GP159" s="3">
        <f t="shared" si="146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47"/>
        <v>0</v>
      </c>
      <c r="GW159" s="3">
        <v>1</v>
      </c>
      <c r="GX159" s="3">
        <f t="shared" si="148"/>
        <v>0</v>
      </c>
      <c r="HA159" s="3">
        <v>0</v>
      </c>
      <c r="HB159" s="3">
        <v>0</v>
      </c>
      <c r="HC159" s="3">
        <f t="shared" si="149"/>
        <v>0</v>
      </c>
      <c r="HE159" s="3" t="s">
        <v>158</v>
      </c>
      <c r="HF159" s="3" t="s">
        <v>158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1" spans="1:206" x14ac:dyDescent="0.2">
      <c r="A161" s="11">
        <v>51</v>
      </c>
      <c r="B161" s="11">
        <f>B148</f>
        <v>1</v>
      </c>
      <c r="C161" s="11">
        <f>A148</f>
        <v>4</v>
      </c>
      <c r="D161" s="11">
        <f>ROW(A148)</f>
        <v>148</v>
      </c>
      <c r="E161" s="11"/>
      <c r="F161" s="11" t="str">
        <f>IF(F148&lt;&gt;"",F148,"")</f>
        <v>Новый раздел</v>
      </c>
      <c r="G161" s="11" t="str">
        <f>IF(G148&lt;&gt;"",G148,"")</f>
        <v>Электрооборудование</v>
      </c>
      <c r="H161" s="11">
        <v>0</v>
      </c>
      <c r="I161" s="11"/>
      <c r="J161" s="11"/>
      <c r="K161" s="11"/>
      <c r="L161" s="11"/>
      <c r="M161" s="11"/>
      <c r="N161" s="11"/>
      <c r="O161" s="11">
        <f t="shared" ref="O161:T161" si="150">ROUND(AB161,2)</f>
        <v>9005.9500000000007</v>
      </c>
      <c r="P161" s="11">
        <f t="shared" si="150"/>
        <v>8827.64</v>
      </c>
      <c r="Q161" s="11">
        <f t="shared" si="150"/>
        <v>0.05</v>
      </c>
      <c r="R161" s="11">
        <f t="shared" si="150"/>
        <v>0</v>
      </c>
      <c r="S161" s="11">
        <f t="shared" si="150"/>
        <v>178.26</v>
      </c>
      <c r="T161" s="11">
        <f t="shared" si="150"/>
        <v>0</v>
      </c>
      <c r="U161" s="11">
        <f>AH161</f>
        <v>13.770143999999998</v>
      </c>
      <c r="V161" s="11">
        <f>AI161</f>
        <v>0</v>
      </c>
      <c r="W161" s="11">
        <f>ROUND(AJ161,2)</f>
        <v>0</v>
      </c>
      <c r="X161" s="11">
        <f>ROUND(AK161,2)</f>
        <v>169.58</v>
      </c>
      <c r="Y161" s="11">
        <f>ROUND(AL161,2)</f>
        <v>88.53</v>
      </c>
      <c r="Z161" s="11"/>
      <c r="AA161" s="11"/>
      <c r="AB161" s="11">
        <f>ROUND(SUMIF(AA152:AA159,"=55943566",O152:O159),2)</f>
        <v>9005.9500000000007</v>
      </c>
      <c r="AC161" s="11">
        <f>ROUND(SUMIF(AA152:AA159,"=55943566",P152:P159),2)</f>
        <v>8827.64</v>
      </c>
      <c r="AD161" s="11">
        <f>ROUND(SUMIF(AA152:AA159,"=55943566",Q152:Q159),2)</f>
        <v>0.05</v>
      </c>
      <c r="AE161" s="11">
        <f>ROUND(SUMIF(AA152:AA159,"=55943566",R152:R159),2)</f>
        <v>0</v>
      </c>
      <c r="AF161" s="11">
        <f>ROUND(SUMIF(AA152:AA159,"=55943566",S152:S159),2)</f>
        <v>178.26</v>
      </c>
      <c r="AG161" s="11">
        <f>ROUND(SUMIF(AA152:AA159,"=55943566",T152:T159),2)</f>
        <v>0</v>
      </c>
      <c r="AH161" s="11">
        <f>SUMIF(AA152:AA159,"=55943566",U152:U159)</f>
        <v>13.770143999999998</v>
      </c>
      <c r="AI161" s="11">
        <f>SUMIF(AA152:AA159,"=55943566",V152:V159)</f>
        <v>0</v>
      </c>
      <c r="AJ161" s="11">
        <f>ROUND(SUMIF(AA152:AA159,"=55943566",W152:W159),2)</f>
        <v>0</v>
      </c>
      <c r="AK161" s="11">
        <f>ROUND(SUMIF(AA152:AA159,"=55943566",X152:X159),2)</f>
        <v>169.58</v>
      </c>
      <c r="AL161" s="11">
        <f>ROUND(SUMIF(AA152:AA159,"=55943566",Y152:Y159),2)</f>
        <v>88.53</v>
      </c>
      <c r="AM161" s="11"/>
      <c r="AN161" s="11"/>
      <c r="AO161" s="11">
        <f t="shared" ref="AO161:BD161" si="151">ROUND(BX161,2)</f>
        <v>0</v>
      </c>
      <c r="AP161" s="11">
        <f t="shared" si="151"/>
        <v>8730.7999999999993</v>
      </c>
      <c r="AQ161" s="11">
        <f t="shared" si="151"/>
        <v>0</v>
      </c>
      <c r="AR161" s="11">
        <f t="shared" si="151"/>
        <v>9264.06</v>
      </c>
      <c r="AS161" s="11">
        <f t="shared" si="151"/>
        <v>0</v>
      </c>
      <c r="AT161" s="11">
        <f t="shared" si="151"/>
        <v>533.26</v>
      </c>
      <c r="AU161" s="11">
        <f t="shared" si="151"/>
        <v>0</v>
      </c>
      <c r="AV161" s="11">
        <f t="shared" si="151"/>
        <v>8827.64</v>
      </c>
      <c r="AW161" s="11">
        <f t="shared" si="151"/>
        <v>96.84</v>
      </c>
      <c r="AX161" s="11">
        <f t="shared" si="151"/>
        <v>0</v>
      </c>
      <c r="AY161" s="11">
        <f t="shared" si="151"/>
        <v>96.84</v>
      </c>
      <c r="AZ161" s="11">
        <f t="shared" si="151"/>
        <v>8730.7999999999993</v>
      </c>
      <c r="BA161" s="11">
        <f t="shared" si="151"/>
        <v>0</v>
      </c>
      <c r="BB161" s="11">
        <f t="shared" si="151"/>
        <v>0</v>
      </c>
      <c r="BC161" s="11">
        <f t="shared" si="151"/>
        <v>0</v>
      </c>
      <c r="BD161" s="11">
        <f t="shared" si="151"/>
        <v>0</v>
      </c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>
        <f>ROUND(SUMIF(AA152:AA159,"=55943566",FQ152:FQ159),2)</f>
        <v>0</v>
      </c>
      <c r="BY161" s="11">
        <f>ROUND(SUMIF(AA152:AA159,"=55943566",FR152:FR159),2)</f>
        <v>8730.7999999999993</v>
      </c>
      <c r="BZ161" s="11">
        <f>ROUND(SUMIF(AA152:AA159,"=55943566",GL152:GL159),2)</f>
        <v>0</v>
      </c>
      <c r="CA161" s="11">
        <f>ROUND(SUMIF(AA152:AA159,"=55943566",GM152:GM159),2)</f>
        <v>9264.06</v>
      </c>
      <c r="CB161" s="11">
        <f>ROUND(SUMIF(AA152:AA159,"=55943566",GN152:GN159),2)</f>
        <v>0</v>
      </c>
      <c r="CC161" s="11">
        <f>ROUND(SUMIF(AA152:AA159,"=55943566",GO152:GO159),2)</f>
        <v>533.26</v>
      </c>
      <c r="CD161" s="11">
        <f>ROUND(SUMIF(AA152:AA159,"=55943566",GP152:GP159),2)</f>
        <v>0</v>
      </c>
      <c r="CE161" s="11">
        <f>AC161-BX161</f>
        <v>8827.64</v>
      </c>
      <c r="CF161" s="11">
        <f>AC161-BY161</f>
        <v>96.840000000000146</v>
      </c>
      <c r="CG161" s="11">
        <f>BX161-BZ161</f>
        <v>0</v>
      </c>
      <c r="CH161" s="11">
        <f>AC161-BX161-BY161+BZ161</f>
        <v>96.840000000000146</v>
      </c>
      <c r="CI161" s="11">
        <f>BY161-BZ161</f>
        <v>8730.7999999999993</v>
      </c>
      <c r="CJ161" s="11">
        <f>ROUND(SUMIF(AA152:AA159,"=55943566",GX152:GX159),2)</f>
        <v>0</v>
      </c>
      <c r="CK161" s="11">
        <f>ROUND(SUMIF(AA152:AA159,"=55943566",GY152:GY159),2)</f>
        <v>0</v>
      </c>
      <c r="CL161" s="11">
        <f>ROUND(SUMIF(AA152:AA159,"=55943566",GZ152:GZ159),2)</f>
        <v>0</v>
      </c>
      <c r="CM161" s="11">
        <f>ROUND(SUMIF(AA152:AA159,"=55943566",HD152:HD159),2)</f>
        <v>0</v>
      </c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2">
        <f t="shared" ref="DG161:DL161" si="152">ROUND(DT161,2)</f>
        <v>78522.39</v>
      </c>
      <c r="DH161" s="12">
        <f t="shared" si="152"/>
        <v>68476.89</v>
      </c>
      <c r="DI161" s="12">
        <f t="shared" si="152"/>
        <v>0.55000000000000004</v>
      </c>
      <c r="DJ161" s="12">
        <f t="shared" si="152"/>
        <v>0</v>
      </c>
      <c r="DK161" s="12">
        <f t="shared" si="152"/>
        <v>10044.950000000001</v>
      </c>
      <c r="DL161" s="12">
        <f t="shared" si="152"/>
        <v>0</v>
      </c>
      <c r="DM161" s="12">
        <f>DZ161</f>
        <v>13.770143999999998</v>
      </c>
      <c r="DN161" s="12">
        <f>EA161</f>
        <v>0</v>
      </c>
      <c r="DO161" s="12">
        <f>ROUND(EB161,2)</f>
        <v>0</v>
      </c>
      <c r="DP161" s="12">
        <f>ROUND(EC161,2)</f>
        <v>9555.8799999999992</v>
      </c>
      <c r="DQ161" s="12">
        <f>ROUND(ED161,2)</f>
        <v>4988.84</v>
      </c>
      <c r="DR161" s="12"/>
      <c r="DS161" s="12"/>
      <c r="DT161" s="12">
        <f>ROUND(SUMIF(AA152:AA159,"=55943568",O152:O159),2)</f>
        <v>78522.39</v>
      </c>
      <c r="DU161" s="12">
        <f>ROUND(SUMIF(AA152:AA159,"=55943568",P152:P159),2)</f>
        <v>68476.89</v>
      </c>
      <c r="DV161" s="12">
        <f>ROUND(SUMIF(AA152:AA159,"=55943568",Q152:Q159),2)</f>
        <v>0.55000000000000004</v>
      </c>
      <c r="DW161" s="12">
        <f>ROUND(SUMIF(AA152:AA159,"=55943568",R152:R159),2)</f>
        <v>0</v>
      </c>
      <c r="DX161" s="12">
        <f>ROUND(SUMIF(AA152:AA159,"=55943568",S152:S159),2)</f>
        <v>10044.950000000001</v>
      </c>
      <c r="DY161" s="12">
        <f>ROUND(SUMIF(AA152:AA159,"=55943568",T152:T159),2)</f>
        <v>0</v>
      </c>
      <c r="DZ161" s="12">
        <f>SUMIF(AA152:AA159,"=55943568",U152:U159)</f>
        <v>13.770143999999998</v>
      </c>
      <c r="EA161" s="12">
        <f>SUMIF(AA152:AA159,"=55943568",V152:V159)</f>
        <v>0</v>
      </c>
      <c r="EB161" s="12">
        <f>ROUND(SUMIF(AA152:AA159,"=55943568",W152:W159),2)</f>
        <v>0</v>
      </c>
      <c r="EC161" s="12">
        <f>ROUND(SUMIF(AA152:AA159,"=55943568",X152:X159),2)</f>
        <v>9555.8799999999992</v>
      </c>
      <c r="ED161" s="12">
        <f>ROUND(SUMIF(AA152:AA159,"=55943568",Y152:Y159),2)</f>
        <v>4988.84</v>
      </c>
      <c r="EE161" s="12"/>
      <c r="EF161" s="12"/>
      <c r="EG161" s="12">
        <f t="shared" ref="EG161:EV161" si="153">ROUND(FP161,2)</f>
        <v>0</v>
      </c>
      <c r="EH161" s="12">
        <f t="shared" si="153"/>
        <v>68054.8</v>
      </c>
      <c r="EI161" s="12">
        <f t="shared" si="153"/>
        <v>0</v>
      </c>
      <c r="EJ161" s="12">
        <f t="shared" si="153"/>
        <v>93067.11</v>
      </c>
      <c r="EK161" s="12">
        <f t="shared" si="153"/>
        <v>0</v>
      </c>
      <c r="EL161" s="12">
        <f t="shared" si="153"/>
        <v>25012.31</v>
      </c>
      <c r="EM161" s="12">
        <f t="shared" si="153"/>
        <v>0</v>
      </c>
      <c r="EN161" s="12">
        <f t="shared" si="153"/>
        <v>68476.89</v>
      </c>
      <c r="EO161" s="12">
        <f t="shared" si="153"/>
        <v>422.09</v>
      </c>
      <c r="EP161" s="12">
        <f t="shared" si="153"/>
        <v>0</v>
      </c>
      <c r="EQ161" s="12">
        <f t="shared" si="153"/>
        <v>422.09</v>
      </c>
      <c r="ER161" s="12">
        <f t="shared" si="153"/>
        <v>68054.8</v>
      </c>
      <c r="ES161" s="12">
        <f t="shared" si="153"/>
        <v>0</v>
      </c>
      <c r="ET161" s="12">
        <f t="shared" si="153"/>
        <v>0</v>
      </c>
      <c r="EU161" s="12">
        <f t="shared" si="153"/>
        <v>0</v>
      </c>
      <c r="EV161" s="12">
        <f t="shared" si="153"/>
        <v>0</v>
      </c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>
        <f>ROUND(SUMIF(AA152:AA159,"=55943568",FQ152:FQ159),2)</f>
        <v>0</v>
      </c>
      <c r="FQ161" s="12">
        <f>ROUND(SUMIF(AA152:AA159,"=55943568",FR152:FR159),2)</f>
        <v>68054.8</v>
      </c>
      <c r="FR161" s="12">
        <f>ROUND(SUMIF(AA152:AA159,"=55943568",GL152:GL159),2)</f>
        <v>0</v>
      </c>
      <c r="FS161" s="12">
        <f>ROUND(SUMIF(AA152:AA159,"=55943568",GM152:GM159),2)</f>
        <v>93067.11</v>
      </c>
      <c r="FT161" s="12">
        <f>ROUND(SUMIF(AA152:AA159,"=55943568",GN152:GN159),2)</f>
        <v>0</v>
      </c>
      <c r="FU161" s="12">
        <f>ROUND(SUMIF(AA152:AA159,"=55943568",GO152:GO159),2)</f>
        <v>25012.31</v>
      </c>
      <c r="FV161" s="12">
        <f>ROUND(SUMIF(AA152:AA159,"=55943568",GP152:GP159),2)</f>
        <v>0</v>
      </c>
      <c r="FW161" s="12">
        <f>DU161-FP161</f>
        <v>68476.89</v>
      </c>
      <c r="FX161" s="12">
        <f>DU161-FQ161</f>
        <v>422.08999999999651</v>
      </c>
      <c r="FY161" s="12">
        <f>FP161-FR161</f>
        <v>0</v>
      </c>
      <c r="FZ161" s="12">
        <f>DU161-FP161-FQ161+FR161</f>
        <v>422.08999999999651</v>
      </c>
      <c r="GA161" s="12">
        <f>FQ161-FR161</f>
        <v>68054.8</v>
      </c>
      <c r="GB161" s="12">
        <f>ROUND(SUMIF(AA152:AA159,"=55943568",GX152:GX159),2)</f>
        <v>0</v>
      </c>
      <c r="GC161" s="12">
        <f>ROUND(SUMIF(AA152:AA159,"=55943568",GY152:GY159),2)</f>
        <v>0</v>
      </c>
      <c r="GD161" s="12">
        <f>ROUND(SUMIF(AA152:AA159,"=55943568",GZ152:GZ159),2)</f>
        <v>0</v>
      </c>
      <c r="GE161" s="12">
        <f>ROUND(SUMIF(AA152:AA159,"=55943568",HD152:HD159),2)</f>
        <v>0</v>
      </c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>
        <v>0</v>
      </c>
    </row>
    <row r="163" spans="1:206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201</v>
      </c>
      <c r="F163" s="13">
        <f>ROUND(Source!O161,O163)</f>
        <v>9005.9500000000007</v>
      </c>
      <c r="G163" s="13" t="s">
        <v>87</v>
      </c>
      <c r="H163" s="13" t="s">
        <v>88</v>
      </c>
      <c r="I163" s="13"/>
      <c r="J163" s="13"/>
      <c r="K163" s="13">
        <v>201</v>
      </c>
      <c r="L163" s="13">
        <v>1</v>
      </c>
      <c r="M163" s="13">
        <v>3</v>
      </c>
      <c r="N163" s="13" t="s">
        <v>3</v>
      </c>
      <c r="O163" s="13">
        <v>2</v>
      </c>
      <c r="P163" s="13">
        <f>ROUND(Source!DG161,O163)</f>
        <v>78522.39</v>
      </c>
      <c r="Q163" s="13"/>
      <c r="R163" s="13"/>
      <c r="S163" s="13"/>
      <c r="T163" s="13"/>
      <c r="U163" s="13"/>
      <c r="V163" s="13"/>
      <c r="W163" s="13">
        <v>9005.9500000000007</v>
      </c>
      <c r="X163" s="13">
        <v>1</v>
      </c>
      <c r="Y163" s="13">
        <v>9005.9500000000007</v>
      </c>
      <c r="Z163" s="13">
        <v>78522.39</v>
      </c>
      <c r="AA163" s="13">
        <v>1</v>
      </c>
      <c r="AB163" s="13">
        <v>78522.39</v>
      </c>
    </row>
    <row r="164" spans="1:206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202</v>
      </c>
      <c r="F164" s="13">
        <f>ROUND(Source!P161,O164)</f>
        <v>8827.64</v>
      </c>
      <c r="G164" s="13" t="s">
        <v>89</v>
      </c>
      <c r="H164" s="13" t="s">
        <v>90</v>
      </c>
      <c r="I164" s="13"/>
      <c r="J164" s="13"/>
      <c r="K164" s="13">
        <v>202</v>
      </c>
      <c r="L164" s="13">
        <v>2</v>
      </c>
      <c r="M164" s="13">
        <v>3</v>
      </c>
      <c r="N164" s="13" t="s">
        <v>3</v>
      </c>
      <c r="O164" s="13">
        <v>2</v>
      </c>
      <c r="P164" s="13">
        <f>ROUND(Source!DH161,O164)</f>
        <v>68476.89</v>
      </c>
      <c r="Q164" s="13"/>
      <c r="R164" s="13"/>
      <c r="S164" s="13"/>
      <c r="T164" s="13"/>
      <c r="U164" s="13"/>
      <c r="V164" s="13"/>
      <c r="W164" s="13">
        <v>8827.64</v>
      </c>
      <c r="X164" s="13">
        <v>1</v>
      </c>
      <c r="Y164" s="13">
        <v>8827.64</v>
      </c>
      <c r="Z164" s="13">
        <v>68476.89</v>
      </c>
      <c r="AA164" s="13">
        <v>1</v>
      </c>
      <c r="AB164" s="13">
        <v>68476.89</v>
      </c>
    </row>
    <row r="165" spans="1:206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222</v>
      </c>
      <c r="F165" s="13">
        <f>ROUND(Source!AO161,O165)</f>
        <v>0</v>
      </c>
      <c r="G165" s="13" t="s">
        <v>91</v>
      </c>
      <c r="H165" s="13" t="s">
        <v>92</v>
      </c>
      <c r="I165" s="13"/>
      <c r="J165" s="13"/>
      <c r="K165" s="13">
        <v>222</v>
      </c>
      <c r="L165" s="13">
        <v>3</v>
      </c>
      <c r="M165" s="13">
        <v>3</v>
      </c>
      <c r="N165" s="13" t="s">
        <v>3</v>
      </c>
      <c r="O165" s="13">
        <v>2</v>
      </c>
      <c r="P165" s="13">
        <f>ROUND(Source!EG161,O165)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06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225</v>
      </c>
      <c r="F166" s="13">
        <f>ROUND(Source!AV161,O166)</f>
        <v>8827.64</v>
      </c>
      <c r="G166" s="13" t="s">
        <v>93</v>
      </c>
      <c r="H166" s="13" t="s">
        <v>94</v>
      </c>
      <c r="I166" s="13"/>
      <c r="J166" s="13"/>
      <c r="K166" s="13">
        <v>225</v>
      </c>
      <c r="L166" s="13">
        <v>4</v>
      </c>
      <c r="M166" s="13">
        <v>3</v>
      </c>
      <c r="N166" s="13" t="s">
        <v>3</v>
      </c>
      <c r="O166" s="13">
        <v>2</v>
      </c>
      <c r="P166" s="13">
        <f>ROUND(Source!EN161,O166)</f>
        <v>68476.89</v>
      </c>
      <c r="Q166" s="13"/>
      <c r="R166" s="13"/>
      <c r="S166" s="13"/>
      <c r="T166" s="13"/>
      <c r="U166" s="13"/>
      <c r="V166" s="13"/>
      <c r="W166" s="13">
        <v>8827.64</v>
      </c>
      <c r="X166" s="13">
        <v>1</v>
      </c>
      <c r="Y166" s="13">
        <v>8827.64</v>
      </c>
      <c r="Z166" s="13">
        <v>68476.89</v>
      </c>
      <c r="AA166" s="13">
        <v>1</v>
      </c>
      <c r="AB166" s="13">
        <v>68476.89</v>
      </c>
    </row>
    <row r="167" spans="1:206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226</v>
      </c>
      <c r="F167" s="13">
        <f>ROUND(Source!AW161,O167)</f>
        <v>96.84</v>
      </c>
      <c r="G167" s="13" t="s">
        <v>95</v>
      </c>
      <c r="H167" s="13" t="s">
        <v>96</v>
      </c>
      <c r="I167" s="13"/>
      <c r="J167" s="13"/>
      <c r="K167" s="13">
        <v>226</v>
      </c>
      <c r="L167" s="13">
        <v>5</v>
      </c>
      <c r="M167" s="13">
        <v>3</v>
      </c>
      <c r="N167" s="13" t="s">
        <v>3</v>
      </c>
      <c r="O167" s="13">
        <v>2</v>
      </c>
      <c r="P167" s="13">
        <f>ROUND(Source!EO161,O167)</f>
        <v>422.09</v>
      </c>
      <c r="Q167" s="13"/>
      <c r="R167" s="13"/>
      <c r="S167" s="13"/>
      <c r="T167" s="13"/>
      <c r="U167" s="13"/>
      <c r="V167" s="13"/>
      <c r="W167" s="13">
        <v>96.84</v>
      </c>
      <c r="X167" s="13">
        <v>1</v>
      </c>
      <c r="Y167" s="13">
        <v>96.84</v>
      </c>
      <c r="Z167" s="13">
        <v>422.09</v>
      </c>
      <c r="AA167" s="13">
        <v>1</v>
      </c>
      <c r="AB167" s="13">
        <v>422.09</v>
      </c>
    </row>
    <row r="168" spans="1:206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227</v>
      </c>
      <c r="F168" s="13">
        <f>ROUND(Source!AX161,O168)</f>
        <v>0</v>
      </c>
      <c r="G168" s="13" t="s">
        <v>97</v>
      </c>
      <c r="H168" s="13" t="s">
        <v>98</v>
      </c>
      <c r="I168" s="13"/>
      <c r="J168" s="13"/>
      <c r="K168" s="13">
        <v>227</v>
      </c>
      <c r="L168" s="13">
        <v>6</v>
      </c>
      <c r="M168" s="13">
        <v>3</v>
      </c>
      <c r="N168" s="13" t="s">
        <v>3</v>
      </c>
      <c r="O168" s="13">
        <v>2</v>
      </c>
      <c r="P168" s="13">
        <f>ROUND(Source!EP161,O168)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06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228</v>
      </c>
      <c r="F169" s="13">
        <f>ROUND(Source!AY161,O169)</f>
        <v>96.84</v>
      </c>
      <c r="G169" s="13" t="s">
        <v>99</v>
      </c>
      <c r="H169" s="13" t="s">
        <v>100</v>
      </c>
      <c r="I169" s="13"/>
      <c r="J169" s="13"/>
      <c r="K169" s="13">
        <v>228</v>
      </c>
      <c r="L169" s="13">
        <v>7</v>
      </c>
      <c r="M169" s="13">
        <v>3</v>
      </c>
      <c r="N169" s="13" t="s">
        <v>3</v>
      </c>
      <c r="O169" s="13">
        <v>2</v>
      </c>
      <c r="P169" s="13">
        <f>ROUND(Source!EQ161,O169)</f>
        <v>422.09</v>
      </c>
      <c r="Q169" s="13"/>
      <c r="R169" s="13"/>
      <c r="S169" s="13"/>
      <c r="T169" s="13"/>
      <c r="U169" s="13"/>
      <c r="V169" s="13"/>
      <c r="W169" s="13">
        <v>96.84</v>
      </c>
      <c r="X169" s="13">
        <v>1</v>
      </c>
      <c r="Y169" s="13">
        <v>96.84</v>
      </c>
      <c r="Z169" s="13">
        <v>422.09</v>
      </c>
      <c r="AA169" s="13">
        <v>1</v>
      </c>
      <c r="AB169" s="13">
        <v>422.09</v>
      </c>
    </row>
    <row r="170" spans="1:206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216</v>
      </c>
      <c r="F170" s="13">
        <f>ROUND(Source!AP161,O170)</f>
        <v>8730.7999999999993</v>
      </c>
      <c r="G170" s="13" t="s">
        <v>101</v>
      </c>
      <c r="H170" s="13" t="s">
        <v>102</v>
      </c>
      <c r="I170" s="13"/>
      <c r="J170" s="13"/>
      <c r="K170" s="13">
        <v>216</v>
      </c>
      <c r="L170" s="13">
        <v>8</v>
      </c>
      <c r="M170" s="13">
        <v>3</v>
      </c>
      <c r="N170" s="13" t="s">
        <v>3</v>
      </c>
      <c r="O170" s="13">
        <v>2</v>
      </c>
      <c r="P170" s="13">
        <f>ROUND(Source!EH161,O170)</f>
        <v>68054.8</v>
      </c>
      <c r="Q170" s="13"/>
      <c r="R170" s="13"/>
      <c r="S170" s="13"/>
      <c r="T170" s="13"/>
      <c r="U170" s="13"/>
      <c r="V170" s="13"/>
      <c r="W170" s="13">
        <v>8730.7999999999993</v>
      </c>
      <c r="X170" s="13">
        <v>1</v>
      </c>
      <c r="Y170" s="13">
        <v>8730.7999999999993</v>
      </c>
      <c r="Z170" s="13">
        <v>68054.8</v>
      </c>
      <c r="AA170" s="13">
        <v>1</v>
      </c>
      <c r="AB170" s="13">
        <v>68054.8</v>
      </c>
    </row>
    <row r="171" spans="1:206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223</v>
      </c>
      <c r="F171" s="13">
        <f>ROUND(Source!AQ161,O171)</f>
        <v>0</v>
      </c>
      <c r="G171" s="13" t="s">
        <v>103</v>
      </c>
      <c r="H171" s="13" t="s">
        <v>104</v>
      </c>
      <c r="I171" s="13"/>
      <c r="J171" s="13"/>
      <c r="K171" s="13">
        <v>223</v>
      </c>
      <c r="L171" s="13">
        <v>9</v>
      </c>
      <c r="M171" s="13">
        <v>3</v>
      </c>
      <c r="N171" s="13" t="s">
        <v>3</v>
      </c>
      <c r="O171" s="13">
        <v>2</v>
      </c>
      <c r="P171" s="13">
        <f>ROUND(Source!EI161,O171)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06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229</v>
      </c>
      <c r="F172" s="13">
        <f>ROUND(Source!AZ161,O172)</f>
        <v>8730.7999999999993</v>
      </c>
      <c r="G172" s="13" t="s">
        <v>105</v>
      </c>
      <c r="H172" s="13" t="s">
        <v>106</v>
      </c>
      <c r="I172" s="13"/>
      <c r="J172" s="13"/>
      <c r="K172" s="13">
        <v>229</v>
      </c>
      <c r="L172" s="13">
        <v>10</v>
      </c>
      <c r="M172" s="13">
        <v>3</v>
      </c>
      <c r="N172" s="13" t="s">
        <v>3</v>
      </c>
      <c r="O172" s="13">
        <v>2</v>
      </c>
      <c r="P172" s="13">
        <f>ROUND(Source!ER161,O172)</f>
        <v>68054.8</v>
      </c>
      <c r="Q172" s="13"/>
      <c r="R172" s="13"/>
      <c r="S172" s="13"/>
      <c r="T172" s="13"/>
      <c r="U172" s="13"/>
      <c r="V172" s="13"/>
      <c r="W172" s="13">
        <v>8730.7999999999993</v>
      </c>
      <c r="X172" s="13">
        <v>1</v>
      </c>
      <c r="Y172" s="13">
        <v>8730.7999999999993</v>
      </c>
      <c r="Z172" s="13">
        <v>68054.8</v>
      </c>
      <c r="AA172" s="13">
        <v>1</v>
      </c>
      <c r="AB172" s="13">
        <v>68054.8</v>
      </c>
    </row>
    <row r="173" spans="1:206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203</v>
      </c>
      <c r="F173" s="13">
        <f>ROUND(Source!Q161,O173)</f>
        <v>0.05</v>
      </c>
      <c r="G173" s="13" t="s">
        <v>107</v>
      </c>
      <c r="H173" s="13" t="s">
        <v>108</v>
      </c>
      <c r="I173" s="13"/>
      <c r="J173" s="13"/>
      <c r="K173" s="13">
        <v>203</v>
      </c>
      <c r="L173" s="13">
        <v>11</v>
      </c>
      <c r="M173" s="13">
        <v>3</v>
      </c>
      <c r="N173" s="13" t="s">
        <v>3</v>
      </c>
      <c r="O173" s="13">
        <v>2</v>
      </c>
      <c r="P173" s="13">
        <f>ROUND(Source!DI161,O173)</f>
        <v>0.55000000000000004</v>
      </c>
      <c r="Q173" s="13"/>
      <c r="R173" s="13"/>
      <c r="S173" s="13"/>
      <c r="T173" s="13"/>
      <c r="U173" s="13"/>
      <c r="V173" s="13"/>
      <c r="W173" s="13">
        <v>0.05</v>
      </c>
      <c r="X173" s="13">
        <v>1</v>
      </c>
      <c r="Y173" s="13">
        <v>0.05</v>
      </c>
      <c r="Z173" s="13">
        <v>0.55000000000000004</v>
      </c>
      <c r="AA173" s="13">
        <v>1</v>
      </c>
      <c r="AB173" s="13">
        <v>0.55000000000000004</v>
      </c>
    </row>
    <row r="174" spans="1:206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231</v>
      </c>
      <c r="F174" s="13">
        <f>ROUND(Source!BB161,O174)</f>
        <v>0</v>
      </c>
      <c r="G174" s="13" t="s">
        <v>109</v>
      </c>
      <c r="H174" s="13" t="s">
        <v>110</v>
      </c>
      <c r="I174" s="13"/>
      <c r="J174" s="13"/>
      <c r="K174" s="13">
        <v>231</v>
      </c>
      <c r="L174" s="13">
        <v>12</v>
      </c>
      <c r="M174" s="13">
        <v>3</v>
      </c>
      <c r="N174" s="13" t="s">
        <v>3</v>
      </c>
      <c r="O174" s="13">
        <v>2</v>
      </c>
      <c r="P174" s="13">
        <f>ROUND(Source!ET161,O174)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06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204</v>
      </c>
      <c r="F175" s="13">
        <f>ROUND(Source!R161,O175)</f>
        <v>0</v>
      </c>
      <c r="G175" s="13" t="s">
        <v>111</v>
      </c>
      <c r="H175" s="13" t="s">
        <v>112</v>
      </c>
      <c r="I175" s="13"/>
      <c r="J175" s="13"/>
      <c r="K175" s="13">
        <v>204</v>
      </c>
      <c r="L175" s="13">
        <v>13</v>
      </c>
      <c r="M175" s="13">
        <v>3</v>
      </c>
      <c r="N175" s="13" t="s">
        <v>3</v>
      </c>
      <c r="O175" s="13">
        <v>2</v>
      </c>
      <c r="P175" s="13">
        <f>ROUND(Source!DJ161,O175)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06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205</v>
      </c>
      <c r="F176" s="13">
        <f>ROUND(Source!S161,O176)</f>
        <v>178.26</v>
      </c>
      <c r="G176" s="13" t="s">
        <v>113</v>
      </c>
      <c r="H176" s="13" t="s">
        <v>114</v>
      </c>
      <c r="I176" s="13"/>
      <c r="J176" s="13"/>
      <c r="K176" s="13">
        <v>205</v>
      </c>
      <c r="L176" s="13">
        <v>14</v>
      </c>
      <c r="M176" s="13">
        <v>3</v>
      </c>
      <c r="N176" s="13" t="s">
        <v>3</v>
      </c>
      <c r="O176" s="13">
        <v>2</v>
      </c>
      <c r="P176" s="13">
        <f>ROUND(Source!DK161,O176)</f>
        <v>10044.950000000001</v>
      </c>
      <c r="Q176" s="13"/>
      <c r="R176" s="13"/>
      <c r="S176" s="13"/>
      <c r="T176" s="13"/>
      <c r="U176" s="13"/>
      <c r="V176" s="13"/>
      <c r="W176" s="13">
        <v>178.26</v>
      </c>
      <c r="X176" s="13">
        <v>1</v>
      </c>
      <c r="Y176" s="13">
        <v>178.26</v>
      </c>
      <c r="Z176" s="13">
        <v>10044.950000000001</v>
      </c>
      <c r="AA176" s="13">
        <v>1</v>
      </c>
      <c r="AB176" s="13">
        <v>10044.950000000001</v>
      </c>
    </row>
    <row r="177" spans="1:8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232</v>
      </c>
      <c r="F177" s="13">
        <f>ROUND(Source!BC161,O177)</f>
        <v>0</v>
      </c>
      <c r="G177" s="13" t="s">
        <v>115</v>
      </c>
      <c r="H177" s="13" t="s">
        <v>116</v>
      </c>
      <c r="I177" s="13"/>
      <c r="J177" s="13"/>
      <c r="K177" s="13">
        <v>232</v>
      </c>
      <c r="L177" s="13">
        <v>15</v>
      </c>
      <c r="M177" s="13">
        <v>3</v>
      </c>
      <c r="N177" s="13" t="s">
        <v>3</v>
      </c>
      <c r="O177" s="13">
        <v>2</v>
      </c>
      <c r="P177" s="13">
        <f>ROUND(Source!EU161,O177)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8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214</v>
      </c>
      <c r="F178" s="13">
        <f>ROUND(Source!AS161,O178)</f>
        <v>0</v>
      </c>
      <c r="G178" s="13" t="s">
        <v>117</v>
      </c>
      <c r="H178" s="13" t="s">
        <v>118</v>
      </c>
      <c r="I178" s="13"/>
      <c r="J178" s="13"/>
      <c r="K178" s="13">
        <v>214</v>
      </c>
      <c r="L178" s="13">
        <v>16</v>
      </c>
      <c r="M178" s="13">
        <v>3</v>
      </c>
      <c r="N178" s="13" t="s">
        <v>3</v>
      </c>
      <c r="O178" s="13">
        <v>2</v>
      </c>
      <c r="P178" s="13">
        <f>ROUND(Source!EK161,O178)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8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215</v>
      </c>
      <c r="F179" s="13">
        <f>ROUND(Source!AT161,O179)</f>
        <v>533.26</v>
      </c>
      <c r="G179" s="13" t="s">
        <v>119</v>
      </c>
      <c r="H179" s="13" t="s">
        <v>120</v>
      </c>
      <c r="I179" s="13"/>
      <c r="J179" s="13"/>
      <c r="K179" s="13">
        <v>215</v>
      </c>
      <c r="L179" s="13">
        <v>17</v>
      </c>
      <c r="M179" s="13">
        <v>3</v>
      </c>
      <c r="N179" s="13" t="s">
        <v>3</v>
      </c>
      <c r="O179" s="13">
        <v>2</v>
      </c>
      <c r="P179" s="13">
        <f>ROUND(Source!EL161,O179)</f>
        <v>25012.31</v>
      </c>
      <c r="Q179" s="13"/>
      <c r="R179" s="13"/>
      <c r="S179" s="13"/>
      <c r="T179" s="13"/>
      <c r="U179" s="13"/>
      <c r="V179" s="13"/>
      <c r="W179" s="13">
        <v>533.26</v>
      </c>
      <c r="X179" s="13">
        <v>1</v>
      </c>
      <c r="Y179" s="13">
        <v>533.26</v>
      </c>
      <c r="Z179" s="13">
        <v>25012.31</v>
      </c>
      <c r="AA179" s="13">
        <v>1</v>
      </c>
      <c r="AB179" s="13">
        <v>25012.31</v>
      </c>
    </row>
    <row r="180" spans="1:8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217</v>
      </c>
      <c r="F180" s="13">
        <f>ROUND(Source!AU161,O180)</f>
        <v>0</v>
      </c>
      <c r="G180" s="13" t="s">
        <v>121</v>
      </c>
      <c r="H180" s="13" t="s">
        <v>122</v>
      </c>
      <c r="I180" s="13"/>
      <c r="J180" s="13"/>
      <c r="K180" s="13">
        <v>217</v>
      </c>
      <c r="L180" s="13">
        <v>18</v>
      </c>
      <c r="M180" s="13">
        <v>3</v>
      </c>
      <c r="N180" s="13" t="s">
        <v>3</v>
      </c>
      <c r="O180" s="13">
        <v>2</v>
      </c>
      <c r="P180" s="13">
        <f>ROUND(Source!EM161,O180)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8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230</v>
      </c>
      <c r="F181" s="13">
        <f>ROUND(Source!BA161,O181)</f>
        <v>0</v>
      </c>
      <c r="G181" s="13" t="s">
        <v>123</v>
      </c>
      <c r="H181" s="13" t="s">
        <v>124</v>
      </c>
      <c r="I181" s="13"/>
      <c r="J181" s="13"/>
      <c r="K181" s="13">
        <v>230</v>
      </c>
      <c r="L181" s="13">
        <v>19</v>
      </c>
      <c r="M181" s="13">
        <v>3</v>
      </c>
      <c r="N181" s="13" t="s">
        <v>3</v>
      </c>
      <c r="O181" s="13">
        <v>2</v>
      </c>
      <c r="P181" s="13">
        <f>ROUND(Source!ES161,O181)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8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206</v>
      </c>
      <c r="F182" s="13">
        <f>ROUND(Source!T161,O182)</f>
        <v>0</v>
      </c>
      <c r="G182" s="13" t="s">
        <v>125</v>
      </c>
      <c r="H182" s="13" t="s">
        <v>126</v>
      </c>
      <c r="I182" s="13"/>
      <c r="J182" s="13"/>
      <c r="K182" s="13">
        <v>206</v>
      </c>
      <c r="L182" s="13">
        <v>20</v>
      </c>
      <c r="M182" s="13">
        <v>3</v>
      </c>
      <c r="N182" s="13" t="s">
        <v>3</v>
      </c>
      <c r="O182" s="13">
        <v>2</v>
      </c>
      <c r="P182" s="13">
        <f>ROUND(Source!DL161,O182)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8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207</v>
      </c>
      <c r="F183" s="13">
        <f>Source!U161</f>
        <v>13.770143999999998</v>
      </c>
      <c r="G183" s="13" t="s">
        <v>127</v>
      </c>
      <c r="H183" s="13" t="s">
        <v>128</v>
      </c>
      <c r="I183" s="13"/>
      <c r="J183" s="13"/>
      <c r="K183" s="13">
        <v>207</v>
      </c>
      <c r="L183" s="13">
        <v>21</v>
      </c>
      <c r="M183" s="13">
        <v>3</v>
      </c>
      <c r="N183" s="13" t="s">
        <v>3</v>
      </c>
      <c r="O183" s="13">
        <v>-1</v>
      </c>
      <c r="P183" s="13">
        <f>Source!DM161</f>
        <v>13.770143999999998</v>
      </c>
      <c r="Q183" s="13"/>
      <c r="R183" s="13"/>
      <c r="S183" s="13"/>
      <c r="T183" s="13"/>
      <c r="U183" s="13"/>
      <c r="V183" s="13"/>
      <c r="W183" s="13">
        <v>13.770144</v>
      </c>
      <c r="X183" s="13">
        <v>1</v>
      </c>
      <c r="Y183" s="13">
        <v>13.770144</v>
      </c>
      <c r="Z183" s="13">
        <v>13.770144</v>
      </c>
      <c r="AA183" s="13">
        <v>1</v>
      </c>
      <c r="AB183" s="13">
        <v>13.770144</v>
      </c>
    </row>
    <row r="184" spans="1:8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208</v>
      </c>
      <c r="F184" s="13">
        <f>Source!V161</f>
        <v>0</v>
      </c>
      <c r="G184" s="13" t="s">
        <v>129</v>
      </c>
      <c r="H184" s="13" t="s">
        <v>130</v>
      </c>
      <c r="I184" s="13"/>
      <c r="J184" s="13"/>
      <c r="K184" s="13">
        <v>208</v>
      </c>
      <c r="L184" s="13">
        <v>22</v>
      </c>
      <c r="M184" s="13">
        <v>3</v>
      </c>
      <c r="N184" s="13" t="s">
        <v>3</v>
      </c>
      <c r="O184" s="13">
        <v>-1</v>
      </c>
      <c r="P184" s="13">
        <f>Source!DN161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8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209</v>
      </c>
      <c r="F185" s="13">
        <f>ROUND(Source!W161,O185)</f>
        <v>0</v>
      </c>
      <c r="G185" s="13" t="s">
        <v>131</v>
      </c>
      <c r="H185" s="13" t="s">
        <v>132</v>
      </c>
      <c r="I185" s="13"/>
      <c r="J185" s="13"/>
      <c r="K185" s="13">
        <v>209</v>
      </c>
      <c r="L185" s="13">
        <v>23</v>
      </c>
      <c r="M185" s="13">
        <v>3</v>
      </c>
      <c r="N185" s="13" t="s">
        <v>3</v>
      </c>
      <c r="O185" s="13">
        <v>2</v>
      </c>
      <c r="P185" s="13">
        <f>ROUND(Source!DO161,O185)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8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233</v>
      </c>
      <c r="F186" s="13">
        <f>ROUND(Source!BD161,O186)</f>
        <v>0</v>
      </c>
      <c r="G186" s="13" t="s">
        <v>133</v>
      </c>
      <c r="H186" s="13" t="s">
        <v>134</v>
      </c>
      <c r="I186" s="13"/>
      <c r="J186" s="13"/>
      <c r="K186" s="13">
        <v>233</v>
      </c>
      <c r="L186" s="13">
        <v>24</v>
      </c>
      <c r="M186" s="13">
        <v>3</v>
      </c>
      <c r="N186" s="13" t="s">
        <v>3</v>
      </c>
      <c r="O186" s="13">
        <v>2</v>
      </c>
      <c r="P186" s="13">
        <f>ROUND(Source!EV161,O186)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8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210</v>
      </c>
      <c r="F187" s="13">
        <f>ROUND(Source!X161,O187)</f>
        <v>169.58</v>
      </c>
      <c r="G187" s="13" t="s">
        <v>135</v>
      </c>
      <c r="H187" s="13" t="s">
        <v>136</v>
      </c>
      <c r="I187" s="13"/>
      <c r="J187" s="13"/>
      <c r="K187" s="13">
        <v>210</v>
      </c>
      <c r="L187" s="13">
        <v>25</v>
      </c>
      <c r="M187" s="13">
        <v>3</v>
      </c>
      <c r="N187" s="13" t="s">
        <v>3</v>
      </c>
      <c r="O187" s="13">
        <v>2</v>
      </c>
      <c r="P187" s="13">
        <f>ROUND(Source!DP161,O187)</f>
        <v>9555.8799999999992</v>
      </c>
      <c r="Q187" s="13"/>
      <c r="R187" s="13"/>
      <c r="S187" s="13"/>
      <c r="T187" s="13"/>
      <c r="U187" s="13"/>
      <c r="V187" s="13"/>
      <c r="W187" s="13">
        <v>169.58</v>
      </c>
      <c r="X187" s="13">
        <v>1</v>
      </c>
      <c r="Y187" s="13">
        <v>169.58</v>
      </c>
      <c r="Z187" s="13">
        <v>9555.8799999999992</v>
      </c>
      <c r="AA187" s="13">
        <v>1</v>
      </c>
      <c r="AB187" s="13">
        <v>9555.8799999999992</v>
      </c>
    </row>
    <row r="188" spans="1:8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211</v>
      </c>
      <c r="F188" s="13">
        <f>ROUND(Source!Y161,O188)</f>
        <v>88.53</v>
      </c>
      <c r="G188" s="13" t="s">
        <v>137</v>
      </c>
      <c r="H188" s="13" t="s">
        <v>138</v>
      </c>
      <c r="I188" s="13"/>
      <c r="J188" s="13"/>
      <c r="K188" s="13">
        <v>211</v>
      </c>
      <c r="L188" s="13">
        <v>26</v>
      </c>
      <c r="M188" s="13">
        <v>3</v>
      </c>
      <c r="N188" s="13" t="s">
        <v>3</v>
      </c>
      <c r="O188" s="13">
        <v>2</v>
      </c>
      <c r="P188" s="13">
        <f>ROUND(Source!DQ161,O188)</f>
        <v>4988.84</v>
      </c>
      <c r="Q188" s="13"/>
      <c r="R188" s="13"/>
      <c r="S188" s="13"/>
      <c r="T188" s="13"/>
      <c r="U188" s="13"/>
      <c r="V188" s="13"/>
      <c r="W188" s="13">
        <v>88.53</v>
      </c>
      <c r="X188" s="13">
        <v>1</v>
      </c>
      <c r="Y188" s="13">
        <v>88.53</v>
      </c>
      <c r="Z188" s="13">
        <v>4988.84</v>
      </c>
      <c r="AA188" s="13">
        <v>1</v>
      </c>
      <c r="AB188" s="13">
        <v>4988.84</v>
      </c>
    </row>
    <row r="189" spans="1:8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224</v>
      </c>
      <c r="F189" s="13">
        <f>ROUND(Source!AR161,O189)</f>
        <v>9264.06</v>
      </c>
      <c r="G189" s="13" t="s">
        <v>139</v>
      </c>
      <c r="H189" s="13" t="s">
        <v>140</v>
      </c>
      <c r="I189" s="13"/>
      <c r="J189" s="13"/>
      <c r="K189" s="13">
        <v>224</v>
      </c>
      <c r="L189" s="13">
        <v>27</v>
      </c>
      <c r="M189" s="13">
        <v>3</v>
      </c>
      <c r="N189" s="13" t="s">
        <v>3</v>
      </c>
      <c r="O189" s="13">
        <v>2</v>
      </c>
      <c r="P189" s="13">
        <f>ROUND(Source!EJ161,O189)</f>
        <v>93067.11</v>
      </c>
      <c r="Q189" s="13"/>
      <c r="R189" s="13"/>
      <c r="S189" s="13"/>
      <c r="T189" s="13"/>
      <c r="U189" s="13"/>
      <c r="V189" s="13"/>
      <c r="W189" s="13">
        <v>9264.06</v>
      </c>
      <c r="X189" s="13">
        <v>1</v>
      </c>
      <c r="Y189" s="13">
        <v>9264.06</v>
      </c>
      <c r="Z189" s="13">
        <v>93067.11</v>
      </c>
      <c r="AA189" s="13">
        <v>1</v>
      </c>
      <c r="AB189" s="13">
        <v>93067.11</v>
      </c>
    </row>
    <row r="191" spans="1:88" x14ac:dyDescent="0.2">
      <c r="A191" s="10">
        <v>4</v>
      </c>
      <c r="B191" s="10">
        <v>1</v>
      </c>
      <c r="C191" s="10"/>
      <c r="D191" s="10">
        <f>ROW(A210)</f>
        <v>210</v>
      </c>
      <c r="E191" s="10"/>
      <c r="F191" s="10" t="s">
        <v>23</v>
      </c>
      <c r="G191" s="10" t="s">
        <v>221</v>
      </c>
      <c r="H191" s="10" t="s">
        <v>3</v>
      </c>
      <c r="I191" s="10">
        <v>0</v>
      </c>
      <c r="J191" s="10"/>
      <c r="K191" s="10">
        <v>0</v>
      </c>
      <c r="L191" s="10"/>
      <c r="M191" s="10" t="s">
        <v>3</v>
      </c>
      <c r="N191" s="10"/>
      <c r="O191" s="10"/>
      <c r="P191" s="10"/>
      <c r="Q191" s="10"/>
      <c r="R191" s="10"/>
      <c r="S191" s="10">
        <v>0</v>
      </c>
      <c r="T191" s="10">
        <v>0</v>
      </c>
      <c r="U191" s="10" t="s">
        <v>3</v>
      </c>
      <c r="V191" s="10">
        <v>2</v>
      </c>
      <c r="W191" s="10"/>
      <c r="X191" s="10"/>
      <c r="Y191" s="10"/>
      <c r="Z191" s="10"/>
      <c r="AA191" s="10"/>
      <c r="AB191" s="10" t="s">
        <v>3</v>
      </c>
      <c r="AC191" s="10" t="s">
        <v>3</v>
      </c>
      <c r="AD191" s="10" t="s">
        <v>3</v>
      </c>
      <c r="AE191" s="10" t="s">
        <v>3</v>
      </c>
      <c r="AF191" s="10" t="s">
        <v>3</v>
      </c>
      <c r="AG191" s="10" t="s">
        <v>3</v>
      </c>
      <c r="AH191" s="10"/>
      <c r="AI191" s="10"/>
      <c r="AJ191" s="10"/>
      <c r="AK191" s="10"/>
      <c r="AL191" s="10"/>
      <c r="AM191" s="10"/>
      <c r="AN191" s="10"/>
      <c r="AO191" s="10"/>
      <c r="AP191" s="10" t="s">
        <v>3</v>
      </c>
      <c r="AQ191" s="10" t="s">
        <v>3</v>
      </c>
      <c r="AR191" s="10" t="s">
        <v>3</v>
      </c>
      <c r="AS191" s="10"/>
      <c r="AT191" s="10"/>
      <c r="AU191" s="10"/>
      <c r="AV191" s="10"/>
      <c r="AW191" s="10"/>
      <c r="AX191" s="10"/>
      <c r="AY191" s="10"/>
      <c r="AZ191" s="10" t="s">
        <v>3</v>
      </c>
      <c r="BA191" s="10"/>
      <c r="BB191" s="10" t="s">
        <v>3</v>
      </c>
      <c r="BC191" s="10" t="s">
        <v>3</v>
      </c>
      <c r="BD191" s="10" t="s">
        <v>3</v>
      </c>
      <c r="BE191" s="10" t="s">
        <v>3</v>
      </c>
      <c r="BF191" s="10" t="s">
        <v>3</v>
      </c>
      <c r="BG191" s="10" t="s">
        <v>3</v>
      </c>
      <c r="BH191" s="10" t="s">
        <v>3</v>
      </c>
      <c r="BI191" s="10" t="s">
        <v>3</v>
      </c>
      <c r="BJ191" s="10" t="s">
        <v>3</v>
      </c>
      <c r="BK191" s="10" t="s">
        <v>3</v>
      </c>
      <c r="BL191" s="10" t="s">
        <v>3</v>
      </c>
      <c r="BM191" s="10" t="s">
        <v>3</v>
      </c>
      <c r="BN191" s="10" t="s">
        <v>3</v>
      </c>
      <c r="BO191" s="10" t="s">
        <v>3</v>
      </c>
      <c r="BP191" s="10" t="s">
        <v>3</v>
      </c>
      <c r="BQ191" s="10"/>
      <c r="BR191" s="10"/>
      <c r="BS191" s="10"/>
      <c r="BT191" s="10"/>
      <c r="BU191" s="10"/>
      <c r="BV191" s="10"/>
      <c r="BW191" s="10"/>
      <c r="BX191" s="10">
        <v>0</v>
      </c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>
        <v>0</v>
      </c>
    </row>
    <row r="193" spans="1:255" x14ac:dyDescent="0.2">
      <c r="A193" s="11">
        <v>52</v>
      </c>
      <c r="B193" s="11">
        <f t="shared" ref="B193:G193" si="154">B210</f>
        <v>1</v>
      </c>
      <c r="C193" s="11">
        <f t="shared" si="154"/>
        <v>4</v>
      </c>
      <c r="D193" s="11">
        <f t="shared" si="154"/>
        <v>191</v>
      </c>
      <c r="E193" s="11">
        <f t="shared" si="154"/>
        <v>0</v>
      </c>
      <c r="F193" s="11" t="str">
        <f t="shared" si="154"/>
        <v>Новый раздел</v>
      </c>
      <c r="G193" s="11" t="str">
        <f t="shared" si="154"/>
        <v>Огнестойкая кабельная линия "ПАРЛАЙН+ДКС" ОКЛ-15</v>
      </c>
      <c r="H193" s="11"/>
      <c r="I193" s="11"/>
      <c r="J193" s="11"/>
      <c r="K193" s="11"/>
      <c r="L193" s="11"/>
      <c r="M193" s="11"/>
      <c r="N193" s="11"/>
      <c r="O193" s="11">
        <f t="shared" ref="O193:AT193" si="155">O210</f>
        <v>65614.960000000006</v>
      </c>
      <c r="P193" s="11">
        <f t="shared" si="155"/>
        <v>49881.84</v>
      </c>
      <c r="Q193" s="11">
        <f t="shared" si="155"/>
        <v>2021.13</v>
      </c>
      <c r="R193" s="11">
        <f t="shared" si="155"/>
        <v>334.02</v>
      </c>
      <c r="S193" s="11">
        <f t="shared" si="155"/>
        <v>13711.99</v>
      </c>
      <c r="T193" s="11">
        <f t="shared" si="155"/>
        <v>0</v>
      </c>
      <c r="U193" s="11">
        <f t="shared" si="155"/>
        <v>1081.3327214400001</v>
      </c>
      <c r="V193" s="11">
        <f t="shared" si="155"/>
        <v>0</v>
      </c>
      <c r="W193" s="11">
        <f t="shared" si="155"/>
        <v>0</v>
      </c>
      <c r="X193" s="11">
        <f t="shared" si="155"/>
        <v>13624.63</v>
      </c>
      <c r="Y193" s="11">
        <f t="shared" si="155"/>
        <v>7163.46</v>
      </c>
      <c r="Z193" s="11">
        <f t="shared" si="155"/>
        <v>0</v>
      </c>
      <c r="AA193" s="11">
        <f t="shared" si="155"/>
        <v>0</v>
      </c>
      <c r="AB193" s="11">
        <f t="shared" si="155"/>
        <v>65614.960000000006</v>
      </c>
      <c r="AC193" s="11">
        <f t="shared" si="155"/>
        <v>49881.84</v>
      </c>
      <c r="AD193" s="11">
        <f t="shared" si="155"/>
        <v>2021.13</v>
      </c>
      <c r="AE193" s="11">
        <f t="shared" si="155"/>
        <v>334.02</v>
      </c>
      <c r="AF193" s="11">
        <f t="shared" si="155"/>
        <v>13711.99</v>
      </c>
      <c r="AG193" s="11">
        <f t="shared" si="155"/>
        <v>0</v>
      </c>
      <c r="AH193" s="11">
        <f t="shared" si="155"/>
        <v>1081.3327214400001</v>
      </c>
      <c r="AI193" s="11">
        <f t="shared" si="155"/>
        <v>0</v>
      </c>
      <c r="AJ193" s="11">
        <f t="shared" si="155"/>
        <v>0</v>
      </c>
      <c r="AK193" s="11">
        <f t="shared" si="155"/>
        <v>13624.63</v>
      </c>
      <c r="AL193" s="11">
        <f t="shared" si="155"/>
        <v>7163.46</v>
      </c>
      <c r="AM193" s="11">
        <f t="shared" si="155"/>
        <v>0</v>
      </c>
      <c r="AN193" s="11">
        <f t="shared" si="155"/>
        <v>0</v>
      </c>
      <c r="AO193" s="11">
        <f t="shared" si="155"/>
        <v>0</v>
      </c>
      <c r="AP193" s="11">
        <f t="shared" si="155"/>
        <v>0</v>
      </c>
      <c r="AQ193" s="11">
        <f t="shared" si="155"/>
        <v>0</v>
      </c>
      <c r="AR193" s="11">
        <f t="shared" si="155"/>
        <v>86403.05</v>
      </c>
      <c r="AS193" s="11">
        <f t="shared" si="155"/>
        <v>188.29</v>
      </c>
      <c r="AT193" s="11">
        <f t="shared" si="155"/>
        <v>86214.76</v>
      </c>
      <c r="AU193" s="11">
        <f t="shared" ref="AU193:BZ193" si="156">AU210</f>
        <v>0</v>
      </c>
      <c r="AV193" s="11">
        <f t="shared" si="156"/>
        <v>49881.84</v>
      </c>
      <c r="AW193" s="11">
        <f t="shared" si="156"/>
        <v>49881.84</v>
      </c>
      <c r="AX193" s="11">
        <f t="shared" si="156"/>
        <v>0</v>
      </c>
      <c r="AY193" s="11">
        <f t="shared" si="156"/>
        <v>49881.84</v>
      </c>
      <c r="AZ193" s="11">
        <f t="shared" si="156"/>
        <v>0</v>
      </c>
      <c r="BA193" s="11">
        <f t="shared" si="156"/>
        <v>0</v>
      </c>
      <c r="BB193" s="11">
        <f t="shared" si="156"/>
        <v>0</v>
      </c>
      <c r="BC193" s="11">
        <f t="shared" si="156"/>
        <v>0</v>
      </c>
      <c r="BD193" s="11">
        <f t="shared" si="156"/>
        <v>0</v>
      </c>
      <c r="BE193" s="11">
        <f t="shared" si="156"/>
        <v>0</v>
      </c>
      <c r="BF193" s="11">
        <f t="shared" si="156"/>
        <v>0</v>
      </c>
      <c r="BG193" s="11">
        <f t="shared" si="156"/>
        <v>0</v>
      </c>
      <c r="BH193" s="11">
        <f t="shared" si="156"/>
        <v>0</v>
      </c>
      <c r="BI193" s="11">
        <f t="shared" si="156"/>
        <v>0</v>
      </c>
      <c r="BJ193" s="11">
        <f t="shared" si="156"/>
        <v>0</v>
      </c>
      <c r="BK193" s="11">
        <f t="shared" si="156"/>
        <v>0</v>
      </c>
      <c r="BL193" s="11">
        <f t="shared" si="156"/>
        <v>0</v>
      </c>
      <c r="BM193" s="11">
        <f t="shared" si="156"/>
        <v>0</v>
      </c>
      <c r="BN193" s="11">
        <f t="shared" si="156"/>
        <v>0</v>
      </c>
      <c r="BO193" s="11">
        <f t="shared" si="156"/>
        <v>0</v>
      </c>
      <c r="BP193" s="11">
        <f t="shared" si="156"/>
        <v>0</v>
      </c>
      <c r="BQ193" s="11">
        <f t="shared" si="156"/>
        <v>0</v>
      </c>
      <c r="BR193" s="11">
        <f t="shared" si="156"/>
        <v>0</v>
      </c>
      <c r="BS193" s="11">
        <f t="shared" si="156"/>
        <v>0</v>
      </c>
      <c r="BT193" s="11">
        <f t="shared" si="156"/>
        <v>0</v>
      </c>
      <c r="BU193" s="11">
        <f t="shared" si="156"/>
        <v>0</v>
      </c>
      <c r="BV193" s="11">
        <f t="shared" si="156"/>
        <v>0</v>
      </c>
      <c r="BW193" s="11">
        <f t="shared" si="156"/>
        <v>0</v>
      </c>
      <c r="BX193" s="11">
        <f t="shared" si="156"/>
        <v>0</v>
      </c>
      <c r="BY193" s="11">
        <f t="shared" si="156"/>
        <v>0</v>
      </c>
      <c r="BZ193" s="11">
        <f t="shared" si="156"/>
        <v>0</v>
      </c>
      <c r="CA193" s="11">
        <f t="shared" ref="CA193:DF193" si="157">CA210</f>
        <v>86403.05</v>
      </c>
      <c r="CB193" s="11">
        <f t="shared" si="157"/>
        <v>188.29</v>
      </c>
      <c r="CC193" s="11">
        <f t="shared" si="157"/>
        <v>86214.76</v>
      </c>
      <c r="CD193" s="11">
        <f t="shared" si="157"/>
        <v>0</v>
      </c>
      <c r="CE193" s="11">
        <f t="shared" si="157"/>
        <v>49881.84</v>
      </c>
      <c r="CF193" s="11">
        <f t="shared" si="157"/>
        <v>49881.84</v>
      </c>
      <c r="CG193" s="11">
        <f t="shared" si="157"/>
        <v>0</v>
      </c>
      <c r="CH193" s="11">
        <f t="shared" si="157"/>
        <v>49881.84</v>
      </c>
      <c r="CI193" s="11">
        <f t="shared" si="157"/>
        <v>0</v>
      </c>
      <c r="CJ193" s="11">
        <f t="shared" si="157"/>
        <v>0</v>
      </c>
      <c r="CK193" s="11">
        <f t="shared" si="157"/>
        <v>0</v>
      </c>
      <c r="CL193" s="11">
        <f t="shared" si="157"/>
        <v>0</v>
      </c>
      <c r="CM193" s="11">
        <f t="shared" si="157"/>
        <v>0</v>
      </c>
      <c r="CN193" s="11">
        <f t="shared" si="157"/>
        <v>0</v>
      </c>
      <c r="CO193" s="11">
        <f t="shared" si="157"/>
        <v>0</v>
      </c>
      <c r="CP193" s="11">
        <f t="shared" si="157"/>
        <v>0</v>
      </c>
      <c r="CQ193" s="11">
        <f t="shared" si="157"/>
        <v>0</v>
      </c>
      <c r="CR193" s="11">
        <f t="shared" si="157"/>
        <v>0</v>
      </c>
      <c r="CS193" s="11">
        <f t="shared" si="157"/>
        <v>0</v>
      </c>
      <c r="CT193" s="11">
        <f t="shared" si="157"/>
        <v>0</v>
      </c>
      <c r="CU193" s="11">
        <f t="shared" si="157"/>
        <v>0</v>
      </c>
      <c r="CV193" s="11">
        <f t="shared" si="157"/>
        <v>0</v>
      </c>
      <c r="CW193" s="11">
        <f t="shared" si="157"/>
        <v>0</v>
      </c>
      <c r="CX193" s="11">
        <f t="shared" si="157"/>
        <v>0</v>
      </c>
      <c r="CY193" s="11">
        <f t="shared" si="157"/>
        <v>0</v>
      </c>
      <c r="CZ193" s="11">
        <f t="shared" si="157"/>
        <v>0</v>
      </c>
      <c r="DA193" s="11">
        <f t="shared" si="157"/>
        <v>0</v>
      </c>
      <c r="DB193" s="11">
        <f t="shared" si="157"/>
        <v>0</v>
      </c>
      <c r="DC193" s="11">
        <f t="shared" si="157"/>
        <v>0</v>
      </c>
      <c r="DD193" s="11">
        <f t="shared" si="157"/>
        <v>0</v>
      </c>
      <c r="DE193" s="11">
        <f t="shared" si="157"/>
        <v>0</v>
      </c>
      <c r="DF193" s="11">
        <f t="shared" si="157"/>
        <v>0</v>
      </c>
      <c r="DG193" s="12">
        <f t="shared" ref="DG193:EL193" si="158">DG210</f>
        <v>1282543.82</v>
      </c>
      <c r="DH193" s="12">
        <f t="shared" si="158"/>
        <v>472794.41</v>
      </c>
      <c r="DI193" s="12">
        <f t="shared" si="158"/>
        <v>37078.78</v>
      </c>
      <c r="DJ193" s="12">
        <f t="shared" si="158"/>
        <v>18822.03</v>
      </c>
      <c r="DK193" s="12">
        <f t="shared" si="158"/>
        <v>772670.63</v>
      </c>
      <c r="DL193" s="12">
        <f t="shared" si="158"/>
        <v>0</v>
      </c>
      <c r="DM193" s="12">
        <f t="shared" si="158"/>
        <v>1081.3327214400001</v>
      </c>
      <c r="DN193" s="12">
        <f t="shared" si="158"/>
        <v>0</v>
      </c>
      <c r="DO193" s="12">
        <f t="shared" si="158"/>
        <v>0</v>
      </c>
      <c r="DP193" s="12">
        <f t="shared" si="158"/>
        <v>767747.88</v>
      </c>
      <c r="DQ193" s="12">
        <f t="shared" si="158"/>
        <v>403661.26</v>
      </c>
      <c r="DR193" s="12">
        <f t="shared" si="158"/>
        <v>0</v>
      </c>
      <c r="DS193" s="12">
        <f t="shared" si="158"/>
        <v>0</v>
      </c>
      <c r="DT193" s="12">
        <f t="shared" si="158"/>
        <v>1282543.82</v>
      </c>
      <c r="DU193" s="12">
        <f t="shared" si="158"/>
        <v>472794.41</v>
      </c>
      <c r="DV193" s="12">
        <f t="shared" si="158"/>
        <v>37078.78</v>
      </c>
      <c r="DW193" s="12">
        <f t="shared" si="158"/>
        <v>18822.03</v>
      </c>
      <c r="DX193" s="12">
        <f t="shared" si="158"/>
        <v>772670.63</v>
      </c>
      <c r="DY193" s="12">
        <f t="shared" si="158"/>
        <v>0</v>
      </c>
      <c r="DZ193" s="12">
        <f t="shared" si="158"/>
        <v>1081.3327214400001</v>
      </c>
      <c r="EA193" s="12">
        <f t="shared" si="158"/>
        <v>0</v>
      </c>
      <c r="EB193" s="12">
        <f t="shared" si="158"/>
        <v>0</v>
      </c>
      <c r="EC193" s="12">
        <f t="shared" si="158"/>
        <v>767747.88</v>
      </c>
      <c r="ED193" s="12">
        <f t="shared" si="158"/>
        <v>403661.26</v>
      </c>
      <c r="EE193" s="12">
        <f t="shared" si="158"/>
        <v>0</v>
      </c>
      <c r="EF193" s="12">
        <f t="shared" si="158"/>
        <v>0</v>
      </c>
      <c r="EG193" s="12">
        <f t="shared" si="158"/>
        <v>0</v>
      </c>
      <c r="EH193" s="12">
        <f t="shared" si="158"/>
        <v>0</v>
      </c>
      <c r="EI193" s="12">
        <f t="shared" si="158"/>
        <v>0</v>
      </c>
      <c r="EJ193" s="12">
        <f t="shared" si="158"/>
        <v>2453952.96</v>
      </c>
      <c r="EK193" s="12">
        <f t="shared" si="158"/>
        <v>1852.77</v>
      </c>
      <c r="EL193" s="12">
        <f t="shared" si="158"/>
        <v>2452100.19</v>
      </c>
      <c r="EM193" s="12">
        <f t="shared" ref="EM193:FR193" si="159">EM210</f>
        <v>0</v>
      </c>
      <c r="EN193" s="12">
        <f t="shared" si="159"/>
        <v>472794.41</v>
      </c>
      <c r="EO193" s="12">
        <f t="shared" si="159"/>
        <v>472794.41</v>
      </c>
      <c r="EP193" s="12">
        <f t="shared" si="159"/>
        <v>0</v>
      </c>
      <c r="EQ193" s="12">
        <f t="shared" si="159"/>
        <v>472794.41</v>
      </c>
      <c r="ER193" s="12">
        <f t="shared" si="159"/>
        <v>0</v>
      </c>
      <c r="ES193" s="12">
        <f t="shared" si="159"/>
        <v>0</v>
      </c>
      <c r="ET193" s="12">
        <f t="shared" si="159"/>
        <v>0</v>
      </c>
      <c r="EU193" s="12">
        <f t="shared" si="159"/>
        <v>0</v>
      </c>
      <c r="EV193" s="12">
        <f t="shared" si="159"/>
        <v>0</v>
      </c>
      <c r="EW193" s="12">
        <f t="shared" si="159"/>
        <v>0</v>
      </c>
      <c r="EX193" s="12">
        <f t="shared" si="159"/>
        <v>0</v>
      </c>
      <c r="EY193" s="12">
        <f t="shared" si="159"/>
        <v>0</v>
      </c>
      <c r="EZ193" s="12">
        <f t="shared" si="159"/>
        <v>0</v>
      </c>
      <c r="FA193" s="12">
        <f t="shared" si="159"/>
        <v>0</v>
      </c>
      <c r="FB193" s="12">
        <f t="shared" si="159"/>
        <v>0</v>
      </c>
      <c r="FC193" s="12">
        <f t="shared" si="159"/>
        <v>0</v>
      </c>
      <c r="FD193" s="12">
        <f t="shared" si="159"/>
        <v>0</v>
      </c>
      <c r="FE193" s="12">
        <f t="shared" si="159"/>
        <v>0</v>
      </c>
      <c r="FF193" s="12">
        <f t="shared" si="159"/>
        <v>0</v>
      </c>
      <c r="FG193" s="12">
        <f t="shared" si="159"/>
        <v>0</v>
      </c>
      <c r="FH193" s="12">
        <f t="shared" si="159"/>
        <v>0</v>
      </c>
      <c r="FI193" s="12">
        <f t="shared" si="159"/>
        <v>0</v>
      </c>
      <c r="FJ193" s="12">
        <f t="shared" si="159"/>
        <v>0</v>
      </c>
      <c r="FK193" s="12">
        <f t="shared" si="159"/>
        <v>0</v>
      </c>
      <c r="FL193" s="12">
        <f t="shared" si="159"/>
        <v>0</v>
      </c>
      <c r="FM193" s="12">
        <f t="shared" si="159"/>
        <v>0</v>
      </c>
      <c r="FN193" s="12">
        <f t="shared" si="159"/>
        <v>0</v>
      </c>
      <c r="FO193" s="12">
        <f t="shared" si="159"/>
        <v>0</v>
      </c>
      <c r="FP193" s="12">
        <f t="shared" si="159"/>
        <v>0</v>
      </c>
      <c r="FQ193" s="12">
        <f t="shared" si="159"/>
        <v>0</v>
      </c>
      <c r="FR193" s="12">
        <f t="shared" si="159"/>
        <v>0</v>
      </c>
      <c r="FS193" s="12">
        <f t="shared" ref="FS193:GX193" si="160">FS210</f>
        <v>2453952.96</v>
      </c>
      <c r="FT193" s="12">
        <f t="shared" si="160"/>
        <v>1852.77</v>
      </c>
      <c r="FU193" s="12">
        <f t="shared" si="160"/>
        <v>2452100.19</v>
      </c>
      <c r="FV193" s="12">
        <f t="shared" si="160"/>
        <v>0</v>
      </c>
      <c r="FW193" s="12">
        <f t="shared" si="160"/>
        <v>472794.41</v>
      </c>
      <c r="FX193" s="12">
        <f t="shared" si="160"/>
        <v>472794.41</v>
      </c>
      <c r="FY193" s="12">
        <f t="shared" si="160"/>
        <v>0</v>
      </c>
      <c r="FZ193" s="12">
        <f t="shared" si="160"/>
        <v>472794.41</v>
      </c>
      <c r="GA193" s="12">
        <f t="shared" si="160"/>
        <v>0</v>
      </c>
      <c r="GB193" s="12">
        <f t="shared" si="160"/>
        <v>0</v>
      </c>
      <c r="GC193" s="12">
        <f t="shared" si="160"/>
        <v>0</v>
      </c>
      <c r="GD193" s="12">
        <f t="shared" si="160"/>
        <v>0</v>
      </c>
      <c r="GE193" s="12">
        <f t="shared" si="160"/>
        <v>0</v>
      </c>
      <c r="GF193" s="12">
        <f t="shared" si="160"/>
        <v>0</v>
      </c>
      <c r="GG193" s="12">
        <f t="shared" si="160"/>
        <v>0</v>
      </c>
      <c r="GH193" s="12">
        <f t="shared" si="160"/>
        <v>0</v>
      </c>
      <c r="GI193" s="12">
        <f t="shared" si="160"/>
        <v>0</v>
      </c>
      <c r="GJ193" s="12">
        <f t="shared" si="160"/>
        <v>0</v>
      </c>
      <c r="GK193" s="12">
        <f t="shared" si="160"/>
        <v>0</v>
      </c>
      <c r="GL193" s="12">
        <f t="shared" si="160"/>
        <v>0</v>
      </c>
      <c r="GM193" s="12">
        <f t="shared" si="160"/>
        <v>0</v>
      </c>
      <c r="GN193" s="12">
        <f t="shared" si="160"/>
        <v>0</v>
      </c>
      <c r="GO193" s="12">
        <f t="shared" si="160"/>
        <v>0</v>
      </c>
      <c r="GP193" s="12">
        <f t="shared" si="160"/>
        <v>0</v>
      </c>
      <c r="GQ193" s="12">
        <f t="shared" si="160"/>
        <v>0</v>
      </c>
      <c r="GR193" s="12">
        <f t="shared" si="160"/>
        <v>0</v>
      </c>
      <c r="GS193" s="12">
        <f t="shared" si="160"/>
        <v>0</v>
      </c>
      <c r="GT193" s="12">
        <f t="shared" si="160"/>
        <v>0</v>
      </c>
      <c r="GU193" s="12">
        <f t="shared" si="160"/>
        <v>0</v>
      </c>
      <c r="GV193" s="12">
        <f t="shared" si="160"/>
        <v>0</v>
      </c>
      <c r="GW193" s="12">
        <f t="shared" si="160"/>
        <v>0</v>
      </c>
      <c r="GX193" s="12">
        <f t="shared" si="160"/>
        <v>0</v>
      </c>
    </row>
    <row r="195" spans="1:255" x14ac:dyDescent="0.2">
      <c r="A195" s="2">
        <v>17</v>
      </c>
      <c r="B195" s="2">
        <v>1</v>
      </c>
      <c r="C195" s="2"/>
      <c r="D195" s="2"/>
      <c r="E195" s="2" t="s">
        <v>222</v>
      </c>
      <c r="F195" s="2" t="s">
        <v>223</v>
      </c>
      <c r="G195" s="2" t="s">
        <v>224</v>
      </c>
      <c r="H195" s="2" t="s">
        <v>75</v>
      </c>
      <c r="I195" s="2">
        <f>ROUND(4220/100,9)</f>
        <v>42.2</v>
      </c>
      <c r="J195" s="2">
        <v>0</v>
      </c>
      <c r="K195" s="2">
        <f>ROUND(4220/100,9)</f>
        <v>42.2</v>
      </c>
      <c r="L195" s="2"/>
      <c r="M195" s="2"/>
      <c r="N195" s="2"/>
      <c r="O195" s="2">
        <f t="shared" ref="O195:O208" si="161">ROUND(CP195,2)</f>
        <v>25199.45</v>
      </c>
      <c r="P195" s="2">
        <f t="shared" ref="P195:P208" si="162">ROUND((ROUND((AC195*AW195*I195),2)*BC195),2)</f>
        <v>13263.04</v>
      </c>
      <c r="Q195" s="2">
        <f>(ROUND((ROUND((((ET195*1.2))*AV195*I195),2)*BB195),2)+ROUND((ROUND(((AE195-((EU195*1.2)))*AV195*I195),2)*BS195),2))</f>
        <v>1742.77</v>
      </c>
      <c r="R195" s="2">
        <f>(ROUND((ROUND((((EU195*1.2))*AV195*I195),2)*BS195),2)+ROUND((ROUND(((AE195-((EU195*1.2)))*AV195*I195),2)*BS195),2))</f>
        <v>302.74</v>
      </c>
      <c r="S195" s="2">
        <f t="shared" ref="S195:S208" si="163">ROUND((ROUND((AF195*AV195*I195),2)*BA195),2)</f>
        <v>10193.64</v>
      </c>
      <c r="T195" s="2">
        <f t="shared" ref="T195:T208" si="164">ROUND(CU195*I195,2)</f>
        <v>0</v>
      </c>
      <c r="U195" s="2">
        <f t="shared" ref="U195:U208" si="165">CV195*I195</f>
        <v>795.30120000000011</v>
      </c>
      <c r="V195" s="2">
        <f t="shared" ref="V195:V208" si="166">CW195*I195</f>
        <v>0</v>
      </c>
      <c r="W195" s="2">
        <f t="shared" ref="W195:W208" si="167">ROUND(CX195*I195,2)</f>
        <v>0</v>
      </c>
      <c r="X195" s="2">
        <f>(ROUND((((S195+ROUND((ROUND((((EU195*1.2))*AV195*I195),2)*BS195),2))*AT195)/100),2)+ROUND(((ROUND((ROUND(((AE195-((EU195*1.2)))*AV195*I195),2)*BS195),2)*AT195)/100),2))</f>
        <v>10181.49</v>
      </c>
      <c r="Y195" s="2">
        <f>(ROUND((((S195+ROUND((ROUND((((EU195*1.2))*AV195*I195),2)*BS195),2))*AU195)/100),2)+ROUND(((ROUND((ROUND(((AE195-((EU195*1.2)))*AV195*I195),2)*BS195),2)*AU195)/100),2))</f>
        <v>5353.15</v>
      </c>
      <c r="Z195" s="2"/>
      <c r="AA195" s="2">
        <v>55943566</v>
      </c>
      <c r="AB195" s="2">
        <f t="shared" ref="AB195:AB208" si="168">ROUND((AC195+AD195+AF195),6)</f>
        <v>584.44600000000003</v>
      </c>
      <c r="AC195" s="2">
        <f>ROUND(((ES195*1)),6)</f>
        <v>314.29000000000002</v>
      </c>
      <c r="AD195" s="2">
        <f>ROUND(((((ET195*1.2))-((EU195*1.2)))+AE195),6)</f>
        <v>39.444000000000003</v>
      </c>
      <c r="AE195" s="2">
        <f>ROUND(((EU195*1.2)),6)</f>
        <v>6.8520000000000003</v>
      </c>
      <c r="AF195" s="2">
        <f>ROUND(((EV195*1.2)),6)</f>
        <v>230.71199999999999</v>
      </c>
      <c r="AG195" s="2">
        <f t="shared" ref="AG195:AG208" si="169">ROUND((AP195),6)</f>
        <v>0</v>
      </c>
      <c r="AH195" s="2">
        <f>((EW195*1.2))</f>
        <v>18</v>
      </c>
      <c r="AI195" s="2">
        <f>((EX195*1.2))</f>
        <v>0</v>
      </c>
      <c r="AJ195" s="2">
        <f t="shared" ref="AJ195:AJ208" si="170">(AS195)</f>
        <v>0</v>
      </c>
      <c r="AK195" s="2">
        <v>539.41999999999996</v>
      </c>
      <c r="AL195" s="2">
        <v>314.29000000000002</v>
      </c>
      <c r="AM195" s="2">
        <v>32.869999999999997</v>
      </c>
      <c r="AN195" s="2">
        <v>5.71</v>
      </c>
      <c r="AO195" s="2">
        <v>192.26</v>
      </c>
      <c r="AP195" s="2">
        <v>0</v>
      </c>
      <c r="AQ195" s="2">
        <v>15</v>
      </c>
      <c r="AR195" s="2">
        <v>0</v>
      </c>
      <c r="AS195" s="2">
        <v>0</v>
      </c>
      <c r="AT195" s="2">
        <v>97</v>
      </c>
      <c r="AU195" s="2">
        <v>51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225</v>
      </c>
      <c r="BK195" s="2"/>
      <c r="BL195" s="2"/>
      <c r="BM195" s="2">
        <v>67</v>
      </c>
      <c r="BN195" s="2">
        <v>0</v>
      </c>
      <c r="BO195" s="2" t="s">
        <v>223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97</v>
      </c>
      <c r="CA195" s="2">
        <v>51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351</v>
      </c>
      <c r="CO195" s="2">
        <v>0</v>
      </c>
      <c r="CP195" s="2">
        <f t="shared" ref="CP195:CP208" si="171">(P195+Q195+S195)</f>
        <v>25199.45</v>
      </c>
      <c r="CQ195" s="2">
        <f t="shared" ref="CQ195:CQ208" si="172">ROUND((ROUND((AC195*AW195*1),2)*BC195),2)</f>
        <v>314.29000000000002</v>
      </c>
      <c r="CR195" s="2">
        <f>(ROUND((ROUND((((ET195*1.2))*AV195*1),2)*BB195),2)+ROUND((ROUND(((AE195-((EU195*1.2)))*AV195*1),2)*BS195),2))</f>
        <v>41.3</v>
      </c>
      <c r="CS195" s="2">
        <f>(ROUND((ROUND((((EU195*1.2))*AV195*1),2)*BS195),2)+ROUND((ROUND(((AE195-((EU195*1.2)))*AV195*1),2)*BS195),2))</f>
        <v>7.17</v>
      </c>
      <c r="CT195" s="2">
        <f t="shared" ref="CT195:CT208" si="173">ROUND((ROUND((AF195*AV195*1),2)*BA195),2)</f>
        <v>241.56</v>
      </c>
      <c r="CU195" s="2">
        <f t="shared" ref="CU195:CU208" si="174">AG195</f>
        <v>0</v>
      </c>
      <c r="CV195" s="2">
        <f t="shared" ref="CV195:CV208" si="175">(AH195*AV195)</f>
        <v>18.846</v>
      </c>
      <c r="CW195" s="2">
        <f t="shared" ref="CW195:CW208" si="176">AI195</f>
        <v>0</v>
      </c>
      <c r="CX195" s="2">
        <f t="shared" ref="CX195:CX208" si="177">AJ195</f>
        <v>0</v>
      </c>
      <c r="CY195" s="2">
        <f>(ROUND((((S195+ROUND((ROUND((((EU195*1.2))*AV195*1),2)*BS195),2))*AT195)/100),2)+ROUND(((ROUND((ROUND(((AE195-((EU195*1.2)))*AV195*1),2)*BS195),2)*AT195)/100),2))</f>
        <v>9894.7900000000009</v>
      </c>
      <c r="CZ195" s="2">
        <f>(ROUND((((S195+ROUND((ROUND((((EU195*1.2))*AV195*1),2)*BS195),2))*AU195)/100),2)+ROUND(((ROUND((ROUND(((AE195-((EU195*1.2)))*AV195*1),2)*BS195),2)*AU195)/100),2))</f>
        <v>5202.41</v>
      </c>
      <c r="DA195" s="2"/>
      <c r="DB195" s="2">
        <v>53</v>
      </c>
      <c r="DC195" s="2" t="s">
        <v>3</v>
      </c>
      <c r="DD195" s="2" t="s">
        <v>77</v>
      </c>
      <c r="DE195" s="2" t="s">
        <v>78</v>
      </c>
      <c r="DF195" s="2" t="s">
        <v>78</v>
      </c>
      <c r="DG195" s="2" t="s">
        <v>78</v>
      </c>
      <c r="DH195" s="2" t="s">
        <v>3</v>
      </c>
      <c r="DI195" s="2" t="s">
        <v>78</v>
      </c>
      <c r="DJ195" s="2" t="s">
        <v>78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1003</v>
      </c>
      <c r="DV195" s="2" t="s">
        <v>75</v>
      </c>
      <c r="DW195" s="2" t="s">
        <v>75</v>
      </c>
      <c r="DX195" s="2">
        <v>100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55393971</v>
      </c>
      <c r="EF195" s="2">
        <v>40</v>
      </c>
      <c r="EG195" s="2" t="s">
        <v>33</v>
      </c>
      <c r="EH195" s="2">
        <v>0</v>
      </c>
      <c r="EI195" s="2" t="s">
        <v>3</v>
      </c>
      <c r="EJ195" s="2">
        <v>2</v>
      </c>
      <c r="EK195" s="2">
        <v>67</v>
      </c>
      <c r="EL195" s="2" t="s">
        <v>70</v>
      </c>
      <c r="EM195" s="2" t="s">
        <v>71</v>
      </c>
      <c r="EN195" s="2"/>
      <c r="EO195" s="2" t="s">
        <v>82</v>
      </c>
      <c r="EP195" s="2"/>
      <c r="EQ195" s="2">
        <v>131072</v>
      </c>
      <c r="ER195" s="2">
        <v>539.41999999999996</v>
      </c>
      <c r="ES195" s="2">
        <v>314.29000000000002</v>
      </c>
      <c r="ET195" s="2">
        <v>32.869999999999997</v>
      </c>
      <c r="EU195" s="2">
        <v>5.71</v>
      </c>
      <c r="EV195" s="2">
        <v>192.26</v>
      </c>
      <c r="EW195" s="2">
        <v>15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97</v>
      </c>
      <c r="FY195" s="2">
        <v>51</v>
      </c>
      <c r="FZ195" s="2"/>
      <c r="GA195" s="2" t="s">
        <v>3</v>
      </c>
      <c r="GB195" s="2"/>
      <c r="GC195" s="2"/>
      <c r="GD195" s="2">
        <v>1</v>
      </c>
      <c r="GE195" s="2"/>
      <c r="GF195" s="2">
        <v>1705749599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ref="GL195:GL208" si="178">ROUND(IF(AND(BH195=3,BI195=3,FS195&lt;&gt;0),P195,0),2)</f>
        <v>0</v>
      </c>
      <c r="GM195" s="2">
        <f t="shared" ref="GM195:GM208" si="179">ROUND(O195+X195+Y195,2)+GX195</f>
        <v>40734.089999999997</v>
      </c>
      <c r="GN195" s="2">
        <f t="shared" ref="GN195:GN208" si="180">IF(OR(BI195=0,BI195=1),GM195-GX195,0)</f>
        <v>0</v>
      </c>
      <c r="GO195" s="2">
        <f t="shared" ref="GO195:GO208" si="181">IF(BI195=2,GM195-GX195,0)</f>
        <v>40734.089999999997</v>
      </c>
      <c r="GP195" s="2">
        <f t="shared" ref="GP195:GP208" si="182">IF(BI195=4,GM195-GX195,0)</f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ref="GV195:GV208" si="183">ROUND((GT195),6)</f>
        <v>0</v>
      </c>
      <c r="GW195" s="2">
        <v>1</v>
      </c>
      <c r="GX195" s="2">
        <f t="shared" ref="GX195:GX208" si="184">ROUND(HC195*I195,2)</f>
        <v>0</v>
      </c>
      <c r="GY195" s="2"/>
      <c r="GZ195" s="2"/>
      <c r="HA195" s="2">
        <v>0</v>
      </c>
      <c r="HB195" s="2">
        <v>0</v>
      </c>
      <c r="HC195" s="2">
        <f t="shared" ref="HC195:HC208" si="185">GV195*GW195</f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3">
        <v>17</v>
      </c>
      <c r="B196" s="3">
        <v>1</v>
      </c>
      <c r="E196" s="3" t="s">
        <v>222</v>
      </c>
      <c r="F196" s="3" t="s">
        <v>223</v>
      </c>
      <c r="G196" s="3" t="s">
        <v>224</v>
      </c>
      <c r="H196" s="3" t="s">
        <v>75</v>
      </c>
      <c r="I196" s="3">
        <f>ROUND(4220/100,9)</f>
        <v>42.2</v>
      </c>
      <c r="J196" s="3">
        <v>0</v>
      </c>
      <c r="K196" s="3">
        <f>ROUND(4220/100,9)</f>
        <v>42.2</v>
      </c>
      <c r="O196" s="3">
        <f t="shared" si="161"/>
        <v>737753.71</v>
      </c>
      <c r="P196" s="3">
        <f t="shared" si="162"/>
        <v>130508.31</v>
      </c>
      <c r="Q196" s="3">
        <f>(ROUND((ROUND((((ET196*1.2))*AV196*I196),2)*BB196),2)+ROUND((ROUND(((AE196-((EU196*1.2)))*AV196*I196),2)*BS196),2))</f>
        <v>32833.79</v>
      </c>
      <c r="R196" s="3">
        <f>(ROUND((ROUND((((EU196*1.2))*AV196*I196),2)*BS196),2)+ROUND((ROUND(((AE196-((EU196*1.2)))*AV196*I196),2)*BS196),2))</f>
        <v>17059.400000000001</v>
      </c>
      <c r="S196" s="3">
        <f t="shared" si="163"/>
        <v>574411.61</v>
      </c>
      <c r="T196" s="3">
        <f t="shared" si="164"/>
        <v>0</v>
      </c>
      <c r="U196" s="3">
        <f t="shared" si="165"/>
        <v>795.30120000000011</v>
      </c>
      <c r="V196" s="3">
        <f t="shared" si="166"/>
        <v>0</v>
      </c>
      <c r="W196" s="3">
        <f t="shared" si="167"/>
        <v>0</v>
      </c>
      <c r="X196" s="3">
        <f>(ROUND((((S196+ROUND((ROUND((((EU196*1.2))*AV196*I196),2)*BS196),2))*AT196)/100),2)+ROUND(((ROUND((ROUND(((AE196-((EU196*1.2)))*AV196*I196),2)*BS196),2)*AT196)/100),2))</f>
        <v>573726.88</v>
      </c>
      <c r="Y196" s="3">
        <f>(ROUND((((S196+ROUND((ROUND((((EU196*1.2))*AV196*I196),2)*BS196),2))*AU196)/100),2)+ROUND(((ROUND((ROUND(((AE196-((EU196*1.2)))*AV196*I196),2)*BS196),2)*AU196)/100),2))</f>
        <v>301650.21999999997</v>
      </c>
      <c r="AA196" s="3">
        <v>55943568</v>
      </c>
      <c r="AB196" s="3">
        <f t="shared" si="168"/>
        <v>584.44600000000003</v>
      </c>
      <c r="AC196" s="3">
        <f>ROUND(((ES196*1)),6)</f>
        <v>314.29000000000002</v>
      </c>
      <c r="AD196" s="3">
        <f>ROUND(((((ET196*1.2))-((EU196*1.2)))+AE196),6)</f>
        <v>39.444000000000003</v>
      </c>
      <c r="AE196" s="3">
        <f>ROUND(((EU196*1.2)),6)</f>
        <v>6.8520000000000003</v>
      </c>
      <c r="AF196" s="3">
        <f>ROUND(((EV196*1.2)),6)</f>
        <v>230.71199999999999</v>
      </c>
      <c r="AG196" s="3">
        <f t="shared" si="169"/>
        <v>0</v>
      </c>
      <c r="AH196" s="3">
        <f>((EW196*1.2))</f>
        <v>18</v>
      </c>
      <c r="AI196" s="3">
        <f>((EX196*1.2))</f>
        <v>0</v>
      </c>
      <c r="AJ196" s="3">
        <f t="shared" si="170"/>
        <v>0</v>
      </c>
      <c r="AK196" s="3">
        <v>539.41999999999996</v>
      </c>
      <c r="AL196" s="3">
        <v>314.29000000000002</v>
      </c>
      <c r="AM196" s="3">
        <v>32.869999999999997</v>
      </c>
      <c r="AN196" s="3">
        <v>5.71</v>
      </c>
      <c r="AO196" s="3">
        <v>192.26</v>
      </c>
      <c r="AP196" s="3">
        <v>0</v>
      </c>
      <c r="AQ196" s="3">
        <v>15</v>
      </c>
      <c r="AR196" s="3">
        <v>0</v>
      </c>
      <c r="AS196" s="3">
        <v>0</v>
      </c>
      <c r="AT196" s="3">
        <v>97</v>
      </c>
      <c r="AU196" s="3">
        <v>51</v>
      </c>
      <c r="AV196" s="3">
        <v>1.0469999999999999</v>
      </c>
      <c r="AW196" s="3">
        <v>1</v>
      </c>
      <c r="AZ196" s="3">
        <v>1</v>
      </c>
      <c r="BA196" s="3">
        <v>56.35</v>
      </c>
      <c r="BB196" s="3">
        <v>18.84</v>
      </c>
      <c r="BC196" s="3">
        <v>9.84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225</v>
      </c>
      <c r="BM196" s="3">
        <v>67</v>
      </c>
      <c r="BN196" s="3">
        <v>0</v>
      </c>
      <c r="BO196" s="3" t="s">
        <v>223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97</v>
      </c>
      <c r="CA196" s="3">
        <v>51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351</v>
      </c>
      <c r="CO196" s="3">
        <v>0</v>
      </c>
      <c r="CP196" s="3">
        <f t="shared" si="171"/>
        <v>737753.71</v>
      </c>
      <c r="CQ196" s="3">
        <f t="shared" si="172"/>
        <v>3092.61</v>
      </c>
      <c r="CR196" s="3">
        <f>(ROUND((ROUND((((ET196*1.2))*AV196*1),2)*BB196),2)+ROUND((ROUND(((AE196-((EU196*1.2)))*AV196*1),2)*BS196),2))</f>
        <v>778.09</v>
      </c>
      <c r="CS196" s="3">
        <f>(ROUND((ROUND((((EU196*1.2))*AV196*1),2)*BS196),2)+ROUND((ROUND(((AE196-((EU196*1.2)))*AV196*1),2)*BS196),2))</f>
        <v>404.03</v>
      </c>
      <c r="CT196" s="3">
        <f t="shared" si="173"/>
        <v>13611.91</v>
      </c>
      <c r="CU196" s="3">
        <f t="shared" si="174"/>
        <v>0</v>
      </c>
      <c r="CV196" s="3">
        <f t="shared" si="175"/>
        <v>18.846</v>
      </c>
      <c r="CW196" s="3">
        <f t="shared" si="176"/>
        <v>0</v>
      </c>
      <c r="CX196" s="3">
        <f t="shared" si="177"/>
        <v>0</v>
      </c>
      <c r="CY196" s="3">
        <f>(ROUND((((S196+ROUND((ROUND((((EU196*1.2))*AV196*1),2)*BS196),2))*AT196)/100),2)+ROUND(((ROUND((ROUND(((AE196-((EU196*1.2)))*AV196*1),2)*BS196),2)*AT196)/100),2))</f>
        <v>557571.17000000004</v>
      </c>
      <c r="CZ196" s="3">
        <f>(ROUND((((S196+ROUND((ROUND((((EU196*1.2))*AV196*1),2)*BS196),2))*AU196)/100),2)+ROUND(((ROUND((ROUND(((AE196-((EU196*1.2)))*AV196*1),2)*BS196),2)*AU196)/100),2))</f>
        <v>293155.98</v>
      </c>
      <c r="DB196" s="3">
        <v>54</v>
      </c>
      <c r="DC196" s="3" t="s">
        <v>3</v>
      </c>
      <c r="DD196" s="3" t="s">
        <v>77</v>
      </c>
      <c r="DE196" s="3" t="s">
        <v>78</v>
      </c>
      <c r="DF196" s="3" t="s">
        <v>78</v>
      </c>
      <c r="DG196" s="3" t="s">
        <v>78</v>
      </c>
      <c r="DH196" s="3" t="s">
        <v>3</v>
      </c>
      <c r="DI196" s="3" t="s">
        <v>78</v>
      </c>
      <c r="DJ196" s="3" t="s">
        <v>78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1003</v>
      </c>
      <c r="DV196" s="3" t="s">
        <v>75</v>
      </c>
      <c r="DW196" s="3" t="s">
        <v>75</v>
      </c>
      <c r="DX196" s="3">
        <v>100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55393971</v>
      </c>
      <c r="EF196" s="3">
        <v>40</v>
      </c>
      <c r="EG196" s="3" t="s">
        <v>33</v>
      </c>
      <c r="EH196" s="3">
        <v>0</v>
      </c>
      <c r="EI196" s="3" t="s">
        <v>3</v>
      </c>
      <c r="EJ196" s="3">
        <v>2</v>
      </c>
      <c r="EK196" s="3">
        <v>67</v>
      </c>
      <c r="EL196" s="3" t="s">
        <v>70</v>
      </c>
      <c r="EM196" s="3" t="s">
        <v>71</v>
      </c>
      <c r="EO196" s="3" t="s">
        <v>82</v>
      </c>
      <c r="EQ196" s="3">
        <v>131072</v>
      </c>
      <c r="ER196" s="3">
        <v>539.41999999999996</v>
      </c>
      <c r="ES196" s="3">
        <v>314.29000000000002</v>
      </c>
      <c r="ET196" s="3">
        <v>32.869999999999997</v>
      </c>
      <c r="EU196" s="3">
        <v>5.71</v>
      </c>
      <c r="EV196" s="3">
        <v>192.26</v>
      </c>
      <c r="EW196" s="3">
        <v>15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97</v>
      </c>
      <c r="FY196" s="3">
        <v>51</v>
      </c>
      <c r="GA196" s="3" t="s">
        <v>3</v>
      </c>
      <c r="GD196" s="3">
        <v>1</v>
      </c>
      <c r="GF196" s="3">
        <v>1705749599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78"/>
        <v>0</v>
      </c>
      <c r="GM196" s="3">
        <f t="shared" si="179"/>
        <v>1613130.81</v>
      </c>
      <c r="GN196" s="3">
        <f t="shared" si="180"/>
        <v>0</v>
      </c>
      <c r="GO196" s="3">
        <f t="shared" si="181"/>
        <v>1613130.81</v>
      </c>
      <c r="GP196" s="3">
        <f t="shared" si="182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83"/>
        <v>0</v>
      </c>
      <c r="GW196" s="3">
        <v>1</v>
      </c>
      <c r="GX196" s="3">
        <f t="shared" si="184"/>
        <v>0</v>
      </c>
      <c r="HA196" s="3">
        <v>0</v>
      </c>
      <c r="HB196" s="3">
        <v>0</v>
      </c>
      <c r="HC196" s="3">
        <f t="shared" si="185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">
      <c r="A197" s="2">
        <v>18</v>
      </c>
      <c r="B197" s="2">
        <v>1</v>
      </c>
      <c r="C197" s="2"/>
      <c r="D197" s="2"/>
      <c r="E197" s="2" t="s">
        <v>226</v>
      </c>
      <c r="F197" s="2" t="s">
        <v>227</v>
      </c>
      <c r="G197" s="2" t="s">
        <v>228</v>
      </c>
      <c r="H197" s="2" t="s">
        <v>229</v>
      </c>
      <c r="I197" s="2">
        <f>I195*J197</f>
        <v>4304.3999999999996</v>
      </c>
      <c r="J197" s="2">
        <v>101.99999999999999</v>
      </c>
      <c r="K197" s="2">
        <v>102</v>
      </c>
      <c r="L197" s="2"/>
      <c r="M197" s="2"/>
      <c r="N197" s="2"/>
      <c r="O197" s="2">
        <f t="shared" si="161"/>
        <v>14850.18</v>
      </c>
      <c r="P197" s="2">
        <f t="shared" si="162"/>
        <v>14850.18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63"/>
        <v>0</v>
      </c>
      <c r="T197" s="2">
        <f t="shared" si="164"/>
        <v>0</v>
      </c>
      <c r="U197" s="2">
        <f t="shared" si="165"/>
        <v>0</v>
      </c>
      <c r="V197" s="2">
        <f t="shared" si="166"/>
        <v>0</v>
      </c>
      <c r="W197" s="2">
        <f t="shared" si="16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55943566</v>
      </c>
      <c r="AB197" s="2">
        <f t="shared" si="168"/>
        <v>3.45</v>
      </c>
      <c r="AC197" s="2">
        <f>ROUND((ES197),6)</f>
        <v>3.45</v>
      </c>
      <c r="AD197" s="2">
        <f>ROUND((((ET197)-(EU197))+AE197),6)</f>
        <v>0</v>
      </c>
      <c r="AE197" s="2">
        <f t="shared" ref="AE197:AF200" si="186">ROUND((EU197),6)</f>
        <v>0</v>
      </c>
      <c r="AF197" s="2">
        <f t="shared" si="186"/>
        <v>0</v>
      </c>
      <c r="AG197" s="2">
        <f t="shared" si="169"/>
        <v>0</v>
      </c>
      <c r="AH197" s="2">
        <f t="shared" ref="AH197:AI200" si="187">(EW197)</f>
        <v>0</v>
      </c>
      <c r="AI197" s="2">
        <f t="shared" si="187"/>
        <v>0</v>
      </c>
      <c r="AJ197" s="2">
        <f t="shared" si="170"/>
        <v>0</v>
      </c>
      <c r="AK197" s="2">
        <v>3.45</v>
      </c>
      <c r="AL197" s="2">
        <v>3.45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97</v>
      </c>
      <c r="AU197" s="2">
        <v>51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2</v>
      </c>
      <c r="BJ197" s="2" t="s">
        <v>230</v>
      </c>
      <c r="BK197" s="2"/>
      <c r="BL197" s="2"/>
      <c r="BM197" s="2">
        <v>67</v>
      </c>
      <c r="BN197" s="2">
        <v>0</v>
      </c>
      <c r="BO197" s="2" t="s">
        <v>3</v>
      </c>
      <c r="BP197" s="2">
        <v>0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97</v>
      </c>
      <c r="CA197" s="2">
        <v>51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171"/>
        <v>14850.18</v>
      </c>
      <c r="CQ197" s="2">
        <f t="shared" si="172"/>
        <v>3.45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73"/>
        <v>0</v>
      </c>
      <c r="CU197" s="2">
        <f t="shared" si="174"/>
        <v>0</v>
      </c>
      <c r="CV197" s="2">
        <f t="shared" si="175"/>
        <v>0</v>
      </c>
      <c r="CW197" s="2">
        <f t="shared" si="176"/>
        <v>0</v>
      </c>
      <c r="CX197" s="2">
        <f t="shared" si="17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1003</v>
      </c>
      <c r="DV197" s="2" t="s">
        <v>229</v>
      </c>
      <c r="DW197" s="2" t="s">
        <v>229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55393971</v>
      </c>
      <c r="EF197" s="2">
        <v>40</v>
      </c>
      <c r="EG197" s="2" t="s">
        <v>33</v>
      </c>
      <c r="EH197" s="2">
        <v>0</v>
      </c>
      <c r="EI197" s="2" t="s">
        <v>3</v>
      </c>
      <c r="EJ197" s="2">
        <v>2</v>
      </c>
      <c r="EK197" s="2">
        <v>67</v>
      </c>
      <c r="EL197" s="2" t="s">
        <v>70</v>
      </c>
      <c r="EM197" s="2" t="s">
        <v>71</v>
      </c>
      <c r="EN197" s="2"/>
      <c r="EO197" s="2" t="s">
        <v>3</v>
      </c>
      <c r="EP197" s="2"/>
      <c r="EQ197" s="2">
        <v>0</v>
      </c>
      <c r="ER197" s="2">
        <v>3.45</v>
      </c>
      <c r="ES197" s="2">
        <v>3.45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97</v>
      </c>
      <c r="FY197" s="2">
        <v>51</v>
      </c>
      <c r="FZ197" s="2"/>
      <c r="GA197" s="2" t="s">
        <v>3</v>
      </c>
      <c r="GB197" s="2"/>
      <c r="GC197" s="2"/>
      <c r="GD197" s="2">
        <v>1</v>
      </c>
      <c r="GE197" s="2"/>
      <c r="GF197" s="2">
        <v>-1305428159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78"/>
        <v>0</v>
      </c>
      <c r="GM197" s="2">
        <f t="shared" si="179"/>
        <v>14850.18</v>
      </c>
      <c r="GN197" s="2">
        <f t="shared" si="180"/>
        <v>0</v>
      </c>
      <c r="GO197" s="2">
        <f t="shared" si="181"/>
        <v>14850.18</v>
      </c>
      <c r="GP197" s="2">
        <f t="shared" si="182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83"/>
        <v>0</v>
      </c>
      <c r="GW197" s="2">
        <v>1</v>
      </c>
      <c r="GX197" s="2">
        <f t="shared" si="184"/>
        <v>0</v>
      </c>
      <c r="GY197" s="2"/>
      <c r="GZ197" s="2"/>
      <c r="HA197" s="2">
        <v>0</v>
      </c>
      <c r="HB197" s="2">
        <v>0</v>
      </c>
      <c r="HC197" s="2">
        <f t="shared" si="185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3">
        <v>18</v>
      </c>
      <c r="B198" s="3">
        <v>1</v>
      </c>
      <c r="E198" s="3" t="s">
        <v>226</v>
      </c>
      <c r="F198" s="3" t="s">
        <v>227</v>
      </c>
      <c r="G198" s="3" t="s">
        <v>228</v>
      </c>
      <c r="H198" s="3" t="s">
        <v>229</v>
      </c>
      <c r="I198" s="3">
        <f>I196*J198</f>
        <v>4304.3999999999996</v>
      </c>
      <c r="J198" s="3">
        <v>101.99999999999999</v>
      </c>
      <c r="K198" s="3">
        <v>102</v>
      </c>
      <c r="O198" s="3">
        <f t="shared" si="161"/>
        <v>56282.18</v>
      </c>
      <c r="P198" s="3">
        <f t="shared" si="162"/>
        <v>56282.18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63"/>
        <v>0</v>
      </c>
      <c r="T198" s="3">
        <f t="shared" si="164"/>
        <v>0</v>
      </c>
      <c r="U198" s="3">
        <f t="shared" si="165"/>
        <v>0</v>
      </c>
      <c r="V198" s="3">
        <f t="shared" si="166"/>
        <v>0</v>
      </c>
      <c r="W198" s="3">
        <f t="shared" si="16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AA198" s="3">
        <v>55943568</v>
      </c>
      <c r="AB198" s="3">
        <f t="shared" si="168"/>
        <v>3.45</v>
      </c>
      <c r="AC198" s="3">
        <f>ROUND((ES198),6)</f>
        <v>3.45</v>
      </c>
      <c r="AD198" s="3">
        <f>ROUND((((ET198)-(EU198))+AE198),6)</f>
        <v>0</v>
      </c>
      <c r="AE198" s="3">
        <f t="shared" si="186"/>
        <v>0</v>
      </c>
      <c r="AF198" s="3">
        <f t="shared" si="186"/>
        <v>0</v>
      </c>
      <c r="AG198" s="3">
        <f t="shared" si="169"/>
        <v>0</v>
      </c>
      <c r="AH198" s="3">
        <f t="shared" si="187"/>
        <v>0</v>
      </c>
      <c r="AI198" s="3">
        <f t="shared" si="187"/>
        <v>0</v>
      </c>
      <c r="AJ198" s="3">
        <f t="shared" si="170"/>
        <v>0</v>
      </c>
      <c r="AK198" s="3">
        <v>3.45</v>
      </c>
      <c r="AL198" s="3">
        <v>3.45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97</v>
      </c>
      <c r="AU198" s="3">
        <v>51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3.79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2</v>
      </c>
      <c r="BJ198" s="3" t="s">
        <v>230</v>
      </c>
      <c r="BM198" s="3">
        <v>67</v>
      </c>
      <c r="BN198" s="3">
        <v>0</v>
      </c>
      <c r="BO198" s="3" t="s">
        <v>227</v>
      </c>
      <c r="BP198" s="3">
        <v>1</v>
      </c>
      <c r="BQ198" s="3">
        <v>40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97</v>
      </c>
      <c r="CA198" s="3">
        <v>51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3</v>
      </c>
      <c r="CO198" s="3">
        <v>0</v>
      </c>
      <c r="CP198" s="3">
        <f t="shared" si="171"/>
        <v>56282.18</v>
      </c>
      <c r="CQ198" s="3">
        <f t="shared" si="172"/>
        <v>13.08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73"/>
        <v>0</v>
      </c>
      <c r="CU198" s="3">
        <f t="shared" si="174"/>
        <v>0</v>
      </c>
      <c r="CV198" s="3">
        <f t="shared" si="175"/>
        <v>0</v>
      </c>
      <c r="CW198" s="3">
        <f t="shared" si="176"/>
        <v>0</v>
      </c>
      <c r="CX198" s="3">
        <f t="shared" si="17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1003</v>
      </c>
      <c r="DV198" s="3" t="s">
        <v>229</v>
      </c>
      <c r="DW198" s="3" t="s">
        <v>229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55393971</v>
      </c>
      <c r="EF198" s="3">
        <v>40</v>
      </c>
      <c r="EG198" s="3" t="s">
        <v>33</v>
      </c>
      <c r="EH198" s="3">
        <v>0</v>
      </c>
      <c r="EI198" s="3" t="s">
        <v>3</v>
      </c>
      <c r="EJ198" s="3">
        <v>2</v>
      </c>
      <c r="EK198" s="3">
        <v>67</v>
      </c>
      <c r="EL198" s="3" t="s">
        <v>70</v>
      </c>
      <c r="EM198" s="3" t="s">
        <v>71</v>
      </c>
      <c r="EO198" s="3" t="s">
        <v>3</v>
      </c>
      <c r="EQ198" s="3">
        <v>0</v>
      </c>
      <c r="ER198" s="3">
        <v>3.45</v>
      </c>
      <c r="ES198" s="3">
        <v>3.45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97</v>
      </c>
      <c r="FY198" s="3">
        <v>51</v>
      </c>
      <c r="GA198" s="3" t="s">
        <v>3</v>
      </c>
      <c r="GD198" s="3">
        <v>1</v>
      </c>
      <c r="GF198" s="3">
        <v>-1305428159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78"/>
        <v>0</v>
      </c>
      <c r="GM198" s="3">
        <f t="shared" si="179"/>
        <v>56282.18</v>
      </c>
      <c r="GN198" s="3">
        <f t="shared" si="180"/>
        <v>0</v>
      </c>
      <c r="GO198" s="3">
        <f t="shared" si="181"/>
        <v>56282.18</v>
      </c>
      <c r="GP198" s="3">
        <f t="shared" si="182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83"/>
        <v>0</v>
      </c>
      <c r="GW198" s="3">
        <v>1</v>
      </c>
      <c r="GX198" s="3">
        <f t="shared" si="184"/>
        <v>0</v>
      </c>
      <c r="HA198" s="3">
        <v>0</v>
      </c>
      <c r="HB198" s="3">
        <v>0</v>
      </c>
      <c r="HC198" s="3">
        <f t="shared" si="185"/>
        <v>0</v>
      </c>
      <c r="HE198" s="3" t="s">
        <v>3</v>
      </c>
      <c r="HF198" s="3" t="s">
        <v>3</v>
      </c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">
      <c r="A199" s="2">
        <v>17</v>
      </c>
      <c r="B199" s="2">
        <v>1</v>
      </c>
      <c r="C199" s="2"/>
      <c r="D199" s="2"/>
      <c r="E199" s="2" t="s">
        <v>231</v>
      </c>
      <c r="F199" s="2" t="s">
        <v>232</v>
      </c>
      <c r="G199" s="2" t="s">
        <v>233</v>
      </c>
      <c r="H199" s="2" t="s">
        <v>234</v>
      </c>
      <c r="I199" s="2">
        <f>ROUND(10550/1000,9)</f>
        <v>10.55</v>
      </c>
      <c r="J199" s="2">
        <v>0</v>
      </c>
      <c r="K199" s="2">
        <f>ROUND(10550/1000,9)</f>
        <v>10.55</v>
      </c>
      <c r="L199" s="2"/>
      <c r="M199" s="2"/>
      <c r="N199" s="2"/>
      <c r="O199" s="2">
        <f t="shared" si="161"/>
        <v>4775.7700000000004</v>
      </c>
      <c r="P199" s="2">
        <f t="shared" si="162"/>
        <v>4775.7700000000004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163"/>
        <v>0</v>
      </c>
      <c r="T199" s="2">
        <f t="shared" si="164"/>
        <v>0</v>
      </c>
      <c r="U199" s="2">
        <f t="shared" si="165"/>
        <v>0</v>
      </c>
      <c r="V199" s="2">
        <f t="shared" si="166"/>
        <v>0</v>
      </c>
      <c r="W199" s="2">
        <f t="shared" si="167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55943566</v>
      </c>
      <c r="AB199" s="2">
        <f t="shared" si="168"/>
        <v>452.68</v>
      </c>
      <c r="AC199" s="2">
        <f>ROUND((ES199),6)</f>
        <v>452.68</v>
      </c>
      <c r="AD199" s="2">
        <f>ROUND((((ET199)-(EU199))+AE199),6)</f>
        <v>0</v>
      </c>
      <c r="AE199" s="2">
        <f t="shared" si="186"/>
        <v>0</v>
      </c>
      <c r="AF199" s="2">
        <f t="shared" si="186"/>
        <v>0</v>
      </c>
      <c r="AG199" s="2">
        <f t="shared" si="169"/>
        <v>0</v>
      </c>
      <c r="AH199" s="2">
        <f t="shared" si="187"/>
        <v>0</v>
      </c>
      <c r="AI199" s="2">
        <f t="shared" si="187"/>
        <v>0</v>
      </c>
      <c r="AJ199" s="2">
        <f t="shared" si="170"/>
        <v>0</v>
      </c>
      <c r="AK199" s="2">
        <v>452.68</v>
      </c>
      <c r="AL199" s="2">
        <v>452.68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2</v>
      </c>
      <c r="BJ199" s="2" t="s">
        <v>235</v>
      </c>
      <c r="BK199" s="2"/>
      <c r="BL199" s="2"/>
      <c r="BM199" s="2">
        <v>1618</v>
      </c>
      <c r="BN199" s="2">
        <v>0</v>
      </c>
      <c r="BO199" s="2" t="s">
        <v>3</v>
      </c>
      <c r="BP199" s="2">
        <v>0</v>
      </c>
      <c r="BQ199" s="2">
        <v>201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71"/>
        <v>4775.7700000000004</v>
      </c>
      <c r="CQ199" s="2">
        <f t="shared" si="172"/>
        <v>452.68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173"/>
        <v>0</v>
      </c>
      <c r="CU199" s="2">
        <f t="shared" si="174"/>
        <v>0</v>
      </c>
      <c r="CV199" s="2">
        <f t="shared" si="175"/>
        <v>0</v>
      </c>
      <c r="CW199" s="2">
        <f t="shared" si="176"/>
        <v>0</v>
      </c>
      <c r="CX199" s="2">
        <f t="shared" si="177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234</v>
      </c>
      <c r="DW199" s="2" t="s">
        <v>234</v>
      </c>
      <c r="DX199" s="2">
        <v>1000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55394001</v>
      </c>
      <c r="EF199" s="2">
        <v>201</v>
      </c>
      <c r="EG199" s="2" t="s">
        <v>236</v>
      </c>
      <c r="EH199" s="2">
        <v>0</v>
      </c>
      <c r="EI199" s="2" t="s">
        <v>3</v>
      </c>
      <c r="EJ199" s="2">
        <v>2</v>
      </c>
      <c r="EK199" s="2">
        <v>1618</v>
      </c>
      <c r="EL199" s="2" t="s">
        <v>237</v>
      </c>
      <c r="EM199" s="2" t="s">
        <v>238</v>
      </c>
      <c r="EN199" s="2"/>
      <c r="EO199" s="2" t="s">
        <v>3</v>
      </c>
      <c r="EP199" s="2"/>
      <c r="EQ199" s="2">
        <v>131072</v>
      </c>
      <c r="ER199" s="2">
        <v>452.68</v>
      </c>
      <c r="ES199" s="2">
        <v>452.68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3</v>
      </c>
      <c r="GB199" s="2"/>
      <c r="GC199" s="2"/>
      <c r="GD199" s="2">
        <v>1</v>
      </c>
      <c r="GE199" s="2"/>
      <c r="GF199" s="2">
        <v>-269050971</v>
      </c>
      <c r="GG199" s="2">
        <v>2</v>
      </c>
      <c r="GH199" s="2">
        <v>1</v>
      </c>
      <c r="GI199" s="2">
        <v>-2</v>
      </c>
      <c r="GJ199" s="2">
        <v>0</v>
      </c>
      <c r="GK199" s="2">
        <v>0</v>
      </c>
      <c r="GL199" s="2">
        <f t="shared" si="178"/>
        <v>0</v>
      </c>
      <c r="GM199" s="2">
        <f t="shared" si="179"/>
        <v>4775.7700000000004</v>
      </c>
      <c r="GN199" s="2">
        <f t="shared" si="180"/>
        <v>0</v>
      </c>
      <c r="GO199" s="2">
        <f t="shared" si="181"/>
        <v>4775.7700000000004</v>
      </c>
      <c r="GP199" s="2">
        <f t="shared" si="182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83"/>
        <v>0</v>
      </c>
      <c r="GW199" s="2">
        <v>1</v>
      </c>
      <c r="GX199" s="2">
        <f t="shared" si="184"/>
        <v>0</v>
      </c>
      <c r="GY199" s="2"/>
      <c r="GZ199" s="2"/>
      <c r="HA199" s="2">
        <v>0</v>
      </c>
      <c r="HB199" s="2">
        <v>0</v>
      </c>
      <c r="HC199" s="2">
        <f t="shared" si="185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 s="3">
        <v>17</v>
      </c>
      <c r="B200" s="3">
        <v>1</v>
      </c>
      <c r="E200" s="3" t="s">
        <v>231</v>
      </c>
      <c r="F200" s="3" t="s">
        <v>232</v>
      </c>
      <c r="G200" s="3" t="s">
        <v>233</v>
      </c>
      <c r="H200" s="3" t="s">
        <v>234</v>
      </c>
      <c r="I200" s="3">
        <f>ROUND(10550/1000,9)</f>
        <v>10.55</v>
      </c>
      <c r="J200" s="3">
        <v>0</v>
      </c>
      <c r="K200" s="3">
        <f>ROUND(10550/1000,9)</f>
        <v>10.55</v>
      </c>
      <c r="O200" s="3">
        <f t="shared" si="161"/>
        <v>17479.32</v>
      </c>
      <c r="P200" s="3">
        <f t="shared" si="162"/>
        <v>17479.32</v>
      </c>
      <c r="Q200" s="3">
        <f>(ROUND((ROUND(((ET200)*AV200*I200),2)*BB200),2)+ROUND((ROUND(((AE200-(EU200))*AV200*I200),2)*BS200),2))</f>
        <v>0</v>
      </c>
      <c r="R200" s="3">
        <f>(ROUND((ROUND(((EU200)*AV200*I200),2)*BS200),2)+ROUND((ROUND(((AE200-(EU200))*AV200*I200),2)*BS200),2))</f>
        <v>0</v>
      </c>
      <c r="S200" s="3">
        <f t="shared" si="163"/>
        <v>0</v>
      </c>
      <c r="T200" s="3">
        <f t="shared" si="164"/>
        <v>0</v>
      </c>
      <c r="U200" s="3">
        <f t="shared" si="165"/>
        <v>0</v>
      </c>
      <c r="V200" s="3">
        <f t="shared" si="166"/>
        <v>0</v>
      </c>
      <c r="W200" s="3">
        <f t="shared" si="167"/>
        <v>0</v>
      </c>
      <c r="X200" s="3">
        <f>(ROUND((((S200+ROUND((ROUND(((EU200)*AV200*I200),2)*BS200),2))*AT200)/100),2)+ROUND(((ROUND((ROUND(((AE200-(EU200))*AV200*I200),2)*BS200),2)*AT200)/100),2))</f>
        <v>0</v>
      </c>
      <c r="Y200" s="3">
        <f>(ROUND((((S200+ROUND((ROUND(((EU200)*AV200*I200),2)*BS200),2))*AU200)/100),2)+ROUND(((ROUND((ROUND(((AE200-(EU200))*AV200*I200),2)*BS200),2)*AU200)/100),2))</f>
        <v>0</v>
      </c>
      <c r="AA200" s="3">
        <v>55943568</v>
      </c>
      <c r="AB200" s="3">
        <f t="shared" si="168"/>
        <v>452.68</v>
      </c>
      <c r="AC200" s="3">
        <f>ROUND((ES200),6)</f>
        <v>452.68</v>
      </c>
      <c r="AD200" s="3">
        <f>ROUND((((ET200)-(EU200))+AE200),6)</f>
        <v>0</v>
      </c>
      <c r="AE200" s="3">
        <f t="shared" si="186"/>
        <v>0</v>
      </c>
      <c r="AF200" s="3">
        <f t="shared" si="186"/>
        <v>0</v>
      </c>
      <c r="AG200" s="3">
        <f t="shared" si="169"/>
        <v>0</v>
      </c>
      <c r="AH200" s="3">
        <f t="shared" si="187"/>
        <v>0</v>
      </c>
      <c r="AI200" s="3">
        <f t="shared" si="187"/>
        <v>0</v>
      </c>
      <c r="AJ200" s="3">
        <f t="shared" si="170"/>
        <v>0</v>
      </c>
      <c r="AK200" s="3">
        <v>452.68</v>
      </c>
      <c r="AL200" s="3">
        <v>452.68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3.66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2</v>
      </c>
      <c r="BJ200" s="3" t="s">
        <v>235</v>
      </c>
      <c r="BM200" s="3">
        <v>1618</v>
      </c>
      <c r="BN200" s="3">
        <v>0</v>
      </c>
      <c r="BO200" s="3" t="s">
        <v>232</v>
      </c>
      <c r="BP200" s="3">
        <v>1</v>
      </c>
      <c r="BQ200" s="3">
        <v>201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171"/>
        <v>17479.32</v>
      </c>
      <c r="CQ200" s="3">
        <f t="shared" si="172"/>
        <v>1656.81</v>
      </c>
      <c r="CR200" s="3">
        <f>(ROUND((ROUND(((ET200)*AV200*1),2)*BB200),2)+ROUND((ROUND(((AE200-(EU200))*AV200*1),2)*BS200),2))</f>
        <v>0</v>
      </c>
      <c r="CS200" s="3">
        <f>(ROUND((ROUND(((EU200)*AV200*1),2)*BS200),2)+ROUND((ROUND(((AE200-(EU200))*AV200*1),2)*BS200),2))</f>
        <v>0</v>
      </c>
      <c r="CT200" s="3">
        <f t="shared" si="173"/>
        <v>0</v>
      </c>
      <c r="CU200" s="3">
        <f t="shared" si="174"/>
        <v>0</v>
      </c>
      <c r="CV200" s="3">
        <f t="shared" si="175"/>
        <v>0</v>
      </c>
      <c r="CW200" s="3">
        <f t="shared" si="176"/>
        <v>0</v>
      </c>
      <c r="CX200" s="3">
        <f t="shared" si="177"/>
        <v>0</v>
      </c>
      <c r="CY200" s="3">
        <f>(ROUND((((S200+ROUND((ROUND(((EU200)*AV200*1),2)*BS200),2))*AT200)/100),2)+ROUND(((ROUND((ROUND(((AE200-(EU200))*AV200*1),2)*BS200),2)*AT200)/100),2))</f>
        <v>0</v>
      </c>
      <c r="CZ200" s="3">
        <f>(ROUND((((S200+ROUND((ROUND(((EU200)*AV200*1),2)*BS200),2))*AU200)/100),2)+ROUND(((ROUND((ROUND(((AE200-(EU200))*AV200*1),2)*BS200),2)*AU200)/100),2))</f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1010</v>
      </c>
      <c r="DV200" s="3" t="s">
        <v>234</v>
      </c>
      <c r="DW200" s="3" t="s">
        <v>234</v>
      </c>
      <c r="DX200" s="3">
        <v>1000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55394001</v>
      </c>
      <c r="EF200" s="3">
        <v>201</v>
      </c>
      <c r="EG200" s="3" t="s">
        <v>236</v>
      </c>
      <c r="EH200" s="3">
        <v>0</v>
      </c>
      <c r="EI200" s="3" t="s">
        <v>3</v>
      </c>
      <c r="EJ200" s="3">
        <v>2</v>
      </c>
      <c r="EK200" s="3">
        <v>1618</v>
      </c>
      <c r="EL200" s="3" t="s">
        <v>237</v>
      </c>
      <c r="EM200" s="3" t="s">
        <v>238</v>
      </c>
      <c r="EO200" s="3" t="s">
        <v>3</v>
      </c>
      <c r="EQ200" s="3">
        <v>131072</v>
      </c>
      <c r="ER200" s="3">
        <v>452.68</v>
      </c>
      <c r="ES200" s="3">
        <v>452.68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FQ200" s="3">
        <v>0</v>
      </c>
      <c r="FR200" s="3">
        <v>0</v>
      </c>
      <c r="FS200" s="3">
        <v>0</v>
      </c>
      <c r="FX200" s="3">
        <v>0</v>
      </c>
      <c r="FY200" s="3">
        <v>0</v>
      </c>
      <c r="GA200" s="3" t="s">
        <v>3</v>
      </c>
      <c r="GD200" s="3">
        <v>1</v>
      </c>
      <c r="GF200" s="3">
        <v>-269050971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78"/>
        <v>0</v>
      </c>
      <c r="GM200" s="3">
        <f t="shared" si="179"/>
        <v>17479.32</v>
      </c>
      <c r="GN200" s="3">
        <f t="shared" si="180"/>
        <v>0</v>
      </c>
      <c r="GO200" s="3">
        <f t="shared" si="181"/>
        <v>17479.32</v>
      </c>
      <c r="GP200" s="3">
        <f t="shared" si="182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83"/>
        <v>0</v>
      </c>
      <c r="GW200" s="3">
        <v>1</v>
      </c>
      <c r="GX200" s="3">
        <f t="shared" si="184"/>
        <v>0</v>
      </c>
      <c r="HA200" s="3">
        <v>0</v>
      </c>
      <c r="HB200" s="3">
        <v>0</v>
      </c>
      <c r="HC200" s="3">
        <f t="shared" si="185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">
      <c r="A201" s="2">
        <v>17</v>
      </c>
      <c r="B201" s="2">
        <v>1</v>
      </c>
      <c r="C201" s="2"/>
      <c r="D201" s="2"/>
      <c r="E201" s="2" t="s">
        <v>239</v>
      </c>
      <c r="F201" s="2" t="s">
        <v>240</v>
      </c>
      <c r="G201" s="2" t="s">
        <v>241</v>
      </c>
      <c r="H201" s="2" t="s">
        <v>75</v>
      </c>
      <c r="I201" s="2">
        <f>ROUND(4220/100,9)</f>
        <v>42.2</v>
      </c>
      <c r="J201" s="2">
        <v>0</v>
      </c>
      <c r="K201" s="2">
        <f>ROUND(4220/100,9)</f>
        <v>42.2</v>
      </c>
      <c r="L201" s="2"/>
      <c r="M201" s="2"/>
      <c r="N201" s="2"/>
      <c r="O201" s="2">
        <f t="shared" si="161"/>
        <v>6409.15</v>
      </c>
      <c r="P201" s="2">
        <f t="shared" si="162"/>
        <v>2615.56</v>
      </c>
      <c r="Q201" s="2">
        <f>(ROUND((ROUND((((ET201*1.2))*AV201*I201),2)*BB201),2)+ROUND((ROUND(((AE201-((EU201*1.2)))*AV201*I201),2)*BS201),2))</f>
        <v>278.36</v>
      </c>
      <c r="R201" s="2">
        <f>(ROUND((ROUND((((EU201*1.2))*AV201*I201),2)*BS201),2)+ROUND((ROUND(((AE201-((EU201*1.2)))*AV201*I201),2)*BS201),2))</f>
        <v>31.28</v>
      </c>
      <c r="S201" s="2">
        <f t="shared" si="163"/>
        <v>3515.23</v>
      </c>
      <c r="T201" s="2">
        <f t="shared" si="164"/>
        <v>0</v>
      </c>
      <c r="U201" s="2">
        <f t="shared" si="165"/>
        <v>285.77823119999999</v>
      </c>
      <c r="V201" s="2">
        <f t="shared" si="166"/>
        <v>0</v>
      </c>
      <c r="W201" s="2">
        <f t="shared" si="167"/>
        <v>0</v>
      </c>
      <c r="X201" s="2">
        <f>(ROUND((((S201+ROUND((ROUND((((EU201*1.2))*AV201*I201),2)*BS201),2))*AT201)/100),2)+ROUND(((ROUND((ROUND(((AE201-((EU201*1.2)))*AV201*I201),2)*BS201),2)*AT201)/100),2))</f>
        <v>3440.11</v>
      </c>
      <c r="Y201" s="2">
        <f>(ROUND((((S201+ROUND((ROUND((((EU201*1.2))*AV201*I201),2)*BS201),2))*AU201)/100),2)+ROUND(((ROUND((ROUND(((AE201-((EU201*1.2)))*AV201*I201),2)*BS201),2)*AU201)/100),2))</f>
        <v>1808.72</v>
      </c>
      <c r="Z201" s="2"/>
      <c r="AA201" s="2">
        <v>55943566</v>
      </c>
      <c r="AB201" s="2">
        <f t="shared" si="168"/>
        <v>147.84</v>
      </c>
      <c r="AC201" s="2">
        <f>ROUND(((ES201*1)),6)</f>
        <v>61.98</v>
      </c>
      <c r="AD201" s="2">
        <f>ROUND(((((ET201*1.2))-((EU201*1.2)))+AE201),6)</f>
        <v>6.3</v>
      </c>
      <c r="AE201" s="2">
        <f>ROUND(((EU201*1.2)),6)</f>
        <v>0.70799999999999996</v>
      </c>
      <c r="AF201" s="2">
        <f>ROUND(((EV201*1.2)),6)</f>
        <v>79.56</v>
      </c>
      <c r="AG201" s="2">
        <f t="shared" si="169"/>
        <v>0</v>
      </c>
      <c r="AH201" s="2">
        <f>((EW201*1.2))</f>
        <v>6.4679999999999991</v>
      </c>
      <c r="AI201" s="2">
        <f>((EX201*1.2))</f>
        <v>0</v>
      </c>
      <c r="AJ201" s="2">
        <f t="shared" si="170"/>
        <v>0</v>
      </c>
      <c r="AK201" s="2">
        <v>133.53</v>
      </c>
      <c r="AL201" s="2">
        <v>61.98</v>
      </c>
      <c r="AM201" s="2">
        <v>5.25</v>
      </c>
      <c r="AN201" s="2">
        <v>0.59</v>
      </c>
      <c r="AO201" s="2">
        <v>66.3</v>
      </c>
      <c r="AP201" s="2">
        <v>0</v>
      </c>
      <c r="AQ201" s="2">
        <v>5.39</v>
      </c>
      <c r="AR201" s="2">
        <v>0</v>
      </c>
      <c r="AS201" s="2">
        <v>0</v>
      </c>
      <c r="AT201" s="2">
        <v>97</v>
      </c>
      <c r="AU201" s="2">
        <v>51</v>
      </c>
      <c r="AV201" s="2">
        <v>1.0469999999999999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242</v>
      </c>
      <c r="BK201" s="2"/>
      <c r="BL201" s="2"/>
      <c r="BM201" s="2">
        <v>67</v>
      </c>
      <c r="BN201" s="2">
        <v>0</v>
      </c>
      <c r="BO201" s="2" t="s">
        <v>240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97</v>
      </c>
      <c r="CA201" s="2">
        <v>51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351</v>
      </c>
      <c r="CO201" s="2">
        <v>0</v>
      </c>
      <c r="CP201" s="2">
        <f t="shared" si="171"/>
        <v>6409.15</v>
      </c>
      <c r="CQ201" s="2">
        <f t="shared" si="172"/>
        <v>61.98</v>
      </c>
      <c r="CR201" s="2">
        <f>(ROUND((ROUND((((ET201*1.2))*AV201*1),2)*BB201),2)+ROUND((ROUND(((AE201-((EU201*1.2)))*AV201*1),2)*BS201),2))</f>
        <v>6.6</v>
      </c>
      <c r="CS201" s="2">
        <f>(ROUND((ROUND((((EU201*1.2))*AV201*1),2)*BS201),2)+ROUND((ROUND(((AE201-((EU201*1.2)))*AV201*1),2)*BS201),2))</f>
        <v>0.74</v>
      </c>
      <c r="CT201" s="2">
        <f t="shared" si="173"/>
        <v>83.3</v>
      </c>
      <c r="CU201" s="2">
        <f t="shared" si="174"/>
        <v>0</v>
      </c>
      <c r="CV201" s="2">
        <f t="shared" si="175"/>
        <v>6.7719959999999988</v>
      </c>
      <c r="CW201" s="2">
        <f t="shared" si="176"/>
        <v>0</v>
      </c>
      <c r="CX201" s="2">
        <f t="shared" si="177"/>
        <v>0</v>
      </c>
      <c r="CY201" s="2">
        <f>(ROUND((((S201+ROUND((ROUND((((EU201*1.2))*AV201*1),2)*BS201),2))*AT201)/100),2)+ROUND(((ROUND((ROUND(((AE201-((EU201*1.2)))*AV201*1),2)*BS201),2)*AT201)/100),2))</f>
        <v>3410.49</v>
      </c>
      <c r="CZ201" s="2">
        <f>(ROUND((((S201+ROUND((ROUND((((EU201*1.2))*AV201*1),2)*BS201),2))*AU201)/100),2)+ROUND(((ROUND((ROUND(((AE201-((EU201*1.2)))*AV201*1),2)*BS201),2)*AU201)/100),2))</f>
        <v>1793.14</v>
      </c>
      <c r="DA201" s="2"/>
      <c r="DB201" s="2">
        <v>55</v>
      </c>
      <c r="DC201" s="2" t="s">
        <v>3</v>
      </c>
      <c r="DD201" s="2" t="s">
        <v>77</v>
      </c>
      <c r="DE201" s="2" t="s">
        <v>78</v>
      </c>
      <c r="DF201" s="2" t="s">
        <v>78</v>
      </c>
      <c r="DG201" s="2" t="s">
        <v>78</v>
      </c>
      <c r="DH201" s="2" t="s">
        <v>3</v>
      </c>
      <c r="DI201" s="2" t="s">
        <v>78</v>
      </c>
      <c r="DJ201" s="2" t="s">
        <v>78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1003</v>
      </c>
      <c r="DV201" s="2" t="s">
        <v>75</v>
      </c>
      <c r="DW201" s="2" t="s">
        <v>75</v>
      </c>
      <c r="DX201" s="2">
        <v>100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55393971</v>
      </c>
      <c r="EF201" s="2">
        <v>40</v>
      </c>
      <c r="EG201" s="2" t="s">
        <v>33</v>
      </c>
      <c r="EH201" s="2">
        <v>0</v>
      </c>
      <c r="EI201" s="2" t="s">
        <v>3</v>
      </c>
      <c r="EJ201" s="2">
        <v>2</v>
      </c>
      <c r="EK201" s="2">
        <v>67</v>
      </c>
      <c r="EL201" s="2" t="s">
        <v>70</v>
      </c>
      <c r="EM201" s="2" t="s">
        <v>71</v>
      </c>
      <c r="EN201" s="2"/>
      <c r="EO201" s="2" t="s">
        <v>82</v>
      </c>
      <c r="EP201" s="2"/>
      <c r="EQ201" s="2">
        <v>131072</v>
      </c>
      <c r="ER201" s="2">
        <v>133.53</v>
      </c>
      <c r="ES201" s="2">
        <v>61.98</v>
      </c>
      <c r="ET201" s="2">
        <v>5.25</v>
      </c>
      <c r="EU201" s="2">
        <v>0.59</v>
      </c>
      <c r="EV201" s="2">
        <v>66.3</v>
      </c>
      <c r="EW201" s="2">
        <v>5.39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97</v>
      </c>
      <c r="FY201" s="2">
        <v>51</v>
      </c>
      <c r="FZ201" s="2"/>
      <c r="GA201" s="2" t="s">
        <v>3</v>
      </c>
      <c r="GB201" s="2"/>
      <c r="GC201" s="2"/>
      <c r="GD201" s="2">
        <v>1</v>
      </c>
      <c r="GE201" s="2"/>
      <c r="GF201" s="2">
        <v>-1822715932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si="178"/>
        <v>0</v>
      </c>
      <c r="GM201" s="2">
        <f t="shared" si="179"/>
        <v>11657.98</v>
      </c>
      <c r="GN201" s="2">
        <f t="shared" si="180"/>
        <v>0</v>
      </c>
      <c r="GO201" s="2">
        <f t="shared" si="181"/>
        <v>11657.98</v>
      </c>
      <c r="GP201" s="2">
        <f t="shared" si="182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83"/>
        <v>0</v>
      </c>
      <c r="GW201" s="2">
        <v>1</v>
      </c>
      <c r="GX201" s="2">
        <f t="shared" si="184"/>
        <v>0</v>
      </c>
      <c r="GY201" s="2"/>
      <c r="GZ201" s="2"/>
      <c r="HA201" s="2">
        <v>0</v>
      </c>
      <c r="HB201" s="2">
        <v>0</v>
      </c>
      <c r="HC201" s="2">
        <f t="shared" si="185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17</v>
      </c>
      <c r="B202" s="3">
        <v>1</v>
      </c>
      <c r="E202" s="3" t="s">
        <v>239</v>
      </c>
      <c r="F202" s="3" t="s">
        <v>240</v>
      </c>
      <c r="G202" s="3" t="s">
        <v>241</v>
      </c>
      <c r="H202" s="3" t="s">
        <v>75</v>
      </c>
      <c r="I202" s="3">
        <f>ROUND(4220/100,9)</f>
        <v>42.2</v>
      </c>
      <c r="J202" s="3">
        <v>0</v>
      </c>
      <c r="K202" s="3">
        <f>ROUND(4220/100,9)</f>
        <v>42.2</v>
      </c>
      <c r="O202" s="3">
        <f t="shared" si="161"/>
        <v>214307.46</v>
      </c>
      <c r="P202" s="3">
        <f t="shared" si="162"/>
        <v>11979.26</v>
      </c>
      <c r="Q202" s="3">
        <f>(ROUND((ROUND((((ET202*1.2))*AV202*I202),2)*BB202),2)+ROUND((ROUND(((AE202-((EU202*1.2)))*AV202*I202),2)*BS202),2))</f>
        <v>4244.99</v>
      </c>
      <c r="R202" s="3">
        <f>(ROUND((ROUND((((EU202*1.2))*AV202*I202),2)*BS202),2)+ROUND((ROUND(((AE202-((EU202*1.2)))*AV202*I202),2)*BS202),2))</f>
        <v>1762.63</v>
      </c>
      <c r="S202" s="3">
        <f t="shared" si="163"/>
        <v>198083.21</v>
      </c>
      <c r="T202" s="3">
        <f t="shared" si="164"/>
        <v>0</v>
      </c>
      <c r="U202" s="3">
        <f t="shared" si="165"/>
        <v>285.77823119999999</v>
      </c>
      <c r="V202" s="3">
        <f t="shared" si="166"/>
        <v>0</v>
      </c>
      <c r="W202" s="3">
        <f t="shared" si="167"/>
        <v>0</v>
      </c>
      <c r="X202" s="3">
        <f>(ROUND((((S202+ROUND((ROUND((((EU202*1.2))*AV202*I202),2)*BS202),2))*AT202)/100),2)+ROUND(((ROUND((ROUND(((AE202-((EU202*1.2)))*AV202*I202),2)*BS202),2)*AT202)/100),2))</f>
        <v>193850.46</v>
      </c>
      <c r="Y202" s="3">
        <f>(ROUND((((S202+ROUND((ROUND((((EU202*1.2))*AV202*I202),2)*BS202),2))*AU202)/100),2)+ROUND(((ROUND((ROUND(((AE202-((EU202*1.2)))*AV202*I202),2)*BS202),2)*AU202)/100),2))</f>
        <v>101921.38</v>
      </c>
      <c r="AA202" s="3">
        <v>55943568</v>
      </c>
      <c r="AB202" s="3">
        <f t="shared" si="168"/>
        <v>147.84</v>
      </c>
      <c r="AC202" s="3">
        <f>ROUND(((ES202*1)),6)</f>
        <v>61.98</v>
      </c>
      <c r="AD202" s="3">
        <f>ROUND(((((ET202*1.2))-((EU202*1.2)))+AE202),6)</f>
        <v>6.3</v>
      </c>
      <c r="AE202" s="3">
        <f>ROUND(((EU202*1.2)),6)</f>
        <v>0.70799999999999996</v>
      </c>
      <c r="AF202" s="3">
        <f>ROUND(((EV202*1.2)),6)</f>
        <v>79.56</v>
      </c>
      <c r="AG202" s="3">
        <f t="shared" si="169"/>
        <v>0</v>
      </c>
      <c r="AH202" s="3">
        <f>((EW202*1.2))</f>
        <v>6.4679999999999991</v>
      </c>
      <c r="AI202" s="3">
        <f>((EX202*1.2))</f>
        <v>0</v>
      </c>
      <c r="AJ202" s="3">
        <f t="shared" si="170"/>
        <v>0</v>
      </c>
      <c r="AK202" s="3">
        <v>133.53</v>
      </c>
      <c r="AL202" s="3">
        <v>61.98</v>
      </c>
      <c r="AM202" s="3">
        <v>5.25</v>
      </c>
      <c r="AN202" s="3">
        <v>0.59</v>
      </c>
      <c r="AO202" s="3">
        <v>66.3</v>
      </c>
      <c r="AP202" s="3">
        <v>0</v>
      </c>
      <c r="AQ202" s="3">
        <v>5.39</v>
      </c>
      <c r="AR202" s="3">
        <v>0</v>
      </c>
      <c r="AS202" s="3">
        <v>0</v>
      </c>
      <c r="AT202" s="3">
        <v>97</v>
      </c>
      <c r="AU202" s="3">
        <v>51</v>
      </c>
      <c r="AV202" s="3">
        <v>1.0469999999999999</v>
      </c>
      <c r="AW202" s="3">
        <v>1</v>
      </c>
      <c r="AZ202" s="3">
        <v>1</v>
      </c>
      <c r="BA202" s="3">
        <v>56.35</v>
      </c>
      <c r="BB202" s="3">
        <v>15.25</v>
      </c>
      <c r="BC202" s="3">
        <v>4.58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242</v>
      </c>
      <c r="BM202" s="3">
        <v>67</v>
      </c>
      <c r="BN202" s="3">
        <v>0</v>
      </c>
      <c r="BO202" s="3" t="s">
        <v>240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97</v>
      </c>
      <c r="CA202" s="3">
        <v>51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351</v>
      </c>
      <c r="CO202" s="3">
        <v>0</v>
      </c>
      <c r="CP202" s="3">
        <f t="shared" si="171"/>
        <v>214307.46</v>
      </c>
      <c r="CQ202" s="3">
        <f t="shared" si="172"/>
        <v>283.87</v>
      </c>
      <c r="CR202" s="3">
        <f>(ROUND((ROUND((((ET202*1.2))*AV202*1),2)*BB202),2)+ROUND((ROUND(((AE202-((EU202*1.2)))*AV202*1),2)*BS202),2))</f>
        <v>100.65</v>
      </c>
      <c r="CS202" s="3">
        <f>(ROUND((ROUND((((EU202*1.2))*AV202*1),2)*BS202),2)+ROUND((ROUND(((AE202-((EU202*1.2)))*AV202*1),2)*BS202),2))</f>
        <v>41.7</v>
      </c>
      <c r="CT202" s="3">
        <f t="shared" si="173"/>
        <v>4693.96</v>
      </c>
      <c r="CU202" s="3">
        <f t="shared" si="174"/>
        <v>0</v>
      </c>
      <c r="CV202" s="3">
        <f t="shared" si="175"/>
        <v>6.7719959999999988</v>
      </c>
      <c r="CW202" s="3">
        <f t="shared" si="176"/>
        <v>0</v>
      </c>
      <c r="CX202" s="3">
        <f t="shared" si="177"/>
        <v>0</v>
      </c>
      <c r="CY202" s="3">
        <f>(ROUND((((S202+ROUND((ROUND((((EU202*1.2))*AV202*1),2)*BS202),2))*AT202)/100),2)+ROUND(((ROUND((ROUND(((AE202-((EU202*1.2)))*AV202*1),2)*BS202),2)*AT202)/100),2))</f>
        <v>192181.16</v>
      </c>
      <c r="CZ202" s="3">
        <f>(ROUND((((S202+ROUND((ROUND((((EU202*1.2))*AV202*1),2)*BS202),2))*AU202)/100),2)+ROUND(((ROUND((ROUND(((AE202-((EU202*1.2)))*AV202*1),2)*BS202),2)*AU202)/100),2))</f>
        <v>101043.7</v>
      </c>
      <c r="DB202" s="3">
        <v>56</v>
      </c>
      <c r="DC202" s="3" t="s">
        <v>3</v>
      </c>
      <c r="DD202" s="3" t="s">
        <v>77</v>
      </c>
      <c r="DE202" s="3" t="s">
        <v>78</v>
      </c>
      <c r="DF202" s="3" t="s">
        <v>78</v>
      </c>
      <c r="DG202" s="3" t="s">
        <v>78</v>
      </c>
      <c r="DH202" s="3" t="s">
        <v>3</v>
      </c>
      <c r="DI202" s="3" t="s">
        <v>78</v>
      </c>
      <c r="DJ202" s="3" t="s">
        <v>78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1003</v>
      </c>
      <c r="DV202" s="3" t="s">
        <v>75</v>
      </c>
      <c r="DW202" s="3" t="s">
        <v>75</v>
      </c>
      <c r="DX202" s="3">
        <v>100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55393971</v>
      </c>
      <c r="EF202" s="3">
        <v>40</v>
      </c>
      <c r="EG202" s="3" t="s">
        <v>33</v>
      </c>
      <c r="EH202" s="3">
        <v>0</v>
      </c>
      <c r="EI202" s="3" t="s">
        <v>3</v>
      </c>
      <c r="EJ202" s="3">
        <v>2</v>
      </c>
      <c r="EK202" s="3">
        <v>67</v>
      </c>
      <c r="EL202" s="3" t="s">
        <v>70</v>
      </c>
      <c r="EM202" s="3" t="s">
        <v>71</v>
      </c>
      <c r="EO202" s="3" t="s">
        <v>82</v>
      </c>
      <c r="EQ202" s="3">
        <v>131072</v>
      </c>
      <c r="ER202" s="3">
        <v>133.53</v>
      </c>
      <c r="ES202" s="3">
        <v>61.98</v>
      </c>
      <c r="ET202" s="3">
        <v>5.25</v>
      </c>
      <c r="EU202" s="3">
        <v>0.59</v>
      </c>
      <c r="EV202" s="3">
        <v>66.3</v>
      </c>
      <c r="EW202" s="3">
        <v>5.39</v>
      </c>
      <c r="EX202" s="3">
        <v>0</v>
      </c>
      <c r="EY202" s="3">
        <v>0</v>
      </c>
      <c r="FQ202" s="3">
        <v>0</v>
      </c>
      <c r="FR202" s="3">
        <v>0</v>
      </c>
      <c r="FS202" s="3">
        <v>0</v>
      </c>
      <c r="FX202" s="3">
        <v>97</v>
      </c>
      <c r="FY202" s="3">
        <v>51</v>
      </c>
      <c r="GA202" s="3" t="s">
        <v>3</v>
      </c>
      <c r="GD202" s="3">
        <v>1</v>
      </c>
      <c r="GF202" s="3">
        <v>-1822715932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78"/>
        <v>0</v>
      </c>
      <c r="GM202" s="3">
        <f t="shared" si="179"/>
        <v>510079.3</v>
      </c>
      <c r="GN202" s="3">
        <f t="shared" si="180"/>
        <v>0</v>
      </c>
      <c r="GO202" s="3">
        <f t="shared" si="181"/>
        <v>510079.3</v>
      </c>
      <c r="GP202" s="3">
        <f t="shared" si="182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83"/>
        <v>0</v>
      </c>
      <c r="GW202" s="3">
        <v>1</v>
      </c>
      <c r="GX202" s="3">
        <f t="shared" si="184"/>
        <v>0</v>
      </c>
      <c r="HA202" s="3">
        <v>0</v>
      </c>
      <c r="HB202" s="3">
        <v>0</v>
      </c>
      <c r="HC202" s="3">
        <f t="shared" si="185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">
      <c r="A203" s="2">
        <v>17</v>
      </c>
      <c r="B203" s="2">
        <v>1</v>
      </c>
      <c r="C203" s="2"/>
      <c r="D203" s="2"/>
      <c r="E203" s="2" t="s">
        <v>243</v>
      </c>
      <c r="F203" s="2" t="s">
        <v>244</v>
      </c>
      <c r="G203" s="2" t="s">
        <v>245</v>
      </c>
      <c r="H203" s="2" t="s">
        <v>246</v>
      </c>
      <c r="I203" s="2">
        <v>4.2839999999999998</v>
      </c>
      <c r="J203" s="2">
        <v>0</v>
      </c>
      <c r="K203" s="2">
        <v>4.2839999999999998</v>
      </c>
      <c r="L203" s="2"/>
      <c r="M203" s="2"/>
      <c r="N203" s="2"/>
      <c r="O203" s="2">
        <f t="shared" si="161"/>
        <v>14188.91</v>
      </c>
      <c r="P203" s="2">
        <f t="shared" si="162"/>
        <v>14188.91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63"/>
        <v>0</v>
      </c>
      <c r="T203" s="2">
        <f t="shared" si="164"/>
        <v>0</v>
      </c>
      <c r="U203" s="2">
        <f t="shared" si="165"/>
        <v>0</v>
      </c>
      <c r="V203" s="2">
        <f t="shared" si="166"/>
        <v>0</v>
      </c>
      <c r="W203" s="2">
        <f t="shared" si="167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55943566</v>
      </c>
      <c r="AB203" s="2">
        <f t="shared" si="168"/>
        <v>3312.07</v>
      </c>
      <c r="AC203" s="2">
        <f>ROUND((ES203),6)</f>
        <v>3312.07</v>
      </c>
      <c r="AD203" s="2">
        <f>ROUND((((ET203)-(EU203))+AE203),6)</f>
        <v>0</v>
      </c>
      <c r="AE203" s="2">
        <f t="shared" ref="AE203:AF206" si="188">ROUND((EU203),6)</f>
        <v>0</v>
      </c>
      <c r="AF203" s="2">
        <f t="shared" si="188"/>
        <v>0</v>
      </c>
      <c r="AG203" s="2">
        <f t="shared" si="169"/>
        <v>0</v>
      </c>
      <c r="AH203" s="2">
        <f t="shared" ref="AH203:AI206" si="189">(EW203)</f>
        <v>0</v>
      </c>
      <c r="AI203" s="2">
        <f t="shared" si="189"/>
        <v>0</v>
      </c>
      <c r="AJ203" s="2">
        <f t="shared" si="170"/>
        <v>0</v>
      </c>
      <c r="AK203" s="2">
        <v>3312.07</v>
      </c>
      <c r="AL203" s="2">
        <v>3312.07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2</v>
      </c>
      <c r="BJ203" s="2" t="s">
        <v>247</v>
      </c>
      <c r="BK203" s="2"/>
      <c r="BL203" s="2"/>
      <c r="BM203" s="2">
        <v>1618</v>
      </c>
      <c r="BN203" s="2">
        <v>0</v>
      </c>
      <c r="BO203" s="2" t="s">
        <v>3</v>
      </c>
      <c r="BP203" s="2">
        <v>0</v>
      </c>
      <c r="BQ203" s="2">
        <v>201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0</v>
      </c>
      <c r="CA203" s="2">
        <v>0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171"/>
        <v>14188.91</v>
      </c>
      <c r="CQ203" s="2">
        <f t="shared" si="172"/>
        <v>3312.07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73"/>
        <v>0</v>
      </c>
      <c r="CU203" s="2">
        <f t="shared" si="174"/>
        <v>0</v>
      </c>
      <c r="CV203" s="2">
        <f t="shared" si="175"/>
        <v>0</v>
      </c>
      <c r="CW203" s="2">
        <f t="shared" si="176"/>
        <v>0</v>
      </c>
      <c r="CX203" s="2">
        <f t="shared" si="177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1003</v>
      </c>
      <c r="DV203" s="2" t="s">
        <v>246</v>
      </c>
      <c r="DW203" s="2" t="s">
        <v>246</v>
      </c>
      <c r="DX203" s="2">
        <v>1000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55394001</v>
      </c>
      <c r="EF203" s="2">
        <v>201</v>
      </c>
      <c r="EG203" s="2" t="s">
        <v>236</v>
      </c>
      <c r="EH203" s="2">
        <v>0</v>
      </c>
      <c r="EI203" s="2" t="s">
        <v>3</v>
      </c>
      <c r="EJ203" s="2">
        <v>2</v>
      </c>
      <c r="EK203" s="2">
        <v>1618</v>
      </c>
      <c r="EL203" s="2" t="s">
        <v>237</v>
      </c>
      <c r="EM203" s="2" t="s">
        <v>238</v>
      </c>
      <c r="EN203" s="2"/>
      <c r="EO203" s="2" t="s">
        <v>3</v>
      </c>
      <c r="EP203" s="2"/>
      <c r="EQ203" s="2">
        <v>131072</v>
      </c>
      <c r="ER203" s="2">
        <v>3312.07</v>
      </c>
      <c r="ES203" s="2">
        <v>3312.07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0</v>
      </c>
      <c r="FY203" s="2">
        <v>0</v>
      </c>
      <c r="FZ203" s="2"/>
      <c r="GA203" s="2" t="s">
        <v>3</v>
      </c>
      <c r="GB203" s="2"/>
      <c r="GC203" s="2"/>
      <c r="GD203" s="2">
        <v>1</v>
      </c>
      <c r="GE203" s="2"/>
      <c r="GF203" s="2">
        <v>-1391245347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78"/>
        <v>0</v>
      </c>
      <c r="GM203" s="2">
        <f t="shared" si="179"/>
        <v>14188.91</v>
      </c>
      <c r="GN203" s="2">
        <f t="shared" si="180"/>
        <v>0</v>
      </c>
      <c r="GO203" s="2">
        <f t="shared" si="181"/>
        <v>14188.91</v>
      </c>
      <c r="GP203" s="2">
        <f t="shared" si="182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83"/>
        <v>0</v>
      </c>
      <c r="GW203" s="2">
        <v>1</v>
      </c>
      <c r="GX203" s="2">
        <f t="shared" si="184"/>
        <v>0</v>
      </c>
      <c r="GY203" s="2"/>
      <c r="GZ203" s="2"/>
      <c r="HA203" s="2">
        <v>0</v>
      </c>
      <c r="HB203" s="2">
        <v>0</v>
      </c>
      <c r="HC203" s="2">
        <f t="shared" si="185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 s="3">
        <v>17</v>
      </c>
      <c r="B204" s="3">
        <v>1</v>
      </c>
      <c r="E204" s="3" t="s">
        <v>243</v>
      </c>
      <c r="F204" s="3" t="s">
        <v>244</v>
      </c>
      <c r="G204" s="3" t="s">
        <v>245</v>
      </c>
      <c r="H204" s="3" t="s">
        <v>246</v>
      </c>
      <c r="I204" s="3">
        <v>4.2839999999999998</v>
      </c>
      <c r="J204" s="3">
        <v>0</v>
      </c>
      <c r="K204" s="3">
        <v>4.2839999999999998</v>
      </c>
      <c r="O204" s="3">
        <f t="shared" si="161"/>
        <v>254690.93</v>
      </c>
      <c r="P204" s="3">
        <f t="shared" si="162"/>
        <v>254690.93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63"/>
        <v>0</v>
      </c>
      <c r="T204" s="3">
        <f t="shared" si="164"/>
        <v>0</v>
      </c>
      <c r="U204" s="3">
        <f t="shared" si="165"/>
        <v>0</v>
      </c>
      <c r="V204" s="3">
        <f t="shared" si="166"/>
        <v>0</v>
      </c>
      <c r="W204" s="3">
        <f t="shared" si="167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55943568</v>
      </c>
      <c r="AB204" s="3">
        <f t="shared" si="168"/>
        <v>3312.07</v>
      </c>
      <c r="AC204" s="3">
        <f>ROUND((ES204),6)</f>
        <v>3312.07</v>
      </c>
      <c r="AD204" s="3">
        <f>ROUND((((ET204)-(EU204))+AE204),6)</f>
        <v>0</v>
      </c>
      <c r="AE204" s="3">
        <f t="shared" si="188"/>
        <v>0</v>
      </c>
      <c r="AF204" s="3">
        <f t="shared" si="188"/>
        <v>0</v>
      </c>
      <c r="AG204" s="3">
        <f t="shared" si="169"/>
        <v>0</v>
      </c>
      <c r="AH204" s="3">
        <f t="shared" si="189"/>
        <v>0</v>
      </c>
      <c r="AI204" s="3">
        <f t="shared" si="189"/>
        <v>0</v>
      </c>
      <c r="AJ204" s="3">
        <f t="shared" si="170"/>
        <v>0</v>
      </c>
      <c r="AK204" s="3">
        <v>3312.07</v>
      </c>
      <c r="AL204" s="3">
        <v>3312.07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17.95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2</v>
      </c>
      <c r="BJ204" s="3" t="s">
        <v>247</v>
      </c>
      <c r="BM204" s="3">
        <v>1618</v>
      </c>
      <c r="BN204" s="3">
        <v>0</v>
      </c>
      <c r="BO204" s="3" t="s">
        <v>244</v>
      </c>
      <c r="BP204" s="3">
        <v>1</v>
      </c>
      <c r="BQ204" s="3">
        <v>201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0</v>
      </c>
      <c r="CA204" s="3">
        <v>0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3</v>
      </c>
      <c r="CO204" s="3">
        <v>0</v>
      </c>
      <c r="CP204" s="3">
        <f t="shared" si="171"/>
        <v>254690.93</v>
      </c>
      <c r="CQ204" s="3">
        <f t="shared" si="172"/>
        <v>59451.66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73"/>
        <v>0</v>
      </c>
      <c r="CU204" s="3">
        <f t="shared" si="174"/>
        <v>0</v>
      </c>
      <c r="CV204" s="3">
        <f t="shared" si="175"/>
        <v>0</v>
      </c>
      <c r="CW204" s="3">
        <f t="shared" si="176"/>
        <v>0</v>
      </c>
      <c r="CX204" s="3">
        <f t="shared" si="177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1003</v>
      </c>
      <c r="DV204" s="3" t="s">
        <v>246</v>
      </c>
      <c r="DW204" s="3" t="s">
        <v>246</v>
      </c>
      <c r="DX204" s="3">
        <v>1000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55394001</v>
      </c>
      <c r="EF204" s="3">
        <v>201</v>
      </c>
      <c r="EG204" s="3" t="s">
        <v>236</v>
      </c>
      <c r="EH204" s="3">
        <v>0</v>
      </c>
      <c r="EI204" s="3" t="s">
        <v>3</v>
      </c>
      <c r="EJ204" s="3">
        <v>2</v>
      </c>
      <c r="EK204" s="3">
        <v>1618</v>
      </c>
      <c r="EL204" s="3" t="s">
        <v>237</v>
      </c>
      <c r="EM204" s="3" t="s">
        <v>238</v>
      </c>
      <c r="EO204" s="3" t="s">
        <v>3</v>
      </c>
      <c r="EQ204" s="3">
        <v>131072</v>
      </c>
      <c r="ER204" s="3">
        <v>3312.07</v>
      </c>
      <c r="ES204" s="3">
        <v>3312.07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FQ204" s="3">
        <v>0</v>
      </c>
      <c r="FR204" s="3">
        <v>0</v>
      </c>
      <c r="FS204" s="3">
        <v>0</v>
      </c>
      <c r="FX204" s="3">
        <v>0</v>
      </c>
      <c r="FY204" s="3">
        <v>0</v>
      </c>
      <c r="GA204" s="3" t="s">
        <v>3</v>
      </c>
      <c r="GD204" s="3">
        <v>1</v>
      </c>
      <c r="GF204" s="3">
        <v>-1391245347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78"/>
        <v>0</v>
      </c>
      <c r="GM204" s="3">
        <f t="shared" si="179"/>
        <v>254690.93</v>
      </c>
      <c r="GN204" s="3">
        <f t="shared" si="180"/>
        <v>0</v>
      </c>
      <c r="GO204" s="3">
        <f t="shared" si="181"/>
        <v>254690.93</v>
      </c>
      <c r="GP204" s="3">
        <f t="shared" si="182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83"/>
        <v>0</v>
      </c>
      <c r="GW204" s="3">
        <v>1</v>
      </c>
      <c r="GX204" s="3">
        <f t="shared" si="184"/>
        <v>0</v>
      </c>
      <c r="HA204" s="3">
        <v>0</v>
      </c>
      <c r="HB204" s="3">
        <v>0</v>
      </c>
      <c r="HC204" s="3">
        <f t="shared" si="185"/>
        <v>0</v>
      </c>
      <c r="HE204" s="3" t="s">
        <v>3</v>
      </c>
      <c r="HF204" s="3" t="s">
        <v>3</v>
      </c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">
      <c r="A205" s="2">
        <v>17</v>
      </c>
      <c r="B205" s="2">
        <v>1</v>
      </c>
      <c r="C205" s="2"/>
      <c r="D205" s="2"/>
      <c r="E205" s="2" t="s">
        <v>248</v>
      </c>
      <c r="F205" s="2" t="s">
        <v>249</v>
      </c>
      <c r="G205" s="2" t="s">
        <v>250</v>
      </c>
      <c r="H205" s="2" t="s">
        <v>251</v>
      </c>
      <c r="I205" s="2">
        <v>20.399999999999999</v>
      </c>
      <c r="J205" s="2">
        <v>0</v>
      </c>
      <c r="K205" s="2">
        <v>20.399999999999999</v>
      </c>
      <c r="L205" s="2"/>
      <c r="M205" s="2"/>
      <c r="N205" s="2"/>
      <c r="O205" s="2">
        <f t="shared" si="161"/>
        <v>188.29</v>
      </c>
      <c r="P205" s="2">
        <f t="shared" si="162"/>
        <v>188.29</v>
      </c>
      <c r="Q205" s="2">
        <f>(ROUND((ROUND(((ET205)*AV205*I205),2)*BB205),2)+ROUND((ROUND(((AE205-(EU205))*AV205*I205),2)*BS205),2))</f>
        <v>0</v>
      </c>
      <c r="R205" s="2">
        <f>(ROUND((ROUND(((EU205)*AV205*I205),2)*BS205),2)+ROUND((ROUND(((AE205-(EU205))*AV205*I205),2)*BS205),2))</f>
        <v>0</v>
      </c>
      <c r="S205" s="2">
        <f t="shared" si="163"/>
        <v>0</v>
      </c>
      <c r="T205" s="2">
        <f t="shared" si="164"/>
        <v>0</v>
      </c>
      <c r="U205" s="2">
        <f t="shared" si="165"/>
        <v>0</v>
      </c>
      <c r="V205" s="2">
        <f t="shared" si="166"/>
        <v>0</v>
      </c>
      <c r="W205" s="2">
        <f t="shared" si="167"/>
        <v>0</v>
      </c>
      <c r="X205" s="2">
        <f>(ROUND((((S205+ROUND((ROUND(((EU205)*AV205*I205),2)*BS205),2))*AT205)/100),2)+ROUND(((ROUND((ROUND(((AE205-(EU205))*AV205*I205),2)*BS205),2)*AT205)/100),2))</f>
        <v>0</v>
      </c>
      <c r="Y205" s="2">
        <f>(ROUND((((S205+ROUND((ROUND(((EU205)*AV205*I205),2)*BS205),2))*AU205)/100),2)+ROUND(((ROUND((ROUND(((AE205-(EU205))*AV205*I205),2)*BS205),2)*AU205)/100),2))</f>
        <v>0</v>
      </c>
      <c r="Z205" s="2"/>
      <c r="AA205" s="2">
        <v>55943566</v>
      </c>
      <c r="AB205" s="2">
        <f t="shared" si="168"/>
        <v>9.23</v>
      </c>
      <c r="AC205" s="2">
        <f>ROUND((ES205),6)</f>
        <v>9.23</v>
      </c>
      <c r="AD205" s="2">
        <f>ROUND((((ET205)-(EU205))+AE205),6)</f>
        <v>0</v>
      </c>
      <c r="AE205" s="2">
        <f t="shared" si="188"/>
        <v>0</v>
      </c>
      <c r="AF205" s="2">
        <f t="shared" si="188"/>
        <v>0</v>
      </c>
      <c r="AG205" s="2">
        <f t="shared" si="169"/>
        <v>0</v>
      </c>
      <c r="AH205" s="2">
        <f t="shared" si="189"/>
        <v>0</v>
      </c>
      <c r="AI205" s="2">
        <f t="shared" si="189"/>
        <v>0</v>
      </c>
      <c r="AJ205" s="2">
        <f t="shared" si="170"/>
        <v>0</v>
      </c>
      <c r="AK205" s="2">
        <v>9.23</v>
      </c>
      <c r="AL205" s="2">
        <v>9.23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1</v>
      </c>
      <c r="BJ205" s="2" t="s">
        <v>249</v>
      </c>
      <c r="BK205" s="2"/>
      <c r="BL205" s="2"/>
      <c r="BM205" s="2">
        <v>400005</v>
      </c>
      <c r="BN205" s="2">
        <v>0</v>
      </c>
      <c r="BO205" s="2" t="s">
        <v>3</v>
      </c>
      <c r="BP205" s="2">
        <v>0</v>
      </c>
      <c r="BQ205" s="2">
        <v>213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0</v>
      </c>
      <c r="CA205" s="2">
        <v>0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</v>
      </c>
      <c r="CO205" s="2">
        <v>0</v>
      </c>
      <c r="CP205" s="2">
        <f t="shared" si="171"/>
        <v>188.29</v>
      </c>
      <c r="CQ205" s="2">
        <f t="shared" si="172"/>
        <v>9.23</v>
      </c>
      <c r="CR205" s="2">
        <f>(ROUND((ROUND(((ET205)*AV205*1),2)*BB205),2)+ROUND((ROUND(((AE205-(EU205))*AV205*1),2)*BS205),2))</f>
        <v>0</v>
      </c>
      <c r="CS205" s="2">
        <f>(ROUND((ROUND(((EU205)*AV205*1),2)*BS205),2)+ROUND((ROUND(((AE205-(EU205))*AV205*1),2)*BS205),2))</f>
        <v>0</v>
      </c>
      <c r="CT205" s="2">
        <f t="shared" si="173"/>
        <v>0</v>
      </c>
      <c r="CU205" s="2">
        <f t="shared" si="174"/>
        <v>0</v>
      </c>
      <c r="CV205" s="2">
        <f t="shared" si="175"/>
        <v>0</v>
      </c>
      <c r="CW205" s="2">
        <f t="shared" si="176"/>
        <v>0</v>
      </c>
      <c r="CX205" s="2">
        <f t="shared" si="177"/>
        <v>0</v>
      </c>
      <c r="CY205" s="2">
        <f>(ROUND((((S205+ROUND((ROUND(((EU205)*AV205*1),2)*BS205),2))*AT205)/100),2)+ROUND(((ROUND((ROUND(((AE205-(EU205))*AV205*1),2)*BS205),2)*AT205)/100),2))</f>
        <v>0</v>
      </c>
      <c r="CZ205" s="2">
        <f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251</v>
      </c>
      <c r="DW205" s="2" t="s">
        <v>251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55393902</v>
      </c>
      <c r="EF205" s="2">
        <v>213</v>
      </c>
      <c r="EG205" s="2" t="s">
        <v>173</v>
      </c>
      <c r="EH205" s="2">
        <v>0</v>
      </c>
      <c r="EI205" s="2" t="s">
        <v>3</v>
      </c>
      <c r="EJ205" s="2">
        <v>1</v>
      </c>
      <c r="EK205" s="2">
        <v>400005</v>
      </c>
      <c r="EL205" s="2" t="s">
        <v>173</v>
      </c>
      <c r="EM205" s="2" t="s">
        <v>174</v>
      </c>
      <c r="EN205" s="2"/>
      <c r="EO205" s="2" t="s">
        <v>3</v>
      </c>
      <c r="EP205" s="2"/>
      <c r="EQ205" s="2">
        <v>131088</v>
      </c>
      <c r="ER205" s="2">
        <v>0</v>
      </c>
      <c r="ES205" s="2">
        <v>9.23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0</v>
      </c>
      <c r="FY205" s="2">
        <v>0</v>
      </c>
      <c r="FZ205" s="2"/>
      <c r="GA205" s="2" t="s">
        <v>252</v>
      </c>
      <c r="GB205" s="2"/>
      <c r="GC205" s="2"/>
      <c r="GD205" s="2">
        <v>1</v>
      </c>
      <c r="GE205" s="2"/>
      <c r="GF205" s="2">
        <v>-1602025930</v>
      </c>
      <c r="GG205" s="2">
        <v>2</v>
      </c>
      <c r="GH205" s="2">
        <v>4</v>
      </c>
      <c r="GI205" s="2">
        <v>-2</v>
      </c>
      <c r="GJ205" s="2">
        <v>0</v>
      </c>
      <c r="GK205" s="2">
        <v>0</v>
      </c>
      <c r="GL205" s="2">
        <f t="shared" si="178"/>
        <v>0</v>
      </c>
      <c r="GM205" s="2">
        <f t="shared" si="179"/>
        <v>188.29</v>
      </c>
      <c r="GN205" s="2">
        <f t="shared" si="180"/>
        <v>188.29</v>
      </c>
      <c r="GO205" s="2">
        <f t="shared" si="181"/>
        <v>0</v>
      </c>
      <c r="GP205" s="2">
        <f t="shared" si="182"/>
        <v>0</v>
      </c>
      <c r="GQ205" s="2"/>
      <c r="GR205" s="2">
        <v>1</v>
      </c>
      <c r="GS205" s="2">
        <v>2</v>
      </c>
      <c r="GT205" s="2">
        <v>0</v>
      </c>
      <c r="GU205" s="2" t="s">
        <v>3</v>
      </c>
      <c r="GV205" s="2">
        <f t="shared" si="183"/>
        <v>0</v>
      </c>
      <c r="GW205" s="2">
        <v>1</v>
      </c>
      <c r="GX205" s="2">
        <f t="shared" si="184"/>
        <v>0</v>
      </c>
      <c r="GY205" s="2"/>
      <c r="GZ205" s="2"/>
      <c r="HA205" s="2">
        <v>0</v>
      </c>
      <c r="HB205" s="2">
        <v>0</v>
      </c>
      <c r="HC205" s="2">
        <f t="shared" si="185"/>
        <v>0</v>
      </c>
      <c r="HD205" s="2"/>
      <c r="HE205" s="2" t="s">
        <v>158</v>
      </c>
      <c r="HF205" s="2" t="s">
        <v>158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 s="3">
        <v>17</v>
      </c>
      <c r="B206" s="3">
        <v>1</v>
      </c>
      <c r="E206" s="3" t="s">
        <v>248</v>
      </c>
      <c r="F206" s="3" t="s">
        <v>249</v>
      </c>
      <c r="G206" s="3" t="s">
        <v>250</v>
      </c>
      <c r="H206" s="3" t="s">
        <v>251</v>
      </c>
      <c r="I206" s="3">
        <v>20.399999999999999</v>
      </c>
      <c r="J206" s="3">
        <v>0</v>
      </c>
      <c r="K206" s="3">
        <v>20.399999999999999</v>
      </c>
      <c r="O206" s="3">
        <f t="shared" si="161"/>
        <v>1852.77</v>
      </c>
      <c r="P206" s="3">
        <f t="shared" si="162"/>
        <v>1852.77</v>
      </c>
      <c r="Q206" s="3">
        <f>(ROUND((ROUND(((ET206)*AV206*I206),2)*BB206),2)+ROUND((ROUND(((AE206-(EU206))*AV206*I206),2)*BS206),2))</f>
        <v>0</v>
      </c>
      <c r="R206" s="3">
        <f>(ROUND((ROUND(((EU206)*AV206*I206),2)*BS206),2)+ROUND((ROUND(((AE206-(EU206))*AV206*I206),2)*BS206),2))</f>
        <v>0</v>
      </c>
      <c r="S206" s="3">
        <f t="shared" si="163"/>
        <v>0</v>
      </c>
      <c r="T206" s="3">
        <f t="shared" si="164"/>
        <v>0</v>
      </c>
      <c r="U206" s="3">
        <f t="shared" si="165"/>
        <v>0</v>
      </c>
      <c r="V206" s="3">
        <f t="shared" si="166"/>
        <v>0</v>
      </c>
      <c r="W206" s="3">
        <f t="shared" si="167"/>
        <v>0</v>
      </c>
      <c r="X206" s="3">
        <f>(ROUND((((S206+ROUND((ROUND(((EU206)*AV206*I206),2)*BS206),2))*AT206)/100),2)+ROUND(((ROUND((ROUND(((AE206-(EU206))*AV206*I206),2)*BS206),2)*AT206)/100),2))</f>
        <v>0</v>
      </c>
      <c r="Y206" s="3">
        <f>(ROUND((((S206+ROUND((ROUND(((EU206)*AV206*I206),2)*BS206),2))*AU206)/100),2)+ROUND(((ROUND((ROUND(((AE206-(EU206))*AV206*I206),2)*BS206),2)*AU206)/100),2))</f>
        <v>0</v>
      </c>
      <c r="AA206" s="3">
        <v>55943568</v>
      </c>
      <c r="AB206" s="3">
        <f t="shared" si="168"/>
        <v>9.23</v>
      </c>
      <c r="AC206" s="3">
        <f>ROUND((ES206),6)</f>
        <v>9.23</v>
      </c>
      <c r="AD206" s="3">
        <f>ROUND((((ET206)-(EU206))+AE206),6)</f>
        <v>0</v>
      </c>
      <c r="AE206" s="3">
        <f t="shared" si="188"/>
        <v>0</v>
      </c>
      <c r="AF206" s="3">
        <f t="shared" si="188"/>
        <v>0</v>
      </c>
      <c r="AG206" s="3">
        <f t="shared" si="169"/>
        <v>0</v>
      </c>
      <c r="AH206" s="3">
        <f t="shared" si="189"/>
        <v>0</v>
      </c>
      <c r="AI206" s="3">
        <f t="shared" si="189"/>
        <v>0</v>
      </c>
      <c r="AJ206" s="3">
        <f t="shared" si="170"/>
        <v>0</v>
      </c>
      <c r="AK206" s="3">
        <v>9.23</v>
      </c>
      <c r="AL206" s="3">
        <v>9.23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9.84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1</v>
      </c>
      <c r="BJ206" s="3" t="s">
        <v>249</v>
      </c>
      <c r="BM206" s="3">
        <v>400005</v>
      </c>
      <c r="BN206" s="3">
        <v>0</v>
      </c>
      <c r="BO206" s="3" t="s">
        <v>3</v>
      </c>
      <c r="BP206" s="3">
        <v>0</v>
      </c>
      <c r="BQ206" s="3">
        <v>213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0</v>
      </c>
      <c r="CA206" s="3">
        <v>0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3</v>
      </c>
      <c r="CO206" s="3">
        <v>0</v>
      </c>
      <c r="CP206" s="3">
        <f t="shared" si="171"/>
        <v>1852.77</v>
      </c>
      <c r="CQ206" s="3">
        <f t="shared" si="172"/>
        <v>90.82</v>
      </c>
      <c r="CR206" s="3">
        <f>(ROUND((ROUND(((ET206)*AV206*1),2)*BB206),2)+ROUND((ROUND(((AE206-(EU206))*AV206*1),2)*BS206),2))</f>
        <v>0</v>
      </c>
      <c r="CS206" s="3">
        <f>(ROUND((ROUND(((EU206)*AV206*1),2)*BS206),2)+ROUND((ROUND(((AE206-(EU206))*AV206*1),2)*BS206),2))</f>
        <v>0</v>
      </c>
      <c r="CT206" s="3">
        <f t="shared" si="173"/>
        <v>0</v>
      </c>
      <c r="CU206" s="3">
        <f t="shared" si="174"/>
        <v>0</v>
      </c>
      <c r="CV206" s="3">
        <f t="shared" si="175"/>
        <v>0</v>
      </c>
      <c r="CW206" s="3">
        <f t="shared" si="176"/>
        <v>0</v>
      </c>
      <c r="CX206" s="3">
        <f t="shared" si="177"/>
        <v>0</v>
      </c>
      <c r="CY206" s="3">
        <f>(ROUND((((S206+ROUND((ROUND(((EU206)*AV206*1),2)*BS206),2))*AT206)/100),2)+ROUND(((ROUND((ROUND(((AE206-(EU206))*AV206*1),2)*BS206),2)*AT206)/100),2))</f>
        <v>0</v>
      </c>
      <c r="CZ206" s="3">
        <f>(ROUND((((S206+ROUND((ROUND(((EU206)*AV206*1),2)*BS206),2))*AU206)/100),2)+ROUND(((ROUND((ROUND(((AE206-(EU206))*AV206*1),2)*BS206),2)*AU206)/100),2))</f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1013</v>
      </c>
      <c r="DV206" s="3" t="s">
        <v>251</v>
      </c>
      <c r="DW206" s="3" t="s">
        <v>251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55393902</v>
      </c>
      <c r="EF206" s="3">
        <v>213</v>
      </c>
      <c r="EG206" s="3" t="s">
        <v>173</v>
      </c>
      <c r="EH206" s="3">
        <v>0</v>
      </c>
      <c r="EI206" s="3" t="s">
        <v>3</v>
      </c>
      <c r="EJ206" s="3">
        <v>1</v>
      </c>
      <c r="EK206" s="3">
        <v>400005</v>
      </c>
      <c r="EL206" s="3" t="s">
        <v>173</v>
      </c>
      <c r="EM206" s="3" t="s">
        <v>174</v>
      </c>
      <c r="EO206" s="3" t="s">
        <v>3</v>
      </c>
      <c r="EQ206" s="3">
        <v>131088</v>
      </c>
      <c r="ER206" s="3">
        <v>0</v>
      </c>
      <c r="ES206" s="3">
        <v>9.23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5</v>
      </c>
      <c r="FC206" s="3">
        <v>1</v>
      </c>
      <c r="FD206" s="3">
        <v>18</v>
      </c>
      <c r="FF206" s="3">
        <v>110.85</v>
      </c>
      <c r="FQ206" s="3">
        <v>0</v>
      </c>
      <c r="FR206" s="3">
        <v>0</v>
      </c>
      <c r="FS206" s="3">
        <v>0</v>
      </c>
      <c r="FX206" s="3">
        <v>0</v>
      </c>
      <c r="FY206" s="3">
        <v>0</v>
      </c>
      <c r="GA206" s="3" t="s">
        <v>252</v>
      </c>
      <c r="GD206" s="3">
        <v>1</v>
      </c>
      <c r="GF206" s="3">
        <v>-1602025930</v>
      </c>
      <c r="GG206" s="3">
        <v>2</v>
      </c>
      <c r="GH206" s="3">
        <v>3</v>
      </c>
      <c r="GI206" s="3">
        <v>3</v>
      </c>
      <c r="GJ206" s="3">
        <v>0</v>
      </c>
      <c r="GK206" s="3">
        <v>0</v>
      </c>
      <c r="GL206" s="3">
        <f t="shared" si="178"/>
        <v>0</v>
      </c>
      <c r="GM206" s="3">
        <f t="shared" si="179"/>
        <v>1852.77</v>
      </c>
      <c r="GN206" s="3">
        <f t="shared" si="180"/>
        <v>1852.77</v>
      </c>
      <c r="GO206" s="3">
        <f t="shared" si="181"/>
        <v>0</v>
      </c>
      <c r="GP206" s="3">
        <f t="shared" si="182"/>
        <v>0</v>
      </c>
      <c r="GR206" s="3">
        <v>1</v>
      </c>
      <c r="GS206" s="3">
        <v>1</v>
      </c>
      <c r="GT206" s="3">
        <v>0</v>
      </c>
      <c r="GU206" s="3" t="s">
        <v>3</v>
      </c>
      <c r="GV206" s="3">
        <f t="shared" si="183"/>
        <v>0</v>
      </c>
      <c r="GW206" s="3">
        <v>1</v>
      </c>
      <c r="GX206" s="3">
        <f t="shared" si="184"/>
        <v>0</v>
      </c>
      <c r="HA206" s="3">
        <v>0</v>
      </c>
      <c r="HB206" s="3">
        <v>0</v>
      </c>
      <c r="HC206" s="3">
        <f t="shared" si="185"/>
        <v>0</v>
      </c>
      <c r="HE206" s="3" t="s">
        <v>158</v>
      </c>
      <c r="HF206" s="3" t="s">
        <v>158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">
      <c r="A207" s="2">
        <v>17</v>
      </c>
      <c r="B207" s="2">
        <v>1</v>
      </c>
      <c r="C207" s="2">
        <f>ROW(SmtRes!A8)</f>
        <v>8</v>
      </c>
      <c r="D207" s="2">
        <f>ROW(EtalonRes!A8)</f>
        <v>8</v>
      </c>
      <c r="E207" s="2" t="s">
        <v>253</v>
      </c>
      <c r="F207" s="2" t="s">
        <v>254</v>
      </c>
      <c r="G207" s="2" t="s">
        <v>255</v>
      </c>
      <c r="H207" s="2" t="s">
        <v>256</v>
      </c>
      <c r="I207" s="2">
        <f>ROUND(16/100,9)</f>
        <v>0.16</v>
      </c>
      <c r="J207" s="2">
        <v>0</v>
      </c>
      <c r="K207" s="2">
        <f>ROUND(16/100,9)</f>
        <v>0.16</v>
      </c>
      <c r="L207" s="2"/>
      <c r="M207" s="2"/>
      <c r="N207" s="2"/>
      <c r="O207" s="2">
        <f t="shared" si="161"/>
        <v>3.21</v>
      </c>
      <c r="P207" s="2">
        <f t="shared" si="162"/>
        <v>0.09</v>
      </c>
      <c r="Q207" s="2">
        <f>(ROUND((ROUND((((ET207*1.2))*AV207*I207),2)*BB207),2)+ROUND((ROUND(((AE207-((EU207*1.2)))*AV207*I207),2)*BS207),2))</f>
        <v>0</v>
      </c>
      <c r="R207" s="2">
        <f>(ROUND((ROUND((((EU207*1.2))*AV207*I207),2)*BS207),2)+ROUND((ROUND(((AE207-((EU207*1.2)))*AV207*I207),2)*BS207),2))</f>
        <v>0</v>
      </c>
      <c r="S207" s="2">
        <f t="shared" si="163"/>
        <v>3.12</v>
      </c>
      <c r="T207" s="2">
        <f t="shared" si="164"/>
        <v>0</v>
      </c>
      <c r="U207" s="2">
        <f t="shared" si="165"/>
        <v>0.25329024</v>
      </c>
      <c r="V207" s="2">
        <f t="shared" si="166"/>
        <v>0</v>
      </c>
      <c r="W207" s="2">
        <f t="shared" si="167"/>
        <v>0</v>
      </c>
      <c r="X207" s="2">
        <f>(ROUND((((S207+ROUND((ROUND((((EU207*1.2))*AV207*I207),2)*BS207),2))*AT207)/100),2)+ROUND(((ROUND((ROUND(((AE207-((EU207*1.2)))*AV207*I207),2)*BS207),2)*AT207)/100),2))</f>
        <v>3.03</v>
      </c>
      <c r="Y207" s="2">
        <f>(ROUND((((S207+ROUND((ROUND((((EU207*1.2))*AV207*I207),2)*BS207),2))*AU207)/100),2)+ROUND(((ROUND((ROUND(((AE207-((EU207*1.2)))*AV207*I207),2)*BS207),2)*AU207)/100),2))</f>
        <v>1.59</v>
      </c>
      <c r="Z207" s="2"/>
      <c r="AA207" s="2">
        <v>55943566</v>
      </c>
      <c r="AB207" s="2">
        <f t="shared" si="168"/>
        <v>19.193999999999999</v>
      </c>
      <c r="AC207" s="2">
        <f>ROUND(((ES207*1)),6)</f>
        <v>0.56999999999999995</v>
      </c>
      <c r="AD207" s="2">
        <f>ROUND(((((ET207*1.2))-((EU207*1.2)))+AE207),6)</f>
        <v>0</v>
      </c>
      <c r="AE207" s="2">
        <f>ROUND(((EU207*1.2)),6)</f>
        <v>0</v>
      </c>
      <c r="AF207" s="2">
        <f>ROUND(((EV207*1.2)),6)</f>
        <v>18.623999999999999</v>
      </c>
      <c r="AG207" s="2">
        <f t="shared" si="169"/>
        <v>0</v>
      </c>
      <c r="AH207" s="2">
        <f>((EW207*1.2))</f>
        <v>1.512</v>
      </c>
      <c r="AI207" s="2">
        <f>((EX207*1.2))</f>
        <v>0</v>
      </c>
      <c r="AJ207" s="2">
        <f t="shared" si="170"/>
        <v>0</v>
      </c>
      <c r="AK207" s="2">
        <v>16.09</v>
      </c>
      <c r="AL207" s="2">
        <v>0.56999999999999995</v>
      </c>
      <c r="AM207" s="2">
        <v>0</v>
      </c>
      <c r="AN207" s="2">
        <v>0</v>
      </c>
      <c r="AO207" s="2">
        <v>15.52</v>
      </c>
      <c r="AP207" s="2">
        <v>0</v>
      </c>
      <c r="AQ207" s="2">
        <v>1.26</v>
      </c>
      <c r="AR207" s="2">
        <v>0</v>
      </c>
      <c r="AS207" s="2">
        <v>0</v>
      </c>
      <c r="AT207" s="2">
        <v>97</v>
      </c>
      <c r="AU207" s="2">
        <v>51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257</v>
      </c>
      <c r="BK207" s="2"/>
      <c r="BL207" s="2"/>
      <c r="BM207" s="2">
        <v>67</v>
      </c>
      <c r="BN207" s="2">
        <v>0</v>
      </c>
      <c r="BO207" s="2" t="s">
        <v>254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97</v>
      </c>
      <c r="CA207" s="2">
        <v>51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351</v>
      </c>
      <c r="CO207" s="2">
        <v>0</v>
      </c>
      <c r="CP207" s="2">
        <f t="shared" si="171"/>
        <v>3.21</v>
      </c>
      <c r="CQ207" s="2">
        <f t="shared" si="172"/>
        <v>0.56999999999999995</v>
      </c>
      <c r="CR207" s="2">
        <f>(ROUND((ROUND((((ET207*1.2))*AV207*1),2)*BB207),2)+ROUND((ROUND(((AE207-((EU207*1.2)))*AV207*1),2)*BS207),2))</f>
        <v>0</v>
      </c>
      <c r="CS207" s="2">
        <f>(ROUND((ROUND((((EU207*1.2))*AV207*1),2)*BS207),2)+ROUND((ROUND(((AE207-((EU207*1.2)))*AV207*1),2)*BS207),2))</f>
        <v>0</v>
      </c>
      <c r="CT207" s="2">
        <f t="shared" si="173"/>
        <v>19.5</v>
      </c>
      <c r="CU207" s="2">
        <f t="shared" si="174"/>
        <v>0</v>
      </c>
      <c r="CV207" s="2">
        <f t="shared" si="175"/>
        <v>1.5830639999999998</v>
      </c>
      <c r="CW207" s="2">
        <f t="shared" si="176"/>
        <v>0</v>
      </c>
      <c r="CX207" s="2">
        <f t="shared" si="177"/>
        <v>0</v>
      </c>
      <c r="CY207" s="2">
        <f>(ROUND((((S207+ROUND((ROUND((((EU207*1.2))*AV207*1),2)*BS207),2))*AT207)/100),2)+ROUND(((ROUND((ROUND(((AE207-((EU207*1.2)))*AV207*1),2)*BS207),2)*AT207)/100),2))</f>
        <v>3.03</v>
      </c>
      <c r="CZ207" s="2">
        <f>(ROUND((((S207+ROUND((ROUND((((EU207*1.2))*AV207*1),2)*BS207),2))*AU207)/100),2)+ROUND(((ROUND((ROUND(((AE207-((EU207*1.2)))*AV207*1),2)*BS207),2)*AU207)/100),2))</f>
        <v>1.59</v>
      </c>
      <c r="DA207" s="2"/>
      <c r="DB207" s="2">
        <v>57</v>
      </c>
      <c r="DC207" s="2" t="s">
        <v>3</v>
      </c>
      <c r="DD207" s="2" t="s">
        <v>77</v>
      </c>
      <c r="DE207" s="2" t="s">
        <v>78</v>
      </c>
      <c r="DF207" s="2" t="s">
        <v>78</v>
      </c>
      <c r="DG207" s="2" t="s">
        <v>78</v>
      </c>
      <c r="DH207" s="2" t="s">
        <v>3</v>
      </c>
      <c r="DI207" s="2" t="s">
        <v>78</v>
      </c>
      <c r="DJ207" s="2" t="s">
        <v>78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256</v>
      </c>
      <c r="DW207" s="2" t="s">
        <v>256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55393971</v>
      </c>
      <c r="EF207" s="2">
        <v>40</v>
      </c>
      <c r="EG207" s="2" t="s">
        <v>33</v>
      </c>
      <c r="EH207" s="2">
        <v>0</v>
      </c>
      <c r="EI207" s="2" t="s">
        <v>3</v>
      </c>
      <c r="EJ207" s="2">
        <v>2</v>
      </c>
      <c r="EK207" s="2">
        <v>67</v>
      </c>
      <c r="EL207" s="2" t="s">
        <v>70</v>
      </c>
      <c r="EM207" s="2" t="s">
        <v>71</v>
      </c>
      <c r="EN207" s="2"/>
      <c r="EO207" s="2" t="s">
        <v>82</v>
      </c>
      <c r="EP207" s="2"/>
      <c r="EQ207" s="2">
        <v>131072</v>
      </c>
      <c r="ER207" s="2">
        <v>16.09</v>
      </c>
      <c r="ES207" s="2">
        <v>0.56999999999999995</v>
      </c>
      <c r="ET207" s="2">
        <v>0</v>
      </c>
      <c r="EU207" s="2">
        <v>0</v>
      </c>
      <c r="EV207" s="2">
        <v>15.52</v>
      </c>
      <c r="EW207" s="2">
        <v>1.26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97</v>
      </c>
      <c r="FY207" s="2">
        <v>51</v>
      </c>
      <c r="FZ207" s="2"/>
      <c r="GA207" s="2" t="s">
        <v>3</v>
      </c>
      <c r="GB207" s="2"/>
      <c r="GC207" s="2"/>
      <c r="GD207" s="2">
        <v>1</v>
      </c>
      <c r="GE207" s="2"/>
      <c r="GF207" s="2">
        <v>2037938139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si="178"/>
        <v>0</v>
      </c>
      <c r="GM207" s="2">
        <f t="shared" si="179"/>
        <v>7.83</v>
      </c>
      <c r="GN207" s="2">
        <f t="shared" si="180"/>
        <v>0</v>
      </c>
      <c r="GO207" s="2">
        <f t="shared" si="181"/>
        <v>7.83</v>
      </c>
      <c r="GP207" s="2">
        <f t="shared" si="182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183"/>
        <v>0</v>
      </c>
      <c r="GW207" s="2">
        <v>1</v>
      </c>
      <c r="GX207" s="2">
        <f t="shared" si="184"/>
        <v>0</v>
      </c>
      <c r="GY207" s="2"/>
      <c r="GZ207" s="2"/>
      <c r="HA207" s="2">
        <v>0</v>
      </c>
      <c r="HB207" s="2">
        <v>0</v>
      </c>
      <c r="HC207" s="2">
        <f t="shared" si="185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 s="3">
        <v>17</v>
      </c>
      <c r="B208" s="3">
        <v>1</v>
      </c>
      <c r="C208" s="3">
        <f>ROW(SmtRes!A10)</f>
        <v>10</v>
      </c>
      <c r="D208" s="3">
        <f>ROW(EtalonRes!A10)</f>
        <v>10</v>
      </c>
      <c r="E208" s="3" t="s">
        <v>253</v>
      </c>
      <c r="F208" s="3" t="s">
        <v>254</v>
      </c>
      <c r="G208" s="3" t="s">
        <v>255</v>
      </c>
      <c r="H208" s="3" t="s">
        <v>256</v>
      </c>
      <c r="I208" s="3">
        <f>ROUND(16/100,9)</f>
        <v>0.16</v>
      </c>
      <c r="J208" s="3">
        <v>0</v>
      </c>
      <c r="K208" s="3">
        <f>ROUND(16/100,9)</f>
        <v>0.16</v>
      </c>
      <c r="O208" s="3">
        <f t="shared" si="161"/>
        <v>177.45</v>
      </c>
      <c r="P208" s="3">
        <f t="shared" si="162"/>
        <v>1.64</v>
      </c>
      <c r="Q208" s="3">
        <f>(ROUND((ROUND((((ET208*1.2))*AV208*I208),2)*BB208),2)+ROUND((ROUND(((AE208-((EU208*1.2)))*AV208*I208),2)*BS208),2))</f>
        <v>0</v>
      </c>
      <c r="R208" s="3">
        <f>(ROUND((ROUND((((EU208*1.2))*AV208*I208),2)*BS208),2)+ROUND((ROUND(((AE208-((EU208*1.2)))*AV208*I208),2)*BS208),2))</f>
        <v>0</v>
      </c>
      <c r="S208" s="3">
        <f t="shared" si="163"/>
        <v>175.81</v>
      </c>
      <c r="T208" s="3">
        <f t="shared" si="164"/>
        <v>0</v>
      </c>
      <c r="U208" s="3">
        <f t="shared" si="165"/>
        <v>0.25329024</v>
      </c>
      <c r="V208" s="3">
        <f t="shared" si="166"/>
        <v>0</v>
      </c>
      <c r="W208" s="3">
        <f t="shared" si="167"/>
        <v>0</v>
      </c>
      <c r="X208" s="3">
        <f>(ROUND((((S208+ROUND((ROUND((((EU208*1.2))*AV208*I208),2)*BS208),2))*AT208)/100),2)+ROUND(((ROUND((ROUND(((AE208-((EU208*1.2)))*AV208*I208),2)*BS208),2)*AT208)/100),2))</f>
        <v>170.54</v>
      </c>
      <c r="Y208" s="3">
        <f>(ROUND((((S208+ROUND((ROUND((((EU208*1.2))*AV208*I208),2)*BS208),2))*AU208)/100),2)+ROUND(((ROUND((ROUND(((AE208-((EU208*1.2)))*AV208*I208),2)*BS208),2)*AU208)/100),2))</f>
        <v>89.66</v>
      </c>
      <c r="AA208" s="3">
        <v>55943568</v>
      </c>
      <c r="AB208" s="3">
        <f t="shared" si="168"/>
        <v>19.193999999999999</v>
      </c>
      <c r="AC208" s="3">
        <f>ROUND(((ES208*1)),6)</f>
        <v>0.56999999999999995</v>
      </c>
      <c r="AD208" s="3">
        <f>ROUND(((((ET208*1.2))-((EU208*1.2)))+AE208),6)</f>
        <v>0</v>
      </c>
      <c r="AE208" s="3">
        <f>ROUND(((EU208*1.2)),6)</f>
        <v>0</v>
      </c>
      <c r="AF208" s="3">
        <f>ROUND(((EV208*1.2)),6)</f>
        <v>18.623999999999999</v>
      </c>
      <c r="AG208" s="3">
        <f t="shared" si="169"/>
        <v>0</v>
      </c>
      <c r="AH208" s="3">
        <f>((EW208*1.2))</f>
        <v>1.512</v>
      </c>
      <c r="AI208" s="3">
        <f>((EX208*1.2))</f>
        <v>0</v>
      </c>
      <c r="AJ208" s="3">
        <f t="shared" si="170"/>
        <v>0</v>
      </c>
      <c r="AK208" s="3">
        <v>16.09</v>
      </c>
      <c r="AL208" s="3">
        <v>0.56999999999999995</v>
      </c>
      <c r="AM208" s="3">
        <v>0</v>
      </c>
      <c r="AN208" s="3">
        <v>0</v>
      </c>
      <c r="AO208" s="3">
        <v>15.52</v>
      </c>
      <c r="AP208" s="3">
        <v>0</v>
      </c>
      <c r="AQ208" s="3">
        <v>1.26</v>
      </c>
      <c r="AR208" s="3">
        <v>0</v>
      </c>
      <c r="AS208" s="3">
        <v>0</v>
      </c>
      <c r="AT208" s="3">
        <v>97</v>
      </c>
      <c r="AU208" s="3">
        <v>51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</v>
      </c>
      <c r="BC208" s="3">
        <v>18.190000000000001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257</v>
      </c>
      <c r="BM208" s="3">
        <v>67</v>
      </c>
      <c r="BN208" s="3">
        <v>0</v>
      </c>
      <c r="BO208" s="3" t="s">
        <v>254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97</v>
      </c>
      <c r="CA208" s="3">
        <v>51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351</v>
      </c>
      <c r="CO208" s="3">
        <v>0</v>
      </c>
      <c r="CP208" s="3">
        <f t="shared" si="171"/>
        <v>177.45</v>
      </c>
      <c r="CQ208" s="3">
        <f t="shared" si="172"/>
        <v>10.37</v>
      </c>
      <c r="CR208" s="3">
        <f>(ROUND((ROUND((((ET208*1.2))*AV208*1),2)*BB208),2)+ROUND((ROUND(((AE208-((EU208*1.2)))*AV208*1),2)*BS208),2))</f>
        <v>0</v>
      </c>
      <c r="CS208" s="3">
        <f>(ROUND((ROUND((((EU208*1.2))*AV208*1),2)*BS208),2)+ROUND((ROUND(((AE208-((EU208*1.2)))*AV208*1),2)*BS208),2))</f>
        <v>0</v>
      </c>
      <c r="CT208" s="3">
        <f t="shared" si="173"/>
        <v>1098.83</v>
      </c>
      <c r="CU208" s="3">
        <f t="shared" si="174"/>
        <v>0</v>
      </c>
      <c r="CV208" s="3">
        <f t="shared" si="175"/>
        <v>1.5830639999999998</v>
      </c>
      <c r="CW208" s="3">
        <f t="shared" si="176"/>
        <v>0</v>
      </c>
      <c r="CX208" s="3">
        <f t="shared" si="177"/>
        <v>0</v>
      </c>
      <c r="CY208" s="3">
        <f>(ROUND((((S208+ROUND((ROUND((((EU208*1.2))*AV208*1),2)*BS208),2))*AT208)/100),2)+ROUND(((ROUND((ROUND(((AE208-((EU208*1.2)))*AV208*1),2)*BS208),2)*AT208)/100),2))</f>
        <v>170.54</v>
      </c>
      <c r="CZ208" s="3">
        <f>(ROUND((((S208+ROUND((ROUND((((EU208*1.2))*AV208*1),2)*BS208),2))*AU208)/100),2)+ROUND(((ROUND((ROUND(((AE208-((EU208*1.2)))*AV208*1),2)*BS208),2)*AU208)/100),2))</f>
        <v>89.66</v>
      </c>
      <c r="DB208" s="3">
        <v>58</v>
      </c>
      <c r="DC208" s="3" t="s">
        <v>3</v>
      </c>
      <c r="DD208" s="3" t="s">
        <v>77</v>
      </c>
      <c r="DE208" s="3" t="s">
        <v>78</v>
      </c>
      <c r="DF208" s="3" t="s">
        <v>78</v>
      </c>
      <c r="DG208" s="3" t="s">
        <v>78</v>
      </c>
      <c r="DH208" s="3" t="s">
        <v>3</v>
      </c>
      <c r="DI208" s="3" t="s">
        <v>78</v>
      </c>
      <c r="DJ208" s="3" t="s">
        <v>78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256</v>
      </c>
      <c r="DW208" s="3" t="s">
        <v>256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55393971</v>
      </c>
      <c r="EF208" s="3">
        <v>40</v>
      </c>
      <c r="EG208" s="3" t="s">
        <v>33</v>
      </c>
      <c r="EH208" s="3">
        <v>0</v>
      </c>
      <c r="EI208" s="3" t="s">
        <v>3</v>
      </c>
      <c r="EJ208" s="3">
        <v>2</v>
      </c>
      <c r="EK208" s="3">
        <v>67</v>
      </c>
      <c r="EL208" s="3" t="s">
        <v>70</v>
      </c>
      <c r="EM208" s="3" t="s">
        <v>71</v>
      </c>
      <c r="EO208" s="3" t="s">
        <v>82</v>
      </c>
      <c r="EQ208" s="3">
        <v>131072</v>
      </c>
      <c r="ER208" s="3">
        <v>16.09</v>
      </c>
      <c r="ES208" s="3">
        <v>0.56999999999999995</v>
      </c>
      <c r="ET208" s="3">
        <v>0</v>
      </c>
      <c r="EU208" s="3">
        <v>0</v>
      </c>
      <c r="EV208" s="3">
        <v>15.52</v>
      </c>
      <c r="EW208" s="3">
        <v>1.26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97</v>
      </c>
      <c r="FY208" s="3">
        <v>51</v>
      </c>
      <c r="GA208" s="3" t="s">
        <v>3</v>
      </c>
      <c r="GD208" s="3">
        <v>1</v>
      </c>
      <c r="GF208" s="3">
        <v>2037938139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78"/>
        <v>0</v>
      </c>
      <c r="GM208" s="3">
        <f t="shared" si="179"/>
        <v>437.65</v>
      </c>
      <c r="GN208" s="3">
        <f t="shared" si="180"/>
        <v>0</v>
      </c>
      <c r="GO208" s="3">
        <f t="shared" si="181"/>
        <v>437.65</v>
      </c>
      <c r="GP208" s="3">
        <f t="shared" si="182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83"/>
        <v>0</v>
      </c>
      <c r="GW208" s="3">
        <v>1</v>
      </c>
      <c r="GX208" s="3">
        <f t="shared" si="184"/>
        <v>0</v>
      </c>
      <c r="HA208" s="3">
        <v>0</v>
      </c>
      <c r="HB208" s="3">
        <v>0</v>
      </c>
      <c r="HC208" s="3">
        <f t="shared" si="185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10" spans="1:206" x14ac:dyDescent="0.2">
      <c r="A210" s="11">
        <v>51</v>
      </c>
      <c r="B210" s="11">
        <f>B191</f>
        <v>1</v>
      </c>
      <c r="C210" s="11">
        <f>A191</f>
        <v>4</v>
      </c>
      <c r="D210" s="11">
        <f>ROW(A191)</f>
        <v>191</v>
      </c>
      <c r="E210" s="11"/>
      <c r="F210" s="11" t="str">
        <f>IF(F191&lt;&gt;"",F191,"")</f>
        <v>Новый раздел</v>
      </c>
      <c r="G210" s="11" t="str">
        <f>IF(G191&lt;&gt;"",G191,"")</f>
        <v>Огнестойкая кабельная линия "ПАРЛАЙН+ДКС" ОКЛ-15</v>
      </c>
      <c r="H210" s="11">
        <v>0</v>
      </c>
      <c r="I210" s="11"/>
      <c r="J210" s="11"/>
      <c r="K210" s="11"/>
      <c r="L210" s="11"/>
      <c r="M210" s="11"/>
      <c r="N210" s="11"/>
      <c r="O210" s="11">
        <f t="shared" ref="O210:T210" si="190">ROUND(AB210,2)</f>
        <v>65614.960000000006</v>
      </c>
      <c r="P210" s="11">
        <f t="shared" si="190"/>
        <v>49881.84</v>
      </c>
      <c r="Q210" s="11">
        <f t="shared" si="190"/>
        <v>2021.13</v>
      </c>
      <c r="R210" s="11">
        <f t="shared" si="190"/>
        <v>334.02</v>
      </c>
      <c r="S210" s="11">
        <f t="shared" si="190"/>
        <v>13711.99</v>
      </c>
      <c r="T210" s="11">
        <f t="shared" si="190"/>
        <v>0</v>
      </c>
      <c r="U210" s="11">
        <f>AH210</f>
        <v>1081.3327214400001</v>
      </c>
      <c r="V210" s="11">
        <f>AI210</f>
        <v>0</v>
      </c>
      <c r="W210" s="11">
        <f>ROUND(AJ210,2)</f>
        <v>0</v>
      </c>
      <c r="X210" s="11">
        <f>ROUND(AK210,2)</f>
        <v>13624.63</v>
      </c>
      <c r="Y210" s="11">
        <f>ROUND(AL210,2)</f>
        <v>7163.46</v>
      </c>
      <c r="Z210" s="11"/>
      <c r="AA210" s="11"/>
      <c r="AB210" s="11">
        <f>ROUND(SUMIF(AA195:AA208,"=55943566",O195:O208),2)</f>
        <v>65614.960000000006</v>
      </c>
      <c r="AC210" s="11">
        <f>ROUND(SUMIF(AA195:AA208,"=55943566",P195:P208),2)</f>
        <v>49881.84</v>
      </c>
      <c r="AD210" s="11">
        <f>ROUND(SUMIF(AA195:AA208,"=55943566",Q195:Q208),2)</f>
        <v>2021.13</v>
      </c>
      <c r="AE210" s="11">
        <f>ROUND(SUMIF(AA195:AA208,"=55943566",R195:R208),2)</f>
        <v>334.02</v>
      </c>
      <c r="AF210" s="11">
        <f>ROUND(SUMIF(AA195:AA208,"=55943566",S195:S208),2)</f>
        <v>13711.99</v>
      </c>
      <c r="AG210" s="11">
        <f>ROUND(SUMIF(AA195:AA208,"=55943566",T195:T208),2)</f>
        <v>0</v>
      </c>
      <c r="AH210" s="11">
        <f>SUMIF(AA195:AA208,"=55943566",U195:U208)</f>
        <v>1081.3327214400001</v>
      </c>
      <c r="AI210" s="11">
        <f>SUMIF(AA195:AA208,"=55943566",V195:V208)</f>
        <v>0</v>
      </c>
      <c r="AJ210" s="11">
        <f>ROUND(SUMIF(AA195:AA208,"=55943566",W195:W208),2)</f>
        <v>0</v>
      </c>
      <c r="AK210" s="11">
        <f>ROUND(SUMIF(AA195:AA208,"=55943566",X195:X208),2)</f>
        <v>13624.63</v>
      </c>
      <c r="AL210" s="11">
        <f>ROUND(SUMIF(AA195:AA208,"=55943566",Y195:Y208),2)</f>
        <v>7163.46</v>
      </c>
      <c r="AM210" s="11"/>
      <c r="AN210" s="11"/>
      <c r="AO210" s="11">
        <f t="shared" ref="AO210:BD210" si="191">ROUND(BX210,2)</f>
        <v>0</v>
      </c>
      <c r="AP210" s="11">
        <f t="shared" si="191"/>
        <v>0</v>
      </c>
      <c r="AQ210" s="11">
        <f t="shared" si="191"/>
        <v>0</v>
      </c>
      <c r="AR210" s="11">
        <f t="shared" si="191"/>
        <v>86403.05</v>
      </c>
      <c r="AS210" s="11">
        <f t="shared" si="191"/>
        <v>188.29</v>
      </c>
      <c r="AT210" s="11">
        <f t="shared" si="191"/>
        <v>86214.76</v>
      </c>
      <c r="AU210" s="11">
        <f t="shared" si="191"/>
        <v>0</v>
      </c>
      <c r="AV210" s="11">
        <f t="shared" si="191"/>
        <v>49881.84</v>
      </c>
      <c r="AW210" s="11">
        <f t="shared" si="191"/>
        <v>49881.84</v>
      </c>
      <c r="AX210" s="11">
        <f t="shared" si="191"/>
        <v>0</v>
      </c>
      <c r="AY210" s="11">
        <f t="shared" si="191"/>
        <v>49881.84</v>
      </c>
      <c r="AZ210" s="11">
        <f t="shared" si="191"/>
        <v>0</v>
      </c>
      <c r="BA210" s="11">
        <f t="shared" si="191"/>
        <v>0</v>
      </c>
      <c r="BB210" s="11">
        <f t="shared" si="191"/>
        <v>0</v>
      </c>
      <c r="BC210" s="11">
        <f t="shared" si="191"/>
        <v>0</v>
      </c>
      <c r="BD210" s="11">
        <f t="shared" si="191"/>
        <v>0</v>
      </c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>
        <f>ROUND(SUMIF(AA195:AA208,"=55943566",FQ195:FQ208),2)</f>
        <v>0</v>
      </c>
      <c r="BY210" s="11">
        <f>ROUND(SUMIF(AA195:AA208,"=55943566",FR195:FR208),2)</f>
        <v>0</v>
      </c>
      <c r="BZ210" s="11">
        <f>ROUND(SUMIF(AA195:AA208,"=55943566",GL195:GL208),2)</f>
        <v>0</v>
      </c>
      <c r="CA210" s="11">
        <f>ROUND(SUMIF(AA195:AA208,"=55943566",GM195:GM208),2)</f>
        <v>86403.05</v>
      </c>
      <c r="CB210" s="11">
        <f>ROUND(SUMIF(AA195:AA208,"=55943566",GN195:GN208),2)</f>
        <v>188.29</v>
      </c>
      <c r="CC210" s="11">
        <f>ROUND(SUMIF(AA195:AA208,"=55943566",GO195:GO208),2)</f>
        <v>86214.76</v>
      </c>
      <c r="CD210" s="11">
        <f>ROUND(SUMIF(AA195:AA208,"=55943566",GP195:GP208),2)</f>
        <v>0</v>
      </c>
      <c r="CE210" s="11">
        <f>AC210-BX210</f>
        <v>49881.84</v>
      </c>
      <c r="CF210" s="11">
        <f>AC210-BY210</f>
        <v>49881.84</v>
      </c>
      <c r="CG210" s="11">
        <f>BX210-BZ210</f>
        <v>0</v>
      </c>
      <c r="CH210" s="11">
        <f>AC210-BX210-BY210+BZ210</f>
        <v>49881.84</v>
      </c>
      <c r="CI210" s="11">
        <f>BY210-BZ210</f>
        <v>0</v>
      </c>
      <c r="CJ210" s="11">
        <f>ROUND(SUMIF(AA195:AA208,"=55943566",GX195:GX208),2)</f>
        <v>0</v>
      </c>
      <c r="CK210" s="11">
        <f>ROUND(SUMIF(AA195:AA208,"=55943566",GY195:GY208),2)</f>
        <v>0</v>
      </c>
      <c r="CL210" s="11">
        <f>ROUND(SUMIF(AA195:AA208,"=55943566",GZ195:GZ208),2)</f>
        <v>0</v>
      </c>
      <c r="CM210" s="11">
        <f>ROUND(SUMIF(AA195:AA208,"=55943566",HD195:HD208),2)</f>
        <v>0</v>
      </c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2">
        <f t="shared" ref="DG210:DL210" si="192">ROUND(DT210,2)</f>
        <v>1282543.82</v>
      </c>
      <c r="DH210" s="12">
        <f t="shared" si="192"/>
        <v>472794.41</v>
      </c>
      <c r="DI210" s="12">
        <f t="shared" si="192"/>
        <v>37078.78</v>
      </c>
      <c r="DJ210" s="12">
        <f t="shared" si="192"/>
        <v>18822.03</v>
      </c>
      <c r="DK210" s="12">
        <f t="shared" si="192"/>
        <v>772670.63</v>
      </c>
      <c r="DL210" s="12">
        <f t="shared" si="192"/>
        <v>0</v>
      </c>
      <c r="DM210" s="12">
        <f>DZ210</f>
        <v>1081.3327214400001</v>
      </c>
      <c r="DN210" s="12">
        <f>EA210</f>
        <v>0</v>
      </c>
      <c r="DO210" s="12">
        <f>ROUND(EB210,2)</f>
        <v>0</v>
      </c>
      <c r="DP210" s="12">
        <f>ROUND(EC210,2)</f>
        <v>767747.88</v>
      </c>
      <c r="DQ210" s="12">
        <f>ROUND(ED210,2)</f>
        <v>403661.26</v>
      </c>
      <c r="DR210" s="12"/>
      <c r="DS210" s="12"/>
      <c r="DT210" s="12">
        <f>ROUND(SUMIF(AA195:AA208,"=55943568",O195:O208),2)</f>
        <v>1282543.82</v>
      </c>
      <c r="DU210" s="12">
        <f>ROUND(SUMIF(AA195:AA208,"=55943568",P195:P208),2)</f>
        <v>472794.41</v>
      </c>
      <c r="DV210" s="12">
        <f>ROUND(SUMIF(AA195:AA208,"=55943568",Q195:Q208),2)</f>
        <v>37078.78</v>
      </c>
      <c r="DW210" s="12">
        <f>ROUND(SUMIF(AA195:AA208,"=55943568",R195:R208),2)</f>
        <v>18822.03</v>
      </c>
      <c r="DX210" s="12">
        <f>ROUND(SUMIF(AA195:AA208,"=55943568",S195:S208),2)</f>
        <v>772670.63</v>
      </c>
      <c r="DY210" s="12">
        <f>ROUND(SUMIF(AA195:AA208,"=55943568",T195:T208),2)</f>
        <v>0</v>
      </c>
      <c r="DZ210" s="12">
        <f>SUMIF(AA195:AA208,"=55943568",U195:U208)</f>
        <v>1081.3327214400001</v>
      </c>
      <c r="EA210" s="12">
        <f>SUMIF(AA195:AA208,"=55943568",V195:V208)</f>
        <v>0</v>
      </c>
      <c r="EB210" s="12">
        <f>ROUND(SUMIF(AA195:AA208,"=55943568",W195:W208),2)</f>
        <v>0</v>
      </c>
      <c r="EC210" s="12">
        <f>ROUND(SUMIF(AA195:AA208,"=55943568",X195:X208),2)</f>
        <v>767747.88</v>
      </c>
      <c r="ED210" s="12">
        <f>ROUND(SUMIF(AA195:AA208,"=55943568",Y195:Y208),2)</f>
        <v>403661.26</v>
      </c>
      <c r="EE210" s="12"/>
      <c r="EF210" s="12"/>
      <c r="EG210" s="12">
        <f t="shared" ref="EG210:EV210" si="193">ROUND(FP210,2)</f>
        <v>0</v>
      </c>
      <c r="EH210" s="12">
        <f t="shared" si="193"/>
        <v>0</v>
      </c>
      <c r="EI210" s="12">
        <f t="shared" si="193"/>
        <v>0</v>
      </c>
      <c r="EJ210" s="12">
        <f t="shared" si="193"/>
        <v>2453952.96</v>
      </c>
      <c r="EK210" s="12">
        <f t="shared" si="193"/>
        <v>1852.77</v>
      </c>
      <c r="EL210" s="12">
        <f t="shared" si="193"/>
        <v>2452100.19</v>
      </c>
      <c r="EM210" s="12">
        <f t="shared" si="193"/>
        <v>0</v>
      </c>
      <c r="EN210" s="12">
        <f t="shared" si="193"/>
        <v>472794.41</v>
      </c>
      <c r="EO210" s="12">
        <f t="shared" si="193"/>
        <v>472794.41</v>
      </c>
      <c r="EP210" s="12">
        <f t="shared" si="193"/>
        <v>0</v>
      </c>
      <c r="EQ210" s="12">
        <f t="shared" si="193"/>
        <v>472794.41</v>
      </c>
      <c r="ER210" s="12">
        <f t="shared" si="193"/>
        <v>0</v>
      </c>
      <c r="ES210" s="12">
        <f t="shared" si="193"/>
        <v>0</v>
      </c>
      <c r="ET210" s="12">
        <f t="shared" si="193"/>
        <v>0</v>
      </c>
      <c r="EU210" s="12">
        <f t="shared" si="193"/>
        <v>0</v>
      </c>
      <c r="EV210" s="12">
        <f t="shared" si="193"/>
        <v>0</v>
      </c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>
        <f>ROUND(SUMIF(AA195:AA208,"=55943568",FQ195:FQ208),2)</f>
        <v>0</v>
      </c>
      <c r="FQ210" s="12">
        <f>ROUND(SUMIF(AA195:AA208,"=55943568",FR195:FR208),2)</f>
        <v>0</v>
      </c>
      <c r="FR210" s="12">
        <f>ROUND(SUMIF(AA195:AA208,"=55943568",GL195:GL208),2)</f>
        <v>0</v>
      </c>
      <c r="FS210" s="12">
        <f>ROUND(SUMIF(AA195:AA208,"=55943568",GM195:GM208),2)</f>
        <v>2453952.96</v>
      </c>
      <c r="FT210" s="12">
        <f>ROUND(SUMIF(AA195:AA208,"=55943568",GN195:GN208),2)</f>
        <v>1852.77</v>
      </c>
      <c r="FU210" s="12">
        <f>ROUND(SUMIF(AA195:AA208,"=55943568",GO195:GO208),2)</f>
        <v>2452100.19</v>
      </c>
      <c r="FV210" s="12">
        <f>ROUND(SUMIF(AA195:AA208,"=55943568",GP195:GP208),2)</f>
        <v>0</v>
      </c>
      <c r="FW210" s="12">
        <f>DU210-FP210</f>
        <v>472794.41</v>
      </c>
      <c r="FX210" s="12">
        <f>DU210-FQ210</f>
        <v>472794.41</v>
      </c>
      <c r="FY210" s="12">
        <f>FP210-FR210</f>
        <v>0</v>
      </c>
      <c r="FZ210" s="12">
        <f>DU210-FP210-FQ210+FR210</f>
        <v>472794.41</v>
      </c>
      <c r="GA210" s="12">
        <f>FQ210-FR210</f>
        <v>0</v>
      </c>
      <c r="GB210" s="12">
        <f>ROUND(SUMIF(AA195:AA208,"=55943568",GX195:GX208),2)</f>
        <v>0</v>
      </c>
      <c r="GC210" s="12">
        <f>ROUND(SUMIF(AA195:AA208,"=55943568",GY195:GY208),2)</f>
        <v>0</v>
      </c>
      <c r="GD210" s="12">
        <f>ROUND(SUMIF(AA195:AA208,"=55943568",GZ195:GZ208),2)</f>
        <v>0</v>
      </c>
      <c r="GE210" s="12">
        <f>ROUND(SUMIF(AA195:AA208,"=55943568",HD195:HD208),2)</f>
        <v>0</v>
      </c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>
        <v>0</v>
      </c>
    </row>
    <row r="212" spans="1:206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201</v>
      </c>
      <c r="F212" s="13">
        <f>ROUND(Source!O210,O212)</f>
        <v>65614.960000000006</v>
      </c>
      <c r="G212" s="13" t="s">
        <v>87</v>
      </c>
      <c r="H212" s="13" t="s">
        <v>88</v>
      </c>
      <c r="I212" s="13"/>
      <c r="J212" s="13"/>
      <c r="K212" s="13">
        <v>201</v>
      </c>
      <c r="L212" s="13">
        <v>1</v>
      </c>
      <c r="M212" s="13">
        <v>3</v>
      </c>
      <c r="N212" s="13" t="s">
        <v>3</v>
      </c>
      <c r="O212" s="13">
        <v>2</v>
      </c>
      <c r="P212" s="13">
        <f>ROUND(Source!DG210,O212)</f>
        <v>1282543.82</v>
      </c>
      <c r="Q212" s="13"/>
      <c r="R212" s="13"/>
      <c r="S212" s="13"/>
      <c r="T212" s="13"/>
      <c r="U212" s="13"/>
      <c r="V212" s="13"/>
      <c r="W212" s="13">
        <v>65614.960000000006</v>
      </c>
      <c r="X212" s="13">
        <v>1</v>
      </c>
      <c r="Y212" s="13">
        <v>65614.960000000006</v>
      </c>
      <c r="Z212" s="13">
        <v>1282543.82</v>
      </c>
      <c r="AA212" s="13">
        <v>1</v>
      </c>
      <c r="AB212" s="13">
        <v>1282543.82</v>
      </c>
    </row>
    <row r="213" spans="1:206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202</v>
      </c>
      <c r="F213" s="13">
        <f>ROUND(Source!P210,O213)</f>
        <v>49881.84</v>
      </c>
      <c r="G213" s="13" t="s">
        <v>89</v>
      </c>
      <c r="H213" s="13" t="s">
        <v>90</v>
      </c>
      <c r="I213" s="13"/>
      <c r="J213" s="13"/>
      <c r="K213" s="13">
        <v>202</v>
      </c>
      <c r="L213" s="13">
        <v>2</v>
      </c>
      <c r="M213" s="13">
        <v>3</v>
      </c>
      <c r="N213" s="13" t="s">
        <v>3</v>
      </c>
      <c r="O213" s="13">
        <v>2</v>
      </c>
      <c r="P213" s="13">
        <f>ROUND(Source!DH210,O213)</f>
        <v>472794.41</v>
      </c>
      <c r="Q213" s="13"/>
      <c r="R213" s="13"/>
      <c r="S213" s="13"/>
      <c r="T213" s="13"/>
      <c r="U213" s="13"/>
      <c r="V213" s="13"/>
      <c r="W213" s="13">
        <v>49881.84</v>
      </c>
      <c r="X213" s="13">
        <v>1</v>
      </c>
      <c r="Y213" s="13">
        <v>49881.84</v>
      </c>
      <c r="Z213" s="13">
        <v>472794.41</v>
      </c>
      <c r="AA213" s="13">
        <v>1</v>
      </c>
      <c r="AB213" s="13">
        <v>472794.41</v>
      </c>
    </row>
    <row r="214" spans="1:206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222</v>
      </c>
      <c r="F214" s="13">
        <f>ROUND(Source!AO210,O214)</f>
        <v>0</v>
      </c>
      <c r="G214" s="13" t="s">
        <v>91</v>
      </c>
      <c r="H214" s="13" t="s">
        <v>92</v>
      </c>
      <c r="I214" s="13"/>
      <c r="J214" s="13"/>
      <c r="K214" s="13">
        <v>222</v>
      </c>
      <c r="L214" s="13">
        <v>3</v>
      </c>
      <c r="M214" s="13">
        <v>3</v>
      </c>
      <c r="N214" s="13" t="s">
        <v>3</v>
      </c>
      <c r="O214" s="13">
        <v>2</v>
      </c>
      <c r="P214" s="13">
        <f>ROUND(Source!EG210,O214)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06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225</v>
      </c>
      <c r="F215" s="13">
        <f>ROUND(Source!AV210,O215)</f>
        <v>49881.84</v>
      </c>
      <c r="G215" s="13" t="s">
        <v>93</v>
      </c>
      <c r="H215" s="13" t="s">
        <v>94</v>
      </c>
      <c r="I215" s="13"/>
      <c r="J215" s="13"/>
      <c r="K215" s="13">
        <v>225</v>
      </c>
      <c r="L215" s="13">
        <v>4</v>
      </c>
      <c r="M215" s="13">
        <v>3</v>
      </c>
      <c r="N215" s="13" t="s">
        <v>3</v>
      </c>
      <c r="O215" s="13">
        <v>2</v>
      </c>
      <c r="P215" s="13">
        <f>ROUND(Source!EN210,O215)</f>
        <v>472794.41</v>
      </c>
      <c r="Q215" s="13"/>
      <c r="R215" s="13"/>
      <c r="S215" s="13"/>
      <c r="T215" s="13"/>
      <c r="U215" s="13"/>
      <c r="V215" s="13"/>
      <c r="W215" s="13">
        <v>49881.84</v>
      </c>
      <c r="X215" s="13">
        <v>1</v>
      </c>
      <c r="Y215" s="13">
        <v>49881.84</v>
      </c>
      <c r="Z215" s="13">
        <v>472794.41</v>
      </c>
      <c r="AA215" s="13">
        <v>1</v>
      </c>
      <c r="AB215" s="13">
        <v>472794.41</v>
      </c>
    </row>
    <row r="216" spans="1:206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226</v>
      </c>
      <c r="F216" s="13">
        <f>ROUND(Source!AW210,O216)</f>
        <v>49881.84</v>
      </c>
      <c r="G216" s="13" t="s">
        <v>95</v>
      </c>
      <c r="H216" s="13" t="s">
        <v>96</v>
      </c>
      <c r="I216" s="13"/>
      <c r="J216" s="13"/>
      <c r="K216" s="13">
        <v>226</v>
      </c>
      <c r="L216" s="13">
        <v>5</v>
      </c>
      <c r="M216" s="13">
        <v>3</v>
      </c>
      <c r="N216" s="13" t="s">
        <v>3</v>
      </c>
      <c r="O216" s="13">
        <v>2</v>
      </c>
      <c r="P216" s="13">
        <f>ROUND(Source!EO210,O216)</f>
        <v>472794.41</v>
      </c>
      <c r="Q216" s="13"/>
      <c r="R216" s="13"/>
      <c r="S216" s="13"/>
      <c r="T216" s="13"/>
      <c r="U216" s="13"/>
      <c r="V216" s="13"/>
      <c r="W216" s="13">
        <v>49881.84</v>
      </c>
      <c r="X216" s="13">
        <v>1</v>
      </c>
      <c r="Y216" s="13">
        <v>49881.84</v>
      </c>
      <c r="Z216" s="13">
        <v>472794.41</v>
      </c>
      <c r="AA216" s="13">
        <v>1</v>
      </c>
      <c r="AB216" s="13">
        <v>472794.41</v>
      </c>
    </row>
    <row r="217" spans="1:206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227</v>
      </c>
      <c r="F217" s="13">
        <f>ROUND(Source!AX210,O217)</f>
        <v>0</v>
      </c>
      <c r="G217" s="13" t="s">
        <v>97</v>
      </c>
      <c r="H217" s="13" t="s">
        <v>98</v>
      </c>
      <c r="I217" s="13"/>
      <c r="J217" s="13"/>
      <c r="K217" s="13">
        <v>227</v>
      </c>
      <c r="L217" s="13">
        <v>6</v>
      </c>
      <c r="M217" s="13">
        <v>3</v>
      </c>
      <c r="N217" s="13" t="s">
        <v>3</v>
      </c>
      <c r="O217" s="13">
        <v>2</v>
      </c>
      <c r="P217" s="13">
        <f>ROUND(Source!EP210,O217)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06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228</v>
      </c>
      <c r="F218" s="13">
        <f>ROUND(Source!AY210,O218)</f>
        <v>49881.84</v>
      </c>
      <c r="G218" s="13" t="s">
        <v>99</v>
      </c>
      <c r="H218" s="13" t="s">
        <v>100</v>
      </c>
      <c r="I218" s="13"/>
      <c r="J218" s="13"/>
      <c r="K218" s="13">
        <v>228</v>
      </c>
      <c r="L218" s="13">
        <v>7</v>
      </c>
      <c r="M218" s="13">
        <v>3</v>
      </c>
      <c r="N218" s="13" t="s">
        <v>3</v>
      </c>
      <c r="O218" s="13">
        <v>2</v>
      </c>
      <c r="P218" s="13">
        <f>ROUND(Source!EQ210,O218)</f>
        <v>472794.41</v>
      </c>
      <c r="Q218" s="13"/>
      <c r="R218" s="13"/>
      <c r="S218" s="13"/>
      <c r="T218" s="13"/>
      <c r="U218" s="13"/>
      <c r="V218" s="13"/>
      <c r="W218" s="13">
        <v>49881.84</v>
      </c>
      <c r="X218" s="13">
        <v>1</v>
      </c>
      <c r="Y218" s="13">
        <v>49881.84</v>
      </c>
      <c r="Z218" s="13">
        <v>472794.41</v>
      </c>
      <c r="AA218" s="13">
        <v>1</v>
      </c>
      <c r="AB218" s="13">
        <v>472794.41</v>
      </c>
    </row>
    <row r="219" spans="1:206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216</v>
      </c>
      <c r="F219" s="13">
        <f>ROUND(Source!AP210,O219)</f>
        <v>0</v>
      </c>
      <c r="G219" s="13" t="s">
        <v>101</v>
      </c>
      <c r="H219" s="13" t="s">
        <v>102</v>
      </c>
      <c r="I219" s="13"/>
      <c r="J219" s="13"/>
      <c r="K219" s="13">
        <v>216</v>
      </c>
      <c r="L219" s="13">
        <v>8</v>
      </c>
      <c r="M219" s="13">
        <v>3</v>
      </c>
      <c r="N219" s="13" t="s">
        <v>3</v>
      </c>
      <c r="O219" s="13">
        <v>2</v>
      </c>
      <c r="P219" s="13">
        <f>ROUND(Source!EH210,O219)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06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223</v>
      </c>
      <c r="F220" s="13">
        <f>ROUND(Source!AQ210,O220)</f>
        <v>0</v>
      </c>
      <c r="G220" s="13" t="s">
        <v>103</v>
      </c>
      <c r="H220" s="13" t="s">
        <v>104</v>
      </c>
      <c r="I220" s="13"/>
      <c r="J220" s="13"/>
      <c r="K220" s="13">
        <v>223</v>
      </c>
      <c r="L220" s="13">
        <v>9</v>
      </c>
      <c r="M220" s="13">
        <v>3</v>
      </c>
      <c r="N220" s="13" t="s">
        <v>3</v>
      </c>
      <c r="O220" s="13">
        <v>2</v>
      </c>
      <c r="P220" s="13">
        <f>ROUND(Source!EI210,O220)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06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229</v>
      </c>
      <c r="F221" s="13">
        <f>ROUND(Source!AZ210,O221)</f>
        <v>0</v>
      </c>
      <c r="G221" s="13" t="s">
        <v>105</v>
      </c>
      <c r="H221" s="13" t="s">
        <v>106</v>
      </c>
      <c r="I221" s="13"/>
      <c r="J221" s="13"/>
      <c r="K221" s="13">
        <v>229</v>
      </c>
      <c r="L221" s="13">
        <v>10</v>
      </c>
      <c r="M221" s="13">
        <v>3</v>
      </c>
      <c r="N221" s="13" t="s">
        <v>3</v>
      </c>
      <c r="O221" s="13">
        <v>2</v>
      </c>
      <c r="P221" s="13">
        <f>ROUND(Source!ER210,O221)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06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203</v>
      </c>
      <c r="F222" s="13">
        <f>ROUND(Source!Q210,O222)</f>
        <v>2021.13</v>
      </c>
      <c r="G222" s="13" t="s">
        <v>107</v>
      </c>
      <c r="H222" s="13" t="s">
        <v>108</v>
      </c>
      <c r="I222" s="13"/>
      <c r="J222" s="13"/>
      <c r="K222" s="13">
        <v>203</v>
      </c>
      <c r="L222" s="13">
        <v>11</v>
      </c>
      <c r="M222" s="13">
        <v>3</v>
      </c>
      <c r="N222" s="13" t="s">
        <v>3</v>
      </c>
      <c r="O222" s="13">
        <v>2</v>
      </c>
      <c r="P222" s="13">
        <f>ROUND(Source!DI210,O222)</f>
        <v>37078.78</v>
      </c>
      <c r="Q222" s="13"/>
      <c r="R222" s="13"/>
      <c r="S222" s="13"/>
      <c r="T222" s="13"/>
      <c r="U222" s="13"/>
      <c r="V222" s="13"/>
      <c r="W222" s="13">
        <v>2021.13</v>
      </c>
      <c r="X222" s="13">
        <v>1</v>
      </c>
      <c r="Y222" s="13">
        <v>2021.13</v>
      </c>
      <c r="Z222" s="13">
        <v>37078.78</v>
      </c>
      <c r="AA222" s="13">
        <v>1</v>
      </c>
      <c r="AB222" s="13">
        <v>37078.78</v>
      </c>
    </row>
    <row r="223" spans="1:206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231</v>
      </c>
      <c r="F223" s="13">
        <f>ROUND(Source!BB210,O223)</f>
        <v>0</v>
      </c>
      <c r="G223" s="13" t="s">
        <v>109</v>
      </c>
      <c r="H223" s="13" t="s">
        <v>110</v>
      </c>
      <c r="I223" s="13"/>
      <c r="J223" s="13"/>
      <c r="K223" s="13">
        <v>231</v>
      </c>
      <c r="L223" s="13">
        <v>12</v>
      </c>
      <c r="M223" s="13">
        <v>3</v>
      </c>
      <c r="N223" s="13" t="s">
        <v>3</v>
      </c>
      <c r="O223" s="13">
        <v>2</v>
      </c>
      <c r="P223" s="13">
        <f>ROUND(Source!ET210,O223)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06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204</v>
      </c>
      <c r="F224" s="13">
        <f>ROUND(Source!R210,O224)</f>
        <v>334.02</v>
      </c>
      <c r="G224" s="13" t="s">
        <v>111</v>
      </c>
      <c r="H224" s="13" t="s">
        <v>112</v>
      </c>
      <c r="I224" s="13"/>
      <c r="J224" s="13"/>
      <c r="K224" s="13">
        <v>204</v>
      </c>
      <c r="L224" s="13">
        <v>13</v>
      </c>
      <c r="M224" s="13">
        <v>3</v>
      </c>
      <c r="N224" s="13" t="s">
        <v>3</v>
      </c>
      <c r="O224" s="13">
        <v>2</v>
      </c>
      <c r="P224" s="13">
        <f>ROUND(Source!DJ210,O224)</f>
        <v>18822.03</v>
      </c>
      <c r="Q224" s="13"/>
      <c r="R224" s="13"/>
      <c r="S224" s="13"/>
      <c r="T224" s="13"/>
      <c r="U224" s="13"/>
      <c r="V224" s="13"/>
      <c r="W224" s="13">
        <v>334.02</v>
      </c>
      <c r="X224" s="13">
        <v>1</v>
      </c>
      <c r="Y224" s="13">
        <v>334.02</v>
      </c>
      <c r="Z224" s="13">
        <v>18822.03</v>
      </c>
      <c r="AA224" s="13">
        <v>1</v>
      </c>
      <c r="AB224" s="13">
        <v>18822.03</v>
      </c>
    </row>
    <row r="225" spans="1:206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205</v>
      </c>
      <c r="F225" s="13">
        <f>ROUND(Source!S210,O225)</f>
        <v>13711.99</v>
      </c>
      <c r="G225" s="13" t="s">
        <v>113</v>
      </c>
      <c r="H225" s="13" t="s">
        <v>114</v>
      </c>
      <c r="I225" s="13"/>
      <c r="J225" s="13"/>
      <c r="K225" s="13">
        <v>205</v>
      </c>
      <c r="L225" s="13">
        <v>14</v>
      </c>
      <c r="M225" s="13">
        <v>3</v>
      </c>
      <c r="N225" s="13" t="s">
        <v>3</v>
      </c>
      <c r="O225" s="13">
        <v>2</v>
      </c>
      <c r="P225" s="13">
        <f>ROUND(Source!DK210,O225)</f>
        <v>772670.63</v>
      </c>
      <c r="Q225" s="13"/>
      <c r="R225" s="13"/>
      <c r="S225" s="13"/>
      <c r="T225" s="13"/>
      <c r="U225" s="13"/>
      <c r="V225" s="13"/>
      <c r="W225" s="13">
        <v>13711.99</v>
      </c>
      <c r="X225" s="13">
        <v>1</v>
      </c>
      <c r="Y225" s="13">
        <v>13711.99</v>
      </c>
      <c r="Z225" s="13">
        <v>772670.63</v>
      </c>
      <c r="AA225" s="13">
        <v>1</v>
      </c>
      <c r="AB225" s="13">
        <v>772670.63</v>
      </c>
    </row>
    <row r="226" spans="1:206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232</v>
      </c>
      <c r="F226" s="13">
        <f>ROUND(Source!BC210,O226)</f>
        <v>0</v>
      </c>
      <c r="G226" s="13" t="s">
        <v>115</v>
      </c>
      <c r="H226" s="13" t="s">
        <v>116</v>
      </c>
      <c r="I226" s="13"/>
      <c r="J226" s="13"/>
      <c r="K226" s="13">
        <v>232</v>
      </c>
      <c r="L226" s="13">
        <v>15</v>
      </c>
      <c r="M226" s="13">
        <v>3</v>
      </c>
      <c r="N226" s="13" t="s">
        <v>3</v>
      </c>
      <c r="O226" s="13">
        <v>2</v>
      </c>
      <c r="P226" s="13">
        <f>ROUND(Source!EU210,O226)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06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214</v>
      </c>
      <c r="F227" s="13">
        <f>ROUND(Source!AS210,O227)</f>
        <v>188.29</v>
      </c>
      <c r="G227" s="13" t="s">
        <v>117</v>
      </c>
      <c r="H227" s="13" t="s">
        <v>118</v>
      </c>
      <c r="I227" s="13"/>
      <c r="J227" s="13"/>
      <c r="K227" s="13">
        <v>214</v>
      </c>
      <c r="L227" s="13">
        <v>16</v>
      </c>
      <c r="M227" s="13">
        <v>3</v>
      </c>
      <c r="N227" s="13" t="s">
        <v>3</v>
      </c>
      <c r="O227" s="13">
        <v>2</v>
      </c>
      <c r="P227" s="13">
        <f>ROUND(Source!EK210,O227)</f>
        <v>1852.77</v>
      </c>
      <c r="Q227" s="13"/>
      <c r="R227" s="13"/>
      <c r="S227" s="13"/>
      <c r="T227" s="13"/>
      <c r="U227" s="13"/>
      <c r="V227" s="13"/>
      <c r="W227" s="13">
        <v>188.29</v>
      </c>
      <c r="X227" s="13">
        <v>1</v>
      </c>
      <c r="Y227" s="13">
        <v>188.29</v>
      </c>
      <c r="Z227" s="13">
        <v>1852.77</v>
      </c>
      <c r="AA227" s="13">
        <v>1</v>
      </c>
      <c r="AB227" s="13">
        <v>1852.77</v>
      </c>
    </row>
    <row r="228" spans="1:206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215</v>
      </c>
      <c r="F228" s="13">
        <f>ROUND(Source!AT210,O228)</f>
        <v>86214.76</v>
      </c>
      <c r="G228" s="13" t="s">
        <v>119</v>
      </c>
      <c r="H228" s="13" t="s">
        <v>120</v>
      </c>
      <c r="I228" s="13"/>
      <c r="J228" s="13"/>
      <c r="K228" s="13">
        <v>215</v>
      </c>
      <c r="L228" s="13">
        <v>17</v>
      </c>
      <c r="M228" s="13">
        <v>3</v>
      </c>
      <c r="N228" s="13" t="s">
        <v>3</v>
      </c>
      <c r="O228" s="13">
        <v>2</v>
      </c>
      <c r="P228" s="13">
        <f>ROUND(Source!EL210,O228)</f>
        <v>2452100.19</v>
      </c>
      <c r="Q228" s="13"/>
      <c r="R228" s="13"/>
      <c r="S228" s="13"/>
      <c r="T228" s="13"/>
      <c r="U228" s="13"/>
      <c r="V228" s="13"/>
      <c r="W228" s="13">
        <v>86214.76</v>
      </c>
      <c r="X228" s="13">
        <v>1</v>
      </c>
      <c r="Y228" s="13">
        <v>86214.76</v>
      </c>
      <c r="Z228" s="13">
        <v>2452100.19</v>
      </c>
      <c r="AA228" s="13">
        <v>1</v>
      </c>
      <c r="AB228" s="13">
        <v>2452100.19</v>
      </c>
    </row>
    <row r="229" spans="1:206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217</v>
      </c>
      <c r="F229" s="13">
        <f>ROUND(Source!AU210,O229)</f>
        <v>0</v>
      </c>
      <c r="G229" s="13" t="s">
        <v>121</v>
      </c>
      <c r="H229" s="13" t="s">
        <v>122</v>
      </c>
      <c r="I229" s="13"/>
      <c r="J229" s="13"/>
      <c r="K229" s="13">
        <v>217</v>
      </c>
      <c r="L229" s="13">
        <v>18</v>
      </c>
      <c r="M229" s="13">
        <v>3</v>
      </c>
      <c r="N229" s="13" t="s">
        <v>3</v>
      </c>
      <c r="O229" s="13">
        <v>2</v>
      </c>
      <c r="P229" s="13">
        <f>ROUND(Source!EM210,O229)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06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230</v>
      </c>
      <c r="F230" s="13">
        <f>ROUND(Source!BA210,O230)</f>
        <v>0</v>
      </c>
      <c r="G230" s="13" t="s">
        <v>123</v>
      </c>
      <c r="H230" s="13" t="s">
        <v>124</v>
      </c>
      <c r="I230" s="13"/>
      <c r="J230" s="13"/>
      <c r="K230" s="13">
        <v>230</v>
      </c>
      <c r="L230" s="13">
        <v>19</v>
      </c>
      <c r="M230" s="13">
        <v>3</v>
      </c>
      <c r="N230" s="13" t="s">
        <v>3</v>
      </c>
      <c r="O230" s="13">
        <v>2</v>
      </c>
      <c r="P230" s="13">
        <f>ROUND(Source!ES210,O230)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06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206</v>
      </c>
      <c r="F231" s="13">
        <f>ROUND(Source!T210,O231)</f>
        <v>0</v>
      </c>
      <c r="G231" s="13" t="s">
        <v>125</v>
      </c>
      <c r="H231" s="13" t="s">
        <v>126</v>
      </c>
      <c r="I231" s="13"/>
      <c r="J231" s="13"/>
      <c r="K231" s="13">
        <v>206</v>
      </c>
      <c r="L231" s="13">
        <v>20</v>
      </c>
      <c r="M231" s="13">
        <v>3</v>
      </c>
      <c r="N231" s="13" t="s">
        <v>3</v>
      </c>
      <c r="O231" s="13">
        <v>2</v>
      </c>
      <c r="P231" s="13">
        <f>ROUND(Source!DL210,O231)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06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207</v>
      </c>
      <c r="F232" s="13">
        <f>Source!U210</f>
        <v>1081.3327214400001</v>
      </c>
      <c r="G232" s="13" t="s">
        <v>127</v>
      </c>
      <c r="H232" s="13" t="s">
        <v>128</v>
      </c>
      <c r="I232" s="13"/>
      <c r="J232" s="13"/>
      <c r="K232" s="13">
        <v>207</v>
      </c>
      <c r="L232" s="13">
        <v>21</v>
      </c>
      <c r="M232" s="13">
        <v>3</v>
      </c>
      <c r="N232" s="13" t="s">
        <v>3</v>
      </c>
      <c r="O232" s="13">
        <v>-1</v>
      </c>
      <c r="P232" s="13">
        <f>Source!DM210</f>
        <v>1081.3327214400001</v>
      </c>
      <c r="Q232" s="13"/>
      <c r="R232" s="13"/>
      <c r="S232" s="13"/>
      <c r="T232" s="13"/>
      <c r="U232" s="13"/>
      <c r="V232" s="13"/>
      <c r="W232" s="13">
        <v>1081.3327214400001</v>
      </c>
      <c r="X232" s="13">
        <v>1</v>
      </c>
      <c r="Y232" s="13">
        <v>1081.3327214400001</v>
      </c>
      <c r="Z232" s="13">
        <v>1081.3327214400001</v>
      </c>
      <c r="AA232" s="13">
        <v>1</v>
      </c>
      <c r="AB232" s="13">
        <v>1081.3327214400001</v>
      </c>
    </row>
    <row r="233" spans="1:206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208</v>
      </c>
      <c r="F233" s="13">
        <f>Source!V210</f>
        <v>0</v>
      </c>
      <c r="G233" s="13" t="s">
        <v>129</v>
      </c>
      <c r="H233" s="13" t="s">
        <v>130</v>
      </c>
      <c r="I233" s="13"/>
      <c r="J233" s="13"/>
      <c r="K233" s="13">
        <v>208</v>
      </c>
      <c r="L233" s="13">
        <v>22</v>
      </c>
      <c r="M233" s="13">
        <v>3</v>
      </c>
      <c r="N233" s="13" t="s">
        <v>3</v>
      </c>
      <c r="O233" s="13">
        <v>-1</v>
      </c>
      <c r="P233" s="13">
        <f>Source!DN210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06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209</v>
      </c>
      <c r="F234" s="13">
        <f>ROUND(Source!W210,O234)</f>
        <v>0</v>
      </c>
      <c r="G234" s="13" t="s">
        <v>131</v>
      </c>
      <c r="H234" s="13" t="s">
        <v>132</v>
      </c>
      <c r="I234" s="13"/>
      <c r="J234" s="13"/>
      <c r="K234" s="13">
        <v>209</v>
      </c>
      <c r="L234" s="13">
        <v>23</v>
      </c>
      <c r="M234" s="13">
        <v>3</v>
      </c>
      <c r="N234" s="13" t="s">
        <v>3</v>
      </c>
      <c r="O234" s="13">
        <v>2</v>
      </c>
      <c r="P234" s="13">
        <f>ROUND(Source!DO210,O234)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06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233</v>
      </c>
      <c r="F235" s="13">
        <f>ROUND(Source!BD210,O235)</f>
        <v>0</v>
      </c>
      <c r="G235" s="13" t="s">
        <v>133</v>
      </c>
      <c r="H235" s="13" t="s">
        <v>134</v>
      </c>
      <c r="I235" s="13"/>
      <c r="J235" s="13"/>
      <c r="K235" s="13">
        <v>233</v>
      </c>
      <c r="L235" s="13">
        <v>24</v>
      </c>
      <c r="M235" s="13">
        <v>3</v>
      </c>
      <c r="N235" s="13" t="s">
        <v>3</v>
      </c>
      <c r="O235" s="13">
        <v>2</v>
      </c>
      <c r="P235" s="13">
        <f>ROUND(Source!EV210,O235)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06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210</v>
      </c>
      <c r="F236" s="13">
        <f>ROUND(Source!X210,O236)</f>
        <v>13624.63</v>
      </c>
      <c r="G236" s="13" t="s">
        <v>135</v>
      </c>
      <c r="H236" s="13" t="s">
        <v>136</v>
      </c>
      <c r="I236" s="13"/>
      <c r="J236" s="13"/>
      <c r="K236" s="13">
        <v>210</v>
      </c>
      <c r="L236" s="13">
        <v>25</v>
      </c>
      <c r="M236" s="13">
        <v>3</v>
      </c>
      <c r="N236" s="13" t="s">
        <v>3</v>
      </c>
      <c r="O236" s="13">
        <v>2</v>
      </c>
      <c r="P236" s="13">
        <f>ROUND(Source!DP210,O236)</f>
        <v>767747.88</v>
      </c>
      <c r="Q236" s="13"/>
      <c r="R236" s="13"/>
      <c r="S236" s="13"/>
      <c r="T236" s="13"/>
      <c r="U236" s="13"/>
      <c r="V236" s="13"/>
      <c r="W236" s="13">
        <v>13624.63</v>
      </c>
      <c r="X236" s="13">
        <v>1</v>
      </c>
      <c r="Y236" s="13">
        <v>13624.63</v>
      </c>
      <c r="Z236" s="13">
        <v>767747.88</v>
      </c>
      <c r="AA236" s="13">
        <v>1</v>
      </c>
      <c r="AB236" s="13">
        <v>767747.88</v>
      </c>
    </row>
    <row r="237" spans="1:206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211</v>
      </c>
      <c r="F237" s="13">
        <f>ROUND(Source!Y210,O237)</f>
        <v>7163.46</v>
      </c>
      <c r="G237" s="13" t="s">
        <v>137</v>
      </c>
      <c r="H237" s="13" t="s">
        <v>138</v>
      </c>
      <c r="I237" s="13"/>
      <c r="J237" s="13"/>
      <c r="K237" s="13">
        <v>211</v>
      </c>
      <c r="L237" s="13">
        <v>26</v>
      </c>
      <c r="M237" s="13">
        <v>3</v>
      </c>
      <c r="N237" s="13" t="s">
        <v>3</v>
      </c>
      <c r="O237" s="13">
        <v>2</v>
      </c>
      <c r="P237" s="13">
        <f>ROUND(Source!DQ210,O237)</f>
        <v>403661.26</v>
      </c>
      <c r="Q237" s="13"/>
      <c r="R237" s="13"/>
      <c r="S237" s="13"/>
      <c r="T237" s="13"/>
      <c r="U237" s="13"/>
      <c r="V237" s="13"/>
      <c r="W237" s="13">
        <v>7163.46</v>
      </c>
      <c r="X237" s="13">
        <v>1</v>
      </c>
      <c r="Y237" s="13">
        <v>7163.46</v>
      </c>
      <c r="Z237" s="13">
        <v>403661.26</v>
      </c>
      <c r="AA237" s="13">
        <v>1</v>
      </c>
      <c r="AB237" s="13">
        <v>403661.26</v>
      </c>
    </row>
    <row r="238" spans="1:206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224</v>
      </c>
      <c r="F238" s="13">
        <f>ROUND(Source!AR210,O238)</f>
        <v>86403.05</v>
      </c>
      <c r="G238" s="13" t="s">
        <v>139</v>
      </c>
      <c r="H238" s="13" t="s">
        <v>140</v>
      </c>
      <c r="I238" s="13"/>
      <c r="J238" s="13"/>
      <c r="K238" s="13">
        <v>224</v>
      </c>
      <c r="L238" s="13">
        <v>27</v>
      </c>
      <c r="M238" s="13">
        <v>3</v>
      </c>
      <c r="N238" s="13" t="s">
        <v>3</v>
      </c>
      <c r="O238" s="13">
        <v>2</v>
      </c>
      <c r="P238" s="13">
        <f>ROUND(Source!EJ210,O238)</f>
        <v>2453952.96</v>
      </c>
      <c r="Q238" s="13"/>
      <c r="R238" s="13"/>
      <c r="S238" s="13"/>
      <c r="T238" s="13"/>
      <c r="U238" s="13"/>
      <c r="V238" s="13"/>
      <c r="W238" s="13">
        <v>86403.05</v>
      </c>
      <c r="X238" s="13">
        <v>1</v>
      </c>
      <c r="Y238" s="13">
        <v>86403.05</v>
      </c>
      <c r="Z238" s="13">
        <v>2453952.96</v>
      </c>
      <c r="AA238" s="13">
        <v>1</v>
      </c>
      <c r="AB238" s="13">
        <v>2453952.96</v>
      </c>
    </row>
    <row r="240" spans="1:206" x14ac:dyDescent="0.2">
      <c r="A240" s="11">
        <v>51</v>
      </c>
      <c r="B240" s="11">
        <f>B20</f>
        <v>1</v>
      </c>
      <c r="C240" s="11">
        <f>A20</f>
        <v>3</v>
      </c>
      <c r="D240" s="11">
        <f>ROW(A20)</f>
        <v>20</v>
      </c>
      <c r="E240" s="11"/>
      <c r="F240" s="11" t="str">
        <f>IF(F20&lt;&gt;"",F20,"")</f>
        <v>02-01-17</v>
      </c>
      <c r="G240" s="11" t="str">
        <f>IF(G20&lt;&gt;"",G20,"")</f>
        <v>Система двухсторонней связи</v>
      </c>
      <c r="H240" s="11">
        <v>0</v>
      </c>
      <c r="I240" s="11"/>
      <c r="J240" s="11"/>
      <c r="K240" s="11"/>
      <c r="L240" s="11"/>
      <c r="M240" s="11"/>
      <c r="N240" s="11"/>
      <c r="O240" s="11">
        <f t="shared" ref="O240:T240" si="194">ROUND(O49+O118+O161+O210+AB240,2)</f>
        <v>352743.35</v>
      </c>
      <c r="P240" s="11">
        <f t="shared" si="194"/>
        <v>312343.87</v>
      </c>
      <c r="Q240" s="11">
        <f t="shared" si="194"/>
        <v>2325.66</v>
      </c>
      <c r="R240" s="11">
        <f t="shared" si="194"/>
        <v>371</v>
      </c>
      <c r="S240" s="11">
        <f t="shared" si="194"/>
        <v>38073.82</v>
      </c>
      <c r="T240" s="11">
        <f t="shared" si="194"/>
        <v>0</v>
      </c>
      <c r="U240" s="11">
        <f>U49+U118+U161+U210+AH240</f>
        <v>3360.6184687199998</v>
      </c>
      <c r="V240" s="11">
        <f>V49+V118+V161+V210+AI240</f>
        <v>0</v>
      </c>
      <c r="W240" s="11">
        <f>ROUND(W49+W118+W161+W210+AJ240,2)</f>
        <v>0</v>
      </c>
      <c r="X240" s="11">
        <f>ROUND(X49+X118+X161+X210+AK240,2)</f>
        <v>35821.47</v>
      </c>
      <c r="Y240" s="11">
        <f>ROUND(Y49+Y118+Y161+Y210+AL240,2)</f>
        <v>18845.060000000001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>
        <f t="shared" ref="AO240:BD240" si="195">ROUND(AO49+AO118+AO161+AO210+BX240,2)</f>
        <v>0</v>
      </c>
      <c r="AP240" s="11">
        <f t="shared" si="195"/>
        <v>261256.46</v>
      </c>
      <c r="AQ240" s="11">
        <f t="shared" si="195"/>
        <v>0</v>
      </c>
      <c r="AR240" s="11">
        <f t="shared" si="195"/>
        <v>407409.88</v>
      </c>
      <c r="AS240" s="11">
        <f t="shared" si="195"/>
        <v>54177.39</v>
      </c>
      <c r="AT240" s="11">
        <f t="shared" si="195"/>
        <v>91976.03</v>
      </c>
      <c r="AU240" s="11">
        <f t="shared" si="195"/>
        <v>0</v>
      </c>
      <c r="AV240" s="11">
        <f t="shared" si="195"/>
        <v>312343.87</v>
      </c>
      <c r="AW240" s="11">
        <f t="shared" si="195"/>
        <v>51087.41</v>
      </c>
      <c r="AX240" s="11">
        <f t="shared" si="195"/>
        <v>0</v>
      </c>
      <c r="AY240" s="11">
        <f t="shared" si="195"/>
        <v>51087.41</v>
      </c>
      <c r="AZ240" s="11">
        <f t="shared" si="195"/>
        <v>261256.46</v>
      </c>
      <c r="BA240" s="11">
        <f t="shared" si="195"/>
        <v>0</v>
      </c>
      <c r="BB240" s="11">
        <f t="shared" si="195"/>
        <v>0</v>
      </c>
      <c r="BC240" s="11">
        <f t="shared" si="195"/>
        <v>0</v>
      </c>
      <c r="BD240" s="11">
        <f t="shared" si="195"/>
        <v>0</v>
      </c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2">
        <f t="shared" ref="DG240:DL240" si="196">ROUND(DG49+DG118+DG161+DG210+DT240,2)</f>
        <v>4651577.2</v>
      </c>
      <c r="DH240" s="12">
        <f t="shared" si="196"/>
        <v>2463997.9900000002</v>
      </c>
      <c r="DI240" s="12">
        <f t="shared" si="196"/>
        <v>42119.45</v>
      </c>
      <c r="DJ240" s="12">
        <f t="shared" si="196"/>
        <v>20905.87</v>
      </c>
      <c r="DK240" s="12">
        <f t="shared" si="196"/>
        <v>2145459.7599999998</v>
      </c>
      <c r="DL240" s="12">
        <f t="shared" si="196"/>
        <v>0</v>
      </c>
      <c r="DM240" s="12">
        <f>DM49+DM118+DM161+DM210+DZ240</f>
        <v>3360.6184687199998</v>
      </c>
      <c r="DN240" s="12">
        <f>DN49+DN118+DN161+DN210+EA240</f>
        <v>0</v>
      </c>
      <c r="DO240" s="12">
        <f>ROUND(DO49+DO118+DO161+DO210+EB240,2)</f>
        <v>0</v>
      </c>
      <c r="DP240" s="12">
        <f>ROUND(DP49+DP118+DP161+DP210+EC240,2)</f>
        <v>2018540.08</v>
      </c>
      <c r="DQ240" s="12">
        <f>ROUND(DQ49+DQ118+DQ161+DQ210+ED240,2)</f>
        <v>1061919.06</v>
      </c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>
        <f t="shared" ref="EG240:EV240" si="197">ROUND(EG49+EG118+EG161+EG210+FP240,2)</f>
        <v>0</v>
      </c>
      <c r="EH240" s="12">
        <f t="shared" si="197"/>
        <v>1979674.05</v>
      </c>
      <c r="EI240" s="12">
        <f t="shared" si="197"/>
        <v>0</v>
      </c>
      <c r="EJ240" s="12">
        <f t="shared" si="197"/>
        <v>7732036.3399999999</v>
      </c>
      <c r="EK240" s="12">
        <f t="shared" si="197"/>
        <v>3001073.24</v>
      </c>
      <c r="EL240" s="12">
        <f t="shared" si="197"/>
        <v>2751289.05</v>
      </c>
      <c r="EM240" s="12">
        <f t="shared" si="197"/>
        <v>0</v>
      </c>
      <c r="EN240" s="12">
        <f t="shared" si="197"/>
        <v>2463997.9900000002</v>
      </c>
      <c r="EO240" s="12">
        <f t="shared" si="197"/>
        <v>484323.94</v>
      </c>
      <c r="EP240" s="12">
        <f t="shared" si="197"/>
        <v>0</v>
      </c>
      <c r="EQ240" s="12">
        <f t="shared" si="197"/>
        <v>484323.94</v>
      </c>
      <c r="ER240" s="12">
        <f t="shared" si="197"/>
        <v>1979674.05</v>
      </c>
      <c r="ES240" s="12">
        <f t="shared" si="197"/>
        <v>0</v>
      </c>
      <c r="ET240" s="12">
        <f t="shared" si="197"/>
        <v>0</v>
      </c>
      <c r="EU240" s="12">
        <f t="shared" si="197"/>
        <v>0</v>
      </c>
      <c r="EV240" s="12">
        <f t="shared" si="197"/>
        <v>0</v>
      </c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>
        <v>0</v>
      </c>
    </row>
    <row r="242" spans="1:28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201</v>
      </c>
      <c r="F242" s="13">
        <f>ROUND(Source!O240,O242)</f>
        <v>352743.35</v>
      </c>
      <c r="G242" s="13" t="s">
        <v>87</v>
      </c>
      <c r="H242" s="13" t="s">
        <v>88</v>
      </c>
      <c r="I242" s="13"/>
      <c r="J242" s="13"/>
      <c r="K242" s="13">
        <v>201</v>
      </c>
      <c r="L242" s="13">
        <v>1</v>
      </c>
      <c r="M242" s="13">
        <v>3</v>
      </c>
      <c r="N242" s="13" t="s">
        <v>3</v>
      </c>
      <c r="O242" s="13">
        <v>2</v>
      </c>
      <c r="P242" s="13">
        <f>ROUND(Source!DG240,O242)</f>
        <v>4651577.2</v>
      </c>
      <c r="Q242" s="13"/>
      <c r="R242" s="13"/>
      <c r="S242" s="13"/>
      <c r="T242" s="13"/>
      <c r="U242" s="13"/>
      <c r="V242" s="13"/>
      <c r="W242" s="13">
        <v>352743.35</v>
      </c>
      <c r="X242" s="13">
        <v>1</v>
      </c>
      <c r="Y242" s="13">
        <v>352743.35</v>
      </c>
      <c r="Z242" s="13">
        <v>4651577.2</v>
      </c>
      <c r="AA242" s="13">
        <v>1</v>
      </c>
      <c r="AB242" s="13">
        <v>4651577.2</v>
      </c>
    </row>
    <row r="243" spans="1:28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202</v>
      </c>
      <c r="F243" s="13">
        <f>ROUND(Source!P240,O243)</f>
        <v>312343.87</v>
      </c>
      <c r="G243" s="13" t="s">
        <v>89</v>
      </c>
      <c r="H243" s="13" t="s">
        <v>90</v>
      </c>
      <c r="I243" s="13"/>
      <c r="J243" s="13"/>
      <c r="K243" s="13">
        <v>202</v>
      </c>
      <c r="L243" s="13">
        <v>2</v>
      </c>
      <c r="M243" s="13">
        <v>3</v>
      </c>
      <c r="N243" s="13" t="s">
        <v>3</v>
      </c>
      <c r="O243" s="13">
        <v>2</v>
      </c>
      <c r="P243" s="13">
        <f>ROUND(Source!DH240,O243)</f>
        <v>2463997.9900000002</v>
      </c>
      <c r="Q243" s="13"/>
      <c r="R243" s="13"/>
      <c r="S243" s="13"/>
      <c r="T243" s="13"/>
      <c r="U243" s="13"/>
      <c r="V243" s="13"/>
      <c r="W243" s="13">
        <v>312343.87</v>
      </c>
      <c r="X243" s="13">
        <v>1</v>
      </c>
      <c r="Y243" s="13">
        <v>312343.87</v>
      </c>
      <c r="Z243" s="13">
        <v>2463997.9900000002</v>
      </c>
      <c r="AA243" s="13">
        <v>1</v>
      </c>
      <c r="AB243" s="13">
        <v>2463997.9900000002</v>
      </c>
    </row>
    <row r="244" spans="1:28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222</v>
      </c>
      <c r="F244" s="13">
        <f>ROUND(Source!AO240,O244)</f>
        <v>0</v>
      </c>
      <c r="G244" s="13" t="s">
        <v>91</v>
      </c>
      <c r="H244" s="13" t="s">
        <v>92</v>
      </c>
      <c r="I244" s="13"/>
      <c r="J244" s="13"/>
      <c r="K244" s="13">
        <v>222</v>
      </c>
      <c r="L244" s="13">
        <v>3</v>
      </c>
      <c r="M244" s="13">
        <v>3</v>
      </c>
      <c r="N244" s="13" t="s">
        <v>3</v>
      </c>
      <c r="O244" s="13">
        <v>2</v>
      </c>
      <c r="P244" s="13">
        <f>ROUND(Source!EG240,O244)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8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225</v>
      </c>
      <c r="F245" s="13">
        <f>ROUND(Source!AV240,O245)</f>
        <v>312343.87</v>
      </c>
      <c r="G245" s="13" t="s">
        <v>93</v>
      </c>
      <c r="H245" s="13" t="s">
        <v>94</v>
      </c>
      <c r="I245" s="13"/>
      <c r="J245" s="13"/>
      <c r="K245" s="13">
        <v>225</v>
      </c>
      <c r="L245" s="13">
        <v>4</v>
      </c>
      <c r="M245" s="13">
        <v>3</v>
      </c>
      <c r="N245" s="13" t="s">
        <v>3</v>
      </c>
      <c r="O245" s="13">
        <v>2</v>
      </c>
      <c r="P245" s="13">
        <f>ROUND(Source!EN240,O245)</f>
        <v>2463997.9900000002</v>
      </c>
      <c r="Q245" s="13"/>
      <c r="R245" s="13"/>
      <c r="S245" s="13"/>
      <c r="T245" s="13"/>
      <c r="U245" s="13"/>
      <c r="V245" s="13"/>
      <c r="W245" s="13">
        <v>312343.87</v>
      </c>
      <c r="X245" s="13">
        <v>1</v>
      </c>
      <c r="Y245" s="13">
        <v>312343.87</v>
      </c>
      <c r="Z245" s="13">
        <v>2463997.9900000002</v>
      </c>
      <c r="AA245" s="13">
        <v>1</v>
      </c>
      <c r="AB245" s="13">
        <v>2463997.9900000002</v>
      </c>
    </row>
    <row r="246" spans="1:28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226</v>
      </c>
      <c r="F246" s="13">
        <f>ROUND(Source!AW240,O246)</f>
        <v>51087.41</v>
      </c>
      <c r="G246" s="13" t="s">
        <v>95</v>
      </c>
      <c r="H246" s="13" t="s">
        <v>96</v>
      </c>
      <c r="I246" s="13"/>
      <c r="J246" s="13"/>
      <c r="K246" s="13">
        <v>226</v>
      </c>
      <c r="L246" s="13">
        <v>5</v>
      </c>
      <c r="M246" s="13">
        <v>3</v>
      </c>
      <c r="N246" s="13" t="s">
        <v>3</v>
      </c>
      <c r="O246" s="13">
        <v>2</v>
      </c>
      <c r="P246" s="13">
        <f>ROUND(Source!EO240,O246)</f>
        <v>484323.94</v>
      </c>
      <c r="Q246" s="13"/>
      <c r="R246" s="13"/>
      <c r="S246" s="13"/>
      <c r="T246" s="13"/>
      <c r="U246" s="13"/>
      <c r="V246" s="13"/>
      <c r="W246" s="13">
        <v>51087.41</v>
      </c>
      <c r="X246" s="13">
        <v>1</v>
      </c>
      <c r="Y246" s="13">
        <v>51087.41</v>
      </c>
      <c r="Z246" s="13">
        <v>484323.94</v>
      </c>
      <c r="AA246" s="13">
        <v>1</v>
      </c>
      <c r="AB246" s="13">
        <v>484323.94</v>
      </c>
    </row>
    <row r="247" spans="1:28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227</v>
      </c>
      <c r="F247" s="13">
        <f>ROUND(Source!AX240,O247)</f>
        <v>0</v>
      </c>
      <c r="G247" s="13" t="s">
        <v>97</v>
      </c>
      <c r="H247" s="13" t="s">
        <v>98</v>
      </c>
      <c r="I247" s="13"/>
      <c r="J247" s="13"/>
      <c r="K247" s="13">
        <v>227</v>
      </c>
      <c r="L247" s="13">
        <v>6</v>
      </c>
      <c r="M247" s="13">
        <v>3</v>
      </c>
      <c r="N247" s="13" t="s">
        <v>3</v>
      </c>
      <c r="O247" s="13">
        <v>2</v>
      </c>
      <c r="P247" s="13">
        <f>ROUND(Source!EP240,O247)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x14ac:dyDescent="0.2">
      <c r="A248" s="13">
        <v>50</v>
      </c>
      <c r="B248" s="13">
        <v>0</v>
      </c>
      <c r="C248" s="13">
        <v>0</v>
      </c>
      <c r="D248" s="13">
        <v>1</v>
      </c>
      <c r="E248" s="13">
        <v>228</v>
      </c>
      <c r="F248" s="13">
        <f>ROUND(Source!AY240,O248)</f>
        <v>51087.41</v>
      </c>
      <c r="G248" s="13" t="s">
        <v>99</v>
      </c>
      <c r="H248" s="13" t="s">
        <v>100</v>
      </c>
      <c r="I248" s="13"/>
      <c r="J248" s="13"/>
      <c r="K248" s="13">
        <v>228</v>
      </c>
      <c r="L248" s="13">
        <v>7</v>
      </c>
      <c r="M248" s="13">
        <v>3</v>
      </c>
      <c r="N248" s="13" t="s">
        <v>3</v>
      </c>
      <c r="O248" s="13">
        <v>2</v>
      </c>
      <c r="P248" s="13">
        <f>ROUND(Source!EQ240,O248)</f>
        <v>484323.94</v>
      </c>
      <c r="Q248" s="13"/>
      <c r="R248" s="13"/>
      <c r="S248" s="13"/>
      <c r="T248" s="13"/>
      <c r="U248" s="13"/>
      <c r="V248" s="13"/>
      <c r="W248" s="13">
        <v>51087.41</v>
      </c>
      <c r="X248" s="13">
        <v>1</v>
      </c>
      <c r="Y248" s="13">
        <v>51087.41</v>
      </c>
      <c r="Z248" s="13">
        <v>484323.94</v>
      </c>
      <c r="AA248" s="13">
        <v>1</v>
      </c>
      <c r="AB248" s="13">
        <v>484323.94</v>
      </c>
    </row>
    <row r="249" spans="1:28" x14ac:dyDescent="0.2">
      <c r="A249" s="13">
        <v>50</v>
      </c>
      <c r="B249" s="13">
        <v>0</v>
      </c>
      <c r="C249" s="13">
        <v>0</v>
      </c>
      <c r="D249" s="13">
        <v>1</v>
      </c>
      <c r="E249" s="13">
        <v>216</v>
      </c>
      <c r="F249" s="13">
        <f>ROUND(Source!AP240,O249)</f>
        <v>261256.46</v>
      </c>
      <c r="G249" s="13" t="s">
        <v>101</v>
      </c>
      <c r="H249" s="13" t="s">
        <v>102</v>
      </c>
      <c r="I249" s="13"/>
      <c r="J249" s="13"/>
      <c r="K249" s="13">
        <v>216</v>
      </c>
      <c r="L249" s="13">
        <v>8</v>
      </c>
      <c r="M249" s="13">
        <v>3</v>
      </c>
      <c r="N249" s="13" t="s">
        <v>3</v>
      </c>
      <c r="O249" s="13">
        <v>2</v>
      </c>
      <c r="P249" s="13">
        <f>ROUND(Source!EH240,O249)</f>
        <v>1979674.05</v>
      </c>
      <c r="Q249" s="13"/>
      <c r="R249" s="13"/>
      <c r="S249" s="13"/>
      <c r="T249" s="13"/>
      <c r="U249" s="13"/>
      <c r="V249" s="13"/>
      <c r="W249" s="13">
        <v>261256.46</v>
      </c>
      <c r="X249" s="13">
        <v>1</v>
      </c>
      <c r="Y249" s="13">
        <v>261256.46</v>
      </c>
      <c r="Z249" s="13">
        <v>1979674.05</v>
      </c>
      <c r="AA249" s="13">
        <v>1</v>
      </c>
      <c r="AB249" s="13">
        <v>1979674.05</v>
      </c>
    </row>
    <row r="250" spans="1:28" x14ac:dyDescent="0.2">
      <c r="A250" s="13">
        <v>50</v>
      </c>
      <c r="B250" s="13">
        <v>0</v>
      </c>
      <c r="C250" s="13">
        <v>0</v>
      </c>
      <c r="D250" s="13">
        <v>1</v>
      </c>
      <c r="E250" s="13">
        <v>223</v>
      </c>
      <c r="F250" s="13">
        <f>ROUND(Source!AQ240,O250)</f>
        <v>0</v>
      </c>
      <c r="G250" s="13" t="s">
        <v>103</v>
      </c>
      <c r="H250" s="13" t="s">
        <v>104</v>
      </c>
      <c r="I250" s="13"/>
      <c r="J250" s="13"/>
      <c r="K250" s="13">
        <v>223</v>
      </c>
      <c r="L250" s="13">
        <v>9</v>
      </c>
      <c r="M250" s="13">
        <v>3</v>
      </c>
      <c r="N250" s="13" t="s">
        <v>3</v>
      </c>
      <c r="O250" s="13">
        <v>2</v>
      </c>
      <c r="P250" s="13">
        <f>ROUND(Source!EI240,O250)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x14ac:dyDescent="0.2">
      <c r="A251" s="13">
        <v>50</v>
      </c>
      <c r="B251" s="13">
        <v>0</v>
      </c>
      <c r="C251" s="13">
        <v>0</v>
      </c>
      <c r="D251" s="13">
        <v>1</v>
      </c>
      <c r="E251" s="13">
        <v>229</v>
      </c>
      <c r="F251" s="13">
        <f>ROUND(Source!AZ240,O251)</f>
        <v>261256.46</v>
      </c>
      <c r="G251" s="13" t="s">
        <v>105</v>
      </c>
      <c r="H251" s="13" t="s">
        <v>106</v>
      </c>
      <c r="I251" s="13"/>
      <c r="J251" s="13"/>
      <c r="K251" s="13">
        <v>229</v>
      </c>
      <c r="L251" s="13">
        <v>10</v>
      </c>
      <c r="M251" s="13">
        <v>3</v>
      </c>
      <c r="N251" s="13" t="s">
        <v>3</v>
      </c>
      <c r="O251" s="13">
        <v>2</v>
      </c>
      <c r="P251" s="13">
        <f>ROUND(Source!ER240,O251)</f>
        <v>1979674.05</v>
      </c>
      <c r="Q251" s="13"/>
      <c r="R251" s="13"/>
      <c r="S251" s="13"/>
      <c r="T251" s="13"/>
      <c r="U251" s="13"/>
      <c r="V251" s="13"/>
      <c r="W251" s="13">
        <v>261256.46</v>
      </c>
      <c r="X251" s="13">
        <v>1</v>
      </c>
      <c r="Y251" s="13">
        <v>261256.46</v>
      </c>
      <c r="Z251" s="13">
        <v>1979674.05</v>
      </c>
      <c r="AA251" s="13">
        <v>1</v>
      </c>
      <c r="AB251" s="13">
        <v>1979674.05</v>
      </c>
    </row>
    <row r="252" spans="1:28" x14ac:dyDescent="0.2">
      <c r="A252" s="13">
        <v>50</v>
      </c>
      <c r="B252" s="13">
        <v>0</v>
      </c>
      <c r="C252" s="13">
        <v>0</v>
      </c>
      <c r="D252" s="13">
        <v>1</v>
      </c>
      <c r="E252" s="13">
        <v>203</v>
      </c>
      <c r="F252" s="13">
        <f>ROUND(Source!Q240,O252)</f>
        <v>2325.66</v>
      </c>
      <c r="G252" s="13" t="s">
        <v>107</v>
      </c>
      <c r="H252" s="13" t="s">
        <v>108</v>
      </c>
      <c r="I252" s="13"/>
      <c r="J252" s="13"/>
      <c r="K252" s="13">
        <v>203</v>
      </c>
      <c r="L252" s="13">
        <v>11</v>
      </c>
      <c r="M252" s="13">
        <v>3</v>
      </c>
      <c r="N252" s="13" t="s">
        <v>3</v>
      </c>
      <c r="O252" s="13">
        <v>2</v>
      </c>
      <c r="P252" s="13">
        <f>ROUND(Source!DI240,O252)</f>
        <v>42119.45</v>
      </c>
      <c r="Q252" s="13"/>
      <c r="R252" s="13"/>
      <c r="S252" s="13"/>
      <c r="T252" s="13"/>
      <c r="U252" s="13"/>
      <c r="V252" s="13"/>
      <c r="W252" s="13">
        <v>2325.66</v>
      </c>
      <c r="X252" s="13">
        <v>1</v>
      </c>
      <c r="Y252" s="13">
        <v>2325.66</v>
      </c>
      <c r="Z252" s="13">
        <v>42119.45</v>
      </c>
      <c r="AA252" s="13">
        <v>1</v>
      </c>
      <c r="AB252" s="13">
        <v>42119.45</v>
      </c>
    </row>
    <row r="253" spans="1:28" x14ac:dyDescent="0.2">
      <c r="A253" s="13">
        <v>50</v>
      </c>
      <c r="B253" s="13">
        <v>0</v>
      </c>
      <c r="C253" s="13">
        <v>0</v>
      </c>
      <c r="D253" s="13">
        <v>1</v>
      </c>
      <c r="E253" s="13">
        <v>231</v>
      </c>
      <c r="F253" s="13">
        <f>ROUND(Source!BB240,O253)</f>
        <v>0</v>
      </c>
      <c r="G253" s="13" t="s">
        <v>109</v>
      </c>
      <c r="H253" s="13" t="s">
        <v>110</v>
      </c>
      <c r="I253" s="13"/>
      <c r="J253" s="13"/>
      <c r="K253" s="13">
        <v>231</v>
      </c>
      <c r="L253" s="13">
        <v>12</v>
      </c>
      <c r="M253" s="13">
        <v>3</v>
      </c>
      <c r="N253" s="13" t="s">
        <v>3</v>
      </c>
      <c r="O253" s="13">
        <v>2</v>
      </c>
      <c r="P253" s="13">
        <f>ROUND(Source!ET240,O253)</f>
        <v>0</v>
      </c>
      <c r="Q253" s="13"/>
      <c r="R253" s="13"/>
      <c r="S253" s="13"/>
      <c r="T253" s="13"/>
      <c r="U253" s="13"/>
      <c r="V253" s="13"/>
      <c r="W253" s="13">
        <v>0</v>
      </c>
      <c r="X253" s="13">
        <v>1</v>
      </c>
      <c r="Y253" s="13">
        <v>0</v>
      </c>
      <c r="Z253" s="13">
        <v>0</v>
      </c>
      <c r="AA253" s="13">
        <v>1</v>
      </c>
      <c r="AB253" s="13">
        <v>0</v>
      </c>
    </row>
    <row r="254" spans="1:28" x14ac:dyDescent="0.2">
      <c r="A254" s="13">
        <v>50</v>
      </c>
      <c r="B254" s="13">
        <v>0</v>
      </c>
      <c r="C254" s="13">
        <v>0</v>
      </c>
      <c r="D254" s="13">
        <v>1</v>
      </c>
      <c r="E254" s="13">
        <v>204</v>
      </c>
      <c r="F254" s="13">
        <f>ROUND(Source!R240,O254)</f>
        <v>371</v>
      </c>
      <c r="G254" s="13" t="s">
        <v>111</v>
      </c>
      <c r="H254" s="13" t="s">
        <v>112</v>
      </c>
      <c r="I254" s="13"/>
      <c r="J254" s="13"/>
      <c r="K254" s="13">
        <v>204</v>
      </c>
      <c r="L254" s="13">
        <v>13</v>
      </c>
      <c r="M254" s="13">
        <v>3</v>
      </c>
      <c r="N254" s="13" t="s">
        <v>3</v>
      </c>
      <c r="O254" s="13">
        <v>2</v>
      </c>
      <c r="P254" s="13">
        <f>ROUND(Source!DJ240,O254)</f>
        <v>20905.87</v>
      </c>
      <c r="Q254" s="13"/>
      <c r="R254" s="13"/>
      <c r="S254" s="13"/>
      <c r="T254" s="13"/>
      <c r="U254" s="13"/>
      <c r="V254" s="13"/>
      <c r="W254" s="13">
        <v>371</v>
      </c>
      <c r="X254" s="13">
        <v>1</v>
      </c>
      <c r="Y254" s="13">
        <v>371</v>
      </c>
      <c r="Z254" s="13">
        <v>20905.87</v>
      </c>
      <c r="AA254" s="13">
        <v>1</v>
      </c>
      <c r="AB254" s="13">
        <v>20905.87</v>
      </c>
    </row>
    <row r="255" spans="1:28" x14ac:dyDescent="0.2">
      <c r="A255" s="13">
        <v>50</v>
      </c>
      <c r="B255" s="13">
        <v>0</v>
      </c>
      <c r="C255" s="13">
        <v>0</v>
      </c>
      <c r="D255" s="13">
        <v>1</v>
      </c>
      <c r="E255" s="13">
        <v>205</v>
      </c>
      <c r="F255" s="13">
        <f>ROUND(Source!S240,O255)</f>
        <v>38073.82</v>
      </c>
      <c r="G255" s="13" t="s">
        <v>113</v>
      </c>
      <c r="H255" s="13" t="s">
        <v>114</v>
      </c>
      <c r="I255" s="13"/>
      <c r="J255" s="13"/>
      <c r="K255" s="13">
        <v>205</v>
      </c>
      <c r="L255" s="13">
        <v>14</v>
      </c>
      <c r="M255" s="13">
        <v>3</v>
      </c>
      <c r="N255" s="13" t="s">
        <v>3</v>
      </c>
      <c r="O255" s="13">
        <v>2</v>
      </c>
      <c r="P255" s="13">
        <f>ROUND(Source!DK240,O255)</f>
        <v>2145459.7599999998</v>
      </c>
      <c r="Q255" s="13"/>
      <c r="R255" s="13"/>
      <c r="S255" s="13"/>
      <c r="T255" s="13"/>
      <c r="U255" s="13"/>
      <c r="V255" s="13"/>
      <c r="W255" s="13">
        <v>38073.82</v>
      </c>
      <c r="X255" s="13">
        <v>1</v>
      </c>
      <c r="Y255" s="13">
        <v>38073.82</v>
      </c>
      <c r="Z255" s="13">
        <v>2145459.7599999998</v>
      </c>
      <c r="AA255" s="13">
        <v>1</v>
      </c>
      <c r="AB255" s="13">
        <v>2145459.7599999998</v>
      </c>
    </row>
    <row r="256" spans="1:28" x14ac:dyDescent="0.2">
      <c r="A256" s="13">
        <v>50</v>
      </c>
      <c r="B256" s="13">
        <v>0</v>
      </c>
      <c r="C256" s="13">
        <v>0</v>
      </c>
      <c r="D256" s="13">
        <v>1</v>
      </c>
      <c r="E256" s="13">
        <v>232</v>
      </c>
      <c r="F256" s="13">
        <f>ROUND(Source!BC240,O256)</f>
        <v>0</v>
      </c>
      <c r="G256" s="13" t="s">
        <v>115</v>
      </c>
      <c r="H256" s="13" t="s">
        <v>116</v>
      </c>
      <c r="I256" s="13"/>
      <c r="J256" s="13"/>
      <c r="K256" s="13">
        <v>232</v>
      </c>
      <c r="L256" s="13">
        <v>15</v>
      </c>
      <c r="M256" s="13">
        <v>3</v>
      </c>
      <c r="N256" s="13" t="s">
        <v>3</v>
      </c>
      <c r="O256" s="13">
        <v>2</v>
      </c>
      <c r="P256" s="13">
        <f>ROUND(Source!EU240,O256)</f>
        <v>0</v>
      </c>
      <c r="Q256" s="13"/>
      <c r="R256" s="13"/>
      <c r="S256" s="13"/>
      <c r="T256" s="13"/>
      <c r="U256" s="13"/>
      <c r="V256" s="13"/>
      <c r="W256" s="13">
        <v>0</v>
      </c>
      <c r="X256" s="13">
        <v>1</v>
      </c>
      <c r="Y256" s="13">
        <v>0</v>
      </c>
      <c r="Z256" s="13">
        <v>0</v>
      </c>
      <c r="AA256" s="13">
        <v>1</v>
      </c>
      <c r="AB256" s="13">
        <v>0</v>
      </c>
    </row>
    <row r="257" spans="1:28" x14ac:dyDescent="0.2">
      <c r="A257" s="13">
        <v>50</v>
      </c>
      <c r="B257" s="13">
        <v>0</v>
      </c>
      <c r="C257" s="13">
        <v>0</v>
      </c>
      <c r="D257" s="13">
        <v>1</v>
      </c>
      <c r="E257" s="13">
        <v>214</v>
      </c>
      <c r="F257" s="13">
        <f>ROUND(Source!AS240,O257)</f>
        <v>54177.39</v>
      </c>
      <c r="G257" s="13" t="s">
        <v>117</v>
      </c>
      <c r="H257" s="13" t="s">
        <v>118</v>
      </c>
      <c r="I257" s="13"/>
      <c r="J257" s="13"/>
      <c r="K257" s="13">
        <v>214</v>
      </c>
      <c r="L257" s="13">
        <v>16</v>
      </c>
      <c r="M257" s="13">
        <v>3</v>
      </c>
      <c r="N257" s="13" t="s">
        <v>3</v>
      </c>
      <c r="O257" s="13">
        <v>2</v>
      </c>
      <c r="P257" s="13">
        <f>ROUND(Source!EK240,O257)</f>
        <v>3001073.24</v>
      </c>
      <c r="Q257" s="13"/>
      <c r="R257" s="13"/>
      <c r="S257" s="13"/>
      <c r="T257" s="13"/>
      <c r="U257" s="13"/>
      <c r="V257" s="13"/>
      <c r="W257" s="13">
        <v>54177.39</v>
      </c>
      <c r="X257" s="13">
        <v>1</v>
      </c>
      <c r="Y257" s="13">
        <v>54177.39</v>
      </c>
      <c r="Z257" s="13">
        <v>3001073.24</v>
      </c>
      <c r="AA257" s="13">
        <v>1</v>
      </c>
      <c r="AB257" s="13">
        <v>3001073.24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215</v>
      </c>
      <c r="F258" s="13">
        <f>ROUND(Source!AT240,O258)</f>
        <v>91976.03</v>
      </c>
      <c r="G258" s="13" t="s">
        <v>119</v>
      </c>
      <c r="H258" s="13" t="s">
        <v>120</v>
      </c>
      <c r="I258" s="13"/>
      <c r="J258" s="13"/>
      <c r="K258" s="13">
        <v>215</v>
      </c>
      <c r="L258" s="13">
        <v>17</v>
      </c>
      <c r="M258" s="13">
        <v>3</v>
      </c>
      <c r="N258" s="13" t="s">
        <v>3</v>
      </c>
      <c r="O258" s="13">
        <v>2</v>
      </c>
      <c r="P258" s="13">
        <f>ROUND(Source!EL240,O258)</f>
        <v>2751289.05</v>
      </c>
      <c r="Q258" s="13"/>
      <c r="R258" s="13"/>
      <c r="S258" s="13"/>
      <c r="T258" s="13"/>
      <c r="U258" s="13"/>
      <c r="V258" s="13"/>
      <c r="W258" s="13">
        <v>91976.03</v>
      </c>
      <c r="X258" s="13">
        <v>1</v>
      </c>
      <c r="Y258" s="13">
        <v>91976.03</v>
      </c>
      <c r="Z258" s="13">
        <v>2751289.05</v>
      </c>
      <c r="AA258" s="13">
        <v>1</v>
      </c>
      <c r="AB258" s="13">
        <v>2751289.05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217</v>
      </c>
      <c r="F259" s="13">
        <f>ROUND(Source!AU240,O259)</f>
        <v>0</v>
      </c>
      <c r="G259" s="13" t="s">
        <v>121</v>
      </c>
      <c r="H259" s="13" t="s">
        <v>122</v>
      </c>
      <c r="I259" s="13"/>
      <c r="J259" s="13"/>
      <c r="K259" s="13">
        <v>217</v>
      </c>
      <c r="L259" s="13">
        <v>18</v>
      </c>
      <c r="M259" s="13">
        <v>3</v>
      </c>
      <c r="N259" s="13" t="s">
        <v>3</v>
      </c>
      <c r="O259" s="13">
        <v>2</v>
      </c>
      <c r="P259" s="13">
        <f>ROUND(Source!EM240,O259)</f>
        <v>0</v>
      </c>
      <c r="Q259" s="13"/>
      <c r="R259" s="13"/>
      <c r="S259" s="13"/>
      <c r="T259" s="13"/>
      <c r="U259" s="13"/>
      <c r="V259" s="13"/>
      <c r="W259" s="13">
        <v>0</v>
      </c>
      <c r="X259" s="13">
        <v>1</v>
      </c>
      <c r="Y259" s="13">
        <v>0</v>
      </c>
      <c r="Z259" s="13">
        <v>0</v>
      </c>
      <c r="AA259" s="13">
        <v>1</v>
      </c>
      <c r="AB259" s="13">
        <v>0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230</v>
      </c>
      <c r="F260" s="13">
        <f>ROUND(Source!BA240,O260)</f>
        <v>0</v>
      </c>
      <c r="G260" s="13" t="s">
        <v>123</v>
      </c>
      <c r="H260" s="13" t="s">
        <v>124</v>
      </c>
      <c r="I260" s="13"/>
      <c r="J260" s="13"/>
      <c r="K260" s="13">
        <v>230</v>
      </c>
      <c r="L260" s="13">
        <v>19</v>
      </c>
      <c r="M260" s="13">
        <v>3</v>
      </c>
      <c r="N260" s="13" t="s">
        <v>3</v>
      </c>
      <c r="O260" s="13">
        <v>2</v>
      </c>
      <c r="P260" s="13">
        <f>ROUND(Source!ES240,O260)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206</v>
      </c>
      <c r="F261" s="13">
        <f>ROUND(Source!T240,O261)</f>
        <v>0</v>
      </c>
      <c r="G261" s="13" t="s">
        <v>125</v>
      </c>
      <c r="H261" s="13" t="s">
        <v>126</v>
      </c>
      <c r="I261" s="13"/>
      <c r="J261" s="13"/>
      <c r="K261" s="13">
        <v>206</v>
      </c>
      <c r="L261" s="13">
        <v>20</v>
      </c>
      <c r="M261" s="13">
        <v>3</v>
      </c>
      <c r="N261" s="13" t="s">
        <v>3</v>
      </c>
      <c r="O261" s="13">
        <v>2</v>
      </c>
      <c r="P261" s="13">
        <f>ROUND(Source!DL240,O261)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207</v>
      </c>
      <c r="F262" s="13">
        <f>Source!U240</f>
        <v>3360.6184687199998</v>
      </c>
      <c r="G262" s="13" t="s">
        <v>127</v>
      </c>
      <c r="H262" s="13" t="s">
        <v>128</v>
      </c>
      <c r="I262" s="13"/>
      <c r="J262" s="13"/>
      <c r="K262" s="13">
        <v>207</v>
      </c>
      <c r="L262" s="13">
        <v>21</v>
      </c>
      <c r="M262" s="13">
        <v>3</v>
      </c>
      <c r="N262" s="13" t="s">
        <v>3</v>
      </c>
      <c r="O262" s="13">
        <v>-1</v>
      </c>
      <c r="P262" s="13">
        <f>Source!DM240</f>
        <v>3360.6184687199998</v>
      </c>
      <c r="Q262" s="13"/>
      <c r="R262" s="13"/>
      <c r="S262" s="13"/>
      <c r="T262" s="13"/>
      <c r="U262" s="13"/>
      <c r="V262" s="13"/>
      <c r="W262" s="13">
        <v>3360.6184687199993</v>
      </c>
      <c r="X262" s="13">
        <v>1</v>
      </c>
      <c r="Y262" s="13">
        <v>3360.6184687199993</v>
      </c>
      <c r="Z262" s="13">
        <v>3360.6184687199993</v>
      </c>
      <c r="AA262" s="13">
        <v>1</v>
      </c>
      <c r="AB262" s="13">
        <v>3360.6184687199993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208</v>
      </c>
      <c r="F263" s="13">
        <f>Source!V240</f>
        <v>0</v>
      </c>
      <c r="G263" s="13" t="s">
        <v>129</v>
      </c>
      <c r="H263" s="13" t="s">
        <v>130</v>
      </c>
      <c r="I263" s="13"/>
      <c r="J263" s="13"/>
      <c r="K263" s="13">
        <v>208</v>
      </c>
      <c r="L263" s="13">
        <v>22</v>
      </c>
      <c r="M263" s="13">
        <v>3</v>
      </c>
      <c r="N263" s="13" t="s">
        <v>3</v>
      </c>
      <c r="O263" s="13">
        <v>-1</v>
      </c>
      <c r="P263" s="13">
        <f>Source!DN240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209</v>
      </c>
      <c r="F264" s="13">
        <f>ROUND(Source!W240,O264)</f>
        <v>0</v>
      </c>
      <c r="G264" s="13" t="s">
        <v>131</v>
      </c>
      <c r="H264" s="13" t="s">
        <v>132</v>
      </c>
      <c r="I264" s="13"/>
      <c r="J264" s="13"/>
      <c r="K264" s="13">
        <v>209</v>
      </c>
      <c r="L264" s="13">
        <v>23</v>
      </c>
      <c r="M264" s="13">
        <v>3</v>
      </c>
      <c r="N264" s="13" t="s">
        <v>3</v>
      </c>
      <c r="O264" s="13">
        <v>2</v>
      </c>
      <c r="P264" s="13">
        <f>ROUND(Source!DO240,O264)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233</v>
      </c>
      <c r="F265" s="13">
        <f>ROUND(Source!BD240,O265)</f>
        <v>0</v>
      </c>
      <c r="G265" s="13" t="s">
        <v>133</v>
      </c>
      <c r="H265" s="13" t="s">
        <v>134</v>
      </c>
      <c r="I265" s="13"/>
      <c r="J265" s="13"/>
      <c r="K265" s="13">
        <v>233</v>
      </c>
      <c r="L265" s="13">
        <v>24</v>
      </c>
      <c r="M265" s="13">
        <v>3</v>
      </c>
      <c r="N265" s="13" t="s">
        <v>3</v>
      </c>
      <c r="O265" s="13">
        <v>2</v>
      </c>
      <c r="P265" s="13">
        <f>ROUND(Source!EV240,O265)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210</v>
      </c>
      <c r="F266" s="13">
        <f>ROUND(Source!X240,O266)</f>
        <v>35821.47</v>
      </c>
      <c r="G266" s="13" t="s">
        <v>135</v>
      </c>
      <c r="H266" s="13" t="s">
        <v>136</v>
      </c>
      <c r="I266" s="13"/>
      <c r="J266" s="13"/>
      <c r="K266" s="13">
        <v>210</v>
      </c>
      <c r="L266" s="13">
        <v>25</v>
      </c>
      <c r="M266" s="13">
        <v>3</v>
      </c>
      <c r="N266" s="13" t="s">
        <v>3</v>
      </c>
      <c r="O266" s="13">
        <v>2</v>
      </c>
      <c r="P266" s="13">
        <f>ROUND(Source!DP240,O266)</f>
        <v>2018540.08</v>
      </c>
      <c r="Q266" s="13"/>
      <c r="R266" s="13"/>
      <c r="S266" s="13"/>
      <c r="T266" s="13"/>
      <c r="U266" s="13"/>
      <c r="V266" s="13"/>
      <c r="W266" s="13">
        <v>35821.47</v>
      </c>
      <c r="X266" s="13">
        <v>1</v>
      </c>
      <c r="Y266" s="13">
        <v>35821.47</v>
      </c>
      <c r="Z266" s="13">
        <v>2018540.08</v>
      </c>
      <c r="AA266" s="13">
        <v>1</v>
      </c>
      <c r="AB266" s="13">
        <v>2018540.08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211</v>
      </c>
      <c r="F267" s="13">
        <f>ROUND(Source!Y240,O267)</f>
        <v>18845.060000000001</v>
      </c>
      <c r="G267" s="13" t="s">
        <v>137</v>
      </c>
      <c r="H267" s="13" t="s">
        <v>138</v>
      </c>
      <c r="I267" s="13"/>
      <c r="J267" s="13"/>
      <c r="K267" s="13">
        <v>211</v>
      </c>
      <c r="L267" s="13">
        <v>26</v>
      </c>
      <c r="M267" s="13">
        <v>3</v>
      </c>
      <c r="N267" s="13" t="s">
        <v>3</v>
      </c>
      <c r="O267" s="13">
        <v>2</v>
      </c>
      <c r="P267" s="13">
        <f>ROUND(Source!DQ240,O267)</f>
        <v>1061919.06</v>
      </c>
      <c r="Q267" s="13"/>
      <c r="R267" s="13"/>
      <c r="S267" s="13"/>
      <c r="T267" s="13"/>
      <c r="U267" s="13"/>
      <c r="V267" s="13"/>
      <c r="W267" s="13">
        <v>18845.060000000001</v>
      </c>
      <c r="X267" s="13">
        <v>1</v>
      </c>
      <c r="Y267" s="13">
        <v>18845.060000000001</v>
      </c>
      <c r="Z267" s="13">
        <v>1061919.06</v>
      </c>
      <c r="AA267" s="13">
        <v>1</v>
      </c>
      <c r="AB267" s="13">
        <v>1061919.06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224</v>
      </c>
      <c r="F268" s="13">
        <f>ROUND(Source!AR240,O268)</f>
        <v>407409.88</v>
      </c>
      <c r="G268" s="13" t="s">
        <v>139</v>
      </c>
      <c r="H268" s="13" t="s">
        <v>140</v>
      </c>
      <c r="I268" s="13"/>
      <c r="J268" s="13"/>
      <c r="K268" s="13">
        <v>224</v>
      </c>
      <c r="L268" s="13">
        <v>27</v>
      </c>
      <c r="M268" s="13">
        <v>3</v>
      </c>
      <c r="N268" s="13" t="s">
        <v>3</v>
      </c>
      <c r="O268" s="13">
        <v>2</v>
      </c>
      <c r="P268" s="13">
        <f>ROUND(Source!EJ240,O268)</f>
        <v>7732036.3399999999</v>
      </c>
      <c r="Q268" s="13"/>
      <c r="R268" s="13"/>
      <c r="S268" s="13"/>
      <c r="T268" s="13"/>
      <c r="U268" s="13"/>
      <c r="V268" s="13"/>
      <c r="W268" s="13">
        <v>407409.88</v>
      </c>
      <c r="X268" s="13">
        <v>1</v>
      </c>
      <c r="Y268" s="13">
        <v>407409.88</v>
      </c>
      <c r="Z268" s="13">
        <v>7732036.3399999999</v>
      </c>
      <c r="AA268" s="13">
        <v>1</v>
      </c>
      <c r="AB268" s="13">
        <v>7732036.3399999999</v>
      </c>
    </row>
    <row r="269" spans="1:28" x14ac:dyDescent="0.2">
      <c r="A269" s="13">
        <v>50</v>
      </c>
      <c r="B269" s="13">
        <v>1</v>
      </c>
      <c r="C269" s="13">
        <v>0</v>
      </c>
      <c r="D269" s="13">
        <v>2</v>
      </c>
      <c r="E269" s="13">
        <v>0</v>
      </c>
      <c r="F269" s="13">
        <f>ROUND(F268,O269)</f>
        <v>407409.88</v>
      </c>
      <c r="G269" s="13" t="s">
        <v>258</v>
      </c>
      <c r="H269" s="13" t="s">
        <v>259</v>
      </c>
      <c r="I269" s="13"/>
      <c r="J269" s="13"/>
      <c r="K269" s="13">
        <v>212</v>
      </c>
      <c r="L269" s="13">
        <v>28</v>
      </c>
      <c r="M269" s="13">
        <v>0</v>
      </c>
      <c r="N269" s="13" t="s">
        <v>3</v>
      </c>
      <c r="O269" s="13">
        <v>2</v>
      </c>
      <c r="P269" s="13">
        <f>ROUND(P268,O269)</f>
        <v>7732036.3399999999</v>
      </c>
      <c r="Q269" s="13"/>
      <c r="R269" s="13"/>
      <c r="S269" s="13"/>
      <c r="T269" s="13"/>
      <c r="U269" s="13"/>
      <c r="V269" s="13"/>
      <c r="W269" s="13">
        <v>407409.88</v>
      </c>
      <c r="X269" s="13">
        <v>1</v>
      </c>
      <c r="Y269" s="13">
        <v>407409.88</v>
      </c>
      <c r="Z269" s="13">
        <v>7732036.3399999999</v>
      </c>
      <c r="AA269" s="13">
        <v>1</v>
      </c>
      <c r="AB269" s="13">
        <v>7732036.3399999999</v>
      </c>
    </row>
    <row r="270" spans="1:28" x14ac:dyDescent="0.2">
      <c r="A270" s="13">
        <v>50</v>
      </c>
      <c r="B270" s="13">
        <v>1</v>
      </c>
      <c r="C270" s="13">
        <v>0</v>
      </c>
      <c r="D270" s="13">
        <v>2</v>
      </c>
      <c r="E270" s="13">
        <v>0</v>
      </c>
      <c r="F270" s="13">
        <f>ROUND(F269*0.2,O270)</f>
        <v>81481.98</v>
      </c>
      <c r="G270" s="13" t="s">
        <v>260</v>
      </c>
      <c r="H270" s="13" t="s">
        <v>261</v>
      </c>
      <c r="I270" s="13"/>
      <c r="J270" s="13"/>
      <c r="K270" s="13">
        <v>212</v>
      </c>
      <c r="L270" s="13">
        <v>29</v>
      </c>
      <c r="M270" s="13">
        <v>0</v>
      </c>
      <c r="N270" s="13" t="s">
        <v>3</v>
      </c>
      <c r="O270" s="13">
        <v>2</v>
      </c>
      <c r="P270" s="13">
        <f>ROUND(P269*0.2,O270)</f>
        <v>1546407.27</v>
      </c>
      <c r="Q270" s="13"/>
      <c r="R270" s="13"/>
      <c r="S270" s="13"/>
      <c r="T270" s="13"/>
      <c r="U270" s="13"/>
      <c r="V270" s="13"/>
      <c r="W270" s="13">
        <v>81481.98</v>
      </c>
      <c r="X270" s="13">
        <v>1</v>
      </c>
      <c r="Y270" s="13">
        <v>81481.98</v>
      </c>
      <c r="Z270" s="13">
        <v>1546407.27</v>
      </c>
      <c r="AA270" s="13">
        <v>1</v>
      </c>
      <c r="AB270" s="13">
        <v>1546407.27</v>
      </c>
    </row>
    <row r="271" spans="1:28" x14ac:dyDescent="0.2">
      <c r="A271" s="13">
        <v>50</v>
      </c>
      <c r="B271" s="13">
        <v>1</v>
      </c>
      <c r="C271" s="13">
        <v>0</v>
      </c>
      <c r="D271" s="13">
        <v>2</v>
      </c>
      <c r="E271" s="13">
        <v>213</v>
      </c>
      <c r="F271" s="13">
        <f>ROUND(F269+F270,O271)</f>
        <v>488891.86</v>
      </c>
      <c r="G271" s="13" t="s">
        <v>262</v>
      </c>
      <c r="H271" s="13" t="s">
        <v>139</v>
      </c>
      <c r="I271" s="13"/>
      <c r="J271" s="13"/>
      <c r="K271" s="13">
        <v>212</v>
      </c>
      <c r="L271" s="13">
        <v>30</v>
      </c>
      <c r="M271" s="13">
        <v>0</v>
      </c>
      <c r="N271" s="13" t="s">
        <v>3</v>
      </c>
      <c r="O271" s="13">
        <v>2</v>
      </c>
      <c r="P271" s="13">
        <f>ROUND(P269+P270,O271)</f>
        <v>9278443.6099999994</v>
      </c>
      <c r="Q271" s="13"/>
      <c r="R271" s="13"/>
      <c r="S271" s="13"/>
      <c r="T271" s="13"/>
      <c r="U271" s="13"/>
      <c r="V271" s="13"/>
      <c r="W271" s="13">
        <v>488891.86</v>
      </c>
      <c r="X271" s="13">
        <v>1</v>
      </c>
      <c r="Y271" s="13">
        <v>488891.86</v>
      </c>
      <c r="Z271" s="13">
        <v>9278443.6099999994</v>
      </c>
      <c r="AA271" s="13">
        <v>1</v>
      </c>
      <c r="AB271" s="13">
        <v>9278443.6099999994</v>
      </c>
    </row>
    <row r="273" spans="1:206" x14ac:dyDescent="0.2">
      <c r="A273" s="11">
        <v>51</v>
      </c>
      <c r="B273" s="11">
        <f>B12</f>
        <v>314</v>
      </c>
      <c r="C273" s="11">
        <f>A12</f>
        <v>1</v>
      </c>
      <c r="D273" s="11">
        <f>ROW(A12)</f>
        <v>12</v>
      </c>
      <c r="E273" s="11"/>
      <c r="F273" s="11" t="str">
        <f>IF(F12&lt;&gt;"",F12,"")</f>
        <v>02-01-17</v>
      </c>
      <c r="G273" s="11" t="str">
        <f>IF(G12&lt;&gt;"",G12,"")</f>
        <v>02-01-17 СДС</v>
      </c>
      <c r="H273" s="11">
        <v>0</v>
      </c>
      <c r="I273" s="11"/>
      <c r="J273" s="11"/>
      <c r="K273" s="11"/>
      <c r="L273" s="11"/>
      <c r="M273" s="11"/>
      <c r="N273" s="11"/>
      <c r="O273" s="11">
        <f t="shared" ref="O273:T273" si="198">ROUND(O240,2)</f>
        <v>352743.35</v>
      </c>
      <c r="P273" s="11">
        <f t="shared" si="198"/>
        <v>312343.87</v>
      </c>
      <c r="Q273" s="11">
        <f t="shared" si="198"/>
        <v>2325.66</v>
      </c>
      <c r="R273" s="11">
        <f t="shared" si="198"/>
        <v>371</v>
      </c>
      <c r="S273" s="11">
        <f t="shared" si="198"/>
        <v>38073.82</v>
      </c>
      <c r="T273" s="11">
        <f t="shared" si="198"/>
        <v>0</v>
      </c>
      <c r="U273" s="11">
        <f>U240</f>
        <v>3360.6184687199998</v>
      </c>
      <c r="V273" s="11">
        <f>V240</f>
        <v>0</v>
      </c>
      <c r="W273" s="11">
        <f>ROUND(W240,2)</f>
        <v>0</v>
      </c>
      <c r="X273" s="11">
        <f>ROUND(X240,2)</f>
        <v>35821.47</v>
      </c>
      <c r="Y273" s="11">
        <f>ROUND(Y240,2)</f>
        <v>18845.060000000001</v>
      </c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>
        <f t="shared" ref="AO273:BD273" si="199">ROUND(AO240,2)</f>
        <v>0</v>
      </c>
      <c r="AP273" s="11">
        <f t="shared" si="199"/>
        <v>261256.46</v>
      </c>
      <c r="AQ273" s="11">
        <f t="shared" si="199"/>
        <v>0</v>
      </c>
      <c r="AR273" s="11">
        <f t="shared" si="199"/>
        <v>407409.88</v>
      </c>
      <c r="AS273" s="11">
        <f t="shared" si="199"/>
        <v>54177.39</v>
      </c>
      <c r="AT273" s="11">
        <f t="shared" si="199"/>
        <v>91976.03</v>
      </c>
      <c r="AU273" s="11">
        <f t="shared" si="199"/>
        <v>0</v>
      </c>
      <c r="AV273" s="11">
        <f t="shared" si="199"/>
        <v>312343.87</v>
      </c>
      <c r="AW273" s="11">
        <f t="shared" si="199"/>
        <v>51087.41</v>
      </c>
      <c r="AX273" s="11">
        <f t="shared" si="199"/>
        <v>0</v>
      </c>
      <c r="AY273" s="11">
        <f t="shared" si="199"/>
        <v>51087.41</v>
      </c>
      <c r="AZ273" s="11">
        <f t="shared" si="199"/>
        <v>261256.46</v>
      </c>
      <c r="BA273" s="11">
        <f t="shared" si="199"/>
        <v>0</v>
      </c>
      <c r="BB273" s="11">
        <f t="shared" si="199"/>
        <v>0</v>
      </c>
      <c r="BC273" s="11">
        <f t="shared" si="199"/>
        <v>0</v>
      </c>
      <c r="BD273" s="11">
        <f t="shared" si="199"/>
        <v>0</v>
      </c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2">
        <f t="shared" ref="DG273:DL273" si="200">ROUND(DG240,2)</f>
        <v>4651577.2</v>
      </c>
      <c r="DH273" s="12">
        <f t="shared" si="200"/>
        <v>2463997.9900000002</v>
      </c>
      <c r="DI273" s="12">
        <f t="shared" si="200"/>
        <v>42119.45</v>
      </c>
      <c r="DJ273" s="12">
        <f t="shared" si="200"/>
        <v>20905.87</v>
      </c>
      <c r="DK273" s="12">
        <f t="shared" si="200"/>
        <v>2145459.7599999998</v>
      </c>
      <c r="DL273" s="12">
        <f t="shared" si="200"/>
        <v>0</v>
      </c>
      <c r="DM273" s="12">
        <f>DM240</f>
        <v>3360.6184687199998</v>
      </c>
      <c r="DN273" s="12">
        <f>DN240</f>
        <v>0</v>
      </c>
      <c r="DO273" s="12">
        <f>ROUND(DO240,2)</f>
        <v>0</v>
      </c>
      <c r="DP273" s="12">
        <f>ROUND(DP240,2)</f>
        <v>2018540.08</v>
      </c>
      <c r="DQ273" s="12">
        <f>ROUND(DQ240,2)</f>
        <v>1061919.06</v>
      </c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>
        <f t="shared" ref="EG273:EV273" si="201">ROUND(EG240,2)</f>
        <v>0</v>
      </c>
      <c r="EH273" s="12">
        <f t="shared" si="201"/>
        <v>1979674.05</v>
      </c>
      <c r="EI273" s="12">
        <f t="shared" si="201"/>
        <v>0</v>
      </c>
      <c r="EJ273" s="12">
        <f t="shared" si="201"/>
        <v>7732036.3399999999</v>
      </c>
      <c r="EK273" s="12">
        <f t="shared" si="201"/>
        <v>3001073.24</v>
      </c>
      <c r="EL273" s="12">
        <f t="shared" si="201"/>
        <v>2751289.05</v>
      </c>
      <c r="EM273" s="12">
        <f t="shared" si="201"/>
        <v>0</v>
      </c>
      <c r="EN273" s="12">
        <f t="shared" si="201"/>
        <v>2463997.9900000002</v>
      </c>
      <c r="EO273" s="12">
        <f t="shared" si="201"/>
        <v>484323.94</v>
      </c>
      <c r="EP273" s="12">
        <f t="shared" si="201"/>
        <v>0</v>
      </c>
      <c r="EQ273" s="12">
        <f t="shared" si="201"/>
        <v>484323.94</v>
      </c>
      <c r="ER273" s="12">
        <f t="shared" si="201"/>
        <v>1979674.05</v>
      </c>
      <c r="ES273" s="12">
        <f t="shared" si="201"/>
        <v>0</v>
      </c>
      <c r="ET273" s="12">
        <f t="shared" si="201"/>
        <v>0</v>
      </c>
      <c r="EU273" s="12">
        <f t="shared" si="201"/>
        <v>0</v>
      </c>
      <c r="EV273" s="12">
        <f t="shared" si="201"/>
        <v>0</v>
      </c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>
        <v>0</v>
      </c>
    </row>
    <row r="275" spans="1:206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201</v>
      </c>
      <c r="F275" s="13">
        <f>ROUND(Source!O273,O275)</f>
        <v>352743.35</v>
      </c>
      <c r="G275" s="13" t="s">
        <v>87</v>
      </c>
      <c r="H275" s="13" t="s">
        <v>88</v>
      </c>
      <c r="I275" s="13"/>
      <c r="J275" s="13"/>
      <c r="K275" s="13">
        <v>201</v>
      </c>
      <c r="L275" s="13">
        <v>1</v>
      </c>
      <c r="M275" s="13">
        <v>3</v>
      </c>
      <c r="N275" s="13" t="s">
        <v>3</v>
      </c>
      <c r="O275" s="13">
        <v>2</v>
      </c>
      <c r="P275" s="13">
        <f>ROUND(Source!DG273,O275)</f>
        <v>4651577.2</v>
      </c>
      <c r="Q275" s="13"/>
      <c r="R275" s="13"/>
      <c r="S275" s="13"/>
      <c r="T275" s="13"/>
      <c r="U275" s="13"/>
      <c r="V275" s="13"/>
      <c r="W275" s="13">
        <v>352743.35</v>
      </c>
      <c r="X275" s="13">
        <v>1</v>
      </c>
      <c r="Y275" s="13">
        <v>352743.35</v>
      </c>
      <c r="Z275" s="13">
        <v>4651577.2</v>
      </c>
      <c r="AA275" s="13">
        <v>1</v>
      </c>
      <c r="AB275" s="13">
        <v>4651577.2</v>
      </c>
    </row>
    <row r="276" spans="1:206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202</v>
      </c>
      <c r="F276" s="13">
        <f>ROUND(Source!P273,O276)</f>
        <v>312343.87</v>
      </c>
      <c r="G276" s="13" t="s">
        <v>89</v>
      </c>
      <c r="H276" s="13" t="s">
        <v>90</v>
      </c>
      <c r="I276" s="13"/>
      <c r="J276" s="13"/>
      <c r="K276" s="13">
        <v>202</v>
      </c>
      <c r="L276" s="13">
        <v>2</v>
      </c>
      <c r="M276" s="13">
        <v>3</v>
      </c>
      <c r="N276" s="13" t="s">
        <v>3</v>
      </c>
      <c r="O276" s="13">
        <v>2</v>
      </c>
      <c r="P276" s="13">
        <f>ROUND(Source!DH273,O276)</f>
        <v>2463997.9900000002</v>
      </c>
      <c r="Q276" s="13"/>
      <c r="R276" s="13"/>
      <c r="S276" s="13"/>
      <c r="T276" s="13"/>
      <c r="U276" s="13"/>
      <c r="V276" s="13"/>
      <c r="W276" s="13">
        <v>312343.87</v>
      </c>
      <c r="X276" s="13">
        <v>1</v>
      </c>
      <c r="Y276" s="13">
        <v>312343.87</v>
      </c>
      <c r="Z276" s="13">
        <v>2463997.9900000002</v>
      </c>
      <c r="AA276" s="13">
        <v>1</v>
      </c>
      <c r="AB276" s="13">
        <v>2463997.9900000002</v>
      </c>
    </row>
    <row r="277" spans="1:206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222</v>
      </c>
      <c r="F277" s="13">
        <f>ROUND(Source!AO273,O277)</f>
        <v>0</v>
      </c>
      <c r="G277" s="13" t="s">
        <v>91</v>
      </c>
      <c r="H277" s="13" t="s">
        <v>92</v>
      </c>
      <c r="I277" s="13"/>
      <c r="J277" s="13"/>
      <c r="K277" s="13">
        <v>222</v>
      </c>
      <c r="L277" s="13">
        <v>3</v>
      </c>
      <c r="M277" s="13">
        <v>3</v>
      </c>
      <c r="N277" s="13" t="s">
        <v>3</v>
      </c>
      <c r="O277" s="13">
        <v>2</v>
      </c>
      <c r="P277" s="13">
        <f>ROUND(Source!EG273,O277)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06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225</v>
      </c>
      <c r="F278" s="13">
        <f>ROUND(Source!AV273,O278)</f>
        <v>312343.87</v>
      </c>
      <c r="G278" s="13" t="s">
        <v>93</v>
      </c>
      <c r="H278" s="13" t="s">
        <v>94</v>
      </c>
      <c r="I278" s="13"/>
      <c r="J278" s="13"/>
      <c r="K278" s="13">
        <v>225</v>
      </c>
      <c r="L278" s="13">
        <v>4</v>
      </c>
      <c r="M278" s="13">
        <v>3</v>
      </c>
      <c r="N278" s="13" t="s">
        <v>3</v>
      </c>
      <c r="O278" s="13">
        <v>2</v>
      </c>
      <c r="P278" s="13">
        <f>ROUND(Source!EN273,O278)</f>
        <v>2463997.9900000002</v>
      </c>
      <c r="Q278" s="13"/>
      <c r="R278" s="13"/>
      <c r="S278" s="13"/>
      <c r="T278" s="13"/>
      <c r="U278" s="13"/>
      <c r="V278" s="13"/>
      <c r="W278" s="13">
        <v>312343.87</v>
      </c>
      <c r="X278" s="13">
        <v>1</v>
      </c>
      <c r="Y278" s="13">
        <v>312343.87</v>
      </c>
      <c r="Z278" s="13">
        <v>2463997.9900000002</v>
      </c>
      <c r="AA278" s="13">
        <v>1</v>
      </c>
      <c r="AB278" s="13">
        <v>2463997.9900000002</v>
      </c>
    </row>
    <row r="279" spans="1:206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226</v>
      </c>
      <c r="F279" s="13">
        <f>ROUND(Source!AW273,O279)</f>
        <v>51087.41</v>
      </c>
      <c r="G279" s="13" t="s">
        <v>95</v>
      </c>
      <c r="H279" s="13" t="s">
        <v>96</v>
      </c>
      <c r="I279" s="13"/>
      <c r="J279" s="13"/>
      <c r="K279" s="13">
        <v>226</v>
      </c>
      <c r="L279" s="13">
        <v>5</v>
      </c>
      <c r="M279" s="13">
        <v>3</v>
      </c>
      <c r="N279" s="13" t="s">
        <v>3</v>
      </c>
      <c r="O279" s="13">
        <v>2</v>
      </c>
      <c r="P279" s="13">
        <f>ROUND(Source!EO273,O279)</f>
        <v>484323.94</v>
      </c>
      <c r="Q279" s="13"/>
      <c r="R279" s="13"/>
      <c r="S279" s="13"/>
      <c r="T279" s="13"/>
      <c r="U279" s="13"/>
      <c r="V279" s="13"/>
      <c r="W279" s="13">
        <v>51087.41</v>
      </c>
      <c r="X279" s="13">
        <v>1</v>
      </c>
      <c r="Y279" s="13">
        <v>51087.41</v>
      </c>
      <c r="Z279" s="13">
        <v>484323.94</v>
      </c>
      <c r="AA279" s="13">
        <v>1</v>
      </c>
      <c r="AB279" s="13">
        <v>484323.94</v>
      </c>
    </row>
    <row r="280" spans="1:206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227</v>
      </c>
      <c r="F280" s="13">
        <f>ROUND(Source!AX273,O280)</f>
        <v>0</v>
      </c>
      <c r="G280" s="13" t="s">
        <v>97</v>
      </c>
      <c r="H280" s="13" t="s">
        <v>98</v>
      </c>
      <c r="I280" s="13"/>
      <c r="J280" s="13"/>
      <c r="K280" s="13">
        <v>227</v>
      </c>
      <c r="L280" s="13">
        <v>6</v>
      </c>
      <c r="M280" s="13">
        <v>3</v>
      </c>
      <c r="N280" s="13" t="s">
        <v>3</v>
      </c>
      <c r="O280" s="13">
        <v>2</v>
      </c>
      <c r="P280" s="13">
        <f>ROUND(Source!EP273,O280)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06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228</v>
      </c>
      <c r="F281" s="13">
        <f>ROUND(Source!AY273,O281)</f>
        <v>51087.41</v>
      </c>
      <c r="G281" s="13" t="s">
        <v>99</v>
      </c>
      <c r="H281" s="13" t="s">
        <v>100</v>
      </c>
      <c r="I281" s="13"/>
      <c r="J281" s="13"/>
      <c r="K281" s="13">
        <v>228</v>
      </c>
      <c r="L281" s="13">
        <v>7</v>
      </c>
      <c r="M281" s="13">
        <v>3</v>
      </c>
      <c r="N281" s="13" t="s">
        <v>3</v>
      </c>
      <c r="O281" s="13">
        <v>2</v>
      </c>
      <c r="P281" s="13">
        <f>ROUND(Source!EQ273,O281)</f>
        <v>484323.94</v>
      </c>
      <c r="Q281" s="13"/>
      <c r="R281" s="13"/>
      <c r="S281" s="13"/>
      <c r="T281" s="13"/>
      <c r="U281" s="13"/>
      <c r="V281" s="13"/>
      <c r="W281" s="13">
        <v>51087.41</v>
      </c>
      <c r="X281" s="13">
        <v>1</v>
      </c>
      <c r="Y281" s="13">
        <v>51087.41</v>
      </c>
      <c r="Z281" s="13">
        <v>484323.94</v>
      </c>
      <c r="AA281" s="13">
        <v>1</v>
      </c>
      <c r="AB281" s="13">
        <v>484323.94</v>
      </c>
    </row>
    <row r="282" spans="1:206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216</v>
      </c>
      <c r="F282" s="13">
        <f>ROUND(Source!AP273,O282)</f>
        <v>261256.46</v>
      </c>
      <c r="G282" s="13" t="s">
        <v>101</v>
      </c>
      <c r="H282" s="13" t="s">
        <v>102</v>
      </c>
      <c r="I282" s="13"/>
      <c r="J282" s="13"/>
      <c r="K282" s="13">
        <v>216</v>
      </c>
      <c r="L282" s="13">
        <v>8</v>
      </c>
      <c r="M282" s="13">
        <v>3</v>
      </c>
      <c r="N282" s="13" t="s">
        <v>3</v>
      </c>
      <c r="O282" s="13">
        <v>2</v>
      </c>
      <c r="P282" s="13">
        <f>ROUND(Source!EH273,O282)</f>
        <v>1979674.05</v>
      </c>
      <c r="Q282" s="13"/>
      <c r="R282" s="13"/>
      <c r="S282" s="13"/>
      <c r="T282" s="13"/>
      <c r="U282" s="13"/>
      <c r="V282" s="13"/>
      <c r="W282" s="13">
        <v>261256.46</v>
      </c>
      <c r="X282" s="13">
        <v>1</v>
      </c>
      <c r="Y282" s="13">
        <v>261256.46</v>
      </c>
      <c r="Z282" s="13">
        <v>1979674.05</v>
      </c>
      <c r="AA282" s="13">
        <v>1</v>
      </c>
      <c r="AB282" s="13">
        <v>1979674.05</v>
      </c>
    </row>
    <row r="283" spans="1:206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223</v>
      </c>
      <c r="F283" s="13">
        <f>ROUND(Source!AQ273,O283)</f>
        <v>0</v>
      </c>
      <c r="G283" s="13" t="s">
        <v>103</v>
      </c>
      <c r="H283" s="13" t="s">
        <v>104</v>
      </c>
      <c r="I283" s="13"/>
      <c r="J283" s="13"/>
      <c r="K283" s="13">
        <v>223</v>
      </c>
      <c r="L283" s="13">
        <v>9</v>
      </c>
      <c r="M283" s="13">
        <v>3</v>
      </c>
      <c r="N283" s="13" t="s">
        <v>3</v>
      </c>
      <c r="O283" s="13">
        <v>2</v>
      </c>
      <c r="P283" s="13">
        <f>ROUND(Source!EI273,O283)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06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229</v>
      </c>
      <c r="F284" s="13">
        <f>ROUND(Source!AZ273,O284)</f>
        <v>261256.46</v>
      </c>
      <c r="G284" s="13" t="s">
        <v>105</v>
      </c>
      <c r="H284" s="13" t="s">
        <v>106</v>
      </c>
      <c r="I284" s="13"/>
      <c r="J284" s="13"/>
      <c r="K284" s="13">
        <v>229</v>
      </c>
      <c r="L284" s="13">
        <v>10</v>
      </c>
      <c r="M284" s="13">
        <v>3</v>
      </c>
      <c r="N284" s="13" t="s">
        <v>3</v>
      </c>
      <c r="O284" s="13">
        <v>2</v>
      </c>
      <c r="P284" s="13">
        <f>ROUND(Source!ER273,O284)</f>
        <v>1979674.05</v>
      </c>
      <c r="Q284" s="13"/>
      <c r="R284" s="13"/>
      <c r="S284" s="13"/>
      <c r="T284" s="13"/>
      <c r="U284" s="13"/>
      <c r="V284" s="13"/>
      <c r="W284" s="13">
        <v>261256.46</v>
      </c>
      <c r="X284" s="13">
        <v>1</v>
      </c>
      <c r="Y284" s="13">
        <v>261256.46</v>
      </c>
      <c r="Z284" s="13">
        <v>1979674.05</v>
      </c>
      <c r="AA284" s="13">
        <v>1</v>
      </c>
      <c r="AB284" s="13">
        <v>1979674.05</v>
      </c>
    </row>
    <row r="285" spans="1:206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203</v>
      </c>
      <c r="F285" s="13">
        <f>ROUND(Source!Q273,O285)</f>
        <v>2325.66</v>
      </c>
      <c r="G285" s="13" t="s">
        <v>107</v>
      </c>
      <c r="H285" s="13" t="s">
        <v>108</v>
      </c>
      <c r="I285" s="13"/>
      <c r="J285" s="13"/>
      <c r="K285" s="13">
        <v>203</v>
      </c>
      <c r="L285" s="13">
        <v>11</v>
      </c>
      <c r="M285" s="13">
        <v>3</v>
      </c>
      <c r="N285" s="13" t="s">
        <v>3</v>
      </c>
      <c r="O285" s="13">
        <v>2</v>
      </c>
      <c r="P285" s="13">
        <f>ROUND(Source!DI273,O285)</f>
        <v>42119.45</v>
      </c>
      <c r="Q285" s="13"/>
      <c r="R285" s="13"/>
      <c r="S285" s="13"/>
      <c r="T285" s="13"/>
      <c r="U285" s="13"/>
      <c r="V285" s="13"/>
      <c r="W285" s="13">
        <v>2325.66</v>
      </c>
      <c r="X285" s="13">
        <v>1</v>
      </c>
      <c r="Y285" s="13">
        <v>2325.66</v>
      </c>
      <c r="Z285" s="13">
        <v>42119.45</v>
      </c>
      <c r="AA285" s="13">
        <v>1</v>
      </c>
      <c r="AB285" s="13">
        <v>42119.45</v>
      </c>
    </row>
    <row r="286" spans="1:206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231</v>
      </c>
      <c r="F286" s="13">
        <f>ROUND(Source!BB273,O286)</f>
        <v>0</v>
      </c>
      <c r="G286" s="13" t="s">
        <v>109</v>
      </c>
      <c r="H286" s="13" t="s">
        <v>110</v>
      </c>
      <c r="I286" s="13"/>
      <c r="J286" s="13"/>
      <c r="K286" s="13">
        <v>231</v>
      </c>
      <c r="L286" s="13">
        <v>12</v>
      </c>
      <c r="M286" s="13">
        <v>3</v>
      </c>
      <c r="N286" s="13" t="s">
        <v>3</v>
      </c>
      <c r="O286" s="13">
        <v>2</v>
      </c>
      <c r="P286" s="13">
        <f>ROUND(Source!ET273,O286)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06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204</v>
      </c>
      <c r="F287" s="13">
        <f>ROUND(Source!R273,O287)</f>
        <v>371</v>
      </c>
      <c r="G287" s="13" t="s">
        <v>111</v>
      </c>
      <c r="H287" s="13" t="s">
        <v>112</v>
      </c>
      <c r="I287" s="13"/>
      <c r="J287" s="13"/>
      <c r="K287" s="13">
        <v>204</v>
      </c>
      <c r="L287" s="13">
        <v>13</v>
      </c>
      <c r="M287" s="13">
        <v>3</v>
      </c>
      <c r="N287" s="13" t="s">
        <v>3</v>
      </c>
      <c r="O287" s="13">
        <v>2</v>
      </c>
      <c r="P287" s="13">
        <f>ROUND(Source!DJ273,O287)</f>
        <v>20905.87</v>
      </c>
      <c r="Q287" s="13"/>
      <c r="R287" s="13"/>
      <c r="S287" s="13"/>
      <c r="T287" s="13"/>
      <c r="U287" s="13"/>
      <c r="V287" s="13"/>
      <c r="W287" s="13">
        <v>371</v>
      </c>
      <c r="X287" s="13">
        <v>1</v>
      </c>
      <c r="Y287" s="13">
        <v>371</v>
      </c>
      <c r="Z287" s="13">
        <v>20905.87</v>
      </c>
      <c r="AA287" s="13">
        <v>1</v>
      </c>
      <c r="AB287" s="13">
        <v>20905.87</v>
      </c>
    </row>
    <row r="288" spans="1:206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205</v>
      </c>
      <c r="F288" s="13">
        <f>ROUND(Source!S273,O288)</f>
        <v>38073.82</v>
      </c>
      <c r="G288" s="13" t="s">
        <v>113</v>
      </c>
      <c r="H288" s="13" t="s">
        <v>114</v>
      </c>
      <c r="I288" s="13"/>
      <c r="J288" s="13"/>
      <c r="K288" s="13">
        <v>205</v>
      </c>
      <c r="L288" s="13">
        <v>14</v>
      </c>
      <c r="M288" s="13">
        <v>3</v>
      </c>
      <c r="N288" s="13" t="s">
        <v>3</v>
      </c>
      <c r="O288" s="13">
        <v>2</v>
      </c>
      <c r="P288" s="13">
        <f>ROUND(Source!DK273,O288)</f>
        <v>2145459.7599999998</v>
      </c>
      <c r="Q288" s="13"/>
      <c r="R288" s="13"/>
      <c r="S288" s="13"/>
      <c r="T288" s="13"/>
      <c r="U288" s="13"/>
      <c r="V288" s="13"/>
      <c r="W288" s="13">
        <v>38073.82</v>
      </c>
      <c r="X288" s="13">
        <v>1</v>
      </c>
      <c r="Y288" s="13">
        <v>38073.82</v>
      </c>
      <c r="Z288" s="13">
        <v>2145459.7599999998</v>
      </c>
      <c r="AA288" s="13">
        <v>1</v>
      </c>
      <c r="AB288" s="13">
        <v>2145459.7599999998</v>
      </c>
    </row>
    <row r="289" spans="1:28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232</v>
      </c>
      <c r="F289" s="13">
        <f>ROUND(Source!BC273,O289)</f>
        <v>0</v>
      </c>
      <c r="G289" s="13" t="s">
        <v>115</v>
      </c>
      <c r="H289" s="13" t="s">
        <v>116</v>
      </c>
      <c r="I289" s="13"/>
      <c r="J289" s="13"/>
      <c r="K289" s="13">
        <v>232</v>
      </c>
      <c r="L289" s="13">
        <v>15</v>
      </c>
      <c r="M289" s="13">
        <v>3</v>
      </c>
      <c r="N289" s="13" t="s">
        <v>3</v>
      </c>
      <c r="O289" s="13">
        <v>2</v>
      </c>
      <c r="P289" s="13">
        <f>ROUND(Source!EU273,O289)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214</v>
      </c>
      <c r="F290" s="13">
        <f>ROUND(Source!AS273,O290)</f>
        <v>54177.39</v>
      </c>
      <c r="G290" s="13" t="s">
        <v>117</v>
      </c>
      <c r="H290" s="13" t="s">
        <v>118</v>
      </c>
      <c r="I290" s="13"/>
      <c r="J290" s="13"/>
      <c r="K290" s="13">
        <v>214</v>
      </c>
      <c r="L290" s="13">
        <v>16</v>
      </c>
      <c r="M290" s="13">
        <v>3</v>
      </c>
      <c r="N290" s="13" t="s">
        <v>3</v>
      </c>
      <c r="O290" s="13">
        <v>2</v>
      </c>
      <c r="P290" s="13">
        <f>ROUND(Source!EK273,O290)</f>
        <v>3001073.24</v>
      </c>
      <c r="Q290" s="13"/>
      <c r="R290" s="13"/>
      <c r="S290" s="13"/>
      <c r="T290" s="13"/>
      <c r="U290" s="13"/>
      <c r="V290" s="13"/>
      <c r="W290" s="13">
        <v>54177.39</v>
      </c>
      <c r="X290" s="13">
        <v>1</v>
      </c>
      <c r="Y290" s="13">
        <v>54177.39</v>
      </c>
      <c r="Z290" s="13">
        <v>3001073.24</v>
      </c>
      <c r="AA290" s="13">
        <v>1</v>
      </c>
      <c r="AB290" s="13">
        <v>3001073.24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215</v>
      </c>
      <c r="F291" s="13">
        <f>ROUND(Source!AT273,O291)</f>
        <v>91976.03</v>
      </c>
      <c r="G291" s="13" t="s">
        <v>119</v>
      </c>
      <c r="H291" s="13" t="s">
        <v>120</v>
      </c>
      <c r="I291" s="13"/>
      <c r="J291" s="13"/>
      <c r="K291" s="13">
        <v>215</v>
      </c>
      <c r="L291" s="13">
        <v>17</v>
      </c>
      <c r="M291" s="13">
        <v>3</v>
      </c>
      <c r="N291" s="13" t="s">
        <v>3</v>
      </c>
      <c r="O291" s="13">
        <v>2</v>
      </c>
      <c r="P291" s="13">
        <f>ROUND(Source!EL273,O291)</f>
        <v>2751289.05</v>
      </c>
      <c r="Q291" s="13"/>
      <c r="R291" s="13"/>
      <c r="S291" s="13"/>
      <c r="T291" s="13"/>
      <c r="U291" s="13"/>
      <c r="V291" s="13"/>
      <c r="W291" s="13">
        <v>91976.03</v>
      </c>
      <c r="X291" s="13">
        <v>1</v>
      </c>
      <c r="Y291" s="13">
        <v>91976.03</v>
      </c>
      <c r="Z291" s="13">
        <v>2751289.05</v>
      </c>
      <c r="AA291" s="13">
        <v>1</v>
      </c>
      <c r="AB291" s="13">
        <v>2751289.05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217</v>
      </c>
      <c r="F292" s="13">
        <f>ROUND(Source!AU273,O292)</f>
        <v>0</v>
      </c>
      <c r="G292" s="13" t="s">
        <v>121</v>
      </c>
      <c r="H292" s="13" t="s">
        <v>122</v>
      </c>
      <c r="I292" s="13"/>
      <c r="J292" s="13"/>
      <c r="K292" s="13">
        <v>217</v>
      </c>
      <c r="L292" s="13">
        <v>18</v>
      </c>
      <c r="M292" s="13">
        <v>3</v>
      </c>
      <c r="N292" s="13" t="s">
        <v>3</v>
      </c>
      <c r="O292" s="13">
        <v>2</v>
      </c>
      <c r="P292" s="13">
        <f>ROUND(Source!EM273,O292)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230</v>
      </c>
      <c r="F293" s="13">
        <f>ROUND(Source!BA273,O293)</f>
        <v>0</v>
      </c>
      <c r="G293" s="13" t="s">
        <v>123</v>
      </c>
      <c r="H293" s="13" t="s">
        <v>124</v>
      </c>
      <c r="I293" s="13"/>
      <c r="J293" s="13"/>
      <c r="K293" s="13">
        <v>230</v>
      </c>
      <c r="L293" s="13">
        <v>19</v>
      </c>
      <c r="M293" s="13">
        <v>3</v>
      </c>
      <c r="N293" s="13" t="s">
        <v>3</v>
      </c>
      <c r="O293" s="13">
        <v>2</v>
      </c>
      <c r="P293" s="13">
        <f>ROUND(Source!ES273,O293)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206</v>
      </c>
      <c r="F294" s="13">
        <f>ROUND(Source!T273,O294)</f>
        <v>0</v>
      </c>
      <c r="G294" s="13" t="s">
        <v>125</v>
      </c>
      <c r="H294" s="13" t="s">
        <v>126</v>
      </c>
      <c r="I294" s="13"/>
      <c r="J294" s="13"/>
      <c r="K294" s="13">
        <v>206</v>
      </c>
      <c r="L294" s="13">
        <v>20</v>
      </c>
      <c r="M294" s="13">
        <v>3</v>
      </c>
      <c r="N294" s="13" t="s">
        <v>3</v>
      </c>
      <c r="O294" s="13">
        <v>2</v>
      </c>
      <c r="P294" s="13">
        <f>ROUND(Source!DL273,O294)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207</v>
      </c>
      <c r="F295" s="13">
        <f>Source!U273</f>
        <v>3360.6184687199998</v>
      </c>
      <c r="G295" s="13" t="s">
        <v>127</v>
      </c>
      <c r="H295" s="13" t="s">
        <v>128</v>
      </c>
      <c r="I295" s="13"/>
      <c r="J295" s="13"/>
      <c r="K295" s="13">
        <v>207</v>
      </c>
      <c r="L295" s="13">
        <v>21</v>
      </c>
      <c r="M295" s="13">
        <v>3</v>
      </c>
      <c r="N295" s="13" t="s">
        <v>3</v>
      </c>
      <c r="O295" s="13">
        <v>-1</v>
      </c>
      <c r="P295" s="13">
        <f>Source!DM273</f>
        <v>3360.6184687199998</v>
      </c>
      <c r="Q295" s="13"/>
      <c r="R295" s="13"/>
      <c r="S295" s="13"/>
      <c r="T295" s="13"/>
      <c r="U295" s="13"/>
      <c r="V295" s="13"/>
      <c r="W295" s="13">
        <v>3360.6184687199993</v>
      </c>
      <c r="X295" s="13">
        <v>1</v>
      </c>
      <c r="Y295" s="13">
        <v>3360.6184687199993</v>
      </c>
      <c r="Z295" s="13">
        <v>3360.6184687199993</v>
      </c>
      <c r="AA295" s="13">
        <v>1</v>
      </c>
      <c r="AB295" s="13">
        <v>3360.6184687199993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208</v>
      </c>
      <c r="F296" s="13">
        <f>Source!V273</f>
        <v>0</v>
      </c>
      <c r="G296" s="13" t="s">
        <v>129</v>
      </c>
      <c r="H296" s="13" t="s">
        <v>130</v>
      </c>
      <c r="I296" s="13"/>
      <c r="J296" s="13"/>
      <c r="K296" s="13">
        <v>208</v>
      </c>
      <c r="L296" s="13">
        <v>22</v>
      </c>
      <c r="M296" s="13">
        <v>3</v>
      </c>
      <c r="N296" s="13" t="s">
        <v>3</v>
      </c>
      <c r="O296" s="13">
        <v>-1</v>
      </c>
      <c r="P296" s="13">
        <f>Source!DN273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209</v>
      </c>
      <c r="F297" s="13">
        <f>ROUND(Source!W273,O297)</f>
        <v>0</v>
      </c>
      <c r="G297" s="13" t="s">
        <v>131</v>
      </c>
      <c r="H297" s="13" t="s">
        <v>132</v>
      </c>
      <c r="I297" s="13"/>
      <c r="J297" s="13"/>
      <c r="K297" s="13">
        <v>209</v>
      </c>
      <c r="L297" s="13">
        <v>23</v>
      </c>
      <c r="M297" s="13">
        <v>3</v>
      </c>
      <c r="N297" s="13" t="s">
        <v>3</v>
      </c>
      <c r="O297" s="13">
        <v>2</v>
      </c>
      <c r="P297" s="13">
        <f>ROUND(Source!DO273,O297)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233</v>
      </c>
      <c r="F298" s="13">
        <f>ROUND(Source!BD273,O298)</f>
        <v>0</v>
      </c>
      <c r="G298" s="13" t="s">
        <v>133</v>
      </c>
      <c r="H298" s="13" t="s">
        <v>134</v>
      </c>
      <c r="I298" s="13"/>
      <c r="J298" s="13"/>
      <c r="K298" s="13">
        <v>233</v>
      </c>
      <c r="L298" s="13">
        <v>24</v>
      </c>
      <c r="M298" s="13">
        <v>3</v>
      </c>
      <c r="N298" s="13" t="s">
        <v>3</v>
      </c>
      <c r="O298" s="13">
        <v>2</v>
      </c>
      <c r="P298" s="13">
        <f>ROUND(Source!EV273,O298)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210</v>
      </c>
      <c r="F299" s="13">
        <f>ROUND(Source!X273,O299)</f>
        <v>35821.47</v>
      </c>
      <c r="G299" s="13" t="s">
        <v>135</v>
      </c>
      <c r="H299" s="13" t="s">
        <v>136</v>
      </c>
      <c r="I299" s="13"/>
      <c r="J299" s="13"/>
      <c r="K299" s="13">
        <v>210</v>
      </c>
      <c r="L299" s="13">
        <v>25</v>
      </c>
      <c r="M299" s="13">
        <v>3</v>
      </c>
      <c r="N299" s="13" t="s">
        <v>3</v>
      </c>
      <c r="O299" s="13">
        <v>2</v>
      </c>
      <c r="P299" s="13">
        <f>ROUND(Source!DP273,O299)</f>
        <v>2018540.08</v>
      </c>
      <c r="Q299" s="13"/>
      <c r="R299" s="13"/>
      <c r="S299" s="13"/>
      <c r="T299" s="13"/>
      <c r="U299" s="13"/>
      <c r="V299" s="13"/>
      <c r="W299" s="13">
        <v>35821.47</v>
      </c>
      <c r="X299" s="13">
        <v>1</v>
      </c>
      <c r="Y299" s="13">
        <v>35821.47</v>
      </c>
      <c r="Z299" s="13">
        <v>2018540.08</v>
      </c>
      <c r="AA299" s="13">
        <v>1</v>
      </c>
      <c r="AB299" s="13">
        <v>2018540.08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211</v>
      </c>
      <c r="F300" s="13">
        <f>ROUND(Source!Y273,O300)</f>
        <v>18845.060000000001</v>
      </c>
      <c r="G300" s="13" t="s">
        <v>137</v>
      </c>
      <c r="H300" s="13" t="s">
        <v>138</v>
      </c>
      <c r="I300" s="13"/>
      <c r="J300" s="13"/>
      <c r="K300" s="13">
        <v>211</v>
      </c>
      <c r="L300" s="13">
        <v>26</v>
      </c>
      <c r="M300" s="13">
        <v>3</v>
      </c>
      <c r="N300" s="13" t="s">
        <v>3</v>
      </c>
      <c r="O300" s="13">
        <v>2</v>
      </c>
      <c r="P300" s="13">
        <f>ROUND(Source!DQ273,O300)</f>
        <v>1061919.06</v>
      </c>
      <c r="Q300" s="13"/>
      <c r="R300" s="13"/>
      <c r="S300" s="13"/>
      <c r="T300" s="13"/>
      <c r="U300" s="13"/>
      <c r="V300" s="13"/>
      <c r="W300" s="13">
        <v>18845.060000000001</v>
      </c>
      <c r="X300" s="13">
        <v>1</v>
      </c>
      <c r="Y300" s="13">
        <v>18845.060000000001</v>
      </c>
      <c r="Z300" s="13">
        <v>1061919.06</v>
      </c>
      <c r="AA300" s="13">
        <v>1</v>
      </c>
      <c r="AB300" s="13">
        <v>1061919.06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224</v>
      </c>
      <c r="F301" s="13">
        <f>ROUND(Source!AR273,O301)</f>
        <v>407409.88</v>
      </c>
      <c r="G301" s="13" t="s">
        <v>139</v>
      </c>
      <c r="H301" s="13" t="s">
        <v>140</v>
      </c>
      <c r="I301" s="13"/>
      <c r="J301" s="13"/>
      <c r="K301" s="13">
        <v>224</v>
      </c>
      <c r="L301" s="13">
        <v>27</v>
      </c>
      <c r="M301" s="13">
        <v>3</v>
      </c>
      <c r="N301" s="13" t="s">
        <v>3</v>
      </c>
      <c r="O301" s="13">
        <v>2</v>
      </c>
      <c r="P301" s="13">
        <f>ROUND(Source!EJ273,O301)</f>
        <v>7732036.3399999999</v>
      </c>
      <c r="Q301" s="13"/>
      <c r="R301" s="13"/>
      <c r="S301" s="13"/>
      <c r="T301" s="13"/>
      <c r="U301" s="13"/>
      <c r="V301" s="13"/>
      <c r="W301" s="13">
        <v>407409.88</v>
      </c>
      <c r="X301" s="13">
        <v>1</v>
      </c>
      <c r="Y301" s="13">
        <v>407409.88</v>
      </c>
      <c r="Z301" s="13">
        <v>7732036.3399999999</v>
      </c>
      <c r="AA301" s="13">
        <v>1</v>
      </c>
      <c r="AB301" s="13">
        <v>7732036.3399999999</v>
      </c>
    </row>
    <row r="304" spans="1:28" x14ac:dyDescent="0.2">
      <c r="A304" s="3">
        <v>70</v>
      </c>
      <c r="B304" s="3">
        <v>1</v>
      </c>
      <c r="D304" s="3">
        <v>1</v>
      </c>
      <c r="E304" s="3" t="s">
        <v>263</v>
      </c>
      <c r="F304" s="3" t="s">
        <v>264</v>
      </c>
      <c r="G304" s="3">
        <v>0</v>
      </c>
      <c r="H304" s="3">
        <v>0</v>
      </c>
      <c r="I304" s="3" t="s">
        <v>3</v>
      </c>
      <c r="J304" s="3">
        <v>1</v>
      </c>
      <c r="K304" s="3">
        <v>0</v>
      </c>
      <c r="L304" s="3" t="s">
        <v>3</v>
      </c>
      <c r="M304" s="3" t="s">
        <v>3</v>
      </c>
      <c r="N304" s="3">
        <v>0</v>
      </c>
      <c r="O304" s="3">
        <v>0</v>
      </c>
      <c r="P304" s="3" t="s">
        <v>3</v>
      </c>
    </row>
    <row r="305" spans="1:50" x14ac:dyDescent="0.2">
      <c r="A305" s="3">
        <v>70</v>
      </c>
      <c r="B305" s="3">
        <v>1</v>
      </c>
      <c r="D305" s="3">
        <v>2</v>
      </c>
      <c r="E305" s="3" t="s">
        <v>265</v>
      </c>
      <c r="F305" s="3" t="s">
        <v>266</v>
      </c>
      <c r="G305" s="3">
        <v>1</v>
      </c>
      <c r="H305" s="3">
        <v>0</v>
      </c>
      <c r="I305" s="3" t="s">
        <v>3</v>
      </c>
      <c r="J305" s="3">
        <v>1</v>
      </c>
      <c r="K305" s="3">
        <v>0</v>
      </c>
      <c r="L305" s="3" t="s">
        <v>3</v>
      </c>
      <c r="M305" s="3" t="s">
        <v>3</v>
      </c>
      <c r="N305" s="3">
        <v>0</v>
      </c>
      <c r="O305" s="3">
        <v>1</v>
      </c>
      <c r="P305" s="3" t="s">
        <v>3</v>
      </c>
    </row>
    <row r="306" spans="1:50" x14ac:dyDescent="0.2">
      <c r="A306" s="3">
        <v>70</v>
      </c>
      <c r="B306" s="3">
        <v>1</v>
      </c>
      <c r="D306" s="3">
        <v>3</v>
      </c>
      <c r="E306" s="3" t="s">
        <v>267</v>
      </c>
      <c r="F306" s="3" t="s">
        <v>268</v>
      </c>
      <c r="G306" s="3">
        <v>0</v>
      </c>
      <c r="H306" s="3">
        <v>0</v>
      </c>
      <c r="I306" s="3" t="s">
        <v>3</v>
      </c>
      <c r="J306" s="3">
        <v>0</v>
      </c>
      <c r="K306" s="3">
        <v>0</v>
      </c>
      <c r="L306" s="3" t="s">
        <v>3</v>
      </c>
      <c r="M306" s="3" t="s">
        <v>3</v>
      </c>
      <c r="N306" s="3">
        <v>0</v>
      </c>
      <c r="O306" s="3">
        <v>0</v>
      </c>
      <c r="P306" s="3" t="s">
        <v>3</v>
      </c>
    </row>
    <row r="307" spans="1:50" x14ac:dyDescent="0.2">
      <c r="A307" s="3">
        <v>70</v>
      </c>
      <c r="B307" s="3">
        <v>1</v>
      </c>
      <c r="D307" s="3">
        <v>4</v>
      </c>
      <c r="E307" s="3" t="s">
        <v>269</v>
      </c>
      <c r="F307" s="3" t="s">
        <v>270</v>
      </c>
      <c r="G307" s="3">
        <v>1</v>
      </c>
      <c r="H307" s="3">
        <v>0</v>
      </c>
      <c r="I307" s="3" t="s">
        <v>3</v>
      </c>
      <c r="J307" s="3">
        <v>0</v>
      </c>
      <c r="K307" s="3">
        <v>0</v>
      </c>
      <c r="L307" s="3" t="s">
        <v>3</v>
      </c>
      <c r="M307" s="3" t="s">
        <v>3</v>
      </c>
      <c r="N307" s="3">
        <v>0</v>
      </c>
      <c r="O307" s="3">
        <v>1</v>
      </c>
      <c r="P307" s="3" t="s">
        <v>3</v>
      </c>
    </row>
    <row r="308" spans="1:50" x14ac:dyDescent="0.2">
      <c r="A308" s="3">
        <v>70</v>
      </c>
      <c r="B308" s="3">
        <v>1</v>
      </c>
      <c r="D308" s="3">
        <v>5</v>
      </c>
      <c r="E308" s="3" t="s">
        <v>271</v>
      </c>
      <c r="F308" s="3" t="s">
        <v>272</v>
      </c>
      <c r="G308" s="3">
        <v>1</v>
      </c>
      <c r="H308" s="3">
        <v>0</v>
      </c>
      <c r="I308" s="3" t="s">
        <v>3</v>
      </c>
      <c r="J308" s="3">
        <v>0</v>
      </c>
      <c r="K308" s="3">
        <v>0</v>
      </c>
      <c r="L308" s="3" t="s">
        <v>3</v>
      </c>
      <c r="M308" s="3" t="s">
        <v>3</v>
      </c>
      <c r="N308" s="3">
        <v>0</v>
      </c>
      <c r="O308" s="3">
        <v>1</v>
      </c>
      <c r="P308" s="3" t="s">
        <v>3</v>
      </c>
    </row>
    <row r="309" spans="1:50" x14ac:dyDescent="0.2">
      <c r="A309" s="3">
        <v>70</v>
      </c>
      <c r="B309" s="3">
        <v>1</v>
      </c>
      <c r="D309" s="3">
        <v>6</v>
      </c>
      <c r="E309" s="3" t="s">
        <v>273</v>
      </c>
      <c r="F309" s="3" t="s">
        <v>274</v>
      </c>
      <c r="G309" s="3">
        <v>0</v>
      </c>
      <c r="H309" s="3">
        <v>0</v>
      </c>
      <c r="I309" s="3" t="s">
        <v>3</v>
      </c>
      <c r="J309" s="3">
        <v>0</v>
      </c>
      <c r="K309" s="3">
        <v>0</v>
      </c>
      <c r="L309" s="3" t="s">
        <v>3</v>
      </c>
      <c r="M309" s="3" t="s">
        <v>3</v>
      </c>
      <c r="N309" s="3">
        <v>0</v>
      </c>
      <c r="O309" s="3">
        <v>0</v>
      </c>
      <c r="P309" s="3" t="s">
        <v>3</v>
      </c>
    </row>
    <row r="310" spans="1:50" x14ac:dyDescent="0.2">
      <c r="A310" s="3">
        <v>70</v>
      </c>
      <c r="B310" s="3">
        <v>1</v>
      </c>
      <c r="D310" s="3">
        <v>7</v>
      </c>
      <c r="E310" s="3" t="s">
        <v>275</v>
      </c>
      <c r="F310" s="3" t="s">
        <v>276</v>
      </c>
      <c r="G310" s="3">
        <v>0</v>
      </c>
      <c r="H310" s="3">
        <v>0</v>
      </c>
      <c r="I310" s="3" t="s">
        <v>3</v>
      </c>
      <c r="J310" s="3">
        <v>0</v>
      </c>
      <c r="K310" s="3">
        <v>0</v>
      </c>
      <c r="L310" s="3" t="s">
        <v>3</v>
      </c>
      <c r="M310" s="3" t="s">
        <v>3</v>
      </c>
      <c r="N310" s="3">
        <v>0</v>
      </c>
      <c r="O310" s="3">
        <v>0</v>
      </c>
      <c r="P310" s="3" t="s">
        <v>3</v>
      </c>
    </row>
    <row r="312" spans="1:50" x14ac:dyDescent="0.2">
      <c r="A312" s="3">
        <v>-1</v>
      </c>
    </row>
    <row r="314" spans="1:50" x14ac:dyDescent="0.2">
      <c r="A314" s="12">
        <v>75</v>
      </c>
      <c r="B314" s="12" t="s">
        <v>277</v>
      </c>
      <c r="C314" s="12">
        <v>2026</v>
      </c>
      <c r="D314" s="12">
        <v>1</v>
      </c>
      <c r="E314" s="12">
        <v>0</v>
      </c>
      <c r="F314" s="12"/>
      <c r="G314" s="12">
        <v>0</v>
      </c>
      <c r="H314" s="12">
        <v>1</v>
      </c>
      <c r="I314" s="12">
        <v>1</v>
      </c>
      <c r="J314" s="12">
        <v>1</v>
      </c>
      <c r="K314" s="12">
        <v>0</v>
      </c>
      <c r="L314" s="12">
        <v>0</v>
      </c>
      <c r="M314" s="12">
        <v>1</v>
      </c>
      <c r="N314" s="12">
        <v>55943568</v>
      </c>
      <c r="O314" s="12">
        <v>1</v>
      </c>
    </row>
    <row r="315" spans="1:50" x14ac:dyDescent="0.2">
      <c r="A315" s="14">
        <v>1</v>
      </c>
      <c r="B315" s="14" t="s">
        <v>278</v>
      </c>
      <c r="C315" s="14" t="s">
        <v>279</v>
      </c>
      <c r="D315" s="14">
        <v>2026</v>
      </c>
      <c r="E315" s="14">
        <v>1</v>
      </c>
      <c r="F315" s="14">
        <v>1</v>
      </c>
      <c r="G315" s="14">
        <v>1</v>
      </c>
      <c r="H315" s="14">
        <v>0</v>
      </c>
      <c r="I315" s="14">
        <v>2</v>
      </c>
      <c r="J315" s="14">
        <v>1</v>
      </c>
      <c r="K315" s="14">
        <v>1</v>
      </c>
      <c r="L315" s="14">
        <v>1</v>
      </c>
      <c r="M315" s="14">
        <v>1</v>
      </c>
      <c r="N315" s="14">
        <v>1</v>
      </c>
      <c r="O315" s="14">
        <v>1</v>
      </c>
      <c r="P315" s="14">
        <v>1</v>
      </c>
      <c r="Q315" s="14">
        <v>1</v>
      </c>
      <c r="R315" s="14" t="s">
        <v>3</v>
      </c>
      <c r="S315" s="14" t="s">
        <v>3</v>
      </c>
      <c r="T315" s="14" t="s">
        <v>3</v>
      </c>
      <c r="U315" s="14" t="s">
        <v>3</v>
      </c>
      <c r="V315" s="14" t="s">
        <v>3</v>
      </c>
      <c r="W315" s="14" t="s">
        <v>3</v>
      </c>
      <c r="X315" s="14" t="s">
        <v>3</v>
      </c>
      <c r="Y315" s="14" t="s">
        <v>3</v>
      </c>
      <c r="Z315" s="14" t="s">
        <v>3</v>
      </c>
      <c r="AA315" s="14" t="s">
        <v>280</v>
      </c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>
        <v>55943569</v>
      </c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 spans="1:50" x14ac:dyDescent="0.2">
      <c r="A316" s="14">
        <v>1</v>
      </c>
      <c r="B316" s="14" t="s">
        <v>278</v>
      </c>
      <c r="C316" s="14" t="s">
        <v>281</v>
      </c>
      <c r="D316" s="14">
        <v>2026</v>
      </c>
      <c r="E316" s="14">
        <v>1</v>
      </c>
      <c r="F316" s="14">
        <v>1</v>
      </c>
      <c r="G316" s="14">
        <v>1</v>
      </c>
      <c r="H316" s="14">
        <v>0</v>
      </c>
      <c r="I316" s="14">
        <v>2</v>
      </c>
      <c r="J316" s="14">
        <v>1</v>
      </c>
      <c r="K316" s="14">
        <v>1</v>
      </c>
      <c r="L316" s="14">
        <v>1</v>
      </c>
      <c r="M316" s="14">
        <v>1</v>
      </c>
      <c r="N316" s="14">
        <v>1</v>
      </c>
      <c r="O316" s="14">
        <v>1</v>
      </c>
      <c r="P316" s="14">
        <v>1</v>
      </c>
      <c r="Q316" s="14">
        <v>1</v>
      </c>
      <c r="R316" s="14" t="s">
        <v>3</v>
      </c>
      <c r="S316" s="14" t="s">
        <v>3</v>
      </c>
      <c r="T316" s="14" t="s">
        <v>3</v>
      </c>
      <c r="U316" s="14" t="s">
        <v>3</v>
      </c>
      <c r="V316" s="14" t="s">
        <v>3</v>
      </c>
      <c r="W316" s="14" t="s">
        <v>3</v>
      </c>
      <c r="X316" s="14" t="s">
        <v>3</v>
      </c>
      <c r="Y316" s="14" t="s">
        <v>3</v>
      </c>
      <c r="Z316" s="14" t="s">
        <v>3</v>
      </c>
      <c r="AA316" s="14" t="s">
        <v>282</v>
      </c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>
        <v>55943570</v>
      </c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 spans="1:50" x14ac:dyDescent="0.2">
      <c r="A317" s="12">
        <v>75</v>
      </c>
      <c r="B317" s="12" t="s">
        <v>283</v>
      </c>
      <c r="C317" s="12">
        <v>2000</v>
      </c>
      <c r="D317" s="12">
        <v>0</v>
      </c>
      <c r="E317" s="12">
        <v>1</v>
      </c>
      <c r="F317" s="12">
        <v>0</v>
      </c>
      <c r="G317" s="12">
        <v>0</v>
      </c>
      <c r="H317" s="12">
        <v>1</v>
      </c>
      <c r="I317" s="12">
        <v>1</v>
      </c>
      <c r="J317" s="12">
        <v>3</v>
      </c>
      <c r="K317" s="12">
        <v>0</v>
      </c>
      <c r="L317" s="12">
        <v>0</v>
      </c>
      <c r="M317" s="12">
        <v>0</v>
      </c>
      <c r="N317" s="12">
        <v>55943566</v>
      </c>
      <c r="O317" s="12">
        <v>2</v>
      </c>
    </row>
    <row r="318" spans="1:50" x14ac:dyDescent="0.2">
      <c r="A318" s="14">
        <v>1</v>
      </c>
      <c r="B318" s="14" t="s">
        <v>278</v>
      </c>
      <c r="C318" s="14" t="s">
        <v>279</v>
      </c>
      <c r="D318" s="14">
        <v>2000</v>
      </c>
      <c r="E318" s="14">
        <v>1</v>
      </c>
      <c r="F318" s="14">
        <v>1</v>
      </c>
      <c r="G318" s="14">
        <v>1</v>
      </c>
      <c r="H318" s="14">
        <v>0</v>
      </c>
      <c r="I318" s="14">
        <v>2</v>
      </c>
      <c r="J318" s="14">
        <v>1</v>
      </c>
      <c r="K318" s="14">
        <v>1</v>
      </c>
      <c r="L318" s="14">
        <v>1</v>
      </c>
      <c r="M318" s="14">
        <v>1</v>
      </c>
      <c r="N318" s="14">
        <v>1</v>
      </c>
      <c r="O318" s="14">
        <v>1</v>
      </c>
      <c r="P318" s="14">
        <v>1</v>
      </c>
      <c r="Q318" s="14">
        <v>1</v>
      </c>
      <c r="R318" s="14" t="s">
        <v>3</v>
      </c>
      <c r="S318" s="14" t="s">
        <v>3</v>
      </c>
      <c r="T318" s="14" t="s">
        <v>3</v>
      </c>
      <c r="U318" s="14" t="s">
        <v>3</v>
      </c>
      <c r="V318" s="14" t="s">
        <v>3</v>
      </c>
      <c r="W318" s="14" t="s">
        <v>3</v>
      </c>
      <c r="X318" s="14" t="s">
        <v>3</v>
      </c>
      <c r="Y318" s="14" t="s">
        <v>3</v>
      </c>
      <c r="Z318" s="14" t="s">
        <v>3</v>
      </c>
      <c r="AA318" s="14" t="s">
        <v>158</v>
      </c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>
        <v>55943567</v>
      </c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22" spans="1:5" x14ac:dyDescent="0.2">
      <c r="A322" s="3">
        <v>65</v>
      </c>
      <c r="C322" s="3">
        <v>1</v>
      </c>
      <c r="D322" s="3">
        <v>0</v>
      </c>
      <c r="E322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16</v>
      </c>
      <c r="BZ12" s="1" t="s">
        <v>17</v>
      </c>
      <c r="CA12" s="1" t="s">
        <v>18</v>
      </c>
      <c r="CB12" s="1" t="s">
        <v>18</v>
      </c>
      <c r="CC12" s="1" t="s">
        <v>18</v>
      </c>
      <c r="CD12" s="1" t="s">
        <v>18</v>
      </c>
      <c r="CE12" s="1" t="s">
        <v>19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20</v>
      </c>
      <c r="CR12" s="1" t="s">
        <v>21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55943568</v>
      </c>
      <c r="E14" s="1">
        <v>55943566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22</v>
      </c>
      <c r="E16" s="8">
        <f>ROUND((Source!P257)/1000,2)</f>
        <v>3001.07</v>
      </c>
      <c r="F16" s="8">
        <f>ROUND((Source!P258)/1000,2)</f>
        <v>2751.29</v>
      </c>
      <c r="G16" s="8">
        <f>ROUND((Source!P249)/1000,2)</f>
        <v>1979.67</v>
      </c>
      <c r="H16" s="8">
        <f>ROUND((Source!P259)/1000+(Source!P260)/1000,2)</f>
        <v>0</v>
      </c>
      <c r="I16" s="8">
        <f>E16+F16+G16+H16</f>
        <v>7732.0300000000007</v>
      </c>
      <c r="J16" s="8">
        <f>ROUND((Source!P255+Source!P254)/1000,2)</f>
        <v>2166.37</v>
      </c>
      <c r="K16" s="8">
        <v>7115.58</v>
      </c>
      <c r="L16" s="8">
        <v>0</v>
      </c>
      <c r="M16" s="8">
        <v>0</v>
      </c>
      <c r="N16" s="8">
        <f>I16+L16+M16</f>
        <v>7732.0300000000007</v>
      </c>
      <c r="T16" s="9">
        <f>ROUND((Source!F257)/1000,2)</f>
        <v>54.18</v>
      </c>
      <c r="U16" s="9">
        <f>ROUND((Source!F258)/1000,2)</f>
        <v>91.98</v>
      </c>
      <c r="V16" s="9">
        <f>ROUND((Source!F249)/1000,2)</f>
        <v>261.26</v>
      </c>
      <c r="W16" s="9">
        <f>ROUND((Source!F259)/1000+(Source!F260)/1000,2)</f>
        <v>0</v>
      </c>
      <c r="X16" s="9">
        <f>T16+U16+V16+W16</f>
        <v>407.41999999999996</v>
      </c>
      <c r="Y16" s="9">
        <f>ROUND((Source!F255+Source!F254)/1000,2)</f>
        <v>38.44</v>
      </c>
      <c r="Z16" s="9">
        <v>665.09</v>
      </c>
      <c r="AA16" s="9">
        <v>0</v>
      </c>
      <c r="AB16" s="9">
        <v>0</v>
      </c>
      <c r="AC16" s="9">
        <f>X16+AA16+AB16</f>
        <v>407.41999999999996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4651577.2</v>
      </c>
      <c r="AU16" s="8">
        <v>2463997.9900000002</v>
      </c>
      <c r="AV16" s="8">
        <v>0</v>
      </c>
      <c r="AW16" s="8">
        <v>1979674.05</v>
      </c>
      <c r="AX16" s="8">
        <v>0</v>
      </c>
      <c r="AY16" s="8">
        <v>42119.45</v>
      </c>
      <c r="AZ16" s="8">
        <v>20905.87</v>
      </c>
      <c r="BA16" s="8">
        <v>2145459.7599999998</v>
      </c>
      <c r="BB16" s="8">
        <v>3001073.24</v>
      </c>
      <c r="BC16" s="8">
        <v>2751289.05</v>
      </c>
      <c r="BD16" s="8">
        <v>0</v>
      </c>
      <c r="BE16" s="8">
        <v>0</v>
      </c>
      <c r="BF16" s="8">
        <v>3360.6184687199993</v>
      </c>
      <c r="BG16" s="8">
        <v>0</v>
      </c>
      <c r="BH16" s="8">
        <v>0</v>
      </c>
      <c r="BI16" s="8">
        <v>2018540.08</v>
      </c>
      <c r="BJ16" s="8">
        <v>1061919.06</v>
      </c>
      <c r="BK16" s="8">
        <v>7732036.3399999999</v>
      </c>
      <c r="BR16" s="9">
        <v>352743.35</v>
      </c>
      <c r="BS16" s="9">
        <v>312343.87</v>
      </c>
      <c r="BT16" s="9">
        <v>0</v>
      </c>
      <c r="BU16" s="9">
        <v>261256.46</v>
      </c>
      <c r="BV16" s="9">
        <v>0</v>
      </c>
      <c r="BW16" s="9">
        <v>2325.66</v>
      </c>
      <c r="BX16" s="9">
        <v>371</v>
      </c>
      <c r="BY16" s="9">
        <v>38073.82</v>
      </c>
      <c r="BZ16" s="9">
        <v>54177.39</v>
      </c>
      <c r="CA16" s="9">
        <v>91976.03</v>
      </c>
      <c r="CB16" s="9">
        <v>0</v>
      </c>
      <c r="CC16" s="9">
        <v>0</v>
      </c>
      <c r="CD16" s="9">
        <v>3360.6184687199993</v>
      </c>
      <c r="CE16" s="9">
        <v>0</v>
      </c>
      <c r="CF16" s="9">
        <v>0</v>
      </c>
      <c r="CG16" s="9">
        <v>35821.47</v>
      </c>
      <c r="CH16" s="9">
        <v>18845.060000000001</v>
      </c>
      <c r="CI16" s="9">
        <v>407409.88</v>
      </c>
    </row>
    <row r="18" spans="1:29" x14ac:dyDescent="0.2">
      <c r="A18">
        <v>51</v>
      </c>
      <c r="E18">
        <v>3001.07</v>
      </c>
      <c r="F18">
        <v>2751.29</v>
      </c>
      <c r="G18">
        <v>1979.67</v>
      </c>
      <c r="H18">
        <v>0</v>
      </c>
      <c r="I18">
        <v>7732.03</v>
      </c>
      <c r="J18">
        <v>2166.37</v>
      </c>
      <c r="K18">
        <v>7115.58</v>
      </c>
      <c r="L18">
        <v>0</v>
      </c>
      <c r="M18">
        <v>0</v>
      </c>
      <c r="N18">
        <v>7732.03</v>
      </c>
      <c r="T18">
        <v>54.18</v>
      </c>
      <c r="U18">
        <v>91.98</v>
      </c>
      <c r="V18">
        <v>261.26</v>
      </c>
      <c r="W18">
        <v>0</v>
      </c>
      <c r="X18">
        <v>407.42</v>
      </c>
      <c r="Y18">
        <v>38.44</v>
      </c>
      <c r="Z18">
        <v>665.09</v>
      </c>
      <c r="AA18">
        <v>0</v>
      </c>
      <c r="AB18">
        <v>0</v>
      </c>
      <c r="AC18">
        <v>407.42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4651577.2</v>
      </c>
      <c r="G20" s="5" t="s">
        <v>87</v>
      </c>
      <c r="H20" s="5" t="s">
        <v>88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352743.35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2463997.9900000002</v>
      </c>
      <c r="G21" s="5" t="s">
        <v>89</v>
      </c>
      <c r="H21" s="5" t="s">
        <v>90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312343.87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91</v>
      </c>
      <c r="H22" s="5" t="s">
        <v>92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2463997.9900000002</v>
      </c>
      <c r="G23" s="5" t="s">
        <v>93</v>
      </c>
      <c r="H23" s="5" t="s">
        <v>94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312343.87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484323.94</v>
      </c>
      <c r="G24" s="5" t="s">
        <v>95</v>
      </c>
      <c r="H24" s="5" t="s">
        <v>96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51087.41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97</v>
      </c>
      <c r="H25" s="5" t="s">
        <v>98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484323.94</v>
      </c>
      <c r="G26" s="5" t="s">
        <v>99</v>
      </c>
      <c r="H26" s="5" t="s">
        <v>100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51087.41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1979674.05</v>
      </c>
      <c r="G27" s="5" t="s">
        <v>101</v>
      </c>
      <c r="H27" s="5" t="s">
        <v>102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261256.46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103</v>
      </c>
      <c r="H28" s="5" t="s">
        <v>104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1979674.05</v>
      </c>
      <c r="G29" s="5" t="s">
        <v>105</v>
      </c>
      <c r="H29" s="5" t="s">
        <v>106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261256.46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42119.45</v>
      </c>
      <c r="G30" s="5" t="s">
        <v>107</v>
      </c>
      <c r="H30" s="5" t="s">
        <v>108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2325.66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109</v>
      </c>
      <c r="H31" s="5" t="s">
        <v>110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20905.87</v>
      </c>
      <c r="G32" s="5" t="s">
        <v>111</v>
      </c>
      <c r="H32" s="5" t="s">
        <v>112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371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2145459.7599999998</v>
      </c>
      <c r="G33" s="5" t="s">
        <v>113</v>
      </c>
      <c r="H33" s="5" t="s">
        <v>114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38073.82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115</v>
      </c>
      <c r="H34" s="5" t="s">
        <v>116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3001073.24</v>
      </c>
      <c r="G35" s="5" t="s">
        <v>117</v>
      </c>
      <c r="H35" s="5" t="s">
        <v>118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54177.39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2751289.05</v>
      </c>
      <c r="G36" s="5" t="s">
        <v>119</v>
      </c>
      <c r="H36" s="5" t="s">
        <v>120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91976.03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121</v>
      </c>
      <c r="H37" s="5" t="s">
        <v>122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123</v>
      </c>
      <c r="H38" s="5" t="s">
        <v>124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125</v>
      </c>
      <c r="H39" s="5" t="s">
        <v>126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3360.6184687199993</v>
      </c>
      <c r="G40" s="5" t="s">
        <v>127</v>
      </c>
      <c r="H40" s="5" t="s">
        <v>128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3360.6184687199993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129</v>
      </c>
      <c r="H41" s="5" t="s">
        <v>130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131</v>
      </c>
      <c r="H42" s="5" t="s">
        <v>132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133</v>
      </c>
      <c r="H43" s="5" t="s">
        <v>134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2018540.08</v>
      </c>
      <c r="G44" s="5" t="s">
        <v>135</v>
      </c>
      <c r="H44" s="5" t="s">
        <v>136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35821.47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1061919.06</v>
      </c>
      <c r="G45" s="5" t="s">
        <v>137</v>
      </c>
      <c r="H45" s="5" t="s">
        <v>138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18845.060000000001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7732036.3399999999</v>
      </c>
      <c r="G46" s="5" t="s">
        <v>139</v>
      </c>
      <c r="H46" s="5" t="s">
        <v>140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407409.88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277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55943568</v>
      </c>
      <c r="O51" s="4">
        <v>1</v>
      </c>
    </row>
    <row r="52" spans="1:50" x14ac:dyDescent="0.2">
      <c r="A52" s="6">
        <v>1</v>
      </c>
      <c r="B52" s="6" t="s">
        <v>278</v>
      </c>
      <c r="C52" s="6" t="s">
        <v>279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55943569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278</v>
      </c>
      <c r="C53" s="6" t="s">
        <v>281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282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55943570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283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55943566</v>
      </c>
      <c r="O54" s="4">
        <v>2</v>
      </c>
    </row>
    <row r="55" spans="1:50" x14ac:dyDescent="0.2">
      <c r="A55" s="6">
        <v>1</v>
      </c>
      <c r="B55" s="6" t="s">
        <v>278</v>
      </c>
      <c r="C55" s="6" t="s">
        <v>279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158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55943567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ROW(Source!A44)</f>
        <v>44</v>
      </c>
      <c r="B1">
        <v>55943566</v>
      </c>
      <c r="C1">
        <v>55985287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285</v>
      </c>
      <c r="J1" t="s">
        <v>3</v>
      </c>
      <c r="K1" t="s">
        <v>286</v>
      </c>
      <c r="L1">
        <v>1191</v>
      </c>
      <c r="N1">
        <v>1013</v>
      </c>
      <c r="O1" t="s">
        <v>287</v>
      </c>
      <c r="P1" t="s">
        <v>287</v>
      </c>
      <c r="Q1">
        <v>1</v>
      </c>
      <c r="W1">
        <v>0</v>
      </c>
      <c r="X1">
        <v>476480486</v>
      </c>
      <c r="Y1">
        <f>(AT1*1.2)</f>
        <v>36.527999999999999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30.44</v>
      </c>
      <c r="AU1" t="s">
        <v>78</v>
      </c>
      <c r="AV1">
        <v>1</v>
      </c>
      <c r="AW1">
        <v>2</v>
      </c>
      <c r="AX1">
        <v>55985290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ROUND(AT1*Source!I44*AH1*AL1,2)</f>
        <v>0</v>
      </c>
      <c r="CV1">
        <f>ROUND(Y1*Source!I44,9)</f>
        <v>1541.4816000000001</v>
      </c>
      <c r="CW1">
        <v>0</v>
      </c>
      <c r="CX1">
        <f>ROUND(Y1*Source!I44,9)</f>
        <v>1541.4816000000001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9" si="0">ROUND(ROUND(AE1,2)*CX1,2)</f>
        <v>0</v>
      </c>
      <c r="DG1">
        <f t="shared" ref="DG1:DG10" si="1">ROUND(ROUND(AF1,2)*CX1,2)</f>
        <v>0</v>
      </c>
      <c r="DH1">
        <f t="shared" ref="DH1:DH10" si="2">ROUND(ROUND(AG1,2)*CX1,2)</f>
        <v>0</v>
      </c>
      <c r="DI1">
        <f t="shared" ref="DI1:DI10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ROW(Source!A44)</f>
        <v>44</v>
      </c>
      <c r="B2">
        <v>55943566</v>
      </c>
      <c r="C2">
        <v>55985287</v>
      </c>
      <c r="D2">
        <v>55424288</v>
      </c>
      <c r="E2">
        <v>1081</v>
      </c>
      <c r="F2">
        <v>1</v>
      </c>
      <c r="G2">
        <v>1081</v>
      </c>
      <c r="H2">
        <v>3</v>
      </c>
      <c r="I2" t="s">
        <v>288</v>
      </c>
      <c r="J2" t="s">
        <v>3</v>
      </c>
      <c r="K2" t="s">
        <v>289</v>
      </c>
      <c r="L2">
        <v>1348</v>
      </c>
      <c r="N2">
        <v>1009</v>
      </c>
      <c r="O2" t="s">
        <v>168</v>
      </c>
      <c r="P2" t="s">
        <v>168</v>
      </c>
      <c r="Q2">
        <v>1000</v>
      </c>
      <c r="W2">
        <v>0</v>
      </c>
      <c r="X2">
        <v>1489638031</v>
      </c>
      <c r="Y2">
        <f>(AT2*1)</f>
        <v>0.247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0.247</v>
      </c>
      <c r="AU2" t="s">
        <v>77</v>
      </c>
      <c r="AV2">
        <v>0</v>
      </c>
      <c r="AW2">
        <v>2</v>
      </c>
      <c r="AX2">
        <v>55985291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ROUND(Y2*Source!I44,9)</f>
        <v>10.423400000000001</v>
      </c>
      <c r="CY2">
        <f>AA2</f>
        <v>0</v>
      </c>
      <c r="CZ2">
        <f>AE2</f>
        <v>0</v>
      </c>
      <c r="DA2">
        <f>AI2</f>
        <v>1</v>
      </c>
      <c r="DB2">
        <f>ROUND((ROUND(AT2*CZ2,2)*1),6)</f>
        <v>0</v>
      </c>
      <c r="DC2">
        <f>ROUND((ROUND(AT2*AG2,2)*1),6)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ROW(Source!A45)</f>
        <v>45</v>
      </c>
      <c r="B3">
        <v>55943568</v>
      </c>
      <c r="C3">
        <v>55985287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285</v>
      </c>
      <c r="J3" t="s">
        <v>3</v>
      </c>
      <c r="K3" t="s">
        <v>286</v>
      </c>
      <c r="L3">
        <v>1191</v>
      </c>
      <c r="N3">
        <v>1013</v>
      </c>
      <c r="O3" t="s">
        <v>287</v>
      </c>
      <c r="P3" t="s">
        <v>287</v>
      </c>
      <c r="Q3">
        <v>1</v>
      </c>
      <c r="W3">
        <v>0</v>
      </c>
      <c r="X3">
        <v>476480486</v>
      </c>
      <c r="Y3">
        <f>(AT3*1.2)</f>
        <v>36.527999999999999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30.44</v>
      </c>
      <c r="AU3" t="s">
        <v>78</v>
      </c>
      <c r="AV3">
        <v>1</v>
      </c>
      <c r="AW3">
        <v>2</v>
      </c>
      <c r="AX3">
        <v>55985290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ROUND(AT3*Source!I45*AH3*AL3,2)</f>
        <v>0</v>
      </c>
      <c r="CV3">
        <f>ROUND(Y3*Source!I45,9)</f>
        <v>1541.4816000000001</v>
      </c>
      <c r="CW3">
        <v>0</v>
      </c>
      <c r="CX3">
        <f>ROUND(Y3*Source!I45,9)</f>
        <v>1541.4816000000001</v>
      </c>
      <c r="CY3">
        <f>AD3</f>
        <v>0</v>
      </c>
      <c r="CZ3">
        <f>AH3</f>
        <v>0</v>
      </c>
      <c r="DA3">
        <f>AL3</f>
        <v>1</v>
      </c>
      <c r="DB3">
        <f>ROUND((ROUND(AT3*CZ3,2)*1.2),6)</f>
        <v>0</v>
      </c>
      <c r="DC3">
        <f>ROUND((ROUND(AT3*AG3,2)*1.2),6)</f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ROW(Source!A45)</f>
        <v>45</v>
      </c>
      <c r="B4">
        <v>55943568</v>
      </c>
      <c r="C4">
        <v>55985287</v>
      </c>
      <c r="D4">
        <v>55424288</v>
      </c>
      <c r="E4">
        <v>1081</v>
      </c>
      <c r="F4">
        <v>1</v>
      </c>
      <c r="G4">
        <v>1081</v>
      </c>
      <c r="H4">
        <v>3</v>
      </c>
      <c r="I4" t="s">
        <v>288</v>
      </c>
      <c r="J4" t="s">
        <v>3</v>
      </c>
      <c r="K4" t="s">
        <v>289</v>
      </c>
      <c r="L4">
        <v>1348</v>
      </c>
      <c r="N4">
        <v>1009</v>
      </c>
      <c r="O4" t="s">
        <v>168</v>
      </c>
      <c r="P4" t="s">
        <v>168</v>
      </c>
      <c r="Q4">
        <v>1000</v>
      </c>
      <c r="W4">
        <v>0</v>
      </c>
      <c r="X4">
        <v>1489638031</v>
      </c>
      <c r="Y4">
        <f>(AT4*1)</f>
        <v>0.247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0.247</v>
      </c>
      <c r="AU4" t="s">
        <v>77</v>
      </c>
      <c r="AV4">
        <v>0</v>
      </c>
      <c r="AW4">
        <v>2</v>
      </c>
      <c r="AX4">
        <v>55985291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ROUND(Y4*Source!I45,9)</f>
        <v>10.423400000000001</v>
      </c>
      <c r="CY4">
        <f>AA4</f>
        <v>0</v>
      </c>
      <c r="CZ4">
        <f>AE4</f>
        <v>0</v>
      </c>
      <c r="DA4">
        <f>AI4</f>
        <v>1</v>
      </c>
      <c r="DB4">
        <f>ROUND((ROUND(AT4*CZ4,2)*1),6)</f>
        <v>0</v>
      </c>
      <c r="DC4">
        <f>ROUND((ROUND(AT4*AG4,2)*1),6)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ROW(Source!A46)</f>
        <v>46</v>
      </c>
      <c r="B5">
        <v>55943566</v>
      </c>
      <c r="C5">
        <v>55985292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285</v>
      </c>
      <c r="J5" t="s">
        <v>3</v>
      </c>
      <c r="K5" t="s">
        <v>286</v>
      </c>
      <c r="L5">
        <v>1191</v>
      </c>
      <c r="N5">
        <v>1013</v>
      </c>
      <c r="O5" t="s">
        <v>287</v>
      </c>
      <c r="P5" t="s">
        <v>287</v>
      </c>
      <c r="Q5">
        <v>1</v>
      </c>
      <c r="W5">
        <v>0</v>
      </c>
      <c r="X5">
        <v>476480486</v>
      </c>
      <c r="Y5">
        <f>(AT5*1.2)</f>
        <v>11.568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9.64</v>
      </c>
      <c r="AU5" t="s">
        <v>78</v>
      </c>
      <c r="AV5">
        <v>1</v>
      </c>
      <c r="AW5">
        <v>2</v>
      </c>
      <c r="AX5">
        <v>55985294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ROUND(AT5*Source!I46*AH5*AL5,2)</f>
        <v>0</v>
      </c>
      <c r="CV5">
        <f>ROUND(Y5*Source!I46,9)</f>
        <v>488.1696</v>
      </c>
      <c r="CW5">
        <v>0</v>
      </c>
      <c r="CX5">
        <f>ROUND(Y5*Source!I46,9)</f>
        <v>488.1696</v>
      </c>
      <c r="CY5">
        <f>AD5</f>
        <v>0</v>
      </c>
      <c r="CZ5">
        <f>AH5</f>
        <v>0</v>
      </c>
      <c r="DA5">
        <f>AL5</f>
        <v>1</v>
      </c>
      <c r="DB5">
        <f>ROUND((ROUND(AT5*CZ5,2)*1.2),6)</f>
        <v>0</v>
      </c>
      <c r="DC5">
        <f>ROUND((ROUND(AT5*AG5,2)*1.2),6)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ROW(Source!A47)</f>
        <v>47</v>
      </c>
      <c r="B6">
        <v>55943568</v>
      </c>
      <c r="C6">
        <v>55985292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285</v>
      </c>
      <c r="J6" t="s">
        <v>3</v>
      </c>
      <c r="K6" t="s">
        <v>286</v>
      </c>
      <c r="L6">
        <v>1191</v>
      </c>
      <c r="N6">
        <v>1013</v>
      </c>
      <c r="O6" t="s">
        <v>287</v>
      </c>
      <c r="P6" t="s">
        <v>287</v>
      </c>
      <c r="Q6">
        <v>1</v>
      </c>
      <c r="W6">
        <v>0</v>
      </c>
      <c r="X6">
        <v>476480486</v>
      </c>
      <c r="Y6">
        <f>(AT6*1.2)</f>
        <v>11.568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9.64</v>
      </c>
      <c r="AU6" t="s">
        <v>78</v>
      </c>
      <c r="AV6">
        <v>1</v>
      </c>
      <c r="AW6">
        <v>2</v>
      </c>
      <c r="AX6">
        <v>55985294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ROUND(AT6*Source!I47*AH6*AL6,2)</f>
        <v>0</v>
      </c>
      <c r="CV6">
        <f>ROUND(Y6*Source!I47,9)</f>
        <v>488.1696</v>
      </c>
      <c r="CW6">
        <v>0</v>
      </c>
      <c r="CX6">
        <f>ROUND(Y6*Source!I47,9)</f>
        <v>488.1696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ROW(Source!A207)</f>
        <v>207</v>
      </c>
      <c r="B7">
        <v>55943566</v>
      </c>
      <c r="C7">
        <v>55944013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285</v>
      </c>
      <c r="J7" t="s">
        <v>3</v>
      </c>
      <c r="K7" t="s">
        <v>286</v>
      </c>
      <c r="L7">
        <v>1191</v>
      </c>
      <c r="N7">
        <v>1013</v>
      </c>
      <c r="O7" t="s">
        <v>287</v>
      </c>
      <c r="P7" t="s">
        <v>287</v>
      </c>
      <c r="Q7">
        <v>1</v>
      </c>
      <c r="W7">
        <v>0</v>
      </c>
      <c r="X7">
        <v>476480486</v>
      </c>
      <c r="Y7">
        <f>(AT7*1.2)</f>
        <v>1.512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1.26</v>
      </c>
      <c r="AU7" t="s">
        <v>78</v>
      </c>
      <c r="AV7">
        <v>1</v>
      </c>
      <c r="AW7">
        <v>2</v>
      </c>
      <c r="AX7">
        <v>55944016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ROUND(AT7*Source!I207*AH7*AL7,2)</f>
        <v>0</v>
      </c>
      <c r="CV7">
        <f>ROUND(Y7*Source!I207,9)</f>
        <v>0.24192</v>
      </c>
      <c r="CW7">
        <v>0</v>
      </c>
      <c r="CX7">
        <f>ROUND(Y7*Source!I207,9)</f>
        <v>0.24192</v>
      </c>
      <c r="CY7">
        <f>AD7</f>
        <v>0</v>
      </c>
      <c r="CZ7">
        <f>AH7</f>
        <v>0</v>
      </c>
      <c r="DA7">
        <f>AL7</f>
        <v>1</v>
      </c>
      <c r="DB7">
        <f>ROUND((ROUND(AT7*CZ7,2)*1.2),6)</f>
        <v>0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ROW(Source!A207)</f>
        <v>207</v>
      </c>
      <c r="B8">
        <v>55943566</v>
      </c>
      <c r="C8">
        <v>55944013</v>
      </c>
      <c r="D8">
        <v>55465987</v>
      </c>
      <c r="E8">
        <v>1</v>
      </c>
      <c r="F8">
        <v>1</v>
      </c>
      <c r="G8">
        <v>1081</v>
      </c>
      <c r="H8">
        <v>3</v>
      </c>
      <c r="I8" t="s">
        <v>290</v>
      </c>
      <c r="J8" t="s">
        <v>291</v>
      </c>
      <c r="K8" t="s">
        <v>292</v>
      </c>
      <c r="L8">
        <v>1348</v>
      </c>
      <c r="N8">
        <v>1009</v>
      </c>
      <c r="O8" t="s">
        <v>168</v>
      </c>
      <c r="P8" t="s">
        <v>168</v>
      </c>
      <c r="Q8">
        <v>1000</v>
      </c>
      <c r="W8">
        <v>0</v>
      </c>
      <c r="X8">
        <v>1438006865</v>
      </c>
      <c r="Y8">
        <f>(AT8*1)</f>
        <v>3.0000000000000001E-5</v>
      </c>
      <c r="AA8">
        <v>18995.22</v>
      </c>
      <c r="AB8">
        <v>0</v>
      </c>
      <c r="AC8">
        <v>0</v>
      </c>
      <c r="AD8">
        <v>0</v>
      </c>
      <c r="AE8">
        <v>18995.22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3.0000000000000001E-5</v>
      </c>
      <c r="AU8" t="s">
        <v>77</v>
      </c>
      <c r="AV8">
        <v>0</v>
      </c>
      <c r="AW8">
        <v>2</v>
      </c>
      <c r="AX8">
        <v>55944017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ROUND(Y8*Source!I207,9)</f>
        <v>4.7999999999999998E-6</v>
      </c>
      <c r="CY8">
        <f>AA8</f>
        <v>18995.22</v>
      </c>
      <c r="CZ8">
        <f>AE8</f>
        <v>18995.22</v>
      </c>
      <c r="DA8">
        <f>AI8</f>
        <v>1</v>
      </c>
      <c r="DB8">
        <f>ROUND((ROUND(AT8*CZ8,2)*1),6)</f>
        <v>0.56999999999999995</v>
      </c>
      <c r="DC8">
        <f>ROUND((ROUND(AT8*AG8,2)*1),6)</f>
        <v>0</v>
      </c>
      <c r="DD8" t="s">
        <v>3</v>
      </c>
      <c r="DE8" t="s">
        <v>3</v>
      </c>
      <c r="DF8">
        <f t="shared" si="0"/>
        <v>0.09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0.09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ROW(Source!A208)</f>
        <v>208</v>
      </c>
      <c r="B9">
        <v>55943568</v>
      </c>
      <c r="C9">
        <v>55944013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285</v>
      </c>
      <c r="J9" t="s">
        <v>3</v>
      </c>
      <c r="K9" t="s">
        <v>286</v>
      </c>
      <c r="L9">
        <v>1191</v>
      </c>
      <c r="N9">
        <v>1013</v>
      </c>
      <c r="O9" t="s">
        <v>287</v>
      </c>
      <c r="P9" t="s">
        <v>287</v>
      </c>
      <c r="Q9">
        <v>1</v>
      </c>
      <c r="W9">
        <v>0</v>
      </c>
      <c r="X9">
        <v>476480486</v>
      </c>
      <c r="Y9">
        <f>(AT9*1.2)</f>
        <v>1.512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1.26</v>
      </c>
      <c r="AU9" t="s">
        <v>78</v>
      </c>
      <c r="AV9">
        <v>1</v>
      </c>
      <c r="AW9">
        <v>2</v>
      </c>
      <c r="AX9">
        <v>55944016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ROUND(AT9*Source!I208*AH9*AL9,2)</f>
        <v>0</v>
      </c>
      <c r="CV9">
        <f>ROUND(Y9*Source!I208,9)</f>
        <v>0.24192</v>
      </c>
      <c r="CW9">
        <v>0</v>
      </c>
      <c r="CX9">
        <f>ROUND(Y9*Source!I208,9)</f>
        <v>0.24192</v>
      </c>
      <c r="CY9">
        <f>AD9</f>
        <v>0</v>
      </c>
      <c r="CZ9">
        <f>AH9</f>
        <v>0</v>
      </c>
      <c r="DA9">
        <f>AL9</f>
        <v>1</v>
      </c>
      <c r="DB9">
        <f>ROUND((ROUND(AT9*CZ9,2)*1.2),6)</f>
        <v>0</v>
      </c>
      <c r="DC9">
        <f>ROUND((ROUND(AT9*AG9,2)*1.2),6)</f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ROW(Source!A208)</f>
        <v>208</v>
      </c>
      <c r="B10">
        <v>55943568</v>
      </c>
      <c r="C10">
        <v>55944013</v>
      </c>
      <c r="D10">
        <v>55465987</v>
      </c>
      <c r="E10">
        <v>1</v>
      </c>
      <c r="F10">
        <v>1</v>
      </c>
      <c r="G10">
        <v>1081</v>
      </c>
      <c r="H10">
        <v>3</v>
      </c>
      <c r="I10" t="s">
        <v>290</v>
      </c>
      <c r="J10" t="s">
        <v>291</v>
      </c>
      <c r="K10" t="s">
        <v>292</v>
      </c>
      <c r="L10">
        <v>1348</v>
      </c>
      <c r="N10">
        <v>1009</v>
      </c>
      <c r="O10" t="s">
        <v>168</v>
      </c>
      <c r="P10" t="s">
        <v>168</v>
      </c>
      <c r="Q10">
        <v>1000</v>
      </c>
      <c r="W10">
        <v>0</v>
      </c>
      <c r="X10">
        <v>1438006865</v>
      </c>
      <c r="Y10">
        <f>(AT10*1)</f>
        <v>3.0000000000000001E-5</v>
      </c>
      <c r="AA10">
        <v>345523.05</v>
      </c>
      <c r="AB10">
        <v>0</v>
      </c>
      <c r="AC10">
        <v>0</v>
      </c>
      <c r="AD10">
        <v>0</v>
      </c>
      <c r="AE10">
        <v>18995.22</v>
      </c>
      <c r="AF10">
        <v>0</v>
      </c>
      <c r="AG10">
        <v>0</v>
      </c>
      <c r="AH10">
        <v>0</v>
      </c>
      <c r="AI10">
        <v>18.190000000000001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3.0000000000000001E-5</v>
      </c>
      <c r="AU10" t="s">
        <v>77</v>
      </c>
      <c r="AV10">
        <v>0</v>
      </c>
      <c r="AW10">
        <v>2</v>
      </c>
      <c r="AX10">
        <v>55944017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ROUND(Y10*Source!I208,9)</f>
        <v>4.7999999999999998E-6</v>
      </c>
      <c r="CY10">
        <f>AA10</f>
        <v>345523.05</v>
      </c>
      <c r="CZ10">
        <f>AE10</f>
        <v>18995.22</v>
      </c>
      <c r="DA10">
        <f>AI10</f>
        <v>18.190000000000001</v>
      </c>
      <c r="DB10">
        <f>ROUND((ROUND(AT10*CZ10,2)*1),6)</f>
        <v>0.56999999999999995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1.66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1.66</v>
      </c>
      <c r="DK10">
        <v>0</v>
      </c>
      <c r="DL10" t="s">
        <v>3</v>
      </c>
      <c r="DM10">
        <v>0</v>
      </c>
      <c r="DN10" t="s">
        <v>3</v>
      </c>
      <c r="DO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ROW(Source!A44)</f>
        <v>44</v>
      </c>
      <c r="B1">
        <v>55985290</v>
      </c>
      <c r="C1">
        <v>55985287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285</v>
      </c>
      <c r="J1" t="s">
        <v>3</v>
      </c>
      <c r="K1" t="s">
        <v>286</v>
      </c>
      <c r="L1">
        <v>1191</v>
      </c>
      <c r="N1">
        <v>1013</v>
      </c>
      <c r="O1" t="s">
        <v>287</v>
      </c>
      <c r="P1" t="s">
        <v>287</v>
      </c>
      <c r="Q1">
        <v>1</v>
      </c>
      <c r="X1">
        <v>30.44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78</v>
      </c>
      <c r="AG1">
        <v>36.527999999999999</v>
      </c>
      <c r="AH1">
        <v>2</v>
      </c>
      <c r="AI1">
        <v>55985288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ROW(Source!A44)</f>
        <v>44</v>
      </c>
      <c r="B2">
        <v>55985291</v>
      </c>
      <c r="C2">
        <v>55985287</v>
      </c>
      <c r="D2">
        <v>55424288</v>
      </c>
      <c r="E2">
        <v>1081</v>
      </c>
      <c r="F2">
        <v>1</v>
      </c>
      <c r="G2">
        <v>1081</v>
      </c>
      <c r="H2">
        <v>3</v>
      </c>
      <c r="I2" t="s">
        <v>288</v>
      </c>
      <c r="J2" t="s">
        <v>3</v>
      </c>
      <c r="K2" t="s">
        <v>289</v>
      </c>
      <c r="L2">
        <v>1348</v>
      </c>
      <c r="N2">
        <v>1009</v>
      </c>
      <c r="O2" t="s">
        <v>168</v>
      </c>
      <c r="P2" t="s">
        <v>168</v>
      </c>
      <c r="Q2">
        <v>1000</v>
      </c>
      <c r="X2">
        <v>0.247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77</v>
      </c>
      <c r="AG2">
        <v>0.247</v>
      </c>
      <c r="AH2">
        <v>2</v>
      </c>
      <c r="AI2">
        <v>55985289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ROW(Source!A45)</f>
        <v>45</v>
      </c>
      <c r="B3">
        <v>55985290</v>
      </c>
      <c r="C3">
        <v>55985287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285</v>
      </c>
      <c r="J3" t="s">
        <v>3</v>
      </c>
      <c r="K3" t="s">
        <v>286</v>
      </c>
      <c r="L3">
        <v>1191</v>
      </c>
      <c r="N3">
        <v>1013</v>
      </c>
      <c r="O3" t="s">
        <v>287</v>
      </c>
      <c r="P3" t="s">
        <v>287</v>
      </c>
      <c r="Q3">
        <v>1</v>
      </c>
      <c r="X3">
        <v>30.44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78</v>
      </c>
      <c r="AG3">
        <v>36.527999999999999</v>
      </c>
      <c r="AH3">
        <v>2</v>
      </c>
      <c r="AI3">
        <v>55985288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ROW(Source!A45)</f>
        <v>45</v>
      </c>
      <c r="B4">
        <v>55985291</v>
      </c>
      <c r="C4">
        <v>55985287</v>
      </c>
      <c r="D4">
        <v>55424288</v>
      </c>
      <c r="E4">
        <v>1081</v>
      </c>
      <c r="F4">
        <v>1</v>
      </c>
      <c r="G4">
        <v>1081</v>
      </c>
      <c r="H4">
        <v>3</v>
      </c>
      <c r="I4" t="s">
        <v>288</v>
      </c>
      <c r="J4" t="s">
        <v>3</v>
      </c>
      <c r="K4" t="s">
        <v>289</v>
      </c>
      <c r="L4">
        <v>1348</v>
      </c>
      <c r="N4">
        <v>1009</v>
      </c>
      <c r="O4" t="s">
        <v>168</v>
      </c>
      <c r="P4" t="s">
        <v>168</v>
      </c>
      <c r="Q4">
        <v>1000</v>
      </c>
      <c r="X4">
        <v>0.247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77</v>
      </c>
      <c r="AG4">
        <v>0.247</v>
      </c>
      <c r="AH4">
        <v>2</v>
      </c>
      <c r="AI4">
        <v>55985289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ROW(Source!A46)</f>
        <v>46</v>
      </c>
      <c r="B5">
        <v>55985294</v>
      </c>
      <c r="C5">
        <v>55985292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285</v>
      </c>
      <c r="J5" t="s">
        <v>3</v>
      </c>
      <c r="K5" t="s">
        <v>286</v>
      </c>
      <c r="L5">
        <v>1191</v>
      </c>
      <c r="N5">
        <v>1013</v>
      </c>
      <c r="O5" t="s">
        <v>287</v>
      </c>
      <c r="P5" t="s">
        <v>287</v>
      </c>
      <c r="Q5">
        <v>1</v>
      </c>
      <c r="X5">
        <v>9.64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78</v>
      </c>
      <c r="AG5">
        <v>11.568</v>
      </c>
      <c r="AH5">
        <v>2</v>
      </c>
      <c r="AI5">
        <v>55985293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ROW(Source!A47)</f>
        <v>47</v>
      </c>
      <c r="B6">
        <v>55985294</v>
      </c>
      <c r="C6">
        <v>55985292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285</v>
      </c>
      <c r="J6" t="s">
        <v>3</v>
      </c>
      <c r="K6" t="s">
        <v>286</v>
      </c>
      <c r="L6">
        <v>1191</v>
      </c>
      <c r="N6">
        <v>1013</v>
      </c>
      <c r="O6" t="s">
        <v>287</v>
      </c>
      <c r="P6" t="s">
        <v>287</v>
      </c>
      <c r="Q6">
        <v>1</v>
      </c>
      <c r="X6">
        <v>9.64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78</v>
      </c>
      <c r="AG6">
        <v>11.568</v>
      </c>
      <c r="AH6">
        <v>2</v>
      </c>
      <c r="AI6">
        <v>55985293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ROW(Source!A207)</f>
        <v>207</v>
      </c>
      <c r="B7">
        <v>55944016</v>
      </c>
      <c r="C7">
        <v>55944013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285</v>
      </c>
      <c r="J7" t="s">
        <v>3</v>
      </c>
      <c r="K7" t="s">
        <v>286</v>
      </c>
      <c r="L7">
        <v>1191</v>
      </c>
      <c r="N7">
        <v>1013</v>
      </c>
      <c r="O7" t="s">
        <v>287</v>
      </c>
      <c r="P7" t="s">
        <v>287</v>
      </c>
      <c r="Q7">
        <v>1</v>
      </c>
      <c r="X7">
        <v>1.26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78</v>
      </c>
      <c r="AG7">
        <v>1.512</v>
      </c>
      <c r="AH7">
        <v>2</v>
      </c>
      <c r="AI7">
        <v>55944014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ROW(Source!A207)</f>
        <v>207</v>
      </c>
      <c r="B8">
        <v>55944017</v>
      </c>
      <c r="C8">
        <v>55944013</v>
      </c>
      <c r="D8">
        <v>55465987</v>
      </c>
      <c r="E8">
        <v>1</v>
      </c>
      <c r="F8">
        <v>1</v>
      </c>
      <c r="G8">
        <v>1081</v>
      </c>
      <c r="H8">
        <v>3</v>
      </c>
      <c r="I8" t="s">
        <v>290</v>
      </c>
      <c r="J8" t="s">
        <v>291</v>
      </c>
      <c r="K8" t="s">
        <v>292</v>
      </c>
      <c r="L8">
        <v>1348</v>
      </c>
      <c r="N8">
        <v>1009</v>
      </c>
      <c r="O8" t="s">
        <v>168</v>
      </c>
      <c r="P8" t="s">
        <v>168</v>
      </c>
      <c r="Q8">
        <v>1000</v>
      </c>
      <c r="X8">
        <v>3.0000000000000001E-5</v>
      </c>
      <c r="Y8">
        <v>18995.22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77</v>
      </c>
      <c r="AG8">
        <v>3.0000000000000001E-5</v>
      </c>
      <c r="AH8">
        <v>2</v>
      </c>
      <c r="AI8">
        <v>55944015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ROW(Source!A208)</f>
        <v>208</v>
      </c>
      <c r="B9">
        <v>55944016</v>
      </c>
      <c r="C9">
        <v>55944013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285</v>
      </c>
      <c r="J9" t="s">
        <v>3</v>
      </c>
      <c r="K9" t="s">
        <v>286</v>
      </c>
      <c r="L9">
        <v>1191</v>
      </c>
      <c r="N9">
        <v>1013</v>
      </c>
      <c r="O9" t="s">
        <v>287</v>
      </c>
      <c r="P9" t="s">
        <v>287</v>
      </c>
      <c r="Q9">
        <v>1</v>
      </c>
      <c r="X9">
        <v>1.26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78</v>
      </c>
      <c r="AG9">
        <v>1.512</v>
      </c>
      <c r="AH9">
        <v>2</v>
      </c>
      <c r="AI9">
        <v>55944014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ROW(Source!A208)</f>
        <v>208</v>
      </c>
      <c r="B10">
        <v>55944017</v>
      </c>
      <c r="C10">
        <v>55944013</v>
      </c>
      <c r="D10">
        <v>55465987</v>
      </c>
      <c r="E10">
        <v>1</v>
      </c>
      <c r="F10">
        <v>1</v>
      </c>
      <c r="G10">
        <v>1081</v>
      </c>
      <c r="H10">
        <v>3</v>
      </c>
      <c r="I10" t="s">
        <v>290</v>
      </c>
      <c r="J10" t="s">
        <v>291</v>
      </c>
      <c r="K10" t="s">
        <v>292</v>
      </c>
      <c r="L10">
        <v>1348</v>
      </c>
      <c r="N10">
        <v>1009</v>
      </c>
      <c r="O10" t="s">
        <v>168</v>
      </c>
      <c r="P10" t="s">
        <v>168</v>
      </c>
      <c r="Q10">
        <v>1000</v>
      </c>
      <c r="X10">
        <v>3.0000000000000001E-5</v>
      </c>
      <c r="Y10">
        <v>18995.22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77</v>
      </c>
      <c r="AG10">
        <v>3.0000000000000001E-5</v>
      </c>
      <c r="AH10">
        <v>2</v>
      </c>
      <c r="AI10">
        <v>55944015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77</v>
      </c>
      <c r="E1" t="s">
        <v>78</v>
      </c>
      <c r="F1" t="s">
        <v>78</v>
      </c>
      <c r="G1" t="s">
        <v>78</v>
      </c>
      <c r="H1" t="s">
        <v>3</v>
      </c>
      <c r="I1" t="s">
        <v>78</v>
      </c>
      <c r="J1" t="s">
        <v>78</v>
      </c>
      <c r="K1" t="s">
        <v>3</v>
      </c>
      <c r="L1" t="s">
        <v>3</v>
      </c>
      <c r="M1" t="s">
        <v>3</v>
      </c>
      <c r="N1" t="s">
        <v>77</v>
      </c>
      <c r="O1" t="s">
        <v>78</v>
      </c>
      <c r="P1" t="s">
        <v>3</v>
      </c>
      <c r="Q1" t="s">
        <v>3</v>
      </c>
      <c r="R1" t="s">
        <v>3</v>
      </c>
      <c r="S1" t="s">
        <v>293</v>
      </c>
      <c r="T1" t="s">
        <v>294</v>
      </c>
      <c r="U1" t="s">
        <v>295</v>
      </c>
    </row>
    <row r="2" spans="1:21" x14ac:dyDescent="0.2">
      <c r="A2">
        <v>28</v>
      </c>
      <c r="B2">
        <v>1</v>
      </c>
      <c r="C2" t="s">
        <v>3</v>
      </c>
      <c r="D2" t="s">
        <v>296</v>
      </c>
      <c r="E2" t="s">
        <v>297</v>
      </c>
      <c r="F2" t="s">
        <v>297</v>
      </c>
      <c r="G2" t="s">
        <v>297</v>
      </c>
      <c r="H2" t="s">
        <v>3</v>
      </c>
      <c r="I2" t="s">
        <v>297</v>
      </c>
      <c r="J2" t="s">
        <v>297</v>
      </c>
      <c r="K2" t="s">
        <v>3</v>
      </c>
      <c r="L2" t="s">
        <v>3</v>
      </c>
      <c r="M2" t="s">
        <v>3</v>
      </c>
      <c r="N2" t="s">
        <v>296</v>
      </c>
      <c r="O2" t="s">
        <v>297</v>
      </c>
      <c r="P2" t="s">
        <v>3</v>
      </c>
      <c r="Q2" t="s">
        <v>3</v>
      </c>
      <c r="R2" t="s">
        <v>3</v>
      </c>
      <c r="S2" t="s">
        <v>298</v>
      </c>
      <c r="T2" t="s">
        <v>299</v>
      </c>
      <c r="U2" t="s">
        <v>300</v>
      </c>
    </row>
    <row r="3" spans="1:21" x14ac:dyDescent="0.2">
      <c r="A3">
        <v>29</v>
      </c>
      <c r="B3">
        <v>1</v>
      </c>
      <c r="C3" t="s">
        <v>3</v>
      </c>
      <c r="D3" t="s">
        <v>77</v>
      </c>
      <c r="E3" t="s">
        <v>78</v>
      </c>
      <c r="F3" t="s">
        <v>78</v>
      </c>
      <c r="G3" t="s">
        <v>78</v>
      </c>
      <c r="H3" t="s">
        <v>3</v>
      </c>
      <c r="I3" t="s">
        <v>78</v>
      </c>
      <c r="J3" t="s">
        <v>78</v>
      </c>
      <c r="K3" t="s">
        <v>3</v>
      </c>
      <c r="L3" t="s">
        <v>3</v>
      </c>
      <c r="M3" t="s">
        <v>3</v>
      </c>
      <c r="N3" t="s">
        <v>77</v>
      </c>
      <c r="O3" t="s">
        <v>78</v>
      </c>
      <c r="P3" t="s">
        <v>3</v>
      </c>
      <c r="Q3" t="s">
        <v>3</v>
      </c>
      <c r="R3" t="s">
        <v>3</v>
      </c>
      <c r="S3" t="s">
        <v>293</v>
      </c>
      <c r="T3" t="s">
        <v>294</v>
      </c>
      <c r="U3" t="s">
        <v>295</v>
      </c>
    </row>
    <row r="4" spans="1:21" x14ac:dyDescent="0.2">
      <c r="A4">
        <v>29</v>
      </c>
      <c r="B4">
        <v>1</v>
      </c>
      <c r="C4" t="s">
        <v>3</v>
      </c>
      <c r="D4" t="s">
        <v>296</v>
      </c>
      <c r="E4" t="s">
        <v>297</v>
      </c>
      <c r="F4" t="s">
        <v>297</v>
      </c>
      <c r="G4" t="s">
        <v>297</v>
      </c>
      <c r="H4" t="s">
        <v>3</v>
      </c>
      <c r="I4" t="s">
        <v>297</v>
      </c>
      <c r="J4" t="s">
        <v>297</v>
      </c>
      <c r="K4" t="s">
        <v>3</v>
      </c>
      <c r="L4" t="s">
        <v>3</v>
      </c>
      <c r="M4" t="s">
        <v>3</v>
      </c>
      <c r="N4" t="s">
        <v>296</v>
      </c>
      <c r="O4" t="s">
        <v>297</v>
      </c>
      <c r="P4" t="s">
        <v>3</v>
      </c>
      <c r="Q4" t="s">
        <v>3</v>
      </c>
      <c r="R4" t="s">
        <v>3</v>
      </c>
      <c r="S4" t="s">
        <v>298</v>
      </c>
      <c r="T4" t="s">
        <v>299</v>
      </c>
      <c r="U4" t="s">
        <v>300</v>
      </c>
    </row>
    <row r="5" spans="1:21" x14ac:dyDescent="0.2">
      <c r="A5">
        <v>30</v>
      </c>
      <c r="B5">
        <v>1</v>
      </c>
      <c r="C5" t="s">
        <v>3</v>
      </c>
      <c r="D5" t="s">
        <v>77</v>
      </c>
      <c r="E5" t="s">
        <v>78</v>
      </c>
      <c r="F5" t="s">
        <v>78</v>
      </c>
      <c r="G5" t="s">
        <v>78</v>
      </c>
      <c r="H5" t="s">
        <v>3</v>
      </c>
      <c r="I5" t="s">
        <v>78</v>
      </c>
      <c r="J5" t="s">
        <v>78</v>
      </c>
      <c r="K5" t="s">
        <v>3</v>
      </c>
      <c r="L5" t="s">
        <v>3</v>
      </c>
      <c r="M5" t="s">
        <v>3</v>
      </c>
      <c r="N5" t="s">
        <v>77</v>
      </c>
      <c r="O5" t="s">
        <v>78</v>
      </c>
      <c r="P5" t="s">
        <v>3</v>
      </c>
      <c r="Q5" t="s">
        <v>3</v>
      </c>
      <c r="R5" t="s">
        <v>3</v>
      </c>
      <c r="S5" t="s">
        <v>293</v>
      </c>
      <c r="T5" t="s">
        <v>294</v>
      </c>
      <c r="U5" t="s">
        <v>295</v>
      </c>
    </row>
    <row r="6" spans="1:21" x14ac:dyDescent="0.2">
      <c r="A6">
        <v>30</v>
      </c>
      <c r="B6">
        <v>1</v>
      </c>
      <c r="C6" t="s">
        <v>3</v>
      </c>
      <c r="D6" t="s">
        <v>296</v>
      </c>
      <c r="E6" t="s">
        <v>297</v>
      </c>
      <c r="F6" t="s">
        <v>297</v>
      </c>
      <c r="G6" t="s">
        <v>297</v>
      </c>
      <c r="H6" t="s">
        <v>3</v>
      </c>
      <c r="I6" t="s">
        <v>297</v>
      </c>
      <c r="J6" t="s">
        <v>297</v>
      </c>
      <c r="K6" t="s">
        <v>3</v>
      </c>
      <c r="L6" t="s">
        <v>3</v>
      </c>
      <c r="M6" t="s">
        <v>3</v>
      </c>
      <c r="N6" t="s">
        <v>296</v>
      </c>
      <c r="O6" t="s">
        <v>297</v>
      </c>
      <c r="P6" t="s">
        <v>3</v>
      </c>
      <c r="Q6" t="s">
        <v>3</v>
      </c>
      <c r="R6" t="s">
        <v>3</v>
      </c>
      <c r="S6" t="s">
        <v>298</v>
      </c>
      <c r="T6" t="s">
        <v>299</v>
      </c>
      <c r="U6" t="s">
        <v>300</v>
      </c>
    </row>
    <row r="7" spans="1:21" x14ac:dyDescent="0.2">
      <c r="A7">
        <v>31</v>
      </c>
      <c r="B7">
        <v>1</v>
      </c>
      <c r="C7" t="s">
        <v>3</v>
      </c>
      <c r="D7" t="s">
        <v>77</v>
      </c>
      <c r="E7" t="s">
        <v>78</v>
      </c>
      <c r="F7" t="s">
        <v>78</v>
      </c>
      <c r="G7" t="s">
        <v>78</v>
      </c>
      <c r="H7" t="s">
        <v>3</v>
      </c>
      <c r="I7" t="s">
        <v>78</v>
      </c>
      <c r="J7" t="s">
        <v>78</v>
      </c>
      <c r="K7" t="s">
        <v>3</v>
      </c>
      <c r="L7" t="s">
        <v>3</v>
      </c>
      <c r="M7" t="s">
        <v>3</v>
      </c>
      <c r="N7" t="s">
        <v>77</v>
      </c>
      <c r="O7" t="s">
        <v>78</v>
      </c>
      <c r="P7" t="s">
        <v>3</v>
      </c>
      <c r="Q7" t="s">
        <v>3</v>
      </c>
      <c r="R7" t="s">
        <v>3</v>
      </c>
      <c r="S7" t="s">
        <v>293</v>
      </c>
      <c r="T7" t="s">
        <v>294</v>
      </c>
      <c r="U7" t="s">
        <v>295</v>
      </c>
    </row>
    <row r="8" spans="1:21" x14ac:dyDescent="0.2">
      <c r="A8">
        <v>31</v>
      </c>
      <c r="B8">
        <v>1</v>
      </c>
      <c r="C8" t="s">
        <v>3</v>
      </c>
      <c r="D8" t="s">
        <v>296</v>
      </c>
      <c r="E8" t="s">
        <v>297</v>
      </c>
      <c r="F8" t="s">
        <v>297</v>
      </c>
      <c r="G8" t="s">
        <v>297</v>
      </c>
      <c r="H8" t="s">
        <v>3</v>
      </c>
      <c r="I8" t="s">
        <v>297</v>
      </c>
      <c r="J8" t="s">
        <v>297</v>
      </c>
      <c r="K8" t="s">
        <v>3</v>
      </c>
      <c r="L8" t="s">
        <v>3</v>
      </c>
      <c r="M8" t="s">
        <v>3</v>
      </c>
      <c r="N8" t="s">
        <v>296</v>
      </c>
      <c r="O8" t="s">
        <v>297</v>
      </c>
      <c r="P8" t="s">
        <v>3</v>
      </c>
      <c r="Q8" t="s">
        <v>3</v>
      </c>
      <c r="R8" t="s">
        <v>3</v>
      </c>
      <c r="S8" t="s">
        <v>298</v>
      </c>
      <c r="T8" t="s">
        <v>299</v>
      </c>
      <c r="U8" t="s">
        <v>300</v>
      </c>
    </row>
    <row r="9" spans="1:21" x14ac:dyDescent="0.2">
      <c r="A9">
        <v>32</v>
      </c>
      <c r="B9">
        <v>1</v>
      </c>
      <c r="C9" t="s">
        <v>3</v>
      </c>
      <c r="D9" t="s">
        <v>77</v>
      </c>
      <c r="E9" t="s">
        <v>78</v>
      </c>
      <c r="F9" t="s">
        <v>78</v>
      </c>
      <c r="G9" t="s">
        <v>78</v>
      </c>
      <c r="H9" t="s">
        <v>3</v>
      </c>
      <c r="I9" t="s">
        <v>78</v>
      </c>
      <c r="J9" t="s">
        <v>78</v>
      </c>
      <c r="K9" t="s">
        <v>3</v>
      </c>
      <c r="L9" t="s">
        <v>3</v>
      </c>
      <c r="M9" t="s">
        <v>3</v>
      </c>
      <c r="N9" t="s">
        <v>77</v>
      </c>
      <c r="O9" t="s">
        <v>78</v>
      </c>
      <c r="P9" t="s">
        <v>3</v>
      </c>
      <c r="Q9" t="s">
        <v>3</v>
      </c>
      <c r="R9" t="s">
        <v>3</v>
      </c>
      <c r="S9" t="s">
        <v>293</v>
      </c>
      <c r="T9" t="s">
        <v>294</v>
      </c>
      <c r="U9" t="s">
        <v>295</v>
      </c>
    </row>
    <row r="10" spans="1:21" x14ac:dyDescent="0.2">
      <c r="A10">
        <v>32</v>
      </c>
      <c r="B10">
        <v>1</v>
      </c>
      <c r="C10" t="s">
        <v>3</v>
      </c>
      <c r="D10" t="s">
        <v>296</v>
      </c>
      <c r="E10" t="s">
        <v>297</v>
      </c>
      <c r="F10" t="s">
        <v>297</v>
      </c>
      <c r="G10" t="s">
        <v>297</v>
      </c>
      <c r="H10" t="s">
        <v>3</v>
      </c>
      <c r="I10" t="s">
        <v>297</v>
      </c>
      <c r="J10" t="s">
        <v>297</v>
      </c>
      <c r="K10" t="s">
        <v>3</v>
      </c>
      <c r="L10" t="s">
        <v>3</v>
      </c>
      <c r="M10" t="s">
        <v>3</v>
      </c>
      <c r="N10" t="s">
        <v>296</v>
      </c>
      <c r="O10" t="s">
        <v>297</v>
      </c>
      <c r="P10" t="s">
        <v>3</v>
      </c>
      <c r="Q10" t="s">
        <v>3</v>
      </c>
      <c r="R10" t="s">
        <v>3</v>
      </c>
      <c r="S10" t="s">
        <v>298</v>
      </c>
      <c r="T10" t="s">
        <v>299</v>
      </c>
      <c r="U10" t="s">
        <v>300</v>
      </c>
    </row>
    <row r="11" spans="1:21" x14ac:dyDescent="0.2">
      <c r="A11">
        <v>33</v>
      </c>
      <c r="B11">
        <v>1</v>
      </c>
      <c r="C11" t="s">
        <v>3</v>
      </c>
      <c r="D11" t="s">
        <v>77</v>
      </c>
      <c r="E11" t="s">
        <v>78</v>
      </c>
      <c r="F11" t="s">
        <v>78</v>
      </c>
      <c r="G11" t="s">
        <v>78</v>
      </c>
      <c r="H11" t="s">
        <v>3</v>
      </c>
      <c r="I11" t="s">
        <v>78</v>
      </c>
      <c r="J11" t="s">
        <v>78</v>
      </c>
      <c r="K11" t="s">
        <v>3</v>
      </c>
      <c r="L11" t="s">
        <v>3</v>
      </c>
      <c r="M11" t="s">
        <v>3</v>
      </c>
      <c r="N11" t="s">
        <v>77</v>
      </c>
      <c r="O11" t="s">
        <v>78</v>
      </c>
      <c r="P11" t="s">
        <v>3</v>
      </c>
      <c r="Q11" t="s">
        <v>3</v>
      </c>
      <c r="R11" t="s">
        <v>3</v>
      </c>
      <c r="S11" t="s">
        <v>293</v>
      </c>
      <c r="T11" t="s">
        <v>294</v>
      </c>
      <c r="U11" t="s">
        <v>295</v>
      </c>
    </row>
    <row r="12" spans="1:21" x14ac:dyDescent="0.2">
      <c r="A12">
        <v>33</v>
      </c>
      <c r="B12">
        <v>1</v>
      </c>
      <c r="C12" t="s">
        <v>3</v>
      </c>
      <c r="D12" t="s">
        <v>296</v>
      </c>
      <c r="E12" t="s">
        <v>297</v>
      </c>
      <c r="F12" t="s">
        <v>297</v>
      </c>
      <c r="G12" t="s">
        <v>297</v>
      </c>
      <c r="H12" t="s">
        <v>3</v>
      </c>
      <c r="I12" t="s">
        <v>297</v>
      </c>
      <c r="J12" t="s">
        <v>297</v>
      </c>
      <c r="K12" t="s">
        <v>3</v>
      </c>
      <c r="L12" t="s">
        <v>3</v>
      </c>
      <c r="M12" t="s">
        <v>3</v>
      </c>
      <c r="N12" t="s">
        <v>296</v>
      </c>
      <c r="O12" t="s">
        <v>297</v>
      </c>
      <c r="P12" t="s">
        <v>3</v>
      </c>
      <c r="Q12" t="s">
        <v>3</v>
      </c>
      <c r="R12" t="s">
        <v>3</v>
      </c>
      <c r="S12" t="s">
        <v>298</v>
      </c>
      <c r="T12" t="s">
        <v>299</v>
      </c>
      <c r="U12" t="s">
        <v>300</v>
      </c>
    </row>
    <row r="13" spans="1:21" x14ac:dyDescent="0.2">
      <c r="A13">
        <v>34</v>
      </c>
      <c r="B13">
        <v>1</v>
      </c>
      <c r="C13" t="s">
        <v>3</v>
      </c>
      <c r="D13" t="s">
        <v>77</v>
      </c>
      <c r="E13" t="s">
        <v>78</v>
      </c>
      <c r="F13" t="s">
        <v>78</v>
      </c>
      <c r="G13" t="s">
        <v>78</v>
      </c>
      <c r="H13" t="s">
        <v>3</v>
      </c>
      <c r="I13" t="s">
        <v>78</v>
      </c>
      <c r="J13" t="s">
        <v>78</v>
      </c>
      <c r="K13" t="s">
        <v>3</v>
      </c>
      <c r="L13" t="s">
        <v>3</v>
      </c>
      <c r="M13" t="s">
        <v>3</v>
      </c>
      <c r="N13" t="s">
        <v>77</v>
      </c>
      <c r="O13" t="s">
        <v>78</v>
      </c>
      <c r="P13" t="s">
        <v>3</v>
      </c>
      <c r="Q13" t="s">
        <v>3</v>
      </c>
      <c r="R13" t="s">
        <v>3</v>
      </c>
      <c r="S13" t="s">
        <v>293</v>
      </c>
      <c r="T13" t="s">
        <v>294</v>
      </c>
      <c r="U13" t="s">
        <v>295</v>
      </c>
    </row>
    <row r="14" spans="1:21" x14ac:dyDescent="0.2">
      <c r="A14">
        <v>34</v>
      </c>
      <c r="B14">
        <v>1</v>
      </c>
      <c r="C14" t="s">
        <v>3</v>
      </c>
      <c r="D14" t="s">
        <v>296</v>
      </c>
      <c r="E14" t="s">
        <v>297</v>
      </c>
      <c r="F14" t="s">
        <v>297</v>
      </c>
      <c r="G14" t="s">
        <v>297</v>
      </c>
      <c r="H14" t="s">
        <v>3</v>
      </c>
      <c r="I14" t="s">
        <v>297</v>
      </c>
      <c r="J14" t="s">
        <v>297</v>
      </c>
      <c r="K14" t="s">
        <v>3</v>
      </c>
      <c r="L14" t="s">
        <v>3</v>
      </c>
      <c r="M14" t="s">
        <v>3</v>
      </c>
      <c r="N14" t="s">
        <v>296</v>
      </c>
      <c r="O14" t="s">
        <v>297</v>
      </c>
      <c r="P14" t="s">
        <v>3</v>
      </c>
      <c r="Q14" t="s">
        <v>3</v>
      </c>
      <c r="R14" t="s">
        <v>3</v>
      </c>
      <c r="S14" t="s">
        <v>298</v>
      </c>
      <c r="T14" t="s">
        <v>299</v>
      </c>
      <c r="U14" t="s">
        <v>300</v>
      </c>
    </row>
    <row r="15" spans="1:21" x14ac:dyDescent="0.2">
      <c r="A15">
        <v>35</v>
      </c>
      <c r="B15">
        <v>1</v>
      </c>
      <c r="C15" t="s">
        <v>3</v>
      </c>
      <c r="D15" t="s">
        <v>77</v>
      </c>
      <c r="E15" t="s">
        <v>78</v>
      </c>
      <c r="F15" t="s">
        <v>78</v>
      </c>
      <c r="G15" t="s">
        <v>78</v>
      </c>
      <c r="H15" t="s">
        <v>3</v>
      </c>
      <c r="I15" t="s">
        <v>78</v>
      </c>
      <c r="J15" t="s">
        <v>78</v>
      </c>
      <c r="K15" t="s">
        <v>3</v>
      </c>
      <c r="L15" t="s">
        <v>3</v>
      </c>
      <c r="M15" t="s">
        <v>3</v>
      </c>
      <c r="N15" t="s">
        <v>77</v>
      </c>
      <c r="O15" t="s">
        <v>78</v>
      </c>
      <c r="P15" t="s">
        <v>3</v>
      </c>
      <c r="Q15" t="s">
        <v>3</v>
      </c>
      <c r="R15" t="s">
        <v>3</v>
      </c>
      <c r="S15" t="s">
        <v>293</v>
      </c>
      <c r="T15" t="s">
        <v>294</v>
      </c>
      <c r="U15" t="s">
        <v>295</v>
      </c>
    </row>
    <row r="16" spans="1:21" x14ac:dyDescent="0.2">
      <c r="A16">
        <v>35</v>
      </c>
      <c r="B16">
        <v>1</v>
      </c>
      <c r="C16" t="s">
        <v>3</v>
      </c>
      <c r="D16" t="s">
        <v>296</v>
      </c>
      <c r="E16" t="s">
        <v>297</v>
      </c>
      <c r="F16" t="s">
        <v>297</v>
      </c>
      <c r="G16" t="s">
        <v>297</v>
      </c>
      <c r="H16" t="s">
        <v>3</v>
      </c>
      <c r="I16" t="s">
        <v>297</v>
      </c>
      <c r="J16" t="s">
        <v>297</v>
      </c>
      <c r="K16" t="s">
        <v>3</v>
      </c>
      <c r="L16" t="s">
        <v>3</v>
      </c>
      <c r="M16" t="s">
        <v>3</v>
      </c>
      <c r="N16" t="s">
        <v>296</v>
      </c>
      <c r="O16" t="s">
        <v>297</v>
      </c>
      <c r="P16" t="s">
        <v>3</v>
      </c>
      <c r="Q16" t="s">
        <v>3</v>
      </c>
      <c r="R16" t="s">
        <v>3</v>
      </c>
      <c r="S16" t="s">
        <v>298</v>
      </c>
      <c r="T16" t="s">
        <v>299</v>
      </c>
      <c r="U16" t="s">
        <v>300</v>
      </c>
    </row>
    <row r="17" spans="1:21" x14ac:dyDescent="0.2">
      <c r="A17">
        <v>36</v>
      </c>
      <c r="B17">
        <v>1</v>
      </c>
      <c r="C17" t="s">
        <v>3</v>
      </c>
      <c r="D17" t="s">
        <v>77</v>
      </c>
      <c r="E17" t="s">
        <v>78</v>
      </c>
      <c r="F17" t="s">
        <v>78</v>
      </c>
      <c r="G17" t="s">
        <v>78</v>
      </c>
      <c r="H17" t="s">
        <v>3</v>
      </c>
      <c r="I17" t="s">
        <v>78</v>
      </c>
      <c r="J17" t="s">
        <v>78</v>
      </c>
      <c r="K17" t="s">
        <v>3</v>
      </c>
      <c r="L17" t="s">
        <v>3</v>
      </c>
      <c r="M17" t="s">
        <v>3</v>
      </c>
      <c r="N17" t="s">
        <v>77</v>
      </c>
      <c r="O17" t="s">
        <v>78</v>
      </c>
      <c r="P17" t="s">
        <v>3</v>
      </c>
      <c r="Q17" t="s">
        <v>3</v>
      </c>
      <c r="R17" t="s">
        <v>3</v>
      </c>
      <c r="S17" t="s">
        <v>293</v>
      </c>
      <c r="T17" t="s">
        <v>294</v>
      </c>
      <c r="U17" t="s">
        <v>295</v>
      </c>
    </row>
    <row r="18" spans="1:21" x14ac:dyDescent="0.2">
      <c r="A18">
        <v>36</v>
      </c>
      <c r="B18">
        <v>1</v>
      </c>
      <c r="C18" t="s">
        <v>3</v>
      </c>
      <c r="D18" t="s">
        <v>296</v>
      </c>
      <c r="E18" t="s">
        <v>297</v>
      </c>
      <c r="F18" t="s">
        <v>297</v>
      </c>
      <c r="G18" t="s">
        <v>297</v>
      </c>
      <c r="H18" t="s">
        <v>3</v>
      </c>
      <c r="I18" t="s">
        <v>297</v>
      </c>
      <c r="J18" t="s">
        <v>297</v>
      </c>
      <c r="K18" t="s">
        <v>3</v>
      </c>
      <c r="L18" t="s">
        <v>3</v>
      </c>
      <c r="M18" t="s">
        <v>3</v>
      </c>
      <c r="N18" t="s">
        <v>296</v>
      </c>
      <c r="O18" t="s">
        <v>297</v>
      </c>
      <c r="P18" t="s">
        <v>3</v>
      </c>
      <c r="Q18" t="s">
        <v>3</v>
      </c>
      <c r="R18" t="s">
        <v>3</v>
      </c>
      <c r="S18" t="s">
        <v>298</v>
      </c>
      <c r="T18" t="s">
        <v>299</v>
      </c>
      <c r="U18" t="s">
        <v>300</v>
      </c>
    </row>
    <row r="19" spans="1:21" x14ac:dyDescent="0.2">
      <c r="A19">
        <v>37</v>
      </c>
      <c r="B19">
        <v>1</v>
      </c>
      <c r="C19" t="s">
        <v>3</v>
      </c>
      <c r="D19" t="s">
        <v>77</v>
      </c>
      <c r="E19" t="s">
        <v>78</v>
      </c>
      <c r="F19" t="s">
        <v>78</v>
      </c>
      <c r="G19" t="s">
        <v>78</v>
      </c>
      <c r="H19" t="s">
        <v>3</v>
      </c>
      <c r="I19" t="s">
        <v>78</v>
      </c>
      <c r="J19" t="s">
        <v>78</v>
      </c>
      <c r="K19" t="s">
        <v>3</v>
      </c>
      <c r="L19" t="s">
        <v>3</v>
      </c>
      <c r="M19" t="s">
        <v>3</v>
      </c>
      <c r="N19" t="s">
        <v>77</v>
      </c>
      <c r="O19" t="s">
        <v>78</v>
      </c>
      <c r="P19" t="s">
        <v>3</v>
      </c>
      <c r="Q19" t="s">
        <v>3</v>
      </c>
      <c r="R19" t="s">
        <v>3</v>
      </c>
      <c r="S19" t="s">
        <v>293</v>
      </c>
      <c r="T19" t="s">
        <v>294</v>
      </c>
      <c r="U19" t="s">
        <v>295</v>
      </c>
    </row>
    <row r="20" spans="1:21" x14ac:dyDescent="0.2">
      <c r="A20">
        <v>37</v>
      </c>
      <c r="B20">
        <v>1</v>
      </c>
      <c r="C20" t="s">
        <v>3</v>
      </c>
      <c r="D20" t="s">
        <v>296</v>
      </c>
      <c r="E20" t="s">
        <v>297</v>
      </c>
      <c r="F20" t="s">
        <v>297</v>
      </c>
      <c r="G20" t="s">
        <v>297</v>
      </c>
      <c r="H20" t="s">
        <v>3</v>
      </c>
      <c r="I20" t="s">
        <v>297</v>
      </c>
      <c r="J20" t="s">
        <v>297</v>
      </c>
      <c r="K20" t="s">
        <v>3</v>
      </c>
      <c r="L20" t="s">
        <v>3</v>
      </c>
      <c r="M20" t="s">
        <v>3</v>
      </c>
      <c r="N20" t="s">
        <v>296</v>
      </c>
      <c r="O20" t="s">
        <v>297</v>
      </c>
      <c r="P20" t="s">
        <v>3</v>
      </c>
      <c r="Q20" t="s">
        <v>3</v>
      </c>
      <c r="R20" t="s">
        <v>3</v>
      </c>
      <c r="S20" t="s">
        <v>298</v>
      </c>
      <c r="T20" t="s">
        <v>299</v>
      </c>
      <c r="U20" t="s">
        <v>300</v>
      </c>
    </row>
    <row r="21" spans="1:21" x14ac:dyDescent="0.2">
      <c r="A21">
        <v>38</v>
      </c>
      <c r="B21">
        <v>1</v>
      </c>
      <c r="C21" t="s">
        <v>3</v>
      </c>
      <c r="D21" t="s">
        <v>77</v>
      </c>
      <c r="E21" t="s">
        <v>78</v>
      </c>
      <c r="F21" t="s">
        <v>78</v>
      </c>
      <c r="G21" t="s">
        <v>78</v>
      </c>
      <c r="H21" t="s">
        <v>3</v>
      </c>
      <c r="I21" t="s">
        <v>78</v>
      </c>
      <c r="J21" t="s">
        <v>78</v>
      </c>
      <c r="K21" t="s">
        <v>3</v>
      </c>
      <c r="L21" t="s">
        <v>3</v>
      </c>
      <c r="M21" t="s">
        <v>3</v>
      </c>
      <c r="N21" t="s">
        <v>77</v>
      </c>
      <c r="O21" t="s">
        <v>78</v>
      </c>
      <c r="P21" t="s">
        <v>3</v>
      </c>
      <c r="Q21" t="s">
        <v>3</v>
      </c>
      <c r="R21" t="s">
        <v>3</v>
      </c>
      <c r="S21" t="s">
        <v>293</v>
      </c>
      <c r="T21" t="s">
        <v>294</v>
      </c>
      <c r="U21" t="s">
        <v>295</v>
      </c>
    </row>
    <row r="22" spans="1:21" x14ac:dyDescent="0.2">
      <c r="A22">
        <v>38</v>
      </c>
      <c r="B22">
        <v>1</v>
      </c>
      <c r="C22" t="s">
        <v>3</v>
      </c>
      <c r="D22" t="s">
        <v>296</v>
      </c>
      <c r="E22" t="s">
        <v>297</v>
      </c>
      <c r="F22" t="s">
        <v>297</v>
      </c>
      <c r="G22" t="s">
        <v>297</v>
      </c>
      <c r="H22" t="s">
        <v>3</v>
      </c>
      <c r="I22" t="s">
        <v>297</v>
      </c>
      <c r="J22" t="s">
        <v>297</v>
      </c>
      <c r="K22" t="s">
        <v>3</v>
      </c>
      <c r="L22" t="s">
        <v>3</v>
      </c>
      <c r="M22" t="s">
        <v>3</v>
      </c>
      <c r="N22" t="s">
        <v>296</v>
      </c>
      <c r="O22" t="s">
        <v>297</v>
      </c>
      <c r="P22" t="s">
        <v>3</v>
      </c>
      <c r="Q22" t="s">
        <v>3</v>
      </c>
      <c r="R22" t="s">
        <v>3</v>
      </c>
      <c r="S22" t="s">
        <v>298</v>
      </c>
      <c r="T22" t="s">
        <v>299</v>
      </c>
      <c r="U22" t="s">
        <v>300</v>
      </c>
    </row>
    <row r="23" spans="1:21" x14ac:dyDescent="0.2">
      <c r="A23">
        <v>39</v>
      </c>
      <c r="B23">
        <v>1</v>
      </c>
      <c r="C23" t="s">
        <v>3</v>
      </c>
      <c r="D23" t="s">
        <v>77</v>
      </c>
      <c r="E23" t="s">
        <v>78</v>
      </c>
      <c r="F23" t="s">
        <v>78</v>
      </c>
      <c r="G23" t="s">
        <v>78</v>
      </c>
      <c r="H23" t="s">
        <v>3</v>
      </c>
      <c r="I23" t="s">
        <v>78</v>
      </c>
      <c r="J23" t="s">
        <v>78</v>
      </c>
      <c r="K23" t="s">
        <v>3</v>
      </c>
      <c r="L23" t="s">
        <v>3</v>
      </c>
      <c r="M23" t="s">
        <v>3</v>
      </c>
      <c r="N23" t="s">
        <v>77</v>
      </c>
      <c r="O23" t="s">
        <v>78</v>
      </c>
      <c r="P23" t="s">
        <v>3</v>
      </c>
      <c r="Q23" t="s">
        <v>3</v>
      </c>
      <c r="R23" t="s">
        <v>3</v>
      </c>
      <c r="S23" t="s">
        <v>293</v>
      </c>
      <c r="T23" t="s">
        <v>294</v>
      </c>
      <c r="U23" t="s">
        <v>295</v>
      </c>
    </row>
    <row r="24" spans="1:21" x14ac:dyDescent="0.2">
      <c r="A24">
        <v>39</v>
      </c>
      <c r="B24">
        <v>1</v>
      </c>
      <c r="C24" t="s">
        <v>3</v>
      </c>
      <c r="D24" t="s">
        <v>296</v>
      </c>
      <c r="E24" t="s">
        <v>297</v>
      </c>
      <c r="F24" t="s">
        <v>297</v>
      </c>
      <c r="G24" t="s">
        <v>297</v>
      </c>
      <c r="H24" t="s">
        <v>3</v>
      </c>
      <c r="I24" t="s">
        <v>297</v>
      </c>
      <c r="J24" t="s">
        <v>297</v>
      </c>
      <c r="K24" t="s">
        <v>3</v>
      </c>
      <c r="L24" t="s">
        <v>3</v>
      </c>
      <c r="M24" t="s">
        <v>3</v>
      </c>
      <c r="N24" t="s">
        <v>296</v>
      </c>
      <c r="O24" t="s">
        <v>297</v>
      </c>
      <c r="P24" t="s">
        <v>3</v>
      </c>
      <c r="Q24" t="s">
        <v>3</v>
      </c>
      <c r="R24" t="s">
        <v>3</v>
      </c>
      <c r="S24" t="s">
        <v>298</v>
      </c>
      <c r="T24" t="s">
        <v>299</v>
      </c>
      <c r="U24" t="s">
        <v>300</v>
      </c>
    </row>
    <row r="25" spans="1:21" x14ac:dyDescent="0.2">
      <c r="A25">
        <v>40</v>
      </c>
      <c r="B25">
        <v>1</v>
      </c>
      <c r="C25" t="s">
        <v>3</v>
      </c>
      <c r="D25" t="s">
        <v>77</v>
      </c>
      <c r="E25" t="s">
        <v>78</v>
      </c>
      <c r="F25" t="s">
        <v>78</v>
      </c>
      <c r="G25" t="s">
        <v>78</v>
      </c>
      <c r="H25" t="s">
        <v>3</v>
      </c>
      <c r="I25" t="s">
        <v>78</v>
      </c>
      <c r="J25" t="s">
        <v>78</v>
      </c>
      <c r="K25" t="s">
        <v>3</v>
      </c>
      <c r="L25" t="s">
        <v>3</v>
      </c>
      <c r="M25" t="s">
        <v>3</v>
      </c>
      <c r="N25" t="s">
        <v>77</v>
      </c>
      <c r="O25" t="s">
        <v>78</v>
      </c>
      <c r="P25" t="s">
        <v>3</v>
      </c>
      <c r="Q25" t="s">
        <v>3</v>
      </c>
      <c r="R25" t="s">
        <v>3</v>
      </c>
      <c r="S25" t="s">
        <v>293</v>
      </c>
      <c r="T25" t="s">
        <v>294</v>
      </c>
      <c r="U25" t="s">
        <v>295</v>
      </c>
    </row>
    <row r="26" spans="1:21" x14ac:dyDescent="0.2">
      <c r="A26">
        <v>40</v>
      </c>
      <c r="B26">
        <v>1</v>
      </c>
      <c r="C26" t="s">
        <v>3</v>
      </c>
      <c r="D26" t="s">
        <v>296</v>
      </c>
      <c r="E26" t="s">
        <v>297</v>
      </c>
      <c r="F26" t="s">
        <v>297</v>
      </c>
      <c r="G26" t="s">
        <v>297</v>
      </c>
      <c r="H26" t="s">
        <v>3</v>
      </c>
      <c r="I26" t="s">
        <v>297</v>
      </c>
      <c r="J26" t="s">
        <v>297</v>
      </c>
      <c r="K26" t="s">
        <v>3</v>
      </c>
      <c r="L26" t="s">
        <v>3</v>
      </c>
      <c r="M26" t="s">
        <v>3</v>
      </c>
      <c r="N26" t="s">
        <v>296</v>
      </c>
      <c r="O26" t="s">
        <v>297</v>
      </c>
      <c r="P26" t="s">
        <v>3</v>
      </c>
      <c r="Q26" t="s">
        <v>3</v>
      </c>
      <c r="R26" t="s">
        <v>3</v>
      </c>
      <c r="S26" t="s">
        <v>298</v>
      </c>
      <c r="T26" t="s">
        <v>299</v>
      </c>
      <c r="U26" t="s">
        <v>300</v>
      </c>
    </row>
    <row r="27" spans="1:21" x14ac:dyDescent="0.2">
      <c r="A27">
        <v>41</v>
      </c>
      <c r="B27">
        <v>1</v>
      </c>
      <c r="C27" t="s">
        <v>3</v>
      </c>
      <c r="D27" t="s">
        <v>77</v>
      </c>
      <c r="E27" t="s">
        <v>78</v>
      </c>
      <c r="F27" t="s">
        <v>78</v>
      </c>
      <c r="G27" t="s">
        <v>78</v>
      </c>
      <c r="H27" t="s">
        <v>3</v>
      </c>
      <c r="I27" t="s">
        <v>78</v>
      </c>
      <c r="J27" t="s">
        <v>78</v>
      </c>
      <c r="K27" t="s">
        <v>3</v>
      </c>
      <c r="L27" t="s">
        <v>3</v>
      </c>
      <c r="M27" t="s">
        <v>3</v>
      </c>
      <c r="N27" t="s">
        <v>77</v>
      </c>
      <c r="O27" t="s">
        <v>78</v>
      </c>
      <c r="P27" t="s">
        <v>3</v>
      </c>
      <c r="Q27" t="s">
        <v>3</v>
      </c>
      <c r="R27" t="s">
        <v>3</v>
      </c>
      <c r="S27" t="s">
        <v>293</v>
      </c>
      <c r="T27" t="s">
        <v>294</v>
      </c>
      <c r="U27" t="s">
        <v>295</v>
      </c>
    </row>
    <row r="28" spans="1:21" x14ac:dyDescent="0.2">
      <c r="A28">
        <v>41</v>
      </c>
      <c r="B28">
        <v>1</v>
      </c>
      <c r="C28" t="s">
        <v>3</v>
      </c>
      <c r="D28" t="s">
        <v>296</v>
      </c>
      <c r="E28" t="s">
        <v>297</v>
      </c>
      <c r="F28" t="s">
        <v>297</v>
      </c>
      <c r="G28" t="s">
        <v>297</v>
      </c>
      <c r="H28" t="s">
        <v>3</v>
      </c>
      <c r="I28" t="s">
        <v>297</v>
      </c>
      <c r="J28" t="s">
        <v>297</v>
      </c>
      <c r="K28" t="s">
        <v>3</v>
      </c>
      <c r="L28" t="s">
        <v>3</v>
      </c>
      <c r="M28" t="s">
        <v>3</v>
      </c>
      <c r="N28" t="s">
        <v>296</v>
      </c>
      <c r="O28" t="s">
        <v>297</v>
      </c>
      <c r="P28" t="s">
        <v>3</v>
      </c>
      <c r="Q28" t="s">
        <v>3</v>
      </c>
      <c r="R28" t="s">
        <v>3</v>
      </c>
      <c r="S28" t="s">
        <v>298</v>
      </c>
      <c r="T28" t="s">
        <v>299</v>
      </c>
      <c r="U28" t="s">
        <v>300</v>
      </c>
    </row>
    <row r="29" spans="1:21" x14ac:dyDescent="0.2">
      <c r="A29">
        <v>42</v>
      </c>
      <c r="B29">
        <v>1</v>
      </c>
      <c r="C29" t="s">
        <v>3</v>
      </c>
      <c r="D29" t="s">
        <v>77</v>
      </c>
      <c r="E29" t="s">
        <v>78</v>
      </c>
      <c r="F29" t="s">
        <v>78</v>
      </c>
      <c r="G29" t="s">
        <v>78</v>
      </c>
      <c r="H29" t="s">
        <v>3</v>
      </c>
      <c r="I29" t="s">
        <v>78</v>
      </c>
      <c r="J29" t="s">
        <v>78</v>
      </c>
      <c r="K29" t="s">
        <v>3</v>
      </c>
      <c r="L29" t="s">
        <v>3</v>
      </c>
      <c r="M29" t="s">
        <v>3</v>
      </c>
      <c r="N29" t="s">
        <v>77</v>
      </c>
      <c r="O29" t="s">
        <v>78</v>
      </c>
      <c r="P29" t="s">
        <v>3</v>
      </c>
      <c r="Q29" t="s">
        <v>3</v>
      </c>
      <c r="R29" t="s">
        <v>3</v>
      </c>
      <c r="S29" t="s">
        <v>293</v>
      </c>
      <c r="T29" t="s">
        <v>294</v>
      </c>
      <c r="U29" t="s">
        <v>295</v>
      </c>
    </row>
    <row r="30" spans="1:21" x14ac:dyDescent="0.2">
      <c r="A30">
        <v>42</v>
      </c>
      <c r="B30">
        <v>1</v>
      </c>
      <c r="C30" t="s">
        <v>3</v>
      </c>
      <c r="D30" t="s">
        <v>296</v>
      </c>
      <c r="E30" t="s">
        <v>297</v>
      </c>
      <c r="F30" t="s">
        <v>297</v>
      </c>
      <c r="G30" t="s">
        <v>297</v>
      </c>
      <c r="H30" t="s">
        <v>3</v>
      </c>
      <c r="I30" t="s">
        <v>297</v>
      </c>
      <c r="J30" t="s">
        <v>297</v>
      </c>
      <c r="K30" t="s">
        <v>3</v>
      </c>
      <c r="L30" t="s">
        <v>3</v>
      </c>
      <c r="M30" t="s">
        <v>3</v>
      </c>
      <c r="N30" t="s">
        <v>296</v>
      </c>
      <c r="O30" t="s">
        <v>297</v>
      </c>
      <c r="P30" t="s">
        <v>3</v>
      </c>
      <c r="Q30" t="s">
        <v>3</v>
      </c>
      <c r="R30" t="s">
        <v>3</v>
      </c>
      <c r="S30" t="s">
        <v>298</v>
      </c>
      <c r="T30" t="s">
        <v>299</v>
      </c>
      <c r="U30" t="s">
        <v>300</v>
      </c>
    </row>
    <row r="31" spans="1:21" x14ac:dyDescent="0.2">
      <c r="A31">
        <v>43</v>
      </c>
      <c r="B31">
        <v>1</v>
      </c>
      <c r="C31" t="s">
        <v>3</v>
      </c>
      <c r="D31" t="s">
        <v>77</v>
      </c>
      <c r="E31" t="s">
        <v>78</v>
      </c>
      <c r="F31" t="s">
        <v>78</v>
      </c>
      <c r="G31" t="s">
        <v>78</v>
      </c>
      <c r="H31" t="s">
        <v>3</v>
      </c>
      <c r="I31" t="s">
        <v>78</v>
      </c>
      <c r="J31" t="s">
        <v>78</v>
      </c>
      <c r="K31" t="s">
        <v>3</v>
      </c>
      <c r="L31" t="s">
        <v>3</v>
      </c>
      <c r="M31" t="s">
        <v>3</v>
      </c>
      <c r="N31" t="s">
        <v>77</v>
      </c>
      <c r="O31" t="s">
        <v>78</v>
      </c>
      <c r="P31" t="s">
        <v>3</v>
      </c>
      <c r="Q31" t="s">
        <v>3</v>
      </c>
      <c r="R31" t="s">
        <v>3</v>
      </c>
      <c r="S31" t="s">
        <v>293</v>
      </c>
      <c r="T31" t="s">
        <v>294</v>
      </c>
      <c r="U31" t="s">
        <v>295</v>
      </c>
    </row>
    <row r="32" spans="1:21" x14ac:dyDescent="0.2">
      <c r="A32">
        <v>43</v>
      </c>
      <c r="B32">
        <v>1</v>
      </c>
      <c r="C32" t="s">
        <v>3</v>
      </c>
      <c r="D32" t="s">
        <v>296</v>
      </c>
      <c r="E32" t="s">
        <v>297</v>
      </c>
      <c r="F32" t="s">
        <v>297</v>
      </c>
      <c r="G32" t="s">
        <v>297</v>
      </c>
      <c r="H32" t="s">
        <v>3</v>
      </c>
      <c r="I32" t="s">
        <v>297</v>
      </c>
      <c r="J32" t="s">
        <v>297</v>
      </c>
      <c r="K32" t="s">
        <v>3</v>
      </c>
      <c r="L32" t="s">
        <v>3</v>
      </c>
      <c r="M32" t="s">
        <v>3</v>
      </c>
      <c r="N32" t="s">
        <v>296</v>
      </c>
      <c r="O32" t="s">
        <v>297</v>
      </c>
      <c r="P32" t="s">
        <v>3</v>
      </c>
      <c r="Q32" t="s">
        <v>3</v>
      </c>
      <c r="R32" t="s">
        <v>3</v>
      </c>
      <c r="S32" t="s">
        <v>298</v>
      </c>
      <c r="T32" t="s">
        <v>299</v>
      </c>
      <c r="U32" t="s">
        <v>300</v>
      </c>
    </row>
    <row r="33" spans="1:21" x14ac:dyDescent="0.2">
      <c r="A33">
        <v>44</v>
      </c>
      <c r="B33">
        <v>1</v>
      </c>
      <c r="C33" t="s">
        <v>3</v>
      </c>
      <c r="D33" t="s">
        <v>77</v>
      </c>
      <c r="E33" t="s">
        <v>78</v>
      </c>
      <c r="F33" t="s">
        <v>78</v>
      </c>
      <c r="G33" t="s">
        <v>78</v>
      </c>
      <c r="H33" t="s">
        <v>3</v>
      </c>
      <c r="I33" t="s">
        <v>78</v>
      </c>
      <c r="J33" t="s">
        <v>78</v>
      </c>
      <c r="K33" t="s">
        <v>3</v>
      </c>
      <c r="L33" t="s">
        <v>3</v>
      </c>
      <c r="M33" t="s">
        <v>3</v>
      </c>
      <c r="N33" t="s">
        <v>77</v>
      </c>
      <c r="O33" t="s">
        <v>78</v>
      </c>
      <c r="P33" t="s">
        <v>3</v>
      </c>
      <c r="Q33" t="s">
        <v>3</v>
      </c>
      <c r="R33" t="s">
        <v>3</v>
      </c>
      <c r="S33" t="s">
        <v>293</v>
      </c>
      <c r="T33" t="s">
        <v>294</v>
      </c>
      <c r="U33" t="s">
        <v>295</v>
      </c>
    </row>
    <row r="34" spans="1:21" x14ac:dyDescent="0.2">
      <c r="A34">
        <v>45</v>
      </c>
      <c r="B34">
        <v>1</v>
      </c>
      <c r="C34" t="s">
        <v>3</v>
      </c>
      <c r="D34" t="s">
        <v>77</v>
      </c>
      <c r="E34" t="s">
        <v>78</v>
      </c>
      <c r="F34" t="s">
        <v>78</v>
      </c>
      <c r="G34" t="s">
        <v>78</v>
      </c>
      <c r="H34" t="s">
        <v>3</v>
      </c>
      <c r="I34" t="s">
        <v>78</v>
      </c>
      <c r="J34" t="s">
        <v>78</v>
      </c>
      <c r="K34" t="s">
        <v>3</v>
      </c>
      <c r="L34" t="s">
        <v>3</v>
      </c>
      <c r="M34" t="s">
        <v>3</v>
      </c>
      <c r="N34" t="s">
        <v>77</v>
      </c>
      <c r="O34" t="s">
        <v>78</v>
      </c>
      <c r="P34" t="s">
        <v>3</v>
      </c>
      <c r="Q34" t="s">
        <v>3</v>
      </c>
      <c r="R34" t="s">
        <v>3</v>
      </c>
      <c r="S34" t="s">
        <v>293</v>
      </c>
      <c r="T34" t="s">
        <v>294</v>
      </c>
      <c r="U34" t="s">
        <v>295</v>
      </c>
    </row>
    <row r="35" spans="1:21" x14ac:dyDescent="0.2">
      <c r="A35">
        <v>46</v>
      </c>
      <c r="B35">
        <v>1</v>
      </c>
      <c r="C35" t="s">
        <v>3</v>
      </c>
      <c r="D35" t="s">
        <v>77</v>
      </c>
      <c r="E35" t="s">
        <v>78</v>
      </c>
      <c r="F35" t="s">
        <v>78</v>
      </c>
      <c r="G35" t="s">
        <v>78</v>
      </c>
      <c r="H35" t="s">
        <v>3</v>
      </c>
      <c r="I35" t="s">
        <v>78</v>
      </c>
      <c r="J35" t="s">
        <v>78</v>
      </c>
      <c r="K35" t="s">
        <v>3</v>
      </c>
      <c r="L35" t="s">
        <v>3</v>
      </c>
      <c r="M35" t="s">
        <v>3</v>
      </c>
      <c r="N35" t="s">
        <v>77</v>
      </c>
      <c r="O35" t="s">
        <v>78</v>
      </c>
      <c r="P35" t="s">
        <v>3</v>
      </c>
      <c r="Q35" t="s">
        <v>3</v>
      </c>
      <c r="R35" t="s">
        <v>3</v>
      </c>
      <c r="S35" t="s">
        <v>293</v>
      </c>
      <c r="T35" t="s">
        <v>294</v>
      </c>
      <c r="U35" t="s">
        <v>295</v>
      </c>
    </row>
    <row r="36" spans="1:21" x14ac:dyDescent="0.2">
      <c r="A36">
        <v>47</v>
      </c>
      <c r="B36">
        <v>1</v>
      </c>
      <c r="C36" t="s">
        <v>3</v>
      </c>
      <c r="D36" t="s">
        <v>77</v>
      </c>
      <c r="E36" t="s">
        <v>78</v>
      </c>
      <c r="F36" t="s">
        <v>78</v>
      </c>
      <c r="G36" t="s">
        <v>78</v>
      </c>
      <c r="H36" t="s">
        <v>3</v>
      </c>
      <c r="I36" t="s">
        <v>78</v>
      </c>
      <c r="J36" t="s">
        <v>78</v>
      </c>
      <c r="K36" t="s">
        <v>3</v>
      </c>
      <c r="L36" t="s">
        <v>3</v>
      </c>
      <c r="M36" t="s">
        <v>3</v>
      </c>
      <c r="N36" t="s">
        <v>77</v>
      </c>
      <c r="O36" t="s">
        <v>78</v>
      </c>
      <c r="P36" t="s">
        <v>3</v>
      </c>
      <c r="Q36" t="s">
        <v>3</v>
      </c>
      <c r="R36" t="s">
        <v>3</v>
      </c>
      <c r="S36" t="s">
        <v>293</v>
      </c>
      <c r="T36" t="s">
        <v>294</v>
      </c>
      <c r="U36" t="s">
        <v>295</v>
      </c>
    </row>
    <row r="37" spans="1:21" x14ac:dyDescent="0.2">
      <c r="A37">
        <v>83</v>
      </c>
      <c r="B37">
        <v>1</v>
      </c>
      <c r="C37" t="s">
        <v>3</v>
      </c>
      <c r="D37" t="s">
        <v>77</v>
      </c>
      <c r="E37" t="s">
        <v>78</v>
      </c>
      <c r="F37" t="s">
        <v>78</v>
      </c>
      <c r="G37" t="s">
        <v>78</v>
      </c>
      <c r="H37" t="s">
        <v>3</v>
      </c>
      <c r="I37" t="s">
        <v>78</v>
      </c>
      <c r="J37" t="s">
        <v>78</v>
      </c>
      <c r="K37" t="s">
        <v>3</v>
      </c>
      <c r="L37" t="s">
        <v>3</v>
      </c>
      <c r="M37" t="s">
        <v>3</v>
      </c>
      <c r="N37" t="s">
        <v>77</v>
      </c>
      <c r="O37" t="s">
        <v>78</v>
      </c>
      <c r="P37" t="s">
        <v>3</v>
      </c>
      <c r="Q37" t="s">
        <v>3</v>
      </c>
      <c r="R37" t="s">
        <v>3</v>
      </c>
      <c r="S37" t="s">
        <v>293</v>
      </c>
      <c r="T37" t="s">
        <v>294</v>
      </c>
      <c r="U37" t="s">
        <v>295</v>
      </c>
    </row>
    <row r="38" spans="1:21" x14ac:dyDescent="0.2">
      <c r="A38">
        <v>84</v>
      </c>
      <c r="B38">
        <v>1</v>
      </c>
      <c r="C38" t="s">
        <v>3</v>
      </c>
      <c r="D38" t="s">
        <v>77</v>
      </c>
      <c r="E38" t="s">
        <v>78</v>
      </c>
      <c r="F38" t="s">
        <v>78</v>
      </c>
      <c r="G38" t="s">
        <v>78</v>
      </c>
      <c r="H38" t="s">
        <v>3</v>
      </c>
      <c r="I38" t="s">
        <v>78</v>
      </c>
      <c r="J38" t="s">
        <v>78</v>
      </c>
      <c r="K38" t="s">
        <v>3</v>
      </c>
      <c r="L38" t="s">
        <v>3</v>
      </c>
      <c r="M38" t="s">
        <v>3</v>
      </c>
      <c r="N38" t="s">
        <v>77</v>
      </c>
      <c r="O38" t="s">
        <v>78</v>
      </c>
      <c r="P38" t="s">
        <v>3</v>
      </c>
      <c r="Q38" t="s">
        <v>3</v>
      </c>
      <c r="R38" t="s">
        <v>3</v>
      </c>
      <c r="S38" t="s">
        <v>293</v>
      </c>
      <c r="T38" t="s">
        <v>294</v>
      </c>
      <c r="U38" t="s">
        <v>295</v>
      </c>
    </row>
    <row r="39" spans="1:21" x14ac:dyDescent="0.2">
      <c r="A39">
        <v>87</v>
      </c>
      <c r="B39">
        <v>1</v>
      </c>
      <c r="C39" t="s">
        <v>3</v>
      </c>
      <c r="D39" t="s">
        <v>77</v>
      </c>
      <c r="E39" t="s">
        <v>78</v>
      </c>
      <c r="F39" t="s">
        <v>78</v>
      </c>
      <c r="G39" t="s">
        <v>78</v>
      </c>
      <c r="H39" t="s">
        <v>3</v>
      </c>
      <c r="I39" t="s">
        <v>78</v>
      </c>
      <c r="J39" t="s">
        <v>78</v>
      </c>
      <c r="K39" t="s">
        <v>3</v>
      </c>
      <c r="L39" t="s">
        <v>3</v>
      </c>
      <c r="M39" t="s">
        <v>3</v>
      </c>
      <c r="N39" t="s">
        <v>77</v>
      </c>
      <c r="O39" t="s">
        <v>78</v>
      </c>
      <c r="P39" t="s">
        <v>3</v>
      </c>
      <c r="Q39" t="s">
        <v>3</v>
      </c>
      <c r="R39" t="s">
        <v>3</v>
      </c>
      <c r="S39" t="s">
        <v>293</v>
      </c>
      <c r="T39" t="s">
        <v>294</v>
      </c>
      <c r="U39" t="s">
        <v>295</v>
      </c>
    </row>
    <row r="40" spans="1:21" x14ac:dyDescent="0.2">
      <c r="A40">
        <v>88</v>
      </c>
      <c r="B40">
        <v>1</v>
      </c>
      <c r="C40" t="s">
        <v>3</v>
      </c>
      <c r="D40" t="s">
        <v>77</v>
      </c>
      <c r="E40" t="s">
        <v>78</v>
      </c>
      <c r="F40" t="s">
        <v>78</v>
      </c>
      <c r="G40" t="s">
        <v>78</v>
      </c>
      <c r="H40" t="s">
        <v>3</v>
      </c>
      <c r="I40" t="s">
        <v>78</v>
      </c>
      <c r="J40" t="s">
        <v>78</v>
      </c>
      <c r="K40" t="s">
        <v>3</v>
      </c>
      <c r="L40" t="s">
        <v>3</v>
      </c>
      <c r="M40" t="s">
        <v>3</v>
      </c>
      <c r="N40" t="s">
        <v>77</v>
      </c>
      <c r="O40" t="s">
        <v>78</v>
      </c>
      <c r="P40" t="s">
        <v>3</v>
      </c>
      <c r="Q40" t="s">
        <v>3</v>
      </c>
      <c r="R40" t="s">
        <v>3</v>
      </c>
      <c r="S40" t="s">
        <v>293</v>
      </c>
      <c r="T40" t="s">
        <v>294</v>
      </c>
      <c r="U40" t="s">
        <v>295</v>
      </c>
    </row>
    <row r="41" spans="1:21" x14ac:dyDescent="0.2">
      <c r="A41">
        <v>93</v>
      </c>
      <c r="B41">
        <v>1</v>
      </c>
      <c r="C41" t="s">
        <v>3</v>
      </c>
      <c r="D41" t="s">
        <v>77</v>
      </c>
      <c r="E41" t="s">
        <v>78</v>
      </c>
      <c r="F41" t="s">
        <v>78</v>
      </c>
      <c r="G41" t="s">
        <v>78</v>
      </c>
      <c r="H41" t="s">
        <v>3</v>
      </c>
      <c r="I41" t="s">
        <v>78</v>
      </c>
      <c r="J41" t="s">
        <v>78</v>
      </c>
      <c r="K41" t="s">
        <v>3</v>
      </c>
      <c r="L41" t="s">
        <v>3</v>
      </c>
      <c r="M41" t="s">
        <v>3</v>
      </c>
      <c r="N41" t="s">
        <v>77</v>
      </c>
      <c r="O41" t="s">
        <v>78</v>
      </c>
      <c r="P41" t="s">
        <v>3</v>
      </c>
      <c r="Q41" t="s">
        <v>3</v>
      </c>
      <c r="R41" t="s">
        <v>3</v>
      </c>
      <c r="S41" t="s">
        <v>293</v>
      </c>
      <c r="T41" t="s">
        <v>294</v>
      </c>
      <c r="U41" t="s">
        <v>295</v>
      </c>
    </row>
    <row r="42" spans="1:21" x14ac:dyDescent="0.2">
      <c r="A42">
        <v>94</v>
      </c>
      <c r="B42">
        <v>1</v>
      </c>
      <c r="C42" t="s">
        <v>3</v>
      </c>
      <c r="D42" t="s">
        <v>77</v>
      </c>
      <c r="E42" t="s">
        <v>78</v>
      </c>
      <c r="F42" t="s">
        <v>78</v>
      </c>
      <c r="G42" t="s">
        <v>78</v>
      </c>
      <c r="H42" t="s">
        <v>3</v>
      </c>
      <c r="I42" t="s">
        <v>78</v>
      </c>
      <c r="J42" t="s">
        <v>78</v>
      </c>
      <c r="K42" t="s">
        <v>3</v>
      </c>
      <c r="L42" t="s">
        <v>3</v>
      </c>
      <c r="M42" t="s">
        <v>3</v>
      </c>
      <c r="N42" t="s">
        <v>77</v>
      </c>
      <c r="O42" t="s">
        <v>78</v>
      </c>
      <c r="P42" t="s">
        <v>3</v>
      </c>
      <c r="Q42" t="s">
        <v>3</v>
      </c>
      <c r="R42" t="s">
        <v>3</v>
      </c>
      <c r="S42" t="s">
        <v>293</v>
      </c>
      <c r="T42" t="s">
        <v>294</v>
      </c>
      <c r="U42" t="s">
        <v>295</v>
      </c>
    </row>
    <row r="43" spans="1:21" x14ac:dyDescent="0.2">
      <c r="A43">
        <v>99</v>
      </c>
      <c r="B43">
        <v>1</v>
      </c>
      <c r="C43" t="s">
        <v>3</v>
      </c>
      <c r="D43" t="s">
        <v>77</v>
      </c>
      <c r="E43" t="s">
        <v>78</v>
      </c>
      <c r="F43" t="s">
        <v>78</v>
      </c>
      <c r="G43" t="s">
        <v>78</v>
      </c>
      <c r="H43" t="s">
        <v>3</v>
      </c>
      <c r="I43" t="s">
        <v>78</v>
      </c>
      <c r="J43" t="s">
        <v>78</v>
      </c>
      <c r="K43" t="s">
        <v>3</v>
      </c>
      <c r="L43" t="s">
        <v>3</v>
      </c>
      <c r="M43" t="s">
        <v>3</v>
      </c>
      <c r="N43" t="s">
        <v>77</v>
      </c>
      <c r="O43" t="s">
        <v>78</v>
      </c>
      <c r="P43" t="s">
        <v>3</v>
      </c>
      <c r="Q43" t="s">
        <v>3</v>
      </c>
      <c r="R43" t="s">
        <v>3</v>
      </c>
      <c r="S43" t="s">
        <v>293</v>
      </c>
      <c r="T43" t="s">
        <v>294</v>
      </c>
      <c r="U43" t="s">
        <v>295</v>
      </c>
    </row>
    <row r="44" spans="1:21" x14ac:dyDescent="0.2">
      <c r="A44">
        <v>100</v>
      </c>
      <c r="B44">
        <v>1</v>
      </c>
      <c r="C44" t="s">
        <v>3</v>
      </c>
      <c r="D44" t="s">
        <v>77</v>
      </c>
      <c r="E44" t="s">
        <v>78</v>
      </c>
      <c r="F44" t="s">
        <v>78</v>
      </c>
      <c r="G44" t="s">
        <v>78</v>
      </c>
      <c r="H44" t="s">
        <v>3</v>
      </c>
      <c r="I44" t="s">
        <v>78</v>
      </c>
      <c r="J44" t="s">
        <v>78</v>
      </c>
      <c r="K44" t="s">
        <v>3</v>
      </c>
      <c r="L44" t="s">
        <v>3</v>
      </c>
      <c r="M44" t="s">
        <v>3</v>
      </c>
      <c r="N44" t="s">
        <v>77</v>
      </c>
      <c r="O44" t="s">
        <v>78</v>
      </c>
      <c r="P44" t="s">
        <v>3</v>
      </c>
      <c r="Q44" t="s">
        <v>3</v>
      </c>
      <c r="R44" t="s">
        <v>3</v>
      </c>
      <c r="S44" t="s">
        <v>293</v>
      </c>
      <c r="T44" t="s">
        <v>294</v>
      </c>
      <c r="U44" t="s">
        <v>295</v>
      </c>
    </row>
    <row r="45" spans="1:21" x14ac:dyDescent="0.2">
      <c r="A45">
        <v>105</v>
      </c>
      <c r="B45">
        <v>1</v>
      </c>
      <c r="C45" t="s">
        <v>3</v>
      </c>
      <c r="D45" t="s">
        <v>77</v>
      </c>
      <c r="E45" t="s">
        <v>78</v>
      </c>
      <c r="F45" t="s">
        <v>78</v>
      </c>
      <c r="G45" t="s">
        <v>78</v>
      </c>
      <c r="H45" t="s">
        <v>3</v>
      </c>
      <c r="I45" t="s">
        <v>78</v>
      </c>
      <c r="J45" t="s">
        <v>78</v>
      </c>
      <c r="K45" t="s">
        <v>3</v>
      </c>
      <c r="L45" t="s">
        <v>3</v>
      </c>
      <c r="M45" t="s">
        <v>3</v>
      </c>
      <c r="N45" t="s">
        <v>77</v>
      </c>
      <c r="O45" t="s">
        <v>78</v>
      </c>
      <c r="P45" t="s">
        <v>3</v>
      </c>
      <c r="Q45" t="s">
        <v>3</v>
      </c>
      <c r="R45" t="s">
        <v>3</v>
      </c>
      <c r="S45" t="s">
        <v>293</v>
      </c>
      <c r="T45" t="s">
        <v>294</v>
      </c>
      <c r="U45" t="s">
        <v>295</v>
      </c>
    </row>
    <row r="46" spans="1:21" x14ac:dyDescent="0.2">
      <c r="A46">
        <v>106</v>
      </c>
      <c r="B46">
        <v>1</v>
      </c>
      <c r="C46" t="s">
        <v>3</v>
      </c>
      <c r="D46" t="s">
        <v>77</v>
      </c>
      <c r="E46" t="s">
        <v>78</v>
      </c>
      <c r="F46" t="s">
        <v>78</v>
      </c>
      <c r="G46" t="s">
        <v>78</v>
      </c>
      <c r="H46" t="s">
        <v>3</v>
      </c>
      <c r="I46" t="s">
        <v>78</v>
      </c>
      <c r="J46" t="s">
        <v>78</v>
      </c>
      <c r="K46" t="s">
        <v>3</v>
      </c>
      <c r="L46" t="s">
        <v>3</v>
      </c>
      <c r="M46" t="s">
        <v>3</v>
      </c>
      <c r="N46" t="s">
        <v>77</v>
      </c>
      <c r="O46" t="s">
        <v>78</v>
      </c>
      <c r="P46" t="s">
        <v>3</v>
      </c>
      <c r="Q46" t="s">
        <v>3</v>
      </c>
      <c r="R46" t="s">
        <v>3</v>
      </c>
      <c r="S46" t="s">
        <v>293</v>
      </c>
      <c r="T46" t="s">
        <v>294</v>
      </c>
      <c r="U46" t="s">
        <v>295</v>
      </c>
    </row>
    <row r="47" spans="1:21" x14ac:dyDescent="0.2">
      <c r="A47">
        <v>109</v>
      </c>
      <c r="B47">
        <v>1</v>
      </c>
      <c r="C47" t="s">
        <v>3</v>
      </c>
      <c r="D47" t="s">
        <v>77</v>
      </c>
      <c r="E47" t="s">
        <v>78</v>
      </c>
      <c r="F47" t="s">
        <v>78</v>
      </c>
      <c r="G47" t="s">
        <v>78</v>
      </c>
      <c r="H47" t="s">
        <v>3</v>
      </c>
      <c r="I47" t="s">
        <v>78</v>
      </c>
      <c r="J47" t="s">
        <v>78</v>
      </c>
      <c r="K47" t="s">
        <v>3</v>
      </c>
      <c r="L47" t="s">
        <v>3</v>
      </c>
      <c r="M47" t="s">
        <v>3</v>
      </c>
      <c r="N47" t="s">
        <v>77</v>
      </c>
      <c r="O47" t="s">
        <v>78</v>
      </c>
      <c r="P47" t="s">
        <v>3</v>
      </c>
      <c r="Q47" t="s">
        <v>3</v>
      </c>
      <c r="R47" t="s">
        <v>3</v>
      </c>
      <c r="S47" t="s">
        <v>293</v>
      </c>
      <c r="T47" t="s">
        <v>294</v>
      </c>
      <c r="U47" t="s">
        <v>295</v>
      </c>
    </row>
    <row r="48" spans="1:21" x14ac:dyDescent="0.2">
      <c r="A48">
        <v>110</v>
      </c>
      <c r="B48">
        <v>1</v>
      </c>
      <c r="C48" t="s">
        <v>3</v>
      </c>
      <c r="D48" t="s">
        <v>77</v>
      </c>
      <c r="E48" t="s">
        <v>78</v>
      </c>
      <c r="F48" t="s">
        <v>78</v>
      </c>
      <c r="G48" t="s">
        <v>78</v>
      </c>
      <c r="H48" t="s">
        <v>3</v>
      </c>
      <c r="I48" t="s">
        <v>78</v>
      </c>
      <c r="J48" t="s">
        <v>78</v>
      </c>
      <c r="K48" t="s">
        <v>3</v>
      </c>
      <c r="L48" t="s">
        <v>3</v>
      </c>
      <c r="M48" t="s">
        <v>3</v>
      </c>
      <c r="N48" t="s">
        <v>77</v>
      </c>
      <c r="O48" t="s">
        <v>78</v>
      </c>
      <c r="P48" t="s">
        <v>3</v>
      </c>
      <c r="Q48" t="s">
        <v>3</v>
      </c>
      <c r="R48" t="s">
        <v>3</v>
      </c>
      <c r="S48" t="s">
        <v>293</v>
      </c>
      <c r="T48" t="s">
        <v>294</v>
      </c>
      <c r="U48" t="s">
        <v>295</v>
      </c>
    </row>
    <row r="49" spans="1:21" x14ac:dyDescent="0.2">
      <c r="A49">
        <v>152</v>
      </c>
      <c r="B49">
        <v>1</v>
      </c>
      <c r="C49" t="s">
        <v>3</v>
      </c>
      <c r="D49" t="s">
        <v>77</v>
      </c>
      <c r="E49" t="s">
        <v>78</v>
      </c>
      <c r="F49" t="s">
        <v>78</v>
      </c>
      <c r="G49" t="s">
        <v>78</v>
      </c>
      <c r="H49" t="s">
        <v>3</v>
      </c>
      <c r="I49" t="s">
        <v>78</v>
      </c>
      <c r="J49" t="s">
        <v>78</v>
      </c>
      <c r="K49" t="s">
        <v>3</v>
      </c>
      <c r="L49" t="s">
        <v>3</v>
      </c>
      <c r="M49" t="s">
        <v>3</v>
      </c>
      <c r="N49" t="s">
        <v>77</v>
      </c>
      <c r="O49" t="s">
        <v>78</v>
      </c>
      <c r="P49" t="s">
        <v>3</v>
      </c>
      <c r="Q49" t="s">
        <v>3</v>
      </c>
      <c r="R49" t="s">
        <v>3</v>
      </c>
      <c r="S49" t="s">
        <v>293</v>
      </c>
      <c r="T49" t="s">
        <v>294</v>
      </c>
      <c r="U49" t="s">
        <v>295</v>
      </c>
    </row>
    <row r="50" spans="1:21" x14ac:dyDescent="0.2">
      <c r="A50">
        <v>153</v>
      </c>
      <c r="B50">
        <v>1</v>
      </c>
      <c r="C50" t="s">
        <v>3</v>
      </c>
      <c r="D50" t="s">
        <v>77</v>
      </c>
      <c r="E50" t="s">
        <v>78</v>
      </c>
      <c r="F50" t="s">
        <v>78</v>
      </c>
      <c r="G50" t="s">
        <v>78</v>
      </c>
      <c r="H50" t="s">
        <v>3</v>
      </c>
      <c r="I50" t="s">
        <v>78</v>
      </c>
      <c r="J50" t="s">
        <v>78</v>
      </c>
      <c r="K50" t="s">
        <v>3</v>
      </c>
      <c r="L50" t="s">
        <v>3</v>
      </c>
      <c r="M50" t="s">
        <v>3</v>
      </c>
      <c r="N50" t="s">
        <v>77</v>
      </c>
      <c r="O50" t="s">
        <v>78</v>
      </c>
      <c r="P50" t="s">
        <v>3</v>
      </c>
      <c r="Q50" t="s">
        <v>3</v>
      </c>
      <c r="R50" t="s">
        <v>3</v>
      </c>
      <c r="S50" t="s">
        <v>293</v>
      </c>
      <c r="T50" t="s">
        <v>294</v>
      </c>
      <c r="U50" t="s">
        <v>295</v>
      </c>
    </row>
    <row r="51" spans="1:21" x14ac:dyDescent="0.2">
      <c r="A51">
        <v>156</v>
      </c>
      <c r="B51">
        <v>1</v>
      </c>
      <c r="C51" t="s">
        <v>3</v>
      </c>
      <c r="D51" t="s">
        <v>77</v>
      </c>
      <c r="E51" t="s">
        <v>78</v>
      </c>
      <c r="F51" t="s">
        <v>78</v>
      </c>
      <c r="G51" t="s">
        <v>78</v>
      </c>
      <c r="H51" t="s">
        <v>3</v>
      </c>
      <c r="I51" t="s">
        <v>78</v>
      </c>
      <c r="J51" t="s">
        <v>78</v>
      </c>
      <c r="K51" t="s">
        <v>3</v>
      </c>
      <c r="L51" t="s">
        <v>3</v>
      </c>
      <c r="M51" t="s">
        <v>3</v>
      </c>
      <c r="N51" t="s">
        <v>77</v>
      </c>
      <c r="O51" t="s">
        <v>78</v>
      </c>
      <c r="P51" t="s">
        <v>3</v>
      </c>
      <c r="Q51" t="s">
        <v>3</v>
      </c>
      <c r="R51" t="s">
        <v>3</v>
      </c>
      <c r="S51" t="s">
        <v>293</v>
      </c>
      <c r="T51" t="s">
        <v>294</v>
      </c>
      <c r="U51" t="s">
        <v>295</v>
      </c>
    </row>
    <row r="52" spans="1:21" x14ac:dyDescent="0.2">
      <c r="A52">
        <v>157</v>
      </c>
      <c r="B52">
        <v>1</v>
      </c>
      <c r="C52" t="s">
        <v>3</v>
      </c>
      <c r="D52" t="s">
        <v>77</v>
      </c>
      <c r="E52" t="s">
        <v>78</v>
      </c>
      <c r="F52" t="s">
        <v>78</v>
      </c>
      <c r="G52" t="s">
        <v>78</v>
      </c>
      <c r="H52" t="s">
        <v>3</v>
      </c>
      <c r="I52" t="s">
        <v>78</v>
      </c>
      <c r="J52" t="s">
        <v>78</v>
      </c>
      <c r="K52" t="s">
        <v>3</v>
      </c>
      <c r="L52" t="s">
        <v>3</v>
      </c>
      <c r="M52" t="s">
        <v>3</v>
      </c>
      <c r="N52" t="s">
        <v>77</v>
      </c>
      <c r="O52" t="s">
        <v>78</v>
      </c>
      <c r="P52" t="s">
        <v>3</v>
      </c>
      <c r="Q52" t="s">
        <v>3</v>
      </c>
      <c r="R52" t="s">
        <v>3</v>
      </c>
      <c r="S52" t="s">
        <v>293</v>
      </c>
      <c r="T52" t="s">
        <v>294</v>
      </c>
      <c r="U52" t="s">
        <v>295</v>
      </c>
    </row>
    <row r="53" spans="1:21" x14ac:dyDescent="0.2">
      <c r="A53">
        <v>195</v>
      </c>
      <c r="B53">
        <v>1</v>
      </c>
      <c r="C53" t="s">
        <v>3</v>
      </c>
      <c r="D53" t="s">
        <v>77</v>
      </c>
      <c r="E53" t="s">
        <v>78</v>
      </c>
      <c r="F53" t="s">
        <v>78</v>
      </c>
      <c r="G53" t="s">
        <v>78</v>
      </c>
      <c r="H53" t="s">
        <v>3</v>
      </c>
      <c r="I53" t="s">
        <v>78</v>
      </c>
      <c r="J53" t="s">
        <v>78</v>
      </c>
      <c r="K53" t="s">
        <v>3</v>
      </c>
      <c r="L53" t="s">
        <v>3</v>
      </c>
      <c r="M53" t="s">
        <v>3</v>
      </c>
      <c r="N53" t="s">
        <v>77</v>
      </c>
      <c r="O53" t="s">
        <v>78</v>
      </c>
      <c r="P53" t="s">
        <v>3</v>
      </c>
      <c r="Q53" t="s">
        <v>3</v>
      </c>
      <c r="R53" t="s">
        <v>3</v>
      </c>
      <c r="S53" t="s">
        <v>293</v>
      </c>
      <c r="T53" t="s">
        <v>294</v>
      </c>
      <c r="U53" t="s">
        <v>295</v>
      </c>
    </row>
    <row r="54" spans="1:21" x14ac:dyDescent="0.2">
      <c r="A54">
        <v>196</v>
      </c>
      <c r="B54">
        <v>1</v>
      </c>
      <c r="C54" t="s">
        <v>3</v>
      </c>
      <c r="D54" t="s">
        <v>77</v>
      </c>
      <c r="E54" t="s">
        <v>78</v>
      </c>
      <c r="F54" t="s">
        <v>78</v>
      </c>
      <c r="G54" t="s">
        <v>78</v>
      </c>
      <c r="H54" t="s">
        <v>3</v>
      </c>
      <c r="I54" t="s">
        <v>78</v>
      </c>
      <c r="J54" t="s">
        <v>78</v>
      </c>
      <c r="K54" t="s">
        <v>3</v>
      </c>
      <c r="L54" t="s">
        <v>3</v>
      </c>
      <c r="M54" t="s">
        <v>3</v>
      </c>
      <c r="N54" t="s">
        <v>77</v>
      </c>
      <c r="O54" t="s">
        <v>78</v>
      </c>
      <c r="P54" t="s">
        <v>3</v>
      </c>
      <c r="Q54" t="s">
        <v>3</v>
      </c>
      <c r="R54" t="s">
        <v>3</v>
      </c>
      <c r="S54" t="s">
        <v>293</v>
      </c>
      <c r="T54" t="s">
        <v>294</v>
      </c>
      <c r="U54" t="s">
        <v>295</v>
      </c>
    </row>
    <row r="55" spans="1:21" x14ac:dyDescent="0.2">
      <c r="A55">
        <v>201</v>
      </c>
      <c r="B55">
        <v>1</v>
      </c>
      <c r="C55" t="s">
        <v>3</v>
      </c>
      <c r="D55" t="s">
        <v>77</v>
      </c>
      <c r="E55" t="s">
        <v>78</v>
      </c>
      <c r="F55" t="s">
        <v>78</v>
      </c>
      <c r="G55" t="s">
        <v>78</v>
      </c>
      <c r="H55" t="s">
        <v>3</v>
      </c>
      <c r="I55" t="s">
        <v>78</v>
      </c>
      <c r="J55" t="s">
        <v>78</v>
      </c>
      <c r="K55" t="s">
        <v>3</v>
      </c>
      <c r="L55" t="s">
        <v>3</v>
      </c>
      <c r="M55" t="s">
        <v>3</v>
      </c>
      <c r="N55" t="s">
        <v>77</v>
      </c>
      <c r="O55" t="s">
        <v>78</v>
      </c>
      <c r="P55" t="s">
        <v>3</v>
      </c>
      <c r="Q55" t="s">
        <v>3</v>
      </c>
      <c r="R55" t="s">
        <v>3</v>
      </c>
      <c r="S55" t="s">
        <v>293</v>
      </c>
      <c r="T55" t="s">
        <v>294</v>
      </c>
      <c r="U55" t="s">
        <v>295</v>
      </c>
    </row>
    <row r="56" spans="1:21" x14ac:dyDescent="0.2">
      <c r="A56">
        <v>202</v>
      </c>
      <c r="B56">
        <v>1</v>
      </c>
      <c r="C56" t="s">
        <v>3</v>
      </c>
      <c r="D56" t="s">
        <v>77</v>
      </c>
      <c r="E56" t="s">
        <v>78</v>
      </c>
      <c r="F56" t="s">
        <v>78</v>
      </c>
      <c r="G56" t="s">
        <v>78</v>
      </c>
      <c r="H56" t="s">
        <v>3</v>
      </c>
      <c r="I56" t="s">
        <v>78</v>
      </c>
      <c r="J56" t="s">
        <v>78</v>
      </c>
      <c r="K56" t="s">
        <v>3</v>
      </c>
      <c r="L56" t="s">
        <v>3</v>
      </c>
      <c r="M56" t="s">
        <v>3</v>
      </c>
      <c r="N56" t="s">
        <v>77</v>
      </c>
      <c r="O56" t="s">
        <v>78</v>
      </c>
      <c r="P56" t="s">
        <v>3</v>
      </c>
      <c r="Q56" t="s">
        <v>3</v>
      </c>
      <c r="R56" t="s">
        <v>3</v>
      </c>
      <c r="S56" t="s">
        <v>293</v>
      </c>
      <c r="T56" t="s">
        <v>294</v>
      </c>
      <c r="U56" t="s">
        <v>295</v>
      </c>
    </row>
    <row r="57" spans="1:21" x14ac:dyDescent="0.2">
      <c r="A57">
        <v>207</v>
      </c>
      <c r="B57">
        <v>1</v>
      </c>
      <c r="C57" t="s">
        <v>3</v>
      </c>
      <c r="D57" t="s">
        <v>77</v>
      </c>
      <c r="E57" t="s">
        <v>78</v>
      </c>
      <c r="F57" t="s">
        <v>78</v>
      </c>
      <c r="G57" t="s">
        <v>78</v>
      </c>
      <c r="H57" t="s">
        <v>3</v>
      </c>
      <c r="I57" t="s">
        <v>78</v>
      </c>
      <c r="J57" t="s">
        <v>78</v>
      </c>
      <c r="K57" t="s">
        <v>3</v>
      </c>
      <c r="L57" t="s">
        <v>3</v>
      </c>
      <c r="M57" t="s">
        <v>3</v>
      </c>
      <c r="N57" t="s">
        <v>77</v>
      </c>
      <c r="O57" t="s">
        <v>78</v>
      </c>
      <c r="P57" t="s">
        <v>3</v>
      </c>
      <c r="Q57" t="s">
        <v>3</v>
      </c>
      <c r="R57" t="s">
        <v>3</v>
      </c>
      <c r="S57" t="s">
        <v>293</v>
      </c>
      <c r="T57" t="s">
        <v>294</v>
      </c>
      <c r="U57" t="s">
        <v>295</v>
      </c>
    </row>
    <row r="58" spans="1:21" x14ac:dyDescent="0.2">
      <c r="A58">
        <v>208</v>
      </c>
      <c r="B58">
        <v>1</v>
      </c>
      <c r="C58" t="s">
        <v>3</v>
      </c>
      <c r="D58" t="s">
        <v>77</v>
      </c>
      <c r="E58" t="s">
        <v>78</v>
      </c>
      <c r="F58" t="s">
        <v>78</v>
      </c>
      <c r="G58" t="s">
        <v>78</v>
      </c>
      <c r="H58" t="s">
        <v>3</v>
      </c>
      <c r="I58" t="s">
        <v>78</v>
      </c>
      <c r="J58" t="s">
        <v>78</v>
      </c>
      <c r="K58" t="s">
        <v>3</v>
      </c>
      <c r="L58" t="s">
        <v>3</v>
      </c>
      <c r="M58" t="s">
        <v>3</v>
      </c>
      <c r="N58" t="s">
        <v>77</v>
      </c>
      <c r="O58" t="s">
        <v>78</v>
      </c>
      <c r="P58" t="s">
        <v>3</v>
      </c>
      <c r="Q58" t="s">
        <v>3</v>
      </c>
      <c r="R58" t="s">
        <v>3</v>
      </c>
      <c r="S58" t="s">
        <v>293</v>
      </c>
      <c r="T58" t="s">
        <v>294</v>
      </c>
      <c r="U58" t="s">
        <v>295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5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02-01-17</v>
      </c>
      <c r="G12" t="str">
        <f>Source!G12</f>
        <v>02-01-17 СДС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22</v>
      </c>
      <c r="AD14">
        <v>3</v>
      </c>
    </row>
    <row r="15" spans="1:103" x14ac:dyDescent="0.2">
      <c r="B15" t="s">
        <v>301</v>
      </c>
      <c r="C15">
        <v>1</v>
      </c>
      <c r="D15" t="s">
        <v>145</v>
      </c>
      <c r="E15" t="s">
        <v>3</v>
      </c>
      <c r="F15" t="s">
        <v>302</v>
      </c>
      <c r="G15" t="s">
        <v>3</v>
      </c>
      <c r="H15">
        <v>124784</v>
      </c>
      <c r="I15">
        <v>124784</v>
      </c>
      <c r="J15">
        <v>0</v>
      </c>
      <c r="K15">
        <v>124784</v>
      </c>
      <c r="L15">
        <v>0</v>
      </c>
      <c r="M15">
        <v>0</v>
      </c>
      <c r="N15">
        <v>0</v>
      </c>
      <c r="O15" t="s">
        <v>303</v>
      </c>
      <c r="P15" t="s">
        <v>3</v>
      </c>
      <c r="Q15" t="s">
        <v>304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124784</v>
      </c>
      <c r="AD15">
        <v>1</v>
      </c>
      <c r="AE15">
        <v>0</v>
      </c>
      <c r="AF15">
        <v>3</v>
      </c>
      <c r="AG15">
        <v>3</v>
      </c>
      <c r="AH15" t="s">
        <v>147</v>
      </c>
      <c r="AI15" t="s">
        <v>146</v>
      </c>
      <c r="AJ15">
        <v>46139.405289351853</v>
      </c>
      <c r="AK15">
        <v>55943815</v>
      </c>
      <c r="AL15">
        <v>0</v>
      </c>
      <c r="AM15">
        <v>0</v>
      </c>
      <c r="AN15">
        <v>0</v>
      </c>
      <c r="AO15">
        <v>46112</v>
      </c>
      <c r="AP15">
        <v>0</v>
      </c>
      <c r="AQ15">
        <v>1</v>
      </c>
      <c r="AR15">
        <v>0</v>
      </c>
      <c r="AS15" t="s">
        <v>305</v>
      </c>
      <c r="AT15">
        <v>1</v>
      </c>
      <c r="AU15">
        <v>1</v>
      </c>
    </row>
    <row r="16" spans="1:103" x14ac:dyDescent="0.2">
      <c r="B16" t="s">
        <v>306</v>
      </c>
      <c r="C16">
        <v>0</v>
      </c>
      <c r="D16" t="s">
        <v>145</v>
      </c>
      <c r="E16" t="s">
        <v>3</v>
      </c>
      <c r="F16" t="s">
        <v>302</v>
      </c>
      <c r="G16" t="s">
        <v>3</v>
      </c>
      <c r="H16">
        <v>124784</v>
      </c>
      <c r="I16">
        <v>124784</v>
      </c>
      <c r="J16">
        <v>0</v>
      </c>
      <c r="K16">
        <v>124784</v>
      </c>
      <c r="L16">
        <v>0</v>
      </c>
      <c r="M16">
        <v>0</v>
      </c>
      <c r="N16">
        <v>0</v>
      </c>
      <c r="O16" t="s">
        <v>307</v>
      </c>
      <c r="P16" t="s">
        <v>3</v>
      </c>
      <c r="Q16" t="s">
        <v>308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124784</v>
      </c>
      <c r="AD16">
        <v>1</v>
      </c>
      <c r="AE16">
        <v>0</v>
      </c>
      <c r="AF16">
        <v>3</v>
      </c>
      <c r="AG16">
        <v>3</v>
      </c>
      <c r="AH16" t="s">
        <v>147</v>
      </c>
      <c r="AI16" t="s">
        <v>146</v>
      </c>
      <c r="AJ16">
        <v>46139.405289351853</v>
      </c>
      <c r="AK16">
        <v>55943815</v>
      </c>
      <c r="AL16">
        <v>0</v>
      </c>
      <c r="AM16">
        <v>0</v>
      </c>
      <c r="AN16">
        <v>0</v>
      </c>
      <c r="AO16">
        <v>46112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309</v>
      </c>
      <c r="C17">
        <v>0</v>
      </c>
      <c r="D17" t="s">
        <v>145</v>
      </c>
      <c r="E17" t="s">
        <v>3</v>
      </c>
      <c r="F17" t="s">
        <v>302</v>
      </c>
      <c r="G17" t="s">
        <v>3</v>
      </c>
      <c r="H17">
        <v>126863.74</v>
      </c>
      <c r="I17">
        <v>126863.74</v>
      </c>
      <c r="J17">
        <v>0</v>
      </c>
      <c r="K17">
        <v>126863.74</v>
      </c>
      <c r="L17">
        <v>0</v>
      </c>
      <c r="M17">
        <v>0</v>
      </c>
      <c r="N17">
        <v>0</v>
      </c>
      <c r="O17" t="s">
        <v>310</v>
      </c>
      <c r="P17" t="s">
        <v>3</v>
      </c>
      <c r="Q17" t="s">
        <v>311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126863.74</v>
      </c>
      <c r="AD17">
        <v>1</v>
      </c>
      <c r="AE17">
        <v>0</v>
      </c>
      <c r="AF17">
        <v>3</v>
      </c>
      <c r="AG17">
        <v>3</v>
      </c>
      <c r="AH17" t="s">
        <v>147</v>
      </c>
      <c r="AI17" t="s">
        <v>146</v>
      </c>
      <c r="AJ17">
        <v>46139.405289351853</v>
      </c>
      <c r="AK17">
        <v>55943815</v>
      </c>
      <c r="AL17">
        <v>0</v>
      </c>
      <c r="AM17">
        <v>0</v>
      </c>
      <c r="AN17">
        <v>0</v>
      </c>
      <c r="AO17">
        <v>46112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312</v>
      </c>
      <c r="C18">
        <v>1</v>
      </c>
      <c r="D18" t="s">
        <v>155</v>
      </c>
      <c r="E18" t="s">
        <v>3</v>
      </c>
      <c r="F18" t="s">
        <v>302</v>
      </c>
      <c r="G18" t="s">
        <v>3</v>
      </c>
      <c r="H18">
        <v>96682</v>
      </c>
      <c r="I18">
        <v>96682</v>
      </c>
      <c r="J18">
        <v>0</v>
      </c>
      <c r="K18">
        <v>96682</v>
      </c>
      <c r="L18">
        <v>0</v>
      </c>
      <c r="M18">
        <v>0</v>
      </c>
      <c r="N18">
        <v>0</v>
      </c>
      <c r="O18" t="s">
        <v>303</v>
      </c>
      <c r="P18" t="s">
        <v>3</v>
      </c>
      <c r="Q18" t="s">
        <v>304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96682</v>
      </c>
      <c r="AD18">
        <v>1</v>
      </c>
      <c r="AE18">
        <v>0</v>
      </c>
      <c r="AF18">
        <v>3</v>
      </c>
      <c r="AG18">
        <v>3</v>
      </c>
      <c r="AH18" t="s">
        <v>147</v>
      </c>
      <c r="AI18" t="s">
        <v>156</v>
      </c>
      <c r="AJ18">
        <v>46139.405289351853</v>
      </c>
      <c r="AK18">
        <v>55943825</v>
      </c>
      <c r="AL18">
        <v>0</v>
      </c>
      <c r="AM18">
        <v>0</v>
      </c>
      <c r="AN18">
        <v>0</v>
      </c>
      <c r="AO18">
        <v>46112</v>
      </c>
      <c r="AP18">
        <v>0</v>
      </c>
      <c r="AQ18">
        <v>1</v>
      </c>
      <c r="AR18">
        <v>0</v>
      </c>
      <c r="AS18" t="s">
        <v>305</v>
      </c>
      <c r="AT18">
        <v>1</v>
      </c>
      <c r="AU18">
        <v>4</v>
      </c>
    </row>
    <row r="19" spans="2:47" x14ac:dyDescent="0.2">
      <c r="B19" t="s">
        <v>313</v>
      </c>
      <c r="C19">
        <v>0</v>
      </c>
      <c r="D19" t="s">
        <v>155</v>
      </c>
      <c r="E19" t="s">
        <v>3</v>
      </c>
      <c r="F19" t="s">
        <v>302</v>
      </c>
      <c r="G19" t="s">
        <v>3</v>
      </c>
      <c r="H19">
        <v>96682</v>
      </c>
      <c r="I19">
        <v>96682</v>
      </c>
      <c r="J19">
        <v>0</v>
      </c>
      <c r="K19">
        <v>96682</v>
      </c>
      <c r="L19">
        <v>0</v>
      </c>
      <c r="M19">
        <v>0</v>
      </c>
      <c r="N19">
        <v>0</v>
      </c>
      <c r="O19" t="s">
        <v>307</v>
      </c>
      <c r="P19" t="s">
        <v>3</v>
      </c>
      <c r="Q19" t="s">
        <v>308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96682</v>
      </c>
      <c r="AD19">
        <v>1</v>
      </c>
      <c r="AE19">
        <v>0</v>
      </c>
      <c r="AF19">
        <v>3</v>
      </c>
      <c r="AG19">
        <v>3</v>
      </c>
      <c r="AH19" t="s">
        <v>147</v>
      </c>
      <c r="AI19" t="s">
        <v>156</v>
      </c>
      <c r="AJ19">
        <v>46139.405289351853</v>
      </c>
      <c r="AK19">
        <v>55943825</v>
      </c>
      <c r="AL19">
        <v>0</v>
      </c>
      <c r="AM19">
        <v>0</v>
      </c>
      <c r="AN19">
        <v>0</v>
      </c>
      <c r="AO19">
        <v>46112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4</v>
      </c>
    </row>
    <row r="20" spans="2:47" x14ac:dyDescent="0.2">
      <c r="B20" t="s">
        <v>314</v>
      </c>
      <c r="C20">
        <v>0</v>
      </c>
      <c r="D20" t="s">
        <v>155</v>
      </c>
      <c r="E20" t="s">
        <v>3</v>
      </c>
      <c r="F20" t="s">
        <v>302</v>
      </c>
      <c r="G20" t="s">
        <v>3</v>
      </c>
      <c r="H20">
        <v>98203.36</v>
      </c>
      <c r="I20">
        <v>98203.36</v>
      </c>
      <c r="J20">
        <v>0</v>
      </c>
      <c r="K20">
        <v>98203.36</v>
      </c>
      <c r="L20">
        <v>0</v>
      </c>
      <c r="M20">
        <v>0</v>
      </c>
      <c r="N20">
        <v>0</v>
      </c>
      <c r="O20" t="s">
        <v>310</v>
      </c>
      <c r="P20" t="s">
        <v>3</v>
      </c>
      <c r="Q20" t="s">
        <v>311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98203.36</v>
      </c>
      <c r="AD20">
        <v>1</v>
      </c>
      <c r="AE20">
        <v>0</v>
      </c>
      <c r="AF20">
        <v>3</v>
      </c>
      <c r="AG20">
        <v>3</v>
      </c>
      <c r="AH20" t="s">
        <v>147</v>
      </c>
      <c r="AI20" t="s">
        <v>156</v>
      </c>
      <c r="AJ20">
        <v>46139.405289351853</v>
      </c>
      <c r="AK20">
        <v>55943825</v>
      </c>
      <c r="AL20">
        <v>0</v>
      </c>
      <c r="AM20">
        <v>0</v>
      </c>
      <c r="AN20">
        <v>0</v>
      </c>
      <c r="AO20">
        <v>46112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4</v>
      </c>
    </row>
    <row r="21" spans="2:47" x14ac:dyDescent="0.2">
      <c r="B21" t="s">
        <v>315</v>
      </c>
      <c r="C21">
        <v>1</v>
      </c>
      <c r="D21" t="s">
        <v>160</v>
      </c>
      <c r="E21" t="s">
        <v>3</v>
      </c>
      <c r="F21" t="s">
        <v>302</v>
      </c>
      <c r="G21" t="s">
        <v>3</v>
      </c>
      <c r="H21">
        <v>139111</v>
      </c>
      <c r="I21">
        <v>139111</v>
      </c>
      <c r="J21">
        <v>0</v>
      </c>
      <c r="K21">
        <v>139111</v>
      </c>
      <c r="L21">
        <v>0</v>
      </c>
      <c r="M21">
        <v>0</v>
      </c>
      <c r="N21">
        <v>0</v>
      </c>
      <c r="O21" t="s">
        <v>303</v>
      </c>
      <c r="P21" t="s">
        <v>3</v>
      </c>
      <c r="Q21" t="s">
        <v>304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139111</v>
      </c>
      <c r="AD21">
        <v>1</v>
      </c>
      <c r="AE21">
        <v>0</v>
      </c>
      <c r="AF21">
        <v>3</v>
      </c>
      <c r="AG21">
        <v>3</v>
      </c>
      <c r="AH21" t="s">
        <v>147</v>
      </c>
      <c r="AI21" t="s">
        <v>161</v>
      </c>
      <c r="AJ21">
        <v>46139.405289351853</v>
      </c>
      <c r="AK21">
        <v>55943832</v>
      </c>
      <c r="AL21">
        <v>0</v>
      </c>
      <c r="AM21">
        <v>0</v>
      </c>
      <c r="AN21">
        <v>0</v>
      </c>
      <c r="AO21">
        <v>46112</v>
      </c>
      <c r="AP21">
        <v>0</v>
      </c>
      <c r="AQ21">
        <v>1</v>
      </c>
      <c r="AR21">
        <v>0</v>
      </c>
      <c r="AS21" t="s">
        <v>316</v>
      </c>
      <c r="AT21">
        <v>1</v>
      </c>
      <c r="AU21">
        <v>1</v>
      </c>
    </row>
    <row r="22" spans="2:47" x14ac:dyDescent="0.2">
      <c r="B22" t="s">
        <v>317</v>
      </c>
      <c r="C22">
        <v>0</v>
      </c>
      <c r="D22" t="s">
        <v>160</v>
      </c>
      <c r="E22" t="s">
        <v>3</v>
      </c>
      <c r="F22" t="s">
        <v>302</v>
      </c>
      <c r="G22" t="s">
        <v>3</v>
      </c>
      <c r="H22">
        <v>139111</v>
      </c>
      <c r="I22">
        <v>139111</v>
      </c>
      <c r="J22">
        <v>0</v>
      </c>
      <c r="K22">
        <v>139111</v>
      </c>
      <c r="L22">
        <v>0</v>
      </c>
      <c r="M22">
        <v>0</v>
      </c>
      <c r="N22">
        <v>0</v>
      </c>
      <c r="O22" t="s">
        <v>307</v>
      </c>
      <c r="P22" t="s">
        <v>3</v>
      </c>
      <c r="Q22" t="s">
        <v>308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139111</v>
      </c>
      <c r="AD22">
        <v>1</v>
      </c>
      <c r="AE22">
        <v>0</v>
      </c>
      <c r="AF22">
        <v>3</v>
      </c>
      <c r="AG22">
        <v>3</v>
      </c>
      <c r="AH22" t="s">
        <v>147</v>
      </c>
      <c r="AI22" t="s">
        <v>161</v>
      </c>
      <c r="AJ22">
        <v>46139.405289351853</v>
      </c>
      <c r="AK22">
        <v>55943832</v>
      </c>
      <c r="AL22">
        <v>0</v>
      </c>
      <c r="AM22">
        <v>0</v>
      </c>
      <c r="AN22">
        <v>0</v>
      </c>
      <c r="AO22">
        <v>46112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318</v>
      </c>
      <c r="C23">
        <v>0</v>
      </c>
      <c r="D23" t="s">
        <v>160</v>
      </c>
      <c r="E23" t="s">
        <v>3</v>
      </c>
      <c r="F23" t="s">
        <v>302</v>
      </c>
      <c r="G23" t="s">
        <v>3</v>
      </c>
      <c r="H23">
        <v>141429.91</v>
      </c>
      <c r="I23">
        <v>141429.91</v>
      </c>
      <c r="J23">
        <v>0</v>
      </c>
      <c r="K23">
        <v>141429.91</v>
      </c>
      <c r="L23">
        <v>0</v>
      </c>
      <c r="M23">
        <v>0</v>
      </c>
      <c r="N23">
        <v>0</v>
      </c>
      <c r="O23" t="s">
        <v>310</v>
      </c>
      <c r="P23" t="s">
        <v>3</v>
      </c>
      <c r="Q23" t="s">
        <v>311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141429.91</v>
      </c>
      <c r="AD23">
        <v>1</v>
      </c>
      <c r="AE23">
        <v>0</v>
      </c>
      <c r="AF23">
        <v>3</v>
      </c>
      <c r="AG23">
        <v>3</v>
      </c>
      <c r="AH23" t="s">
        <v>147</v>
      </c>
      <c r="AI23" t="s">
        <v>161</v>
      </c>
      <c r="AJ23">
        <v>46139.405289351853</v>
      </c>
      <c r="AK23">
        <v>55943832</v>
      </c>
      <c r="AL23">
        <v>0</v>
      </c>
      <c r="AM23">
        <v>0</v>
      </c>
      <c r="AN23">
        <v>0</v>
      </c>
      <c r="AO23">
        <v>46112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319</v>
      </c>
      <c r="C24">
        <v>1</v>
      </c>
      <c r="D24" t="s">
        <v>179</v>
      </c>
      <c r="E24" t="s">
        <v>3</v>
      </c>
      <c r="F24" t="s">
        <v>302</v>
      </c>
      <c r="G24" t="s">
        <v>3</v>
      </c>
      <c r="H24">
        <v>8900</v>
      </c>
      <c r="I24">
        <v>8900</v>
      </c>
      <c r="J24">
        <v>0</v>
      </c>
      <c r="K24">
        <v>8900</v>
      </c>
      <c r="L24">
        <v>0</v>
      </c>
      <c r="M24">
        <v>0</v>
      </c>
      <c r="N24">
        <v>0</v>
      </c>
      <c r="O24" t="s">
        <v>303</v>
      </c>
      <c r="P24" t="s">
        <v>3</v>
      </c>
      <c r="Q24" t="s">
        <v>304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8900</v>
      </c>
      <c r="AD24">
        <v>1</v>
      </c>
      <c r="AE24">
        <v>0</v>
      </c>
      <c r="AF24">
        <v>3</v>
      </c>
      <c r="AG24">
        <v>3</v>
      </c>
      <c r="AH24" t="s">
        <v>147</v>
      </c>
      <c r="AI24" t="s">
        <v>180</v>
      </c>
      <c r="AJ24">
        <v>46139.405300925922</v>
      </c>
      <c r="AK24">
        <v>55943888</v>
      </c>
      <c r="AL24">
        <v>0</v>
      </c>
      <c r="AM24">
        <v>0</v>
      </c>
      <c r="AN24">
        <v>0</v>
      </c>
      <c r="AO24">
        <v>46112</v>
      </c>
      <c r="AP24">
        <v>0</v>
      </c>
      <c r="AQ24">
        <v>1</v>
      </c>
      <c r="AR24">
        <v>0</v>
      </c>
      <c r="AS24" t="s">
        <v>316</v>
      </c>
      <c r="AT24">
        <v>1</v>
      </c>
      <c r="AU24">
        <v>1</v>
      </c>
    </row>
    <row r="25" spans="2:47" x14ac:dyDescent="0.2">
      <c r="B25" t="s">
        <v>320</v>
      </c>
      <c r="C25">
        <v>0</v>
      </c>
      <c r="D25" t="s">
        <v>179</v>
      </c>
      <c r="E25" t="s">
        <v>3</v>
      </c>
      <c r="F25" t="s">
        <v>302</v>
      </c>
      <c r="G25" t="s">
        <v>3</v>
      </c>
      <c r="H25">
        <v>8900</v>
      </c>
      <c r="I25">
        <v>8900</v>
      </c>
      <c r="J25">
        <v>0</v>
      </c>
      <c r="K25">
        <v>8900</v>
      </c>
      <c r="L25">
        <v>0</v>
      </c>
      <c r="M25">
        <v>0</v>
      </c>
      <c r="N25">
        <v>0</v>
      </c>
      <c r="O25" t="s">
        <v>307</v>
      </c>
      <c r="P25" t="s">
        <v>3</v>
      </c>
      <c r="Q25" t="s">
        <v>308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8900</v>
      </c>
      <c r="AD25">
        <v>1</v>
      </c>
      <c r="AE25">
        <v>0</v>
      </c>
      <c r="AF25">
        <v>3</v>
      </c>
      <c r="AG25">
        <v>3</v>
      </c>
      <c r="AH25" t="s">
        <v>147</v>
      </c>
      <c r="AI25" t="s">
        <v>180</v>
      </c>
      <c r="AJ25">
        <v>46139.405300925922</v>
      </c>
      <c r="AK25">
        <v>55943888</v>
      </c>
      <c r="AL25">
        <v>0</v>
      </c>
      <c r="AM25">
        <v>0</v>
      </c>
      <c r="AN25">
        <v>0</v>
      </c>
      <c r="AO25">
        <v>46112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">
      <c r="B26" t="s">
        <v>321</v>
      </c>
      <c r="C26">
        <v>0</v>
      </c>
      <c r="D26" t="s">
        <v>179</v>
      </c>
      <c r="E26" t="s">
        <v>3</v>
      </c>
      <c r="F26" t="s">
        <v>302</v>
      </c>
      <c r="G26" t="s">
        <v>3</v>
      </c>
      <c r="H26">
        <v>9048.34</v>
      </c>
      <c r="I26">
        <v>9048.34</v>
      </c>
      <c r="J26">
        <v>0</v>
      </c>
      <c r="K26">
        <v>9048.34</v>
      </c>
      <c r="L26">
        <v>0</v>
      </c>
      <c r="M26">
        <v>0</v>
      </c>
      <c r="N26">
        <v>0</v>
      </c>
      <c r="O26" t="s">
        <v>310</v>
      </c>
      <c r="P26" t="s">
        <v>3</v>
      </c>
      <c r="Q26" t="s">
        <v>311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9048.34</v>
      </c>
      <c r="AD26">
        <v>1</v>
      </c>
      <c r="AE26">
        <v>0</v>
      </c>
      <c r="AF26">
        <v>3</v>
      </c>
      <c r="AG26">
        <v>3</v>
      </c>
      <c r="AH26" t="s">
        <v>147</v>
      </c>
      <c r="AI26" t="s">
        <v>180</v>
      </c>
      <c r="AJ26">
        <v>46139.405300925922</v>
      </c>
      <c r="AK26">
        <v>55943888</v>
      </c>
      <c r="AL26">
        <v>0</v>
      </c>
      <c r="AM26">
        <v>0</v>
      </c>
      <c r="AN26">
        <v>0</v>
      </c>
      <c r="AO26">
        <v>46112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">
      <c r="B27" t="s">
        <v>322</v>
      </c>
      <c r="C27">
        <v>1</v>
      </c>
      <c r="D27" t="s">
        <v>183</v>
      </c>
      <c r="E27" t="s">
        <v>3</v>
      </c>
      <c r="F27" t="s">
        <v>302</v>
      </c>
      <c r="G27" t="s">
        <v>3</v>
      </c>
      <c r="H27">
        <v>17500</v>
      </c>
      <c r="I27">
        <v>17500</v>
      </c>
      <c r="J27">
        <v>0</v>
      </c>
      <c r="K27">
        <v>17500</v>
      </c>
      <c r="L27">
        <v>0</v>
      </c>
      <c r="M27">
        <v>0</v>
      </c>
      <c r="N27">
        <v>0</v>
      </c>
      <c r="O27" t="s">
        <v>303</v>
      </c>
      <c r="P27" t="s">
        <v>3</v>
      </c>
      <c r="Q27" t="s">
        <v>304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17500</v>
      </c>
      <c r="AD27">
        <v>1</v>
      </c>
      <c r="AE27">
        <v>0</v>
      </c>
      <c r="AF27">
        <v>3</v>
      </c>
      <c r="AG27">
        <v>3</v>
      </c>
      <c r="AH27" t="s">
        <v>147</v>
      </c>
      <c r="AI27" t="s">
        <v>184</v>
      </c>
      <c r="AJ27">
        <v>46139.405300925922</v>
      </c>
      <c r="AK27">
        <v>55943894</v>
      </c>
      <c r="AL27">
        <v>0</v>
      </c>
      <c r="AM27">
        <v>0</v>
      </c>
      <c r="AN27">
        <v>0</v>
      </c>
      <c r="AO27">
        <v>46112</v>
      </c>
      <c r="AP27">
        <v>0</v>
      </c>
      <c r="AQ27">
        <v>1</v>
      </c>
      <c r="AR27">
        <v>0</v>
      </c>
      <c r="AS27" t="s">
        <v>316</v>
      </c>
      <c r="AT27">
        <v>1</v>
      </c>
      <c r="AU27">
        <v>1</v>
      </c>
    </row>
    <row r="28" spans="2:47" x14ac:dyDescent="0.2">
      <c r="B28" t="s">
        <v>323</v>
      </c>
      <c r="C28">
        <v>0</v>
      </c>
      <c r="D28" t="s">
        <v>183</v>
      </c>
      <c r="E28" t="s">
        <v>3</v>
      </c>
      <c r="F28" t="s">
        <v>302</v>
      </c>
      <c r="G28" t="s">
        <v>3</v>
      </c>
      <c r="H28">
        <v>17500</v>
      </c>
      <c r="I28">
        <v>17500</v>
      </c>
      <c r="J28">
        <v>0</v>
      </c>
      <c r="K28">
        <v>17500</v>
      </c>
      <c r="L28">
        <v>0</v>
      </c>
      <c r="M28">
        <v>0</v>
      </c>
      <c r="N28">
        <v>0</v>
      </c>
      <c r="O28" t="s">
        <v>307</v>
      </c>
      <c r="P28" t="s">
        <v>3</v>
      </c>
      <c r="Q28" t="s">
        <v>308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17500</v>
      </c>
      <c r="AD28">
        <v>1</v>
      </c>
      <c r="AE28">
        <v>0</v>
      </c>
      <c r="AF28">
        <v>3</v>
      </c>
      <c r="AG28">
        <v>3</v>
      </c>
      <c r="AH28" t="s">
        <v>147</v>
      </c>
      <c r="AI28" t="s">
        <v>184</v>
      </c>
      <c r="AJ28">
        <v>46139.405300925922</v>
      </c>
      <c r="AK28">
        <v>55943894</v>
      </c>
      <c r="AL28">
        <v>0</v>
      </c>
      <c r="AM28">
        <v>0</v>
      </c>
      <c r="AN28">
        <v>0</v>
      </c>
      <c r="AO28">
        <v>46112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324</v>
      </c>
      <c r="C29">
        <v>0</v>
      </c>
      <c r="D29" t="s">
        <v>183</v>
      </c>
      <c r="E29" t="s">
        <v>3</v>
      </c>
      <c r="F29" t="s">
        <v>302</v>
      </c>
      <c r="G29" t="s">
        <v>3</v>
      </c>
      <c r="H29">
        <v>17701.66</v>
      </c>
      <c r="I29">
        <v>17701.66</v>
      </c>
      <c r="J29">
        <v>0</v>
      </c>
      <c r="K29">
        <v>17701.66</v>
      </c>
      <c r="L29">
        <v>0</v>
      </c>
      <c r="M29">
        <v>0</v>
      </c>
      <c r="N29">
        <v>0</v>
      </c>
      <c r="O29" t="s">
        <v>310</v>
      </c>
      <c r="P29" t="s">
        <v>3</v>
      </c>
      <c r="Q29" t="s">
        <v>311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17701.66</v>
      </c>
      <c r="AD29">
        <v>1</v>
      </c>
      <c r="AE29">
        <v>0</v>
      </c>
      <c r="AF29">
        <v>3</v>
      </c>
      <c r="AG29">
        <v>3</v>
      </c>
      <c r="AH29" t="s">
        <v>147</v>
      </c>
      <c r="AI29" t="s">
        <v>184</v>
      </c>
      <c r="AJ29">
        <v>46139.405300925922</v>
      </c>
      <c r="AK29">
        <v>55943894</v>
      </c>
      <c r="AL29">
        <v>0</v>
      </c>
      <c r="AM29">
        <v>0</v>
      </c>
      <c r="AN29">
        <v>0</v>
      </c>
      <c r="AO29">
        <v>46112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325</v>
      </c>
      <c r="C30">
        <v>1</v>
      </c>
      <c r="D30" t="s">
        <v>189</v>
      </c>
      <c r="E30" t="s">
        <v>3</v>
      </c>
      <c r="F30" t="s">
        <v>302</v>
      </c>
      <c r="G30" t="s">
        <v>3</v>
      </c>
      <c r="H30">
        <v>9890</v>
      </c>
      <c r="I30">
        <v>9890</v>
      </c>
      <c r="J30">
        <v>0</v>
      </c>
      <c r="K30">
        <v>9890</v>
      </c>
      <c r="L30">
        <v>0</v>
      </c>
      <c r="M30">
        <v>0</v>
      </c>
      <c r="N30">
        <v>0</v>
      </c>
      <c r="O30" t="s">
        <v>303</v>
      </c>
      <c r="P30" t="s">
        <v>3</v>
      </c>
      <c r="Q30" t="s">
        <v>304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9890</v>
      </c>
      <c r="AD30">
        <v>1</v>
      </c>
      <c r="AE30">
        <v>0</v>
      </c>
      <c r="AF30">
        <v>3</v>
      </c>
      <c r="AG30">
        <v>3</v>
      </c>
      <c r="AH30" t="s">
        <v>147</v>
      </c>
      <c r="AI30" t="s">
        <v>190</v>
      </c>
      <c r="AJ30">
        <v>46139.405300925922</v>
      </c>
      <c r="AK30">
        <v>55943908</v>
      </c>
      <c r="AL30">
        <v>0</v>
      </c>
      <c r="AM30">
        <v>0</v>
      </c>
      <c r="AN30">
        <v>0</v>
      </c>
      <c r="AO30">
        <v>46112</v>
      </c>
      <c r="AP30">
        <v>0</v>
      </c>
      <c r="AQ30">
        <v>1</v>
      </c>
      <c r="AR30">
        <v>0</v>
      </c>
      <c r="AS30" t="s">
        <v>316</v>
      </c>
      <c r="AT30">
        <v>1</v>
      </c>
      <c r="AU30">
        <v>1</v>
      </c>
    </row>
    <row r="31" spans="2:47" x14ac:dyDescent="0.2">
      <c r="B31" t="s">
        <v>326</v>
      </c>
      <c r="C31">
        <v>0</v>
      </c>
      <c r="D31" t="s">
        <v>189</v>
      </c>
      <c r="E31" t="s">
        <v>3</v>
      </c>
      <c r="F31" t="s">
        <v>302</v>
      </c>
      <c r="G31" t="s">
        <v>3</v>
      </c>
      <c r="H31">
        <v>9890</v>
      </c>
      <c r="I31">
        <v>9890</v>
      </c>
      <c r="J31">
        <v>0</v>
      </c>
      <c r="K31">
        <v>9890</v>
      </c>
      <c r="L31">
        <v>0</v>
      </c>
      <c r="M31">
        <v>0</v>
      </c>
      <c r="N31">
        <v>0</v>
      </c>
      <c r="O31" t="s">
        <v>307</v>
      </c>
      <c r="P31" t="s">
        <v>3</v>
      </c>
      <c r="Q31" t="s">
        <v>308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9890</v>
      </c>
      <c r="AD31">
        <v>1</v>
      </c>
      <c r="AE31">
        <v>0</v>
      </c>
      <c r="AF31">
        <v>3</v>
      </c>
      <c r="AG31">
        <v>3</v>
      </c>
      <c r="AH31" t="s">
        <v>147</v>
      </c>
      <c r="AI31" t="s">
        <v>190</v>
      </c>
      <c r="AJ31">
        <v>46139.405300925922</v>
      </c>
      <c r="AK31">
        <v>55943908</v>
      </c>
      <c r="AL31">
        <v>0</v>
      </c>
      <c r="AM31">
        <v>0</v>
      </c>
      <c r="AN31">
        <v>0</v>
      </c>
      <c r="AO31">
        <v>46112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">
      <c r="B32" t="s">
        <v>327</v>
      </c>
      <c r="C32">
        <v>0</v>
      </c>
      <c r="D32" t="s">
        <v>189</v>
      </c>
      <c r="E32" t="s">
        <v>3</v>
      </c>
      <c r="F32" t="s">
        <v>302</v>
      </c>
      <c r="G32" t="s">
        <v>3</v>
      </c>
      <c r="H32">
        <v>10054.84</v>
      </c>
      <c r="I32">
        <v>10054.84</v>
      </c>
      <c r="J32">
        <v>0</v>
      </c>
      <c r="K32">
        <v>10054.84</v>
      </c>
      <c r="L32">
        <v>0</v>
      </c>
      <c r="M32">
        <v>0</v>
      </c>
      <c r="N32">
        <v>0</v>
      </c>
      <c r="O32" t="s">
        <v>310</v>
      </c>
      <c r="P32" t="s">
        <v>3</v>
      </c>
      <c r="Q32" t="s">
        <v>311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10054.84</v>
      </c>
      <c r="AD32">
        <v>1</v>
      </c>
      <c r="AE32">
        <v>0</v>
      </c>
      <c r="AF32">
        <v>3</v>
      </c>
      <c r="AG32">
        <v>3</v>
      </c>
      <c r="AH32" t="s">
        <v>147</v>
      </c>
      <c r="AI32" t="s">
        <v>190</v>
      </c>
      <c r="AJ32">
        <v>46139.405300925922</v>
      </c>
      <c r="AK32">
        <v>55943908</v>
      </c>
      <c r="AL32">
        <v>0</v>
      </c>
      <c r="AM32">
        <v>0</v>
      </c>
      <c r="AN32">
        <v>0</v>
      </c>
      <c r="AO32">
        <v>46112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">
      <c r="B33" t="s">
        <v>328</v>
      </c>
      <c r="C33">
        <v>1</v>
      </c>
      <c r="D33" t="s">
        <v>195</v>
      </c>
      <c r="E33" t="s">
        <v>3</v>
      </c>
      <c r="F33" t="s">
        <v>302</v>
      </c>
      <c r="G33" t="s">
        <v>3</v>
      </c>
      <c r="H33">
        <v>45312</v>
      </c>
      <c r="I33">
        <v>45312</v>
      </c>
      <c r="J33">
        <v>0</v>
      </c>
      <c r="K33">
        <v>45312</v>
      </c>
      <c r="L33">
        <v>0</v>
      </c>
      <c r="M33">
        <v>0</v>
      </c>
      <c r="N33">
        <v>0</v>
      </c>
      <c r="O33" t="s">
        <v>303</v>
      </c>
      <c r="P33" t="s">
        <v>3</v>
      </c>
      <c r="Q33" t="s">
        <v>304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45312</v>
      </c>
      <c r="AD33">
        <v>1</v>
      </c>
      <c r="AE33">
        <v>0</v>
      </c>
      <c r="AF33">
        <v>3</v>
      </c>
      <c r="AG33">
        <v>3</v>
      </c>
      <c r="AH33" t="s">
        <v>147</v>
      </c>
      <c r="AI33" t="s">
        <v>196</v>
      </c>
      <c r="AJ33">
        <v>46139.405312499999</v>
      </c>
      <c r="AK33">
        <v>55943926</v>
      </c>
      <c r="AL33">
        <v>0</v>
      </c>
      <c r="AM33">
        <v>0</v>
      </c>
      <c r="AN33">
        <v>0</v>
      </c>
      <c r="AO33">
        <v>46112</v>
      </c>
      <c r="AP33">
        <v>0</v>
      </c>
      <c r="AQ33">
        <v>1</v>
      </c>
      <c r="AR33">
        <v>0</v>
      </c>
      <c r="AS33" t="s">
        <v>316</v>
      </c>
      <c r="AT33">
        <v>1</v>
      </c>
      <c r="AU33">
        <v>2</v>
      </c>
    </row>
    <row r="34" spans="2:47" x14ac:dyDescent="0.2">
      <c r="B34" t="s">
        <v>329</v>
      </c>
      <c r="C34">
        <v>0</v>
      </c>
      <c r="D34" t="s">
        <v>195</v>
      </c>
      <c r="E34" t="s">
        <v>3</v>
      </c>
      <c r="F34" t="s">
        <v>302</v>
      </c>
      <c r="G34" t="s">
        <v>3</v>
      </c>
      <c r="H34">
        <v>45312</v>
      </c>
      <c r="I34">
        <v>45312</v>
      </c>
      <c r="J34">
        <v>0</v>
      </c>
      <c r="K34">
        <v>45312</v>
      </c>
      <c r="L34">
        <v>0</v>
      </c>
      <c r="M34">
        <v>0</v>
      </c>
      <c r="N34">
        <v>0</v>
      </c>
      <c r="O34" t="s">
        <v>307</v>
      </c>
      <c r="P34" t="s">
        <v>3</v>
      </c>
      <c r="Q34" t="s">
        <v>308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45312</v>
      </c>
      <c r="AD34">
        <v>1</v>
      </c>
      <c r="AE34">
        <v>0</v>
      </c>
      <c r="AF34">
        <v>3</v>
      </c>
      <c r="AG34">
        <v>3</v>
      </c>
      <c r="AH34" t="s">
        <v>147</v>
      </c>
      <c r="AI34" t="s">
        <v>196</v>
      </c>
      <c r="AJ34">
        <v>46139.405312499999</v>
      </c>
      <c r="AK34">
        <v>55943926</v>
      </c>
      <c r="AL34">
        <v>0</v>
      </c>
      <c r="AM34">
        <v>0</v>
      </c>
      <c r="AN34">
        <v>0</v>
      </c>
      <c r="AO34">
        <v>46112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2</v>
      </c>
    </row>
    <row r="35" spans="2:47" x14ac:dyDescent="0.2">
      <c r="B35" t="s">
        <v>330</v>
      </c>
      <c r="C35">
        <v>0</v>
      </c>
      <c r="D35" t="s">
        <v>195</v>
      </c>
      <c r="E35" t="s">
        <v>3</v>
      </c>
      <c r="F35" t="s">
        <v>302</v>
      </c>
      <c r="G35" t="s">
        <v>3</v>
      </c>
      <c r="H35">
        <v>46067.199999999997</v>
      </c>
      <c r="I35">
        <v>46067.199999999997</v>
      </c>
      <c r="J35">
        <v>0</v>
      </c>
      <c r="K35">
        <v>46067.199999999997</v>
      </c>
      <c r="L35">
        <v>0</v>
      </c>
      <c r="M35">
        <v>0</v>
      </c>
      <c r="N35">
        <v>0</v>
      </c>
      <c r="O35" t="s">
        <v>310</v>
      </c>
      <c r="P35" t="s">
        <v>3</v>
      </c>
      <c r="Q35" t="s">
        <v>311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46067.199999999997</v>
      </c>
      <c r="AD35">
        <v>1</v>
      </c>
      <c r="AE35">
        <v>0</v>
      </c>
      <c r="AF35">
        <v>3</v>
      </c>
      <c r="AG35">
        <v>3</v>
      </c>
      <c r="AH35" t="s">
        <v>147</v>
      </c>
      <c r="AI35" t="s">
        <v>196</v>
      </c>
      <c r="AJ35">
        <v>46139.405312499999</v>
      </c>
      <c r="AK35">
        <v>55943926</v>
      </c>
      <c r="AL35">
        <v>0</v>
      </c>
      <c r="AM35">
        <v>0</v>
      </c>
      <c r="AN35">
        <v>0</v>
      </c>
      <c r="AO35">
        <v>46112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2</v>
      </c>
    </row>
    <row r="36" spans="2:47" x14ac:dyDescent="0.2">
      <c r="B36" t="s">
        <v>331</v>
      </c>
      <c r="C36">
        <v>1</v>
      </c>
      <c r="D36" t="s">
        <v>199</v>
      </c>
      <c r="E36" t="s">
        <v>3</v>
      </c>
      <c r="F36" t="s">
        <v>302</v>
      </c>
      <c r="G36" t="s">
        <v>3</v>
      </c>
      <c r="H36">
        <v>53426</v>
      </c>
      <c r="I36">
        <v>53426</v>
      </c>
      <c r="J36">
        <v>0</v>
      </c>
      <c r="K36">
        <v>53426</v>
      </c>
      <c r="L36">
        <v>0</v>
      </c>
      <c r="M36">
        <v>0</v>
      </c>
      <c r="N36">
        <v>0</v>
      </c>
      <c r="O36" t="s">
        <v>303</v>
      </c>
      <c r="P36" t="s">
        <v>3</v>
      </c>
      <c r="Q36" t="s">
        <v>304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53426</v>
      </c>
      <c r="AD36">
        <v>1</v>
      </c>
      <c r="AE36">
        <v>0</v>
      </c>
      <c r="AF36">
        <v>3</v>
      </c>
      <c r="AG36">
        <v>3</v>
      </c>
      <c r="AH36" t="s">
        <v>147</v>
      </c>
      <c r="AI36" t="s">
        <v>200</v>
      </c>
      <c r="AJ36">
        <v>46139.405312499999</v>
      </c>
      <c r="AK36">
        <v>55943932</v>
      </c>
      <c r="AL36">
        <v>0</v>
      </c>
      <c r="AM36">
        <v>0</v>
      </c>
      <c r="AN36">
        <v>0</v>
      </c>
      <c r="AO36">
        <v>46112</v>
      </c>
      <c r="AP36">
        <v>0</v>
      </c>
      <c r="AQ36">
        <v>1</v>
      </c>
      <c r="AR36">
        <v>0</v>
      </c>
      <c r="AS36" t="s">
        <v>316</v>
      </c>
      <c r="AT36">
        <v>1</v>
      </c>
      <c r="AU36">
        <v>20</v>
      </c>
    </row>
    <row r="37" spans="2:47" x14ac:dyDescent="0.2">
      <c r="B37" t="s">
        <v>332</v>
      </c>
      <c r="C37">
        <v>0</v>
      </c>
      <c r="D37" t="s">
        <v>199</v>
      </c>
      <c r="E37" t="s">
        <v>3</v>
      </c>
      <c r="F37" t="s">
        <v>302</v>
      </c>
      <c r="G37" t="s">
        <v>3</v>
      </c>
      <c r="H37">
        <v>53426</v>
      </c>
      <c r="I37">
        <v>53426</v>
      </c>
      <c r="J37">
        <v>0</v>
      </c>
      <c r="K37">
        <v>53426</v>
      </c>
      <c r="L37">
        <v>0</v>
      </c>
      <c r="M37">
        <v>0</v>
      </c>
      <c r="N37">
        <v>0</v>
      </c>
      <c r="O37" t="s">
        <v>307</v>
      </c>
      <c r="P37" t="s">
        <v>3</v>
      </c>
      <c r="Q37" t="s">
        <v>308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53426</v>
      </c>
      <c r="AD37">
        <v>1</v>
      </c>
      <c r="AE37">
        <v>0</v>
      </c>
      <c r="AF37">
        <v>3</v>
      </c>
      <c r="AG37">
        <v>3</v>
      </c>
      <c r="AH37" t="s">
        <v>147</v>
      </c>
      <c r="AI37" t="s">
        <v>200</v>
      </c>
      <c r="AJ37">
        <v>46139.405312499999</v>
      </c>
      <c r="AK37">
        <v>55943932</v>
      </c>
      <c r="AL37">
        <v>0</v>
      </c>
      <c r="AM37">
        <v>0</v>
      </c>
      <c r="AN37">
        <v>0</v>
      </c>
      <c r="AO37">
        <v>46112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20</v>
      </c>
    </row>
    <row r="38" spans="2:47" x14ac:dyDescent="0.2">
      <c r="B38" t="s">
        <v>333</v>
      </c>
      <c r="C38">
        <v>0</v>
      </c>
      <c r="D38" t="s">
        <v>199</v>
      </c>
      <c r="E38" t="s">
        <v>3</v>
      </c>
      <c r="F38" t="s">
        <v>302</v>
      </c>
      <c r="G38" t="s">
        <v>3</v>
      </c>
      <c r="H38">
        <v>54316.44</v>
      </c>
      <c r="I38">
        <v>54316.44</v>
      </c>
      <c r="J38">
        <v>0</v>
      </c>
      <c r="K38">
        <v>54316.44</v>
      </c>
      <c r="L38">
        <v>0</v>
      </c>
      <c r="M38">
        <v>0</v>
      </c>
      <c r="N38">
        <v>0</v>
      </c>
      <c r="O38" t="s">
        <v>310</v>
      </c>
      <c r="P38" t="s">
        <v>3</v>
      </c>
      <c r="Q38" t="s">
        <v>311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54316.44</v>
      </c>
      <c r="AD38">
        <v>1</v>
      </c>
      <c r="AE38">
        <v>0</v>
      </c>
      <c r="AF38">
        <v>3</v>
      </c>
      <c r="AG38">
        <v>3</v>
      </c>
      <c r="AH38" t="s">
        <v>147</v>
      </c>
      <c r="AI38" t="s">
        <v>200</v>
      </c>
      <c r="AJ38">
        <v>46139.405312499999</v>
      </c>
      <c r="AK38">
        <v>55943932</v>
      </c>
      <c r="AL38">
        <v>0</v>
      </c>
      <c r="AM38">
        <v>0</v>
      </c>
      <c r="AN38">
        <v>0</v>
      </c>
      <c r="AO38">
        <v>46112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20</v>
      </c>
    </row>
    <row r="39" spans="2:47" x14ac:dyDescent="0.2">
      <c r="B39" t="s">
        <v>334</v>
      </c>
      <c r="C39">
        <v>1</v>
      </c>
      <c r="D39" t="s">
        <v>203</v>
      </c>
      <c r="E39" t="s">
        <v>3</v>
      </c>
      <c r="F39" t="s">
        <v>302</v>
      </c>
      <c r="G39" t="s">
        <v>3</v>
      </c>
      <c r="H39">
        <v>53426</v>
      </c>
      <c r="I39">
        <v>53426</v>
      </c>
      <c r="J39">
        <v>0</v>
      </c>
      <c r="K39">
        <v>53426</v>
      </c>
      <c r="L39">
        <v>0</v>
      </c>
      <c r="M39">
        <v>0</v>
      </c>
      <c r="N39">
        <v>0</v>
      </c>
      <c r="O39" t="s">
        <v>303</v>
      </c>
      <c r="P39" t="s">
        <v>3</v>
      </c>
      <c r="Q39" t="s">
        <v>304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53426</v>
      </c>
      <c r="AD39">
        <v>1</v>
      </c>
      <c r="AE39">
        <v>0</v>
      </c>
      <c r="AF39">
        <v>3</v>
      </c>
      <c r="AG39">
        <v>3</v>
      </c>
      <c r="AH39" t="s">
        <v>147</v>
      </c>
      <c r="AI39" t="s">
        <v>204</v>
      </c>
      <c r="AJ39">
        <v>46139.405312499999</v>
      </c>
      <c r="AK39">
        <v>55943938</v>
      </c>
      <c r="AL39">
        <v>0</v>
      </c>
      <c r="AM39">
        <v>0</v>
      </c>
      <c r="AN39">
        <v>0</v>
      </c>
      <c r="AO39">
        <v>46112</v>
      </c>
      <c r="AP39">
        <v>0</v>
      </c>
      <c r="AQ39">
        <v>1</v>
      </c>
      <c r="AR39">
        <v>0</v>
      </c>
      <c r="AS39" t="s">
        <v>316</v>
      </c>
      <c r="AT39">
        <v>1</v>
      </c>
      <c r="AU39">
        <v>9</v>
      </c>
    </row>
    <row r="40" spans="2:47" x14ac:dyDescent="0.2">
      <c r="B40" t="s">
        <v>335</v>
      </c>
      <c r="C40">
        <v>0</v>
      </c>
      <c r="D40" t="s">
        <v>203</v>
      </c>
      <c r="E40" t="s">
        <v>3</v>
      </c>
      <c r="F40" t="s">
        <v>302</v>
      </c>
      <c r="G40" t="s">
        <v>3</v>
      </c>
      <c r="H40">
        <v>53426</v>
      </c>
      <c r="I40">
        <v>53426</v>
      </c>
      <c r="J40">
        <v>0</v>
      </c>
      <c r="K40">
        <v>53426</v>
      </c>
      <c r="L40">
        <v>0</v>
      </c>
      <c r="M40">
        <v>0</v>
      </c>
      <c r="N40">
        <v>0</v>
      </c>
      <c r="O40" t="s">
        <v>307</v>
      </c>
      <c r="P40" t="s">
        <v>3</v>
      </c>
      <c r="Q40" t="s">
        <v>308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53426</v>
      </c>
      <c r="AD40">
        <v>1</v>
      </c>
      <c r="AE40">
        <v>0</v>
      </c>
      <c r="AF40">
        <v>3</v>
      </c>
      <c r="AG40">
        <v>3</v>
      </c>
      <c r="AH40" t="s">
        <v>147</v>
      </c>
      <c r="AI40" t="s">
        <v>204</v>
      </c>
      <c r="AJ40">
        <v>46139.405312499999</v>
      </c>
      <c r="AK40">
        <v>55943938</v>
      </c>
      <c r="AL40">
        <v>0</v>
      </c>
      <c r="AM40">
        <v>0</v>
      </c>
      <c r="AN40">
        <v>0</v>
      </c>
      <c r="AO40">
        <v>46112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9</v>
      </c>
    </row>
    <row r="41" spans="2:47" x14ac:dyDescent="0.2">
      <c r="B41" t="s">
        <v>336</v>
      </c>
      <c r="C41">
        <v>0</v>
      </c>
      <c r="D41" t="s">
        <v>203</v>
      </c>
      <c r="E41" t="s">
        <v>3</v>
      </c>
      <c r="F41" t="s">
        <v>302</v>
      </c>
      <c r="G41" t="s">
        <v>3</v>
      </c>
      <c r="H41">
        <v>54316.44</v>
      </c>
      <c r="I41">
        <v>54316.44</v>
      </c>
      <c r="J41">
        <v>0</v>
      </c>
      <c r="K41">
        <v>54316.44</v>
      </c>
      <c r="L41">
        <v>0</v>
      </c>
      <c r="M41">
        <v>0</v>
      </c>
      <c r="N41">
        <v>0</v>
      </c>
      <c r="O41" t="s">
        <v>310</v>
      </c>
      <c r="P41" t="s">
        <v>3</v>
      </c>
      <c r="Q41" t="s">
        <v>311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54316.44</v>
      </c>
      <c r="AD41">
        <v>1</v>
      </c>
      <c r="AE41">
        <v>0</v>
      </c>
      <c r="AF41">
        <v>3</v>
      </c>
      <c r="AG41">
        <v>3</v>
      </c>
      <c r="AH41" t="s">
        <v>147</v>
      </c>
      <c r="AI41" t="s">
        <v>204</v>
      </c>
      <c r="AJ41">
        <v>46139.405312499999</v>
      </c>
      <c r="AK41">
        <v>55943938</v>
      </c>
      <c r="AL41">
        <v>0</v>
      </c>
      <c r="AM41">
        <v>0</v>
      </c>
      <c r="AN41">
        <v>0</v>
      </c>
      <c r="AO41">
        <v>46112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9</v>
      </c>
    </row>
    <row r="42" spans="2:47" x14ac:dyDescent="0.2">
      <c r="B42" t="s">
        <v>337</v>
      </c>
      <c r="C42">
        <v>0</v>
      </c>
      <c r="D42" t="s">
        <v>171</v>
      </c>
      <c r="E42" t="s">
        <v>3</v>
      </c>
      <c r="F42" t="s">
        <v>302</v>
      </c>
      <c r="G42" t="s">
        <v>3</v>
      </c>
      <c r="H42">
        <v>9081</v>
      </c>
      <c r="I42">
        <v>9081</v>
      </c>
      <c r="J42">
        <v>0</v>
      </c>
      <c r="K42">
        <v>9081</v>
      </c>
      <c r="L42">
        <v>0</v>
      </c>
      <c r="M42">
        <v>0</v>
      </c>
      <c r="N42">
        <v>0</v>
      </c>
      <c r="O42" t="s">
        <v>303</v>
      </c>
      <c r="P42" t="s">
        <v>3</v>
      </c>
      <c r="Q42" t="s">
        <v>304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9081</v>
      </c>
      <c r="AD42">
        <v>1</v>
      </c>
      <c r="AE42">
        <v>0</v>
      </c>
      <c r="AF42">
        <v>1</v>
      </c>
      <c r="AG42">
        <v>3</v>
      </c>
      <c r="AH42" t="s">
        <v>147</v>
      </c>
      <c r="AI42" t="s">
        <v>172</v>
      </c>
      <c r="AJ42">
        <v>46139.405300925922</v>
      </c>
      <c r="AK42">
        <v>55943874</v>
      </c>
      <c r="AL42">
        <v>0</v>
      </c>
      <c r="AM42">
        <v>0</v>
      </c>
      <c r="AN42">
        <v>0</v>
      </c>
      <c r="AO42">
        <v>46112</v>
      </c>
      <c r="AP42">
        <v>0</v>
      </c>
      <c r="AQ42">
        <v>1</v>
      </c>
      <c r="AR42">
        <v>0</v>
      </c>
      <c r="AS42" t="s">
        <v>316</v>
      </c>
      <c r="AT42">
        <v>1</v>
      </c>
      <c r="AU42">
        <v>2</v>
      </c>
    </row>
    <row r="43" spans="2:47" x14ac:dyDescent="0.2">
      <c r="B43" t="s">
        <v>338</v>
      </c>
      <c r="C43">
        <v>1</v>
      </c>
      <c r="D43" t="s">
        <v>171</v>
      </c>
      <c r="E43" t="s">
        <v>3</v>
      </c>
      <c r="F43" t="s">
        <v>302</v>
      </c>
      <c r="G43" t="s">
        <v>3</v>
      </c>
      <c r="H43">
        <v>5448.84</v>
      </c>
      <c r="I43">
        <v>5448.84</v>
      </c>
      <c r="J43">
        <v>0</v>
      </c>
      <c r="K43">
        <v>5448.84</v>
      </c>
      <c r="L43">
        <v>0</v>
      </c>
      <c r="M43">
        <v>0</v>
      </c>
      <c r="N43">
        <v>0</v>
      </c>
      <c r="O43" t="s">
        <v>307</v>
      </c>
      <c r="P43" t="s">
        <v>3</v>
      </c>
      <c r="Q43" t="s">
        <v>308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5448.84</v>
      </c>
      <c r="AD43">
        <v>1</v>
      </c>
      <c r="AE43">
        <v>0</v>
      </c>
      <c r="AF43">
        <v>1</v>
      </c>
      <c r="AG43">
        <v>3</v>
      </c>
      <c r="AH43" t="s">
        <v>147</v>
      </c>
      <c r="AI43" t="s">
        <v>172</v>
      </c>
      <c r="AJ43">
        <v>46139.405300925922</v>
      </c>
      <c r="AK43">
        <v>55943874</v>
      </c>
      <c r="AL43">
        <v>0</v>
      </c>
      <c r="AM43">
        <v>0</v>
      </c>
      <c r="AN43">
        <v>0</v>
      </c>
      <c r="AO43">
        <v>46112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2</v>
      </c>
    </row>
    <row r="44" spans="2:47" x14ac:dyDescent="0.2">
      <c r="B44" t="s">
        <v>339</v>
      </c>
      <c r="C44">
        <v>0</v>
      </c>
      <c r="D44" t="s">
        <v>171</v>
      </c>
      <c r="E44" t="s">
        <v>3</v>
      </c>
      <c r="F44" t="s">
        <v>302</v>
      </c>
      <c r="G44" t="s">
        <v>3</v>
      </c>
      <c r="H44">
        <v>5988.75</v>
      </c>
      <c r="I44">
        <v>5988.75</v>
      </c>
      <c r="J44">
        <v>0</v>
      </c>
      <c r="K44">
        <v>5988.75</v>
      </c>
      <c r="L44">
        <v>0</v>
      </c>
      <c r="M44">
        <v>0</v>
      </c>
      <c r="N44">
        <v>0</v>
      </c>
      <c r="O44" t="s">
        <v>310</v>
      </c>
      <c r="P44" t="s">
        <v>3</v>
      </c>
      <c r="Q44" t="s">
        <v>311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5988.75</v>
      </c>
      <c r="AD44">
        <v>1</v>
      </c>
      <c r="AE44">
        <v>0</v>
      </c>
      <c r="AF44">
        <v>1</v>
      </c>
      <c r="AG44">
        <v>3</v>
      </c>
      <c r="AH44" t="s">
        <v>147</v>
      </c>
      <c r="AI44" t="s">
        <v>172</v>
      </c>
      <c r="AJ44">
        <v>46139.405300925922</v>
      </c>
      <c r="AK44">
        <v>55943874</v>
      </c>
      <c r="AL44">
        <v>0</v>
      </c>
      <c r="AM44">
        <v>0</v>
      </c>
      <c r="AN44">
        <v>0</v>
      </c>
      <c r="AO44">
        <v>46112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2</v>
      </c>
    </row>
    <row r="45" spans="2:47" x14ac:dyDescent="0.2">
      <c r="B45" t="s">
        <v>340</v>
      </c>
      <c r="C45">
        <v>0</v>
      </c>
      <c r="D45" t="s">
        <v>218</v>
      </c>
      <c r="E45" t="s">
        <v>3</v>
      </c>
      <c r="F45" t="s">
        <v>302</v>
      </c>
      <c r="G45" t="s">
        <v>3</v>
      </c>
      <c r="H45">
        <v>16115</v>
      </c>
      <c r="I45">
        <v>16115</v>
      </c>
      <c r="J45">
        <v>0</v>
      </c>
      <c r="K45">
        <v>16115</v>
      </c>
      <c r="L45">
        <v>0</v>
      </c>
      <c r="M45">
        <v>0</v>
      </c>
      <c r="N45">
        <v>0</v>
      </c>
      <c r="O45" t="s">
        <v>341</v>
      </c>
      <c r="P45" t="s">
        <v>3</v>
      </c>
      <c r="Q45" t="s">
        <v>342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16115</v>
      </c>
      <c r="AD45">
        <v>1</v>
      </c>
      <c r="AE45">
        <v>0</v>
      </c>
      <c r="AF45">
        <v>3</v>
      </c>
      <c r="AG45">
        <v>3</v>
      </c>
      <c r="AH45" t="s">
        <v>147</v>
      </c>
      <c r="AI45" t="s">
        <v>219</v>
      </c>
      <c r="AJ45">
        <v>46139.405312499999</v>
      </c>
      <c r="AK45">
        <v>55943972</v>
      </c>
      <c r="AL45">
        <v>0</v>
      </c>
      <c r="AM45">
        <v>0</v>
      </c>
      <c r="AN45">
        <v>0</v>
      </c>
      <c r="AO45">
        <v>46106</v>
      </c>
      <c r="AP45">
        <v>0</v>
      </c>
      <c r="AQ45">
        <v>1</v>
      </c>
      <c r="AR45">
        <v>0</v>
      </c>
      <c r="AS45" t="s">
        <v>316</v>
      </c>
      <c r="AT45">
        <v>1</v>
      </c>
      <c r="AU45">
        <v>4</v>
      </c>
    </row>
    <row r="46" spans="2:47" x14ac:dyDescent="0.2">
      <c r="B46" t="s">
        <v>343</v>
      </c>
      <c r="C46">
        <v>1</v>
      </c>
      <c r="D46" t="s">
        <v>218</v>
      </c>
      <c r="E46" t="s">
        <v>3</v>
      </c>
      <c r="F46" t="s">
        <v>302</v>
      </c>
      <c r="G46" t="s">
        <v>3</v>
      </c>
      <c r="H46">
        <v>16112.17</v>
      </c>
      <c r="I46">
        <v>16112.17</v>
      </c>
      <c r="J46">
        <v>0</v>
      </c>
      <c r="K46">
        <v>16112.17</v>
      </c>
      <c r="L46">
        <v>0</v>
      </c>
      <c r="M46">
        <v>0</v>
      </c>
      <c r="N46">
        <v>0</v>
      </c>
      <c r="O46" t="s">
        <v>307</v>
      </c>
      <c r="P46" t="s">
        <v>3</v>
      </c>
      <c r="Q46" t="s">
        <v>308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16112.17</v>
      </c>
      <c r="AD46">
        <v>1</v>
      </c>
      <c r="AE46">
        <v>0</v>
      </c>
      <c r="AF46">
        <v>3</v>
      </c>
      <c r="AG46">
        <v>3</v>
      </c>
      <c r="AH46" t="s">
        <v>147</v>
      </c>
      <c r="AI46" t="s">
        <v>219</v>
      </c>
      <c r="AJ46">
        <v>46139.405312499999</v>
      </c>
      <c r="AK46">
        <v>55943972</v>
      </c>
      <c r="AL46">
        <v>0</v>
      </c>
      <c r="AM46">
        <v>0</v>
      </c>
      <c r="AN46">
        <v>0</v>
      </c>
      <c r="AO46">
        <v>46106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4</v>
      </c>
    </row>
    <row r="47" spans="2:47" x14ac:dyDescent="0.2">
      <c r="B47" t="s">
        <v>344</v>
      </c>
      <c r="C47">
        <v>0</v>
      </c>
      <c r="D47" t="s">
        <v>218</v>
      </c>
      <c r="E47" t="s">
        <v>3</v>
      </c>
      <c r="F47" t="s">
        <v>302</v>
      </c>
      <c r="G47" t="s">
        <v>3</v>
      </c>
      <c r="H47">
        <v>17434</v>
      </c>
      <c r="I47">
        <v>17434</v>
      </c>
      <c r="J47">
        <v>0</v>
      </c>
      <c r="K47">
        <v>17434</v>
      </c>
      <c r="L47">
        <v>0</v>
      </c>
      <c r="M47">
        <v>0</v>
      </c>
      <c r="N47">
        <v>0</v>
      </c>
      <c r="O47" t="s">
        <v>345</v>
      </c>
      <c r="P47" t="s">
        <v>3</v>
      </c>
      <c r="Q47" t="s">
        <v>346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17434</v>
      </c>
      <c r="AD47">
        <v>1</v>
      </c>
      <c r="AE47">
        <v>0</v>
      </c>
      <c r="AF47">
        <v>3</v>
      </c>
      <c r="AG47">
        <v>3</v>
      </c>
      <c r="AH47" t="s">
        <v>147</v>
      </c>
      <c r="AI47" t="s">
        <v>219</v>
      </c>
      <c r="AJ47">
        <v>46139.405312499999</v>
      </c>
      <c r="AK47">
        <v>55943972</v>
      </c>
      <c r="AL47">
        <v>0</v>
      </c>
      <c r="AM47">
        <v>0</v>
      </c>
      <c r="AN47">
        <v>0</v>
      </c>
      <c r="AO47">
        <v>46106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4</v>
      </c>
    </row>
    <row r="48" spans="2:47" x14ac:dyDescent="0.2">
      <c r="B48" t="s">
        <v>347</v>
      </c>
      <c r="C48">
        <v>0</v>
      </c>
      <c r="D48" t="s">
        <v>249</v>
      </c>
      <c r="E48" t="s">
        <v>3</v>
      </c>
      <c r="F48" t="s">
        <v>302</v>
      </c>
      <c r="G48" t="s">
        <v>3</v>
      </c>
      <c r="H48">
        <v>112.8</v>
      </c>
      <c r="I48">
        <v>112.8</v>
      </c>
      <c r="J48">
        <v>0</v>
      </c>
      <c r="K48">
        <v>112.8</v>
      </c>
      <c r="L48">
        <v>0</v>
      </c>
      <c r="M48">
        <v>0</v>
      </c>
      <c r="N48">
        <v>0</v>
      </c>
      <c r="O48" t="s">
        <v>341</v>
      </c>
      <c r="P48" t="s">
        <v>3</v>
      </c>
      <c r="Q48" t="s">
        <v>342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112.8</v>
      </c>
      <c r="AD48">
        <v>1</v>
      </c>
      <c r="AE48">
        <v>0</v>
      </c>
      <c r="AF48">
        <v>1</v>
      </c>
      <c r="AG48">
        <v>3</v>
      </c>
      <c r="AH48" t="s">
        <v>251</v>
      </c>
      <c r="AI48" t="s">
        <v>250</v>
      </c>
      <c r="AJ48">
        <v>46139.405324074076</v>
      </c>
      <c r="AK48">
        <v>55944009</v>
      </c>
      <c r="AL48">
        <v>0</v>
      </c>
      <c r="AM48">
        <v>0</v>
      </c>
      <c r="AN48">
        <v>0</v>
      </c>
      <c r="AO48">
        <v>46106</v>
      </c>
      <c r="AP48">
        <v>0</v>
      </c>
      <c r="AQ48">
        <v>1</v>
      </c>
      <c r="AR48">
        <v>0</v>
      </c>
      <c r="AS48" t="s">
        <v>316</v>
      </c>
      <c r="AT48">
        <v>1</v>
      </c>
      <c r="AU48">
        <v>20.399999999999999</v>
      </c>
    </row>
    <row r="49" spans="2:47" x14ac:dyDescent="0.2">
      <c r="B49" t="s">
        <v>348</v>
      </c>
      <c r="C49">
        <v>0</v>
      </c>
      <c r="D49" t="s">
        <v>249</v>
      </c>
      <c r="E49" t="s">
        <v>3</v>
      </c>
      <c r="F49" t="s">
        <v>302</v>
      </c>
      <c r="G49" t="s">
        <v>3</v>
      </c>
      <c r="H49">
        <v>112.8</v>
      </c>
      <c r="I49">
        <v>112.8</v>
      </c>
      <c r="J49">
        <v>0</v>
      </c>
      <c r="K49">
        <v>112.8</v>
      </c>
      <c r="L49">
        <v>0</v>
      </c>
      <c r="M49">
        <v>0</v>
      </c>
      <c r="N49">
        <v>0</v>
      </c>
      <c r="O49" t="s">
        <v>307</v>
      </c>
      <c r="P49" t="s">
        <v>3</v>
      </c>
      <c r="Q49" t="s">
        <v>308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112.8</v>
      </c>
      <c r="AD49">
        <v>1</v>
      </c>
      <c r="AE49">
        <v>0</v>
      </c>
      <c r="AF49">
        <v>1</v>
      </c>
      <c r="AG49">
        <v>3</v>
      </c>
      <c r="AH49" t="s">
        <v>251</v>
      </c>
      <c r="AI49" t="s">
        <v>250</v>
      </c>
      <c r="AJ49">
        <v>46139.405324074076</v>
      </c>
      <c r="AK49">
        <v>55944009</v>
      </c>
      <c r="AL49">
        <v>0</v>
      </c>
      <c r="AM49">
        <v>0</v>
      </c>
      <c r="AN49">
        <v>0</v>
      </c>
      <c r="AO49">
        <v>46106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20.399999999999999</v>
      </c>
    </row>
    <row r="50" spans="2:47" x14ac:dyDescent="0.2">
      <c r="B50" t="s">
        <v>349</v>
      </c>
      <c r="C50">
        <v>1</v>
      </c>
      <c r="D50" t="s">
        <v>249</v>
      </c>
      <c r="E50" t="s">
        <v>3</v>
      </c>
      <c r="F50" t="s">
        <v>302</v>
      </c>
      <c r="G50" t="s">
        <v>3</v>
      </c>
      <c r="H50">
        <v>110.85</v>
      </c>
      <c r="I50">
        <v>110.85</v>
      </c>
      <c r="J50">
        <v>0</v>
      </c>
      <c r="K50">
        <v>110.85</v>
      </c>
      <c r="L50">
        <v>0</v>
      </c>
      <c r="M50">
        <v>0</v>
      </c>
      <c r="N50">
        <v>0</v>
      </c>
      <c r="O50" t="s">
        <v>310</v>
      </c>
      <c r="P50" t="s">
        <v>3</v>
      </c>
      <c r="Q50" t="s">
        <v>311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110.85</v>
      </c>
      <c r="AD50">
        <v>1</v>
      </c>
      <c r="AE50">
        <v>0</v>
      </c>
      <c r="AF50">
        <v>1</v>
      </c>
      <c r="AG50">
        <v>3</v>
      </c>
      <c r="AH50" t="s">
        <v>251</v>
      </c>
      <c r="AI50" t="s">
        <v>250</v>
      </c>
      <c r="AJ50">
        <v>46139.405324074076</v>
      </c>
      <c r="AK50">
        <v>55944009</v>
      </c>
      <c r="AL50">
        <v>0</v>
      </c>
      <c r="AM50">
        <v>0</v>
      </c>
      <c r="AN50">
        <v>0</v>
      </c>
      <c r="AO50">
        <v>46106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20.399999999999999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2026-05-07T13:54:50Z</dcterms:created>
  <dcterms:modified xsi:type="dcterms:W3CDTF">2026-07-02T16:58:48Z</dcterms:modified>
</cp:coreProperties>
</file>